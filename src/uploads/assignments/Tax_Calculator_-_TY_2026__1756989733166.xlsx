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9T5SlaX9yH9e+907RBMw2WM97oUBGau2OoMA7kkE8="/>
    </ext>
  </extLst>
</workbook>
</file>

<file path=xl/sharedStrings.xml><?xml version="1.0" encoding="utf-8"?>
<sst xmlns="http://schemas.openxmlformats.org/spreadsheetml/2006/main" count="40" uniqueCount="35">
  <si>
    <t>Mavens Advisor (Pvt) Ltd</t>
  </si>
  <si>
    <t>Salary Tax Calculator for 2025-26</t>
  </si>
  <si>
    <t>Salary Per Month</t>
  </si>
  <si>
    <t>Months</t>
  </si>
  <si>
    <t>Tax</t>
  </si>
  <si>
    <t xml:space="preserve">Salary Per Year </t>
  </si>
  <si>
    <t>Jul</t>
  </si>
  <si>
    <t>Aug</t>
  </si>
  <si>
    <t>Less: 10% Medical Allownce</t>
  </si>
  <si>
    <t>Sep</t>
  </si>
  <si>
    <t>Oct</t>
  </si>
  <si>
    <t>Taxable Salary</t>
  </si>
  <si>
    <t>Nov</t>
  </si>
  <si>
    <t>Dec</t>
  </si>
  <si>
    <t>Surcharge On Salary  Exceeding Rs 10 Million Annually</t>
  </si>
  <si>
    <t>Jan</t>
  </si>
  <si>
    <t>Feb</t>
  </si>
  <si>
    <t xml:space="preserve">Annual Salary Tax with Surcharge u/s 4AB </t>
  </si>
  <si>
    <t>Mar</t>
  </si>
  <si>
    <t>Apr</t>
  </si>
  <si>
    <t xml:space="preserve">Monthly Salary Tax with Surcharge u/s 4AB </t>
  </si>
  <si>
    <t>May</t>
  </si>
  <si>
    <t>Jun</t>
  </si>
  <si>
    <t xml:space="preserve">Net Monthly Salary After Tax </t>
  </si>
  <si>
    <t>SN.</t>
  </si>
  <si>
    <t>Where the Salary Income Exceed</t>
  </si>
  <si>
    <t>To</t>
  </si>
  <si>
    <t>But Does Not Exceeds</t>
  </si>
  <si>
    <t>Tax Rates</t>
  </si>
  <si>
    <t>Fixed Tax if Exceeds Slab</t>
  </si>
  <si>
    <t>Taxable Salaried Income</t>
  </si>
  <si>
    <t xml:space="preserve">Tax Liability </t>
  </si>
  <si>
    <t>-</t>
  </si>
  <si>
    <t>to</t>
  </si>
  <si>
    <t xml:space="preserve">Tax for Year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</si>
</sst>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#,##0;(#,##0)"/>
    <numFmt numFmtId="166" formatCode="_(* #,##0.00_);_(* \(#,##0.00\);_(* &quot;-&quot;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25.0"/>
      <color theme="1"/>
      <name val="Calibri"/>
    </font>
    <font/>
    <font>
      <sz val="16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7.0"/>
      <color theme="1"/>
      <name val="Calibri"/>
    </font>
    <font>
      <b/>
      <sz val="17.0"/>
      <color rgb="FFFF000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7.0"/>
      <color theme="1"/>
      <name val="Calibri"/>
    </font>
    <font>
      <b/>
      <sz val="25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27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2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ill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3" fontId="4" numFmtId="0" xfId="0" applyBorder="1" applyFont="1"/>
    <xf borderId="17" fillId="3" fontId="5" numFmtId="0" xfId="0" applyBorder="1" applyFont="1"/>
    <xf borderId="17" fillId="3" fontId="4" numFmtId="164" xfId="0" applyAlignment="1" applyBorder="1" applyFont="1" applyNumberFormat="1">
      <alignment readingOrder="0"/>
    </xf>
    <xf borderId="17" fillId="3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17" fillId="3" fontId="4" numFmtId="164" xfId="0" applyBorder="1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16" fillId="3" fontId="5" numFmtId="0" xfId="0" applyBorder="1" applyFont="1"/>
    <xf borderId="16" fillId="3" fontId="4" numFmtId="164" xfId="0" applyBorder="1" applyFont="1" applyNumberFormat="1"/>
    <xf borderId="16" fillId="3" fontId="4" numFmtId="0" xfId="0" applyAlignment="1" applyBorder="1" applyFont="1">
      <alignment horizontal="center"/>
    </xf>
    <xf borderId="18" fillId="3" fontId="5" numFmtId="0" xfId="0" applyAlignment="1" applyBorder="1" applyFont="1">
      <alignment horizontal="left"/>
    </xf>
    <xf borderId="19" fillId="0" fontId="3" numFmtId="0" xfId="0" applyBorder="1" applyFont="1"/>
    <xf borderId="20" fillId="0" fontId="3" numFmtId="0" xfId="0" applyBorder="1" applyFont="1"/>
    <xf borderId="17" fillId="3" fontId="5" numFmtId="164" xfId="0" applyAlignment="1" applyBorder="1" applyFont="1" applyNumberFormat="1">
      <alignment horizontal="center"/>
    </xf>
    <xf borderId="16" fillId="3" fontId="5" numFmtId="0" xfId="0" applyAlignment="1" applyBorder="1" applyFont="1">
      <alignment horizontal="left"/>
    </xf>
    <xf borderId="18" fillId="4" fontId="7" numFmtId="0" xfId="0" applyAlignment="1" applyBorder="1" applyFill="1" applyFont="1">
      <alignment horizontal="left"/>
    </xf>
    <xf borderId="17" fillId="4" fontId="7" numFmtId="164" xfId="0" applyAlignment="1" applyBorder="1" applyFont="1" applyNumberFormat="1">
      <alignment horizontal="left"/>
    </xf>
    <xf borderId="16" fillId="3" fontId="8" numFmtId="0" xfId="0" applyAlignment="1" applyBorder="1" applyFont="1">
      <alignment horizontal="left"/>
    </xf>
    <xf borderId="16" fillId="3" fontId="8" numFmtId="164" xfId="0" applyAlignment="1" applyBorder="1" applyFont="1" applyNumberFormat="1">
      <alignment horizontal="left"/>
    </xf>
    <xf borderId="17" fillId="4" fontId="7" numFmtId="164" xfId="0" applyAlignment="1" applyBorder="1" applyFont="1" applyNumberFormat="1">
      <alignment horizontal="center"/>
    </xf>
    <xf borderId="0" fillId="0" fontId="1" numFmtId="165" xfId="0" applyFont="1" applyNumberFormat="1"/>
    <xf borderId="21" fillId="3" fontId="4" numFmtId="0" xfId="0" applyAlignment="1" applyBorder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17" fillId="4" fontId="5" numFmtId="0" xfId="0" applyAlignment="1" applyBorder="1" applyFont="1">
      <alignment horizontal="center" shrinkToFit="0" vertical="center" wrapText="1"/>
    </xf>
    <xf borderId="0" fillId="0" fontId="6" numFmtId="164" xfId="0" applyFont="1" applyNumberFormat="1"/>
    <xf borderId="17" fillId="3" fontId="4" numFmtId="0" xfId="0" applyAlignment="1" applyBorder="1" applyFont="1">
      <alignment horizontal="center" vertical="center"/>
    </xf>
    <xf borderId="17" fillId="3" fontId="4" numFmtId="164" xfId="0" applyAlignment="1" applyBorder="1" applyFont="1" applyNumberFormat="1">
      <alignment horizontal="center" vertical="center"/>
    </xf>
    <xf borderId="17" fillId="3" fontId="4" numFmtId="9" xfId="0" applyAlignment="1" applyBorder="1" applyFont="1" applyNumberFormat="1">
      <alignment horizontal="center" vertical="center"/>
    </xf>
    <xf borderId="17" fillId="3" fontId="4" numFmtId="166" xfId="0" applyAlignment="1" applyBorder="1" applyFont="1" applyNumberFormat="1">
      <alignment horizontal="center" vertical="center"/>
    </xf>
    <xf borderId="16" fillId="3" fontId="9" numFmtId="0" xfId="0" applyBorder="1" applyFont="1"/>
    <xf borderId="16" fillId="3" fontId="10" numFmtId="0" xfId="0" applyBorder="1" applyFont="1"/>
    <xf borderId="17" fillId="4" fontId="7" numFmtId="0" xfId="0" applyBorder="1" applyFont="1"/>
    <xf borderId="18" fillId="4" fontId="7" numFmtId="164" xfId="0" applyAlignment="1" applyBorder="1" applyFont="1" applyNumberFormat="1">
      <alignment horizontal="center"/>
    </xf>
    <xf borderId="24" fillId="0" fontId="1" numFmtId="0" xfId="0" applyBorder="1" applyFont="1"/>
    <xf borderId="25" fillId="3" fontId="9" numFmtId="0" xfId="0" applyBorder="1" applyFont="1"/>
    <xf borderId="25" fillId="3" fontId="11" numFmtId="0" xfId="0" applyBorder="1" applyFont="1"/>
    <xf borderId="26" fillId="0" fontId="1" numFmtId="0" xfId="0" applyBorder="1" applyFont="1"/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4.57"/>
    <col customWidth="1" min="4" max="4" width="41.29"/>
    <col customWidth="1" min="5" max="5" width="30.43"/>
    <col customWidth="1" min="6" max="6" width="17.86"/>
    <col customWidth="1" min="7" max="7" width="38.0"/>
    <col customWidth="1" min="8" max="8" width="20.0"/>
    <col customWidth="1" min="9" max="9" width="15.57"/>
    <col customWidth="1" min="10" max="10" width="12.71"/>
    <col customWidth="1" min="11" max="11" width="6.71"/>
    <col customWidth="1" min="12" max="13" width="8.71"/>
    <col customWidth="1" min="14" max="14" width="11.71"/>
    <col customWidth="1" min="15" max="15" width="10.86"/>
    <col customWidth="1" min="16" max="26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2"/>
      <c r="C2" s="3"/>
      <c r="D2" s="3"/>
      <c r="E2" s="3"/>
      <c r="F2" s="3"/>
      <c r="G2" s="3"/>
      <c r="H2" s="3"/>
      <c r="I2" s="3"/>
      <c r="J2" s="3"/>
      <c r="K2" s="4"/>
      <c r="L2" s="5"/>
      <c r="M2" s="5"/>
      <c r="N2" s="5"/>
    </row>
    <row r="3">
      <c r="B3" s="6"/>
      <c r="C3" s="7" t="s">
        <v>0</v>
      </c>
      <c r="D3" s="8"/>
      <c r="E3" s="8"/>
      <c r="F3" s="8"/>
      <c r="G3" s="8"/>
      <c r="H3" s="8"/>
      <c r="I3" s="8"/>
      <c r="J3" s="9"/>
      <c r="K3" s="10"/>
      <c r="L3" s="5"/>
      <c r="M3" s="5"/>
      <c r="N3" s="5"/>
    </row>
    <row r="4">
      <c r="B4" s="6"/>
      <c r="C4" s="11"/>
      <c r="D4" s="12"/>
      <c r="E4" s="12"/>
      <c r="F4" s="12"/>
      <c r="G4" s="12"/>
      <c r="H4" s="12"/>
      <c r="I4" s="12"/>
      <c r="J4" s="13"/>
      <c r="K4" s="10"/>
      <c r="L4" s="5"/>
      <c r="M4" s="5"/>
      <c r="N4" s="5"/>
    </row>
    <row r="5">
      <c r="B5" s="6"/>
      <c r="C5" s="7" t="s">
        <v>1</v>
      </c>
      <c r="D5" s="8"/>
      <c r="E5" s="8"/>
      <c r="F5" s="8"/>
      <c r="G5" s="8"/>
      <c r="H5" s="8"/>
      <c r="I5" s="8"/>
      <c r="J5" s="9"/>
      <c r="K5" s="10"/>
      <c r="L5" s="5"/>
      <c r="M5" s="5"/>
      <c r="N5" s="5"/>
    </row>
    <row r="6">
      <c r="B6" s="6"/>
      <c r="C6" s="11"/>
      <c r="D6" s="12"/>
      <c r="E6" s="12"/>
      <c r="F6" s="12"/>
      <c r="G6" s="12"/>
      <c r="H6" s="12"/>
      <c r="I6" s="12"/>
      <c r="J6" s="13"/>
      <c r="K6" s="10"/>
      <c r="L6" s="5"/>
      <c r="M6" s="5"/>
      <c r="N6" s="5"/>
    </row>
    <row r="7">
      <c r="B7" s="6"/>
      <c r="C7" s="14"/>
      <c r="D7" s="15"/>
      <c r="E7" s="15"/>
      <c r="F7" s="15"/>
      <c r="G7" s="15"/>
      <c r="H7" s="15"/>
      <c r="I7" s="15"/>
      <c r="J7" s="16"/>
      <c r="K7" s="10"/>
      <c r="L7" s="5"/>
      <c r="M7" s="5"/>
      <c r="N7" s="5"/>
    </row>
    <row r="8">
      <c r="B8" s="6"/>
      <c r="C8" s="17"/>
      <c r="D8" s="18" t="s">
        <v>2</v>
      </c>
      <c r="E8" s="19">
        <v>125000.0</v>
      </c>
      <c r="F8" s="17"/>
      <c r="G8" s="18" t="s">
        <v>3</v>
      </c>
      <c r="H8" s="20">
        <v>12.0</v>
      </c>
      <c r="I8" s="17"/>
      <c r="J8" s="17"/>
      <c r="K8" s="10"/>
      <c r="L8" s="5"/>
      <c r="M8" s="5"/>
      <c r="N8" s="5"/>
    </row>
    <row r="9">
      <c r="B9" s="6"/>
      <c r="C9" s="14"/>
      <c r="D9" s="15"/>
      <c r="E9" s="15"/>
      <c r="F9" s="15"/>
      <c r="G9" s="15"/>
      <c r="H9" s="15"/>
      <c r="I9" s="15"/>
      <c r="J9" s="16"/>
      <c r="K9" s="10"/>
      <c r="L9" s="5"/>
      <c r="M9" s="5"/>
      <c r="N9" s="5"/>
      <c r="O9" s="21" t="s">
        <v>4</v>
      </c>
    </row>
    <row r="10">
      <c r="B10" s="6"/>
      <c r="C10" s="17"/>
      <c r="D10" s="18" t="s">
        <v>5</v>
      </c>
      <c r="E10" s="22">
        <f>$E$8*$H$8</f>
        <v>1500000</v>
      </c>
      <c r="F10" s="17"/>
      <c r="G10" s="17"/>
      <c r="H10" s="17"/>
      <c r="I10" s="17"/>
      <c r="J10" s="17"/>
      <c r="K10" s="10"/>
      <c r="L10" s="5"/>
      <c r="M10" s="23" t="s">
        <v>6</v>
      </c>
      <c r="N10" s="24">
        <v>110000.0</v>
      </c>
      <c r="O10" s="25">
        <v>500.0</v>
      </c>
    </row>
    <row r="11">
      <c r="B11" s="6"/>
      <c r="C11" s="17"/>
      <c r="D11" s="26"/>
      <c r="E11" s="27"/>
      <c r="F11" s="28"/>
      <c r="G11" s="28"/>
      <c r="H11" s="28"/>
      <c r="I11" s="28"/>
      <c r="J11" s="28"/>
      <c r="K11" s="10"/>
      <c r="L11" s="5"/>
      <c r="M11" s="23" t="s">
        <v>7</v>
      </c>
      <c r="N11" s="24">
        <v>110000.0</v>
      </c>
      <c r="O11" s="25">
        <v>500.0</v>
      </c>
    </row>
    <row r="12">
      <c r="B12" s="6"/>
      <c r="C12" s="17"/>
      <c r="D12" s="18" t="s">
        <v>8</v>
      </c>
      <c r="E12" s="22">
        <f>(E10/110)*10</f>
        <v>136363.6364</v>
      </c>
      <c r="F12" s="28"/>
      <c r="G12" s="28"/>
      <c r="H12" s="28"/>
      <c r="I12" s="28"/>
      <c r="J12" s="28"/>
      <c r="K12" s="10"/>
      <c r="L12" s="5"/>
      <c r="M12" s="23" t="s">
        <v>9</v>
      </c>
      <c r="N12" s="24">
        <v>110000.0</v>
      </c>
      <c r="O12" s="25">
        <v>500.0</v>
      </c>
    </row>
    <row r="13">
      <c r="B13" s="6"/>
      <c r="C13" s="17"/>
      <c r="D13" s="26"/>
      <c r="E13" s="27"/>
      <c r="F13" s="28"/>
      <c r="G13" s="28"/>
      <c r="H13" s="28"/>
      <c r="I13" s="28"/>
      <c r="J13" s="28"/>
      <c r="K13" s="10"/>
      <c r="L13" s="5"/>
      <c r="M13" s="23" t="s">
        <v>10</v>
      </c>
      <c r="N13" s="24">
        <v>110000.0</v>
      </c>
      <c r="O13" s="25">
        <v>500.0</v>
      </c>
    </row>
    <row r="14">
      <c r="B14" s="6"/>
      <c r="C14" s="17"/>
      <c r="D14" s="18" t="s">
        <v>11</v>
      </c>
      <c r="E14" s="22">
        <f>E10-E12</f>
        <v>1363636.364</v>
      </c>
      <c r="F14" s="28"/>
      <c r="G14" s="28"/>
      <c r="H14" s="28"/>
      <c r="I14" s="28"/>
      <c r="J14" s="28"/>
      <c r="K14" s="10"/>
      <c r="L14" s="5"/>
      <c r="M14" s="23" t="s">
        <v>12</v>
      </c>
      <c r="N14" s="24">
        <v>170000.0</v>
      </c>
      <c r="O14" s="25">
        <v>6500.0</v>
      </c>
    </row>
    <row r="15">
      <c r="B15" s="6"/>
      <c r="C15" s="17"/>
      <c r="D15" s="26"/>
      <c r="E15" s="27"/>
      <c r="F15" s="28"/>
      <c r="G15" s="28"/>
      <c r="H15" s="28"/>
      <c r="I15" s="28"/>
      <c r="J15" s="28"/>
      <c r="K15" s="10"/>
      <c r="L15" s="5"/>
      <c r="M15" s="23" t="s">
        <v>13</v>
      </c>
      <c r="N15" s="24">
        <v>125000.0</v>
      </c>
      <c r="O15" s="25">
        <v>2000.0</v>
      </c>
    </row>
    <row r="16">
      <c r="B16" s="6"/>
      <c r="C16" s="17"/>
      <c r="D16" s="29" t="s">
        <v>14</v>
      </c>
      <c r="E16" s="30"/>
      <c r="F16" s="31"/>
      <c r="G16" s="32">
        <f>IF(E14&gt;10000000,0.09*SUM(J25:J30),0)</f>
        <v>0</v>
      </c>
      <c r="H16" s="28"/>
      <c r="I16" s="28"/>
      <c r="J16" s="28"/>
      <c r="K16" s="10"/>
      <c r="L16" s="5"/>
      <c r="M16" s="23" t="s">
        <v>15</v>
      </c>
      <c r="N16" s="24">
        <v>125000.0</v>
      </c>
      <c r="O16" s="25">
        <v>2000.0</v>
      </c>
    </row>
    <row r="17">
      <c r="B17" s="6"/>
      <c r="C17" s="17"/>
      <c r="D17" s="33"/>
      <c r="E17" s="33"/>
      <c r="F17" s="33"/>
      <c r="G17" s="28"/>
      <c r="H17" s="28"/>
      <c r="I17" s="28"/>
      <c r="J17" s="28"/>
      <c r="K17" s="10"/>
      <c r="L17" s="5"/>
      <c r="M17" s="23" t="s">
        <v>16</v>
      </c>
      <c r="N17" s="24">
        <v>125000.0</v>
      </c>
      <c r="O17" s="25">
        <v>2000.0</v>
      </c>
    </row>
    <row r="18">
      <c r="B18" s="6"/>
      <c r="C18" s="17"/>
      <c r="D18" s="34" t="s">
        <v>17</v>
      </c>
      <c r="E18" s="31"/>
      <c r="F18" s="35">
        <f>IFERROR(I32+G16,0)</f>
        <v>24000</v>
      </c>
      <c r="G18" s="28"/>
      <c r="H18" s="28"/>
      <c r="I18" s="28"/>
      <c r="J18" s="28"/>
      <c r="K18" s="10"/>
      <c r="L18" s="5"/>
      <c r="M18" s="23" t="s">
        <v>18</v>
      </c>
      <c r="N18" s="24">
        <v>125000.0</v>
      </c>
      <c r="O18" s="25">
        <v>2000.0</v>
      </c>
    </row>
    <row r="19">
      <c r="B19" s="6"/>
      <c r="C19" s="17"/>
      <c r="D19" s="36"/>
      <c r="E19" s="36"/>
      <c r="F19" s="37"/>
      <c r="G19" s="28"/>
      <c r="H19" s="28"/>
      <c r="I19" s="28"/>
      <c r="J19" s="28"/>
      <c r="K19" s="10"/>
      <c r="L19" s="5"/>
      <c r="M19" s="23" t="s">
        <v>19</v>
      </c>
      <c r="N19" s="24">
        <v>130000.0</v>
      </c>
      <c r="O19" s="25">
        <v>2500.0</v>
      </c>
    </row>
    <row r="20">
      <c r="B20" s="6"/>
      <c r="C20" s="17"/>
      <c r="D20" s="34" t="s">
        <v>20</v>
      </c>
      <c r="E20" s="31"/>
      <c r="F20" s="35">
        <f>F18/12</f>
        <v>2000</v>
      </c>
      <c r="G20" s="28"/>
      <c r="H20" s="28"/>
      <c r="I20" s="28"/>
      <c r="J20" s="28"/>
      <c r="K20" s="10"/>
      <c r="L20" s="5"/>
      <c r="M20" s="23" t="s">
        <v>21</v>
      </c>
      <c r="N20" s="24">
        <v>130000.0</v>
      </c>
      <c r="O20" s="25">
        <v>2500.0</v>
      </c>
    </row>
    <row r="21" ht="15.75" customHeight="1">
      <c r="B21" s="6"/>
      <c r="C21" s="17"/>
      <c r="D21" s="26"/>
      <c r="E21" s="27"/>
      <c r="F21" s="28"/>
      <c r="G21" s="28"/>
      <c r="H21" s="28"/>
      <c r="I21" s="28"/>
      <c r="J21" s="28"/>
      <c r="K21" s="10"/>
      <c r="L21" s="5"/>
      <c r="M21" s="23" t="s">
        <v>22</v>
      </c>
      <c r="N21" s="24">
        <v>130000.0</v>
      </c>
      <c r="O21" s="25">
        <v>2500.0</v>
      </c>
    </row>
    <row r="22" ht="15.75" customHeight="1">
      <c r="B22" s="6"/>
      <c r="C22" s="17"/>
      <c r="D22" s="34" t="s">
        <v>23</v>
      </c>
      <c r="E22" s="31"/>
      <c r="F22" s="38">
        <f>E8-F20</f>
        <v>123000</v>
      </c>
      <c r="G22" s="28"/>
      <c r="H22" s="28"/>
      <c r="I22" s="28"/>
      <c r="J22" s="28"/>
      <c r="K22" s="10"/>
      <c r="L22" s="5"/>
      <c r="M22" s="5"/>
      <c r="N22" s="39">
        <f t="shared" ref="N22:O22" si="1">sum(N10:N21)</f>
        <v>1500000</v>
      </c>
      <c r="O22" s="5">
        <f t="shared" si="1"/>
        <v>24000</v>
      </c>
      <c r="P22" s="5"/>
    </row>
    <row r="23" ht="15.75" customHeight="1">
      <c r="B23" s="6"/>
      <c r="C23" s="40"/>
      <c r="D23" s="41"/>
      <c r="E23" s="41"/>
      <c r="F23" s="41"/>
      <c r="G23" s="41"/>
      <c r="H23" s="41"/>
      <c r="I23" s="41"/>
      <c r="J23" s="42"/>
      <c r="K23" s="10"/>
      <c r="L23" s="5"/>
      <c r="M23" s="5"/>
      <c r="N23" s="5"/>
    </row>
    <row r="24" ht="15.75" customHeight="1">
      <c r="B24" s="6"/>
      <c r="C24" s="43" t="s">
        <v>24</v>
      </c>
      <c r="D24" s="43" t="s">
        <v>25</v>
      </c>
      <c r="E24" s="43" t="s">
        <v>26</v>
      </c>
      <c r="F24" s="43" t="s">
        <v>27</v>
      </c>
      <c r="G24" s="43" t="s">
        <v>28</v>
      </c>
      <c r="H24" s="43" t="s">
        <v>29</v>
      </c>
      <c r="I24" s="43" t="s">
        <v>30</v>
      </c>
      <c r="J24" s="43" t="s">
        <v>31</v>
      </c>
      <c r="K24" s="10"/>
      <c r="L24" s="5"/>
      <c r="M24" s="5"/>
      <c r="N24" s="5">
        <f>N22/12</f>
        <v>125000</v>
      </c>
      <c r="P24" s="44">
        <f>O22-F18</f>
        <v>0</v>
      </c>
    </row>
    <row r="25" ht="15.75" customHeight="1">
      <c r="B25" s="6"/>
      <c r="C25" s="45">
        <v>1.0</v>
      </c>
      <c r="D25" s="46" t="s">
        <v>32</v>
      </c>
      <c r="E25" s="45" t="s">
        <v>33</v>
      </c>
      <c r="F25" s="46">
        <v>600000.0</v>
      </c>
      <c r="G25" s="47">
        <v>0.0</v>
      </c>
      <c r="H25" s="48">
        <v>0.0</v>
      </c>
      <c r="I25" s="46" t="str">
        <f t="array" ref="I25">IFS(E14&gt;F25,"-",E14&lt;F25,E14)</f>
        <v>-</v>
      </c>
      <c r="J25" s="46" t="str">
        <f t="shared" ref="J25:J26" si="2">IFERROR((I25-F24)*G25,"-")</f>
        <v>-</v>
      </c>
      <c r="K25" s="10"/>
      <c r="L25" s="5"/>
      <c r="M25" s="5"/>
      <c r="N25" s="5"/>
    </row>
    <row r="26" ht="15.75" customHeight="1">
      <c r="B26" s="6"/>
      <c r="C26" s="45">
        <f t="shared" ref="C26:C30" si="3">C25+1</f>
        <v>2</v>
      </c>
      <c r="D26" s="46">
        <v>600001.0</v>
      </c>
      <c r="E26" s="45" t="s">
        <v>33</v>
      </c>
      <c r="F26" s="46">
        <v>1200000.0</v>
      </c>
      <c r="G26" s="47">
        <v>0.01</v>
      </c>
      <c r="H26" s="46">
        <f>G26*(F26-F25)</f>
        <v>6000</v>
      </c>
      <c r="I26" s="46" t="str">
        <f>IF(AND(E14&gt;F25,E14&lt;D27),E14,"-")</f>
        <v>-</v>
      </c>
      <c r="J26" s="46" t="str">
        <f t="shared" si="2"/>
        <v>-</v>
      </c>
      <c r="K26" s="10"/>
      <c r="L26" s="5"/>
      <c r="M26" s="5"/>
      <c r="N26" s="5"/>
    </row>
    <row r="27" ht="15.75" customHeight="1">
      <c r="B27" s="6"/>
      <c r="C27" s="45">
        <f t="shared" si="3"/>
        <v>3</v>
      </c>
      <c r="D27" s="46">
        <v>1200001.0</v>
      </c>
      <c r="E27" s="45" t="s">
        <v>33</v>
      </c>
      <c r="F27" s="46">
        <v>2200000.0</v>
      </c>
      <c r="G27" s="47">
        <v>0.11</v>
      </c>
      <c r="H27" s="46">
        <f t="shared" ref="H27:H29" si="4">G27*(F27-F26)+H26</f>
        <v>116000</v>
      </c>
      <c r="I27" s="46">
        <f>IF(AND(E14&gt;F26,E14&lt;D28),E14,"-")</f>
        <v>1363636.364</v>
      </c>
      <c r="J27" s="46">
        <f t="shared" ref="J27:J30" si="5">IFERROR(((I27-F26)*G27)+H26,"-")</f>
        <v>24000</v>
      </c>
      <c r="K27" s="10"/>
      <c r="L27" s="5"/>
      <c r="M27" s="5"/>
      <c r="N27" s="5"/>
    </row>
    <row r="28" ht="15.75" customHeight="1">
      <c r="B28" s="6"/>
      <c r="C28" s="45">
        <f t="shared" si="3"/>
        <v>4</v>
      </c>
      <c r="D28" s="46">
        <v>2200001.0</v>
      </c>
      <c r="E28" s="45" t="s">
        <v>33</v>
      </c>
      <c r="F28" s="46">
        <v>3200000.0</v>
      </c>
      <c r="G28" s="47">
        <v>0.23</v>
      </c>
      <c r="H28" s="46">
        <f t="shared" si="4"/>
        <v>346000</v>
      </c>
      <c r="I28" s="46" t="str">
        <f>IF(AND(E14&gt;F27,E14&lt;D29),E14,"-")</f>
        <v>-</v>
      </c>
      <c r="J28" s="46" t="str">
        <f t="shared" si="5"/>
        <v>-</v>
      </c>
      <c r="K28" s="10"/>
      <c r="L28" s="5"/>
      <c r="M28" s="5"/>
      <c r="N28" s="5"/>
    </row>
    <row r="29" ht="15.75" customHeight="1">
      <c r="B29" s="6"/>
      <c r="C29" s="45">
        <f t="shared" si="3"/>
        <v>5</v>
      </c>
      <c r="D29" s="46">
        <v>3200001.0</v>
      </c>
      <c r="E29" s="45" t="s">
        <v>33</v>
      </c>
      <c r="F29" s="46">
        <v>4100000.0</v>
      </c>
      <c r="G29" s="47">
        <v>0.3</v>
      </c>
      <c r="H29" s="46">
        <f t="shared" si="4"/>
        <v>616000</v>
      </c>
      <c r="I29" s="46" t="str">
        <f>IF(AND(E14&gt;F28,E14&lt;D30),E14,"-")</f>
        <v>-</v>
      </c>
      <c r="J29" s="46" t="str">
        <f t="shared" si="5"/>
        <v>-</v>
      </c>
      <c r="K29" s="10"/>
      <c r="L29" s="5"/>
      <c r="M29" s="5"/>
      <c r="N29" s="5"/>
    </row>
    <row r="30" ht="15.75" customHeight="1">
      <c r="B30" s="6"/>
      <c r="C30" s="45">
        <f t="shared" si="3"/>
        <v>6</v>
      </c>
      <c r="D30" s="46">
        <v>4100001.0</v>
      </c>
      <c r="E30" s="45" t="s">
        <v>33</v>
      </c>
      <c r="F30" s="45"/>
      <c r="G30" s="47">
        <v>0.35</v>
      </c>
      <c r="H30" s="46">
        <v>0.0</v>
      </c>
      <c r="I30" s="46" t="str">
        <f>IF(AND(E14&gt;F29),E14,"-")</f>
        <v>-</v>
      </c>
      <c r="J30" s="46" t="str">
        <f t="shared" si="5"/>
        <v>-</v>
      </c>
      <c r="K30" s="10"/>
      <c r="L30" s="5"/>
      <c r="M30" s="5"/>
      <c r="N30" s="5"/>
    </row>
    <row r="31" ht="15.75" customHeight="1">
      <c r="B31" s="6"/>
      <c r="C31" s="49"/>
      <c r="D31" s="49"/>
      <c r="E31" s="49"/>
      <c r="F31" s="49"/>
      <c r="G31" s="49"/>
      <c r="H31" s="49"/>
      <c r="I31" s="49"/>
      <c r="J31" s="49"/>
      <c r="K31" s="10"/>
      <c r="L31" s="5"/>
      <c r="M31" s="5"/>
      <c r="N31" s="5"/>
    </row>
    <row r="32" ht="15.75" customHeight="1">
      <c r="B32" s="6"/>
      <c r="C32" s="50"/>
      <c r="D32" s="50"/>
      <c r="E32" s="50"/>
      <c r="F32" s="50"/>
      <c r="G32" s="50"/>
      <c r="H32" s="51" t="s">
        <v>34</v>
      </c>
      <c r="I32" s="52">
        <f>SUBTOTAL(9,J25:J30)</f>
        <v>24000</v>
      </c>
      <c r="J32" s="31"/>
      <c r="K32" s="10"/>
      <c r="L32" s="5"/>
      <c r="M32" s="5"/>
      <c r="N32" s="5"/>
    </row>
    <row r="33" ht="15.75" customHeight="1">
      <c r="B33" s="53"/>
      <c r="C33" s="54"/>
      <c r="D33" s="54"/>
      <c r="E33" s="54"/>
      <c r="F33" s="54"/>
      <c r="G33" s="54"/>
      <c r="H33" s="55"/>
      <c r="I33" s="55"/>
      <c r="J33" s="55"/>
      <c r="K33" s="56"/>
      <c r="L33" s="5"/>
      <c r="M33" s="5"/>
      <c r="N33" s="5"/>
    </row>
    <row r="34" ht="15.75" customHeight="1">
      <c r="B34" s="5"/>
      <c r="C34" s="57"/>
      <c r="K34" s="5"/>
      <c r="L34" s="5"/>
      <c r="M34" s="5"/>
      <c r="N34" s="5"/>
    </row>
    <row r="35" ht="15.75" customHeight="1">
      <c r="B35" s="5"/>
      <c r="K35" s="5"/>
      <c r="L35" s="5"/>
      <c r="M35" s="5"/>
      <c r="N35" s="5"/>
    </row>
    <row r="36" ht="15.75" customHeight="1">
      <c r="C36" s="5"/>
      <c r="D36" s="5"/>
      <c r="E36" s="5"/>
      <c r="F36" s="5"/>
      <c r="G36" s="5"/>
      <c r="H36" s="5"/>
      <c r="I36" s="5"/>
      <c r="J36" s="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22:E22"/>
    <mergeCell ref="C23:J23"/>
    <mergeCell ref="I32:J32"/>
    <mergeCell ref="C34:J35"/>
    <mergeCell ref="C3:J4"/>
    <mergeCell ref="C5:J6"/>
    <mergeCell ref="C7:J7"/>
    <mergeCell ref="C9:J9"/>
    <mergeCell ref="D16:F16"/>
    <mergeCell ref="D18:E18"/>
    <mergeCell ref="D20:E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2025-07-17T12:13:36Z</dcterms:created>
  <dc:creator>Zaryab Ul Hassan</dc:creator>
</cp:coreProperties>
</file>