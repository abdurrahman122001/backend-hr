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ya\Downloads\"/>
    </mc:Choice>
  </mc:AlternateContent>
  <xr:revisionPtr revIDLastSave="0" documentId="13_ncr:1_{CBC1FC55-85AB-426D-9EE0-9D118AFDA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gal&amp;Prof. breakup" sheetId="1" r:id="rId1"/>
  </sheets>
  <definedNames>
    <definedName name="_xlnm.Print_Area" localSheetId="0">'Legal&amp;Prof. breakup'!$A$1:$G$81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0" i="1" l="1"/>
  <c r="F25" i="1"/>
  <c r="F16" i="1"/>
</calcChain>
</file>

<file path=xl/sharedStrings.xml><?xml version="1.0" encoding="utf-8"?>
<sst xmlns="http://schemas.openxmlformats.org/spreadsheetml/2006/main" count="244" uniqueCount="141">
  <si>
    <t>22/08/2025</t>
  </si>
  <si>
    <t>20240333</t>
  </si>
  <si>
    <t>light Tree Ventures LLC</t>
  </si>
  <si>
    <t>TD-02 ZLD-60BG
Cerathrive
system
consummer testing  (CE/FCC/ROHS</t>
  </si>
  <si>
    <t>27/08/2025</t>
  </si>
  <si>
    <t/>
  </si>
  <si>
    <t>Information Commissioner</t>
  </si>
  <si>
    <t>Card transaction of GBP issued by Wwwicoorguk</t>
  </si>
  <si>
    <t>12/09/2025</t>
  </si>
  <si>
    <t>Adeel shaikh - USD</t>
  </si>
  <si>
    <t>Online ACH Payment XXXXXXX2865 To ADEELSHAIKH (_######7588)</t>
  </si>
  <si>
    <t>26/09/2025</t>
  </si>
  <si>
    <t>20250447</t>
  </si>
  <si>
    <t>Cerathrive system free sale certificate for Colombian
Cost: $250
Timeline: one week
100% T/T</t>
  </si>
  <si>
    <t>30/09/2025</t>
  </si>
  <si>
    <t>GUANGDONG ZHIHENG LAW FIRM</t>
  </si>
  <si>
    <t>Patent Filing of PCT entering China Fees</t>
  </si>
  <si>
    <t>01/10/2025</t>
  </si>
  <si>
    <t>MIA State Bank Of India - USD</t>
  </si>
  <si>
    <t>Ministry of External...</t>
  </si>
  <si>
    <t>13/10/2025</t>
  </si>
  <si>
    <t>5534SHA</t>
  </si>
  <si>
    <t>RUBRIC LAW</t>
  </si>
  <si>
    <t>INTERIM INVOICE
Professional charges for the provision of legal
services, up to and including 13th October, in
relation to the drafting of a shareholder's agreement</t>
  </si>
  <si>
    <t>06/11/2025</t>
  </si>
  <si>
    <t>5534LA</t>
  </si>
  <si>
    <t>INTERIM INVOICE
Professional charges for the provision of legal
services, up to and including 13th October, in
relation to the drafting of a loan agreement.</t>
  </si>
  <si>
    <t>5534DSA</t>
  </si>
  <si>
    <t>INTERIM INVOICE
Professional charges for the provision of legal
services, up to and including 13th October, in
relation to the drafting of a director's service
agreement.</t>
  </si>
  <si>
    <t>Accounting</t>
  </si>
  <si>
    <t>11/09/2025</t>
  </si>
  <si>
    <t>ADEEL SHAIKH</t>
  </si>
  <si>
    <t>Accounting Fee</t>
  </si>
  <si>
    <t>28/10/2025</t>
  </si>
  <si>
    <t>27/11/2025</t>
  </si>
  <si>
    <t>Consulting &amp; Professional Fees</t>
  </si>
  <si>
    <t>01/08/2025</t>
  </si>
  <si>
    <t>ST0010</t>
  </si>
  <si>
    <t>Sarah Turner</t>
  </si>
  <si>
    <t>Sarah Turner Retainer July 2025</t>
  </si>
  <si>
    <t>28/08/2025</t>
  </si>
  <si>
    <t>25</t>
  </si>
  <si>
    <t>Vyara Wellness</t>
  </si>
  <si>
    <t>August Consulting Services Kristal Kellock</t>
  </si>
  <si>
    <t>2</t>
  </si>
  <si>
    <t>Reece Lambson</t>
  </si>
  <si>
    <t>August 2025 Consulting fee</t>
  </si>
  <si>
    <t>31/08/2025</t>
  </si>
  <si>
    <t>000013</t>
  </si>
  <si>
    <t>SEBASTIAN BOUSIE</t>
  </si>
  <si>
    <t>Sebastian Bousie's bill for the month of August</t>
  </si>
  <si>
    <t>01/09/2025</t>
  </si>
  <si>
    <t>Sarah Turner Retainer Aug 2025</t>
  </si>
  <si>
    <t>02/09/2025</t>
  </si>
  <si>
    <t>JLS-2025-08</t>
  </si>
  <si>
    <t>JORDAN SMITH US</t>
  </si>
  <si>
    <t>Jordan Smith Invoice for Service Period: August 1 to August 22, 2025</t>
  </si>
  <si>
    <t>JLS-2025-08B</t>
  </si>
  <si>
    <t>Independent contractor services rendered during the period above.</t>
  </si>
  <si>
    <t>JLS-2025-08A</t>
  </si>
  <si>
    <t>04/09/2025</t>
  </si>
  <si>
    <t>Marion Turner</t>
  </si>
  <si>
    <t>Marion Turner - fee</t>
  </si>
  <si>
    <t>08/09/2025</t>
  </si>
  <si>
    <t>10/09/2025</t>
  </si>
  <si>
    <t>1715715343</t>
  </si>
  <si>
    <t>Codi Smith</t>
  </si>
  <si>
    <t>Codi Smith Consultation Charges For the month of September</t>
  </si>
  <si>
    <t>ST01</t>
  </si>
  <si>
    <t>For the month of September</t>
  </si>
  <si>
    <t>19/09/2025</t>
  </si>
  <si>
    <t>Sarah Turner Euro</t>
  </si>
  <si>
    <t>Amount paid to Sarah Turner</t>
  </si>
  <si>
    <t>26</t>
  </si>
  <si>
    <t>Kristal Kellock</t>
  </si>
  <si>
    <t>Sepetmber Consulting Services</t>
  </si>
  <si>
    <t>000015</t>
  </si>
  <si>
    <t>Sebastian Bousie GBP</t>
  </si>
  <si>
    <t>22 Days (Day Rate £119.00 p/d) WEEK DAYS</t>
  </si>
  <si>
    <t>8 Days (Day Rate £24.00 p/d) WEEKEND DAYS</t>
  </si>
  <si>
    <t>Sarah Turner Retainer Sep 2025</t>
  </si>
  <si>
    <t>02/10/2025</t>
  </si>
  <si>
    <t>05/10/2025</t>
  </si>
  <si>
    <t>27</t>
  </si>
  <si>
    <t>October Consulting Services</t>
  </si>
  <si>
    <t>16/10/2025</t>
  </si>
  <si>
    <t>Addleisure Ltd - GBP</t>
  </si>
  <si>
    <t>31/10/2025</t>
  </si>
  <si>
    <t>000018</t>
  </si>
  <si>
    <t>23 Days (Day Rate £119.00 p/d) WEEK DAYS</t>
  </si>
  <si>
    <t>8 Days (Day Rate £34.00 p/d) WEEKENDDAYS</t>
  </si>
  <si>
    <t>01/11/2025</t>
  </si>
  <si>
    <t>ST0011</t>
  </si>
  <si>
    <t>Sarah Turner Retainer August 2025</t>
  </si>
  <si>
    <t>04/11/2025</t>
  </si>
  <si>
    <t>1</t>
  </si>
  <si>
    <t>Evelyn Leddy GBP</t>
  </si>
  <si>
    <t>w/c 20th October - 20 hours</t>
  </si>
  <si>
    <t>w/c 27th October - 30 hours</t>
  </si>
  <si>
    <t>PVM Advisory</t>
  </si>
  <si>
    <t>Sent money to PVM Advisory Inc 1.13</t>
  </si>
  <si>
    <t>05/11/2025</t>
  </si>
  <si>
    <t>Sent money to CeraThrive Ltd</t>
  </si>
  <si>
    <t>18/11/2025</t>
  </si>
  <si>
    <t>PVM advisory FTMO OCT</t>
  </si>
  <si>
    <t>Upwork - USD</t>
  </si>
  <si>
    <t>upwork Global Inc.
530 Lytton Avenue, Suite 301
Palo Alto, CA 94301</t>
  </si>
  <si>
    <t>30/11/2025</t>
  </si>
  <si>
    <t>000019</t>
  </si>
  <si>
    <t>21 Days (Day Rate £140.00 p/d) WEEK DAYS</t>
  </si>
  <si>
    <t>10 Days (Day Rate £40.00 p/d) WEEKEND DAYS</t>
  </si>
  <si>
    <t>01/12/2025</t>
  </si>
  <si>
    <t>1/11/2025 - 30/11/2025 (36 hours pw)</t>
  </si>
  <si>
    <t>29/11/2025 (8 hours)</t>
  </si>
  <si>
    <t>0128</t>
  </si>
  <si>
    <t>Marketing &amp; Copywriting Services</t>
  </si>
  <si>
    <t>05/12/2025</t>
  </si>
  <si>
    <t>000021</t>
  </si>
  <si>
    <t>23 Days (Day Rate £140.00 p/d) WEEK DAYS</t>
  </si>
  <si>
    <t>8 Days (Day Rate £40.00 p/d) WEEKEND DAYS</t>
  </si>
  <si>
    <t>21/12/2025</t>
  </si>
  <si>
    <t>22/12/2025</t>
  </si>
  <si>
    <t>ST0014</t>
  </si>
  <si>
    <t>Sarah Turner - GBP</t>
  </si>
  <si>
    <t>Sarah Turner
Retainer Dec 2025</t>
  </si>
  <si>
    <t>23/12/2025</t>
  </si>
  <si>
    <t>29</t>
  </si>
  <si>
    <t>Additional Coaching December</t>
  </si>
  <si>
    <t>31/12/2025</t>
  </si>
  <si>
    <t>3</t>
  </si>
  <si>
    <t>1/12/2025 - 31/12/2025 (36 hours pw
minus 24/12/25 and 31/12/25)</t>
  </si>
  <si>
    <t>Name</t>
  </si>
  <si>
    <t>Amount</t>
  </si>
  <si>
    <t>Date</t>
  </si>
  <si>
    <t>Bill No.</t>
  </si>
  <si>
    <t>Description</t>
  </si>
  <si>
    <t xml:space="preserve">Total </t>
  </si>
  <si>
    <t>NET</t>
  </si>
  <si>
    <t>Legal and Professional Fee</t>
  </si>
  <si>
    <t xml:space="preserve">Cerathrive Global Ltd </t>
  </si>
  <si>
    <t xml:space="preserve">Legal &amp; Professional Expense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</si>
</sst>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2" fillId="0" borderId="1"/>
    <xf numFmtId="0" fontId="2" fillId="0" borderId="0"/>
    <xf numFmtId="0" fontId="2" fillId="0" borderId="2"/>
  </cellStyleXfs>
  <cellXfs count="26">
    <xf numFmtId="0" fontId="0" fillId="0" borderId="0" xfId="0"/>
    <xf numFmtId="0" fontId="3" fillId="0" borderId="1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3" fillId="0" borderId="2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vertical="center" wrapText="1"/>
    </xf>
    <xf numFmtId="4" fontId="1" fillId="3" borderId="4" xfId="0" applyNumberFormat="1" applyFont="1" applyFill="1" applyBorder="1" applyAlignment="1">
      <alignment vertical="center" wrapText="1"/>
    </xf>
    <xf numFmtId="0" fontId="2" fillId="4" borderId="4" xfId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72"/>
  <sheetViews>
    <sheetView showGridLines="0" tabSelected="1" zoomScaleNormal="100" workbookViewId="0"/>
  </sheetViews>
  <sheetFormatPr defaultColWidth="11.25" defaultRowHeight="15" outlineLevelRow="2" x14ac:dyDescent="0.25"/>
  <cols>
    <col min="1" max="1" width="12.5" style="3" customWidth="1"/>
    <col min="2" max="2" width="14.375" style="3" customWidth="1"/>
    <col min="3" max="3" width="9.625" style="3" customWidth="1"/>
    <col min="4" max="4" width="24.125" style="3" customWidth="1"/>
    <col min="5" max="5" width="58.875" style="3" customWidth="1"/>
    <col min="6" max="6" width="16.5" style="3" customWidth="1"/>
    <col min="7" max="16384" width="11.25" style="4"/>
  </cols>
  <sheetData>
    <row r="1" spans="1:6" ht="18.75" customHeight="1" x14ac:dyDescent="0.25">
      <c r="A1" s="16"/>
      <c r="B1" s="16"/>
      <c r="C1" s="16"/>
      <c r="D1" s="16"/>
      <c r="E1" s="16"/>
      <c r="F1" s="16"/>
    </row>
    <row r="2" spans="1:6" ht="46.5" x14ac:dyDescent="0.25">
      <c r="A2" s="11"/>
      <c r="B2" s="24" t="s">
        <v>139</v>
      </c>
      <c r="C2" s="24"/>
      <c r="D2" s="24"/>
      <c r="E2" s="24"/>
      <c r="F2" s="24"/>
    </row>
    <row r="3" spans="1:6" ht="31.5" x14ac:dyDescent="0.25">
      <c r="A3" s="11"/>
      <c r="B3" s="25" t="s">
        <v>140</v>
      </c>
      <c r="C3" s="25"/>
      <c r="D3" s="25"/>
      <c r="E3" s="25"/>
      <c r="F3" s="25"/>
    </row>
    <row r="4" spans="1:6" x14ac:dyDescent="0.25">
      <c r="B4" s="1"/>
      <c r="C4" s="1"/>
      <c r="D4" s="1"/>
      <c r="E4" s="1"/>
      <c r="F4" s="1"/>
    </row>
    <row r="5" spans="1:6" ht="23.25" x14ac:dyDescent="0.25">
      <c r="A5" s="4"/>
      <c r="B5" s="20" t="s">
        <v>138</v>
      </c>
      <c r="C5" s="20"/>
      <c r="D5" s="20"/>
      <c r="E5" s="20"/>
      <c r="F5" s="20"/>
    </row>
    <row r="6" spans="1:6" ht="15.75" x14ac:dyDescent="0.25">
      <c r="A6" s="5"/>
      <c r="B6" s="19" t="s">
        <v>133</v>
      </c>
      <c r="C6" s="19" t="s">
        <v>134</v>
      </c>
      <c r="D6" s="19" t="s">
        <v>131</v>
      </c>
      <c r="E6" s="19" t="s">
        <v>135</v>
      </c>
      <c r="F6" s="19" t="s">
        <v>132</v>
      </c>
    </row>
    <row r="7" spans="1:6" ht="60" outlineLevel="1" x14ac:dyDescent="0.25">
      <c r="B7" s="17" t="s">
        <v>0</v>
      </c>
      <c r="C7" s="17" t="s">
        <v>1</v>
      </c>
      <c r="D7" s="17" t="s">
        <v>2</v>
      </c>
      <c r="E7" s="17" t="s">
        <v>3</v>
      </c>
      <c r="F7" s="18">
        <v>9242.83</v>
      </c>
    </row>
    <row r="8" spans="1:6" ht="12.75" customHeight="1" outlineLevel="1" x14ac:dyDescent="0.25">
      <c r="A8" s="2"/>
      <c r="B8" s="17" t="s">
        <v>4</v>
      </c>
      <c r="C8" s="17" t="s">
        <v>5</v>
      </c>
      <c r="D8" s="17" t="s">
        <v>6</v>
      </c>
      <c r="E8" s="17" t="s">
        <v>7</v>
      </c>
      <c r="F8" s="18">
        <v>52</v>
      </c>
    </row>
    <row r="9" spans="1:6" outlineLevel="1" x14ac:dyDescent="0.25">
      <c r="A9" s="2"/>
      <c r="B9" s="17" t="s">
        <v>8</v>
      </c>
      <c r="C9" s="17" t="s">
        <v>5</v>
      </c>
      <c r="D9" s="17" t="s">
        <v>9</v>
      </c>
      <c r="E9" s="17" t="s">
        <v>10</v>
      </c>
      <c r="F9" s="18">
        <v>1143.3599999999999</v>
      </c>
    </row>
    <row r="10" spans="1:6" ht="75" outlineLevel="1" x14ac:dyDescent="0.25">
      <c r="A10" s="2"/>
      <c r="B10" s="17" t="s">
        <v>11</v>
      </c>
      <c r="C10" s="17" t="s">
        <v>12</v>
      </c>
      <c r="D10" s="17" t="s">
        <v>2</v>
      </c>
      <c r="E10" s="17" t="s">
        <v>13</v>
      </c>
      <c r="F10" s="18">
        <v>186.55</v>
      </c>
    </row>
    <row r="11" spans="1:6" ht="30" outlineLevel="1" x14ac:dyDescent="0.25">
      <c r="A11" s="2"/>
      <c r="B11" s="17" t="s">
        <v>14</v>
      </c>
      <c r="C11" s="17" t="s">
        <v>5</v>
      </c>
      <c r="D11" s="17" t="s">
        <v>15</v>
      </c>
      <c r="E11" s="17" t="s">
        <v>16</v>
      </c>
      <c r="F11" s="18">
        <v>1882.1</v>
      </c>
    </row>
    <row r="12" spans="1:6" outlineLevel="1" x14ac:dyDescent="0.25">
      <c r="A12" s="2"/>
      <c r="B12" s="17" t="s">
        <v>17</v>
      </c>
      <c r="C12" s="17" t="s">
        <v>5</v>
      </c>
      <c r="D12" s="17" t="s">
        <v>18</v>
      </c>
      <c r="E12" s="17" t="s">
        <v>19</v>
      </c>
      <c r="F12" s="18">
        <v>31.08</v>
      </c>
    </row>
    <row r="13" spans="1:6" ht="60" outlineLevel="1" x14ac:dyDescent="0.25">
      <c r="B13" s="17" t="s">
        <v>20</v>
      </c>
      <c r="C13" s="17" t="s">
        <v>21</v>
      </c>
      <c r="D13" s="17" t="s">
        <v>22</v>
      </c>
      <c r="E13" s="17" t="s">
        <v>23</v>
      </c>
      <c r="F13" s="18">
        <v>2016</v>
      </c>
    </row>
    <row r="14" spans="1:6" ht="60" outlineLevel="1" x14ac:dyDescent="0.25">
      <c r="B14" s="17" t="s">
        <v>24</v>
      </c>
      <c r="C14" s="17" t="s">
        <v>25</v>
      </c>
      <c r="D14" s="17" t="s">
        <v>22</v>
      </c>
      <c r="E14" s="17" t="s">
        <v>26</v>
      </c>
      <c r="F14" s="18">
        <v>1946.4</v>
      </c>
    </row>
    <row r="15" spans="1:6" ht="75" outlineLevel="1" x14ac:dyDescent="0.25">
      <c r="B15" s="17" t="s">
        <v>24</v>
      </c>
      <c r="C15" s="17" t="s">
        <v>27</v>
      </c>
      <c r="D15" s="17" t="s">
        <v>22</v>
      </c>
      <c r="E15" s="17" t="s">
        <v>28</v>
      </c>
      <c r="F15" s="18">
        <v>998.4</v>
      </c>
    </row>
    <row r="16" spans="1:6" outlineLevel="1" x14ac:dyDescent="0.25">
      <c r="A16" s="6"/>
      <c r="B16" s="15" t="s">
        <v>136</v>
      </c>
      <c r="C16" s="15"/>
      <c r="D16" s="15"/>
      <c r="E16" s="15"/>
      <c r="F16" s="7">
        <f>F7+F8+F9+F10+F11+F12+F13+F14+F15</f>
        <v>17498.72</v>
      </c>
    </row>
    <row r="17" spans="1:6" outlineLevel="1" x14ac:dyDescent="0.25">
      <c r="A17" s="6"/>
      <c r="F17" s="8"/>
    </row>
    <row r="18" spans="1:6" ht="23.25" customHeight="1" outlineLevel="1" x14ac:dyDescent="0.25">
      <c r="A18" s="4"/>
      <c r="B18" s="21" t="s">
        <v>29</v>
      </c>
      <c r="C18" s="22"/>
      <c r="D18" s="22"/>
      <c r="E18" s="22"/>
      <c r="F18" s="23"/>
    </row>
    <row r="19" spans="1:6" ht="15.75" outlineLevel="1" x14ac:dyDescent="0.25">
      <c r="A19" s="4"/>
      <c r="B19" s="19" t="s">
        <v>133</v>
      </c>
      <c r="C19" s="19" t="s">
        <v>134</v>
      </c>
      <c r="D19" s="19" t="s">
        <v>131</v>
      </c>
      <c r="E19" s="19" t="s">
        <v>135</v>
      </c>
      <c r="F19" s="19" t="s">
        <v>132</v>
      </c>
    </row>
    <row r="20" spans="1:6" outlineLevel="2" x14ac:dyDescent="0.25">
      <c r="A20" s="2"/>
      <c r="B20" s="17" t="s">
        <v>30</v>
      </c>
      <c r="C20" s="17" t="s">
        <v>5</v>
      </c>
      <c r="D20" s="17" t="s">
        <v>31</v>
      </c>
      <c r="E20" s="17" t="s">
        <v>32</v>
      </c>
      <c r="F20" s="18">
        <v>250</v>
      </c>
    </row>
    <row r="21" spans="1:6" ht="12.75" customHeight="1" outlineLevel="2" x14ac:dyDescent="0.25">
      <c r="A21" s="2"/>
      <c r="B21" s="17" t="s">
        <v>30</v>
      </c>
      <c r="C21" s="17" t="s">
        <v>5</v>
      </c>
      <c r="D21" s="17" t="s">
        <v>31</v>
      </c>
      <c r="E21" s="17" t="s">
        <v>32</v>
      </c>
      <c r="F21" s="18">
        <v>250</v>
      </c>
    </row>
    <row r="22" spans="1:6" ht="12.75" customHeight="1" outlineLevel="2" x14ac:dyDescent="0.25">
      <c r="A22" s="2"/>
      <c r="B22" s="17" t="s">
        <v>11</v>
      </c>
      <c r="C22" s="17" t="s">
        <v>5</v>
      </c>
      <c r="D22" s="17" t="s">
        <v>31</v>
      </c>
      <c r="E22" s="17" t="s">
        <v>32</v>
      </c>
      <c r="F22" s="18">
        <v>250</v>
      </c>
    </row>
    <row r="23" spans="1:6" ht="12.75" customHeight="1" outlineLevel="2" x14ac:dyDescent="0.25">
      <c r="A23" s="2"/>
      <c r="B23" s="17" t="s">
        <v>33</v>
      </c>
      <c r="C23" s="17" t="s">
        <v>5</v>
      </c>
      <c r="D23" s="17" t="s">
        <v>31</v>
      </c>
      <c r="E23" s="17" t="s">
        <v>32</v>
      </c>
      <c r="F23" s="18">
        <v>250</v>
      </c>
    </row>
    <row r="24" spans="1:6" outlineLevel="2" x14ac:dyDescent="0.25">
      <c r="A24" s="2"/>
      <c r="B24" s="17" t="s">
        <v>34</v>
      </c>
      <c r="C24" s="17" t="s">
        <v>5</v>
      </c>
      <c r="D24" s="17" t="s">
        <v>31</v>
      </c>
      <c r="E24" s="17" t="s">
        <v>32</v>
      </c>
      <c r="F24" s="18">
        <v>250</v>
      </c>
    </row>
    <row r="25" spans="1:6" ht="18.75" customHeight="1" outlineLevel="1" x14ac:dyDescent="0.25">
      <c r="A25" s="6"/>
      <c r="B25" s="15" t="s">
        <v>136</v>
      </c>
      <c r="C25" s="15"/>
      <c r="D25" s="15"/>
      <c r="E25" s="15"/>
      <c r="F25" s="7">
        <f>F18+F20+F21+F22+F23+F24</f>
        <v>1250</v>
      </c>
    </row>
    <row r="26" spans="1:6" ht="18.75" customHeight="1" outlineLevel="1" x14ac:dyDescent="0.25">
      <c r="A26" s="6"/>
      <c r="F26" s="8"/>
    </row>
    <row r="27" spans="1:6" ht="23.25" outlineLevel="1" x14ac:dyDescent="0.25">
      <c r="A27" s="4"/>
      <c r="B27" s="21" t="s">
        <v>35</v>
      </c>
      <c r="C27" s="22"/>
      <c r="D27" s="22"/>
      <c r="E27" s="22"/>
      <c r="F27" s="23"/>
    </row>
    <row r="28" spans="1:6" ht="15.75" outlineLevel="1" x14ac:dyDescent="0.25">
      <c r="A28" s="4"/>
      <c r="B28" s="19" t="s">
        <v>133</v>
      </c>
      <c r="C28" s="19" t="s">
        <v>134</v>
      </c>
      <c r="D28" s="19" t="s">
        <v>131</v>
      </c>
      <c r="E28" s="19" t="s">
        <v>135</v>
      </c>
      <c r="F28" s="19" t="s">
        <v>132</v>
      </c>
    </row>
    <row r="29" spans="1:6" outlineLevel="2" x14ac:dyDescent="0.25">
      <c r="B29" s="17" t="s">
        <v>36</v>
      </c>
      <c r="C29" s="17" t="s">
        <v>37</v>
      </c>
      <c r="D29" s="17" t="s">
        <v>38</v>
      </c>
      <c r="E29" s="17" t="s">
        <v>39</v>
      </c>
      <c r="F29" s="18">
        <v>4350</v>
      </c>
    </row>
    <row r="30" spans="1:6" outlineLevel="2" x14ac:dyDescent="0.25">
      <c r="B30" s="17" t="s">
        <v>40</v>
      </c>
      <c r="C30" s="17" t="s">
        <v>41</v>
      </c>
      <c r="D30" s="17" t="s">
        <v>42</v>
      </c>
      <c r="E30" s="17" t="s">
        <v>43</v>
      </c>
      <c r="F30" s="18">
        <v>2222.17</v>
      </c>
    </row>
    <row r="31" spans="1:6" outlineLevel="2" x14ac:dyDescent="0.25">
      <c r="B31" s="17" t="s">
        <v>40</v>
      </c>
      <c r="C31" s="17" t="s">
        <v>44</v>
      </c>
      <c r="D31" s="17" t="s">
        <v>45</v>
      </c>
      <c r="E31" s="17" t="s">
        <v>46</v>
      </c>
      <c r="F31" s="18">
        <v>2222.17</v>
      </c>
    </row>
    <row r="32" spans="1:6" ht="12.75" customHeight="1" outlineLevel="2" x14ac:dyDescent="0.25">
      <c r="A32" s="2"/>
      <c r="B32" s="17" t="s">
        <v>47</v>
      </c>
      <c r="C32" s="17" t="s">
        <v>48</v>
      </c>
      <c r="D32" s="17" t="s">
        <v>49</v>
      </c>
      <c r="E32" s="17" t="s">
        <v>50</v>
      </c>
      <c r="F32" s="18">
        <v>2400</v>
      </c>
    </row>
    <row r="33" spans="1:6" ht="12.75" customHeight="1" outlineLevel="2" x14ac:dyDescent="0.25">
      <c r="A33" s="2"/>
      <c r="B33" s="17" t="s">
        <v>51</v>
      </c>
      <c r="C33" s="17" t="s">
        <v>37</v>
      </c>
      <c r="D33" s="17" t="s">
        <v>38</v>
      </c>
      <c r="E33" s="17" t="s">
        <v>52</v>
      </c>
      <c r="F33" s="18">
        <v>4350</v>
      </c>
    </row>
    <row r="34" spans="1:6" ht="12.75" customHeight="1" outlineLevel="2" x14ac:dyDescent="0.25">
      <c r="A34" s="2"/>
      <c r="B34" s="17" t="s">
        <v>53</v>
      </c>
      <c r="C34" s="17" t="s">
        <v>54</v>
      </c>
      <c r="D34" s="17" t="s">
        <v>55</v>
      </c>
      <c r="E34" s="17" t="s">
        <v>56</v>
      </c>
      <c r="F34" s="18">
        <v>2124.15</v>
      </c>
    </row>
    <row r="35" spans="1:6" ht="12.75" customHeight="1" outlineLevel="2" x14ac:dyDescent="0.25">
      <c r="A35" s="2"/>
      <c r="B35" s="17" t="s">
        <v>53</v>
      </c>
      <c r="C35" s="17" t="s">
        <v>57</v>
      </c>
      <c r="D35" s="17" t="s">
        <v>55</v>
      </c>
      <c r="E35" s="17" t="s">
        <v>58</v>
      </c>
      <c r="F35" s="18">
        <v>1062.08</v>
      </c>
    </row>
    <row r="36" spans="1:6" ht="12.75" customHeight="1" outlineLevel="2" x14ac:dyDescent="0.25">
      <c r="A36" s="2"/>
      <c r="B36" s="17" t="s">
        <v>53</v>
      </c>
      <c r="C36" s="17" t="s">
        <v>59</v>
      </c>
      <c r="D36" s="17" t="s">
        <v>55</v>
      </c>
      <c r="E36" s="17" t="s">
        <v>58</v>
      </c>
      <c r="F36" s="18">
        <v>1062.07</v>
      </c>
    </row>
    <row r="37" spans="1:6" ht="12.75" customHeight="1" outlineLevel="2" x14ac:dyDescent="0.25">
      <c r="A37" s="2"/>
      <c r="B37" s="17" t="s">
        <v>60</v>
      </c>
      <c r="C37" s="17" t="s">
        <v>5</v>
      </c>
      <c r="D37" s="17" t="s">
        <v>61</v>
      </c>
      <c r="E37" s="17" t="s">
        <v>62</v>
      </c>
      <c r="F37" s="18">
        <v>32.369999999999997</v>
      </c>
    </row>
    <row r="38" spans="1:6" ht="12.75" customHeight="1" outlineLevel="2" x14ac:dyDescent="0.25">
      <c r="A38" s="2"/>
      <c r="B38" s="17" t="s">
        <v>63</v>
      </c>
      <c r="C38" s="17" t="s">
        <v>5</v>
      </c>
      <c r="D38" s="17" t="s">
        <v>61</v>
      </c>
      <c r="E38" s="17" t="s">
        <v>62</v>
      </c>
      <c r="F38" s="18">
        <v>107.09</v>
      </c>
    </row>
    <row r="39" spans="1:6" ht="12.75" customHeight="1" outlineLevel="2" x14ac:dyDescent="0.25">
      <c r="A39" s="2"/>
      <c r="B39" s="17" t="s">
        <v>64</v>
      </c>
      <c r="C39" s="17" t="s">
        <v>65</v>
      </c>
      <c r="D39" s="17" t="s">
        <v>66</v>
      </c>
      <c r="E39" s="17" t="s">
        <v>67</v>
      </c>
      <c r="F39" s="18">
        <v>3696.08</v>
      </c>
    </row>
    <row r="40" spans="1:6" ht="12.75" customHeight="1" outlineLevel="2" x14ac:dyDescent="0.25">
      <c r="B40" s="17" t="s">
        <v>64</v>
      </c>
      <c r="C40" s="17" t="s">
        <v>68</v>
      </c>
      <c r="D40" s="17" t="s">
        <v>38</v>
      </c>
      <c r="E40" s="17" t="s">
        <v>69</v>
      </c>
      <c r="F40" s="18">
        <v>1492.87</v>
      </c>
    </row>
    <row r="41" spans="1:6" ht="12.75" customHeight="1" outlineLevel="2" x14ac:dyDescent="0.25">
      <c r="B41" s="17" t="s">
        <v>70</v>
      </c>
      <c r="C41" s="17" t="s">
        <v>5</v>
      </c>
      <c r="D41" s="17" t="s">
        <v>71</v>
      </c>
      <c r="E41" s="17" t="s">
        <v>72</v>
      </c>
      <c r="F41" s="18">
        <v>327.92</v>
      </c>
    </row>
    <row r="42" spans="1:6" ht="12.75" customHeight="1" outlineLevel="2" x14ac:dyDescent="0.25">
      <c r="B42" s="17" t="s">
        <v>14</v>
      </c>
      <c r="C42" s="17" t="s">
        <v>73</v>
      </c>
      <c r="D42" s="17" t="s">
        <v>74</v>
      </c>
      <c r="E42" s="17" t="s">
        <v>75</v>
      </c>
      <c r="F42" s="18">
        <v>1108</v>
      </c>
    </row>
    <row r="43" spans="1:6" ht="12.75" customHeight="1" outlineLevel="2" x14ac:dyDescent="0.25">
      <c r="B43" s="17" t="s">
        <v>14</v>
      </c>
      <c r="C43" s="17" t="s">
        <v>76</v>
      </c>
      <c r="D43" s="17" t="s">
        <v>77</v>
      </c>
      <c r="E43" s="17" t="s">
        <v>78</v>
      </c>
      <c r="F43" s="18">
        <v>2618</v>
      </c>
    </row>
    <row r="44" spans="1:6" ht="12.75" customHeight="1" outlineLevel="2" x14ac:dyDescent="0.25">
      <c r="B44" s="17" t="s">
        <v>14</v>
      </c>
      <c r="C44" s="17" t="s">
        <v>76</v>
      </c>
      <c r="D44" s="17" t="s">
        <v>77</v>
      </c>
      <c r="E44" s="17" t="s">
        <v>79</v>
      </c>
      <c r="F44" s="18">
        <v>272</v>
      </c>
    </row>
    <row r="45" spans="1:6" ht="12.75" customHeight="1" outlineLevel="2" x14ac:dyDescent="0.25">
      <c r="B45" s="17" t="s">
        <v>17</v>
      </c>
      <c r="C45" s="17" t="s">
        <v>37</v>
      </c>
      <c r="D45" s="17" t="s">
        <v>38</v>
      </c>
      <c r="E45" s="17" t="s">
        <v>80</v>
      </c>
      <c r="F45" s="18">
        <v>4350</v>
      </c>
    </row>
    <row r="46" spans="1:6" ht="12.75" customHeight="1" outlineLevel="2" x14ac:dyDescent="0.25">
      <c r="B46" s="17" t="s">
        <v>81</v>
      </c>
      <c r="C46" s="17" t="s">
        <v>5</v>
      </c>
      <c r="D46" s="17" t="s">
        <v>66</v>
      </c>
      <c r="E46" s="17" t="s">
        <v>67</v>
      </c>
      <c r="F46" s="18">
        <v>476.59</v>
      </c>
    </row>
    <row r="47" spans="1:6" ht="12.75" customHeight="1" outlineLevel="2" x14ac:dyDescent="0.25">
      <c r="B47" s="17" t="s">
        <v>82</v>
      </c>
      <c r="C47" s="17" t="s">
        <v>83</v>
      </c>
      <c r="D47" s="17" t="s">
        <v>74</v>
      </c>
      <c r="E47" s="17" t="s">
        <v>84</v>
      </c>
      <c r="F47" s="18">
        <v>831</v>
      </c>
    </row>
    <row r="48" spans="1:6" ht="12.75" customHeight="1" outlineLevel="2" x14ac:dyDescent="0.25">
      <c r="B48" s="17" t="s">
        <v>85</v>
      </c>
      <c r="C48" s="17" t="s">
        <v>5</v>
      </c>
      <c r="D48" s="17" t="s">
        <v>86</v>
      </c>
      <c r="E48" s="17" t="s">
        <v>5</v>
      </c>
      <c r="F48" s="18">
        <v>3240</v>
      </c>
    </row>
    <row r="49" spans="2:6" ht="12.75" customHeight="1" outlineLevel="2" x14ac:dyDescent="0.25">
      <c r="B49" s="17" t="s">
        <v>87</v>
      </c>
      <c r="C49" s="17" t="s">
        <v>88</v>
      </c>
      <c r="D49" s="17" t="s">
        <v>49</v>
      </c>
      <c r="E49" s="17" t="s">
        <v>89</v>
      </c>
      <c r="F49" s="18">
        <v>2737</v>
      </c>
    </row>
    <row r="50" spans="2:6" ht="12.75" customHeight="1" outlineLevel="2" x14ac:dyDescent="0.25">
      <c r="B50" s="17" t="s">
        <v>87</v>
      </c>
      <c r="C50" s="17" t="s">
        <v>88</v>
      </c>
      <c r="D50" s="17" t="s">
        <v>49</v>
      </c>
      <c r="E50" s="17" t="s">
        <v>90</v>
      </c>
      <c r="F50" s="18">
        <v>272</v>
      </c>
    </row>
    <row r="51" spans="2:6" ht="12.75" customHeight="1" outlineLevel="2" x14ac:dyDescent="0.25">
      <c r="B51" s="17" t="s">
        <v>91</v>
      </c>
      <c r="C51" s="17" t="s">
        <v>92</v>
      </c>
      <c r="D51" s="17" t="s">
        <v>38</v>
      </c>
      <c r="E51" s="17" t="s">
        <v>93</v>
      </c>
      <c r="F51" s="18">
        <v>4350</v>
      </c>
    </row>
    <row r="52" spans="2:6" ht="12.75" customHeight="1" outlineLevel="2" x14ac:dyDescent="0.25">
      <c r="B52" s="17" t="s">
        <v>94</v>
      </c>
      <c r="C52" s="17" t="s">
        <v>95</v>
      </c>
      <c r="D52" s="17" t="s">
        <v>96</v>
      </c>
      <c r="E52" s="17" t="s">
        <v>97</v>
      </c>
      <c r="F52" s="18">
        <v>260</v>
      </c>
    </row>
    <row r="53" spans="2:6" outlineLevel="2" x14ac:dyDescent="0.25">
      <c r="B53" s="17" t="s">
        <v>94</v>
      </c>
      <c r="C53" s="17" t="s">
        <v>95</v>
      </c>
      <c r="D53" s="17" t="s">
        <v>96</v>
      </c>
      <c r="E53" s="17" t="s">
        <v>98</v>
      </c>
      <c r="F53" s="18">
        <v>390</v>
      </c>
    </row>
    <row r="54" spans="2:6" outlineLevel="2" x14ac:dyDescent="0.25">
      <c r="B54" s="17" t="s">
        <v>94</v>
      </c>
      <c r="C54" s="17" t="s">
        <v>5</v>
      </c>
      <c r="D54" s="17" t="s">
        <v>99</v>
      </c>
      <c r="E54" s="17" t="s">
        <v>100</v>
      </c>
      <c r="F54" s="18">
        <v>-1381.71</v>
      </c>
    </row>
    <row r="55" spans="2:6" outlineLevel="2" x14ac:dyDescent="0.25">
      <c r="B55" s="17" t="s">
        <v>101</v>
      </c>
      <c r="C55" s="17" t="s">
        <v>5</v>
      </c>
      <c r="D55" s="17" t="s">
        <v>38</v>
      </c>
      <c r="E55" s="17" t="s">
        <v>102</v>
      </c>
      <c r="F55" s="18">
        <v>4350</v>
      </c>
    </row>
    <row r="56" spans="2:6" outlineLevel="2" x14ac:dyDescent="0.25">
      <c r="B56" s="17" t="s">
        <v>103</v>
      </c>
      <c r="C56" s="17" t="s">
        <v>5</v>
      </c>
      <c r="D56" s="17" t="s">
        <v>99</v>
      </c>
      <c r="E56" s="17" t="s">
        <v>104</v>
      </c>
      <c r="F56" s="18">
        <v>1368.14</v>
      </c>
    </row>
    <row r="57" spans="2:6" ht="45" outlineLevel="2" x14ac:dyDescent="0.25">
      <c r="B57" s="17" t="s">
        <v>34</v>
      </c>
      <c r="C57" s="17" t="s">
        <v>5</v>
      </c>
      <c r="D57" s="17" t="s">
        <v>105</v>
      </c>
      <c r="E57" s="17" t="s">
        <v>106</v>
      </c>
      <c r="F57" s="18">
        <v>39.65</v>
      </c>
    </row>
    <row r="58" spans="2:6" outlineLevel="2" x14ac:dyDescent="0.25">
      <c r="B58" s="17" t="s">
        <v>107</v>
      </c>
      <c r="C58" s="17" t="s">
        <v>108</v>
      </c>
      <c r="D58" s="17" t="s">
        <v>77</v>
      </c>
      <c r="E58" s="17" t="s">
        <v>109</v>
      </c>
      <c r="F58" s="18">
        <v>2940</v>
      </c>
    </row>
    <row r="59" spans="2:6" outlineLevel="2" x14ac:dyDescent="0.25">
      <c r="B59" s="17" t="s">
        <v>107</v>
      </c>
      <c r="C59" s="17" t="s">
        <v>108</v>
      </c>
      <c r="D59" s="17" t="s">
        <v>77</v>
      </c>
      <c r="E59" s="17" t="s">
        <v>110</v>
      </c>
      <c r="F59" s="18">
        <v>400</v>
      </c>
    </row>
    <row r="60" spans="2:6" outlineLevel="2" x14ac:dyDescent="0.25">
      <c r="B60" s="17" t="s">
        <v>111</v>
      </c>
      <c r="C60" s="17" t="s">
        <v>44</v>
      </c>
      <c r="D60" s="17" t="s">
        <v>96</v>
      </c>
      <c r="E60" s="17" t="s">
        <v>112</v>
      </c>
      <c r="F60" s="18">
        <v>2200</v>
      </c>
    </row>
    <row r="61" spans="2:6" outlineLevel="2" x14ac:dyDescent="0.25">
      <c r="B61" s="17" t="s">
        <v>111</v>
      </c>
      <c r="C61" s="17" t="s">
        <v>44</v>
      </c>
      <c r="D61" s="17" t="s">
        <v>96</v>
      </c>
      <c r="E61" s="17" t="s">
        <v>113</v>
      </c>
      <c r="F61" s="18">
        <v>125</v>
      </c>
    </row>
    <row r="62" spans="2:6" outlineLevel="2" x14ac:dyDescent="0.25">
      <c r="B62" s="17" t="s">
        <v>111</v>
      </c>
      <c r="C62" s="17" t="s">
        <v>114</v>
      </c>
      <c r="D62" s="17" t="s">
        <v>66</v>
      </c>
      <c r="E62" s="17" t="s">
        <v>115</v>
      </c>
      <c r="F62" s="18">
        <v>4651.87</v>
      </c>
    </row>
    <row r="63" spans="2:6" outlineLevel="2" x14ac:dyDescent="0.25">
      <c r="B63" s="17" t="s">
        <v>116</v>
      </c>
      <c r="C63" s="17" t="s">
        <v>117</v>
      </c>
      <c r="D63" s="17" t="s">
        <v>77</v>
      </c>
      <c r="E63" s="17" t="s">
        <v>118</v>
      </c>
      <c r="F63" s="18">
        <v>3220</v>
      </c>
    </row>
    <row r="64" spans="2:6" outlineLevel="2" x14ac:dyDescent="0.25">
      <c r="B64" s="17" t="s">
        <v>116</v>
      </c>
      <c r="C64" s="17" t="s">
        <v>117</v>
      </c>
      <c r="D64" s="17" t="s">
        <v>77</v>
      </c>
      <c r="E64" s="17" t="s">
        <v>119</v>
      </c>
      <c r="F64" s="18">
        <v>320</v>
      </c>
    </row>
    <row r="65" spans="1:6" outlineLevel="2" x14ac:dyDescent="0.25">
      <c r="B65" s="17" t="s">
        <v>120</v>
      </c>
      <c r="C65" s="17" t="s">
        <v>5</v>
      </c>
      <c r="D65" s="17" t="s">
        <v>61</v>
      </c>
      <c r="E65" s="17" t="s">
        <v>62</v>
      </c>
      <c r="F65" s="18">
        <v>323.62</v>
      </c>
    </row>
    <row r="66" spans="1:6" ht="30" outlineLevel="2" x14ac:dyDescent="0.25">
      <c r="B66" s="17" t="s">
        <v>121</v>
      </c>
      <c r="C66" s="17" t="s">
        <v>122</v>
      </c>
      <c r="D66" s="17" t="s">
        <v>123</v>
      </c>
      <c r="E66" s="17" t="s">
        <v>124</v>
      </c>
      <c r="F66" s="18">
        <v>4350</v>
      </c>
    </row>
    <row r="67" spans="1:6" ht="30" outlineLevel="2" x14ac:dyDescent="0.25">
      <c r="B67" s="17" t="s">
        <v>121</v>
      </c>
      <c r="C67" s="17" t="s">
        <v>122</v>
      </c>
      <c r="D67" s="17" t="s">
        <v>123</v>
      </c>
      <c r="E67" s="17" t="s">
        <v>124</v>
      </c>
      <c r="F67" s="18">
        <v>4350</v>
      </c>
    </row>
    <row r="68" spans="1:6" outlineLevel="2" x14ac:dyDescent="0.25">
      <c r="B68" s="17" t="s">
        <v>125</v>
      </c>
      <c r="C68" s="17" t="s">
        <v>126</v>
      </c>
      <c r="D68" s="17" t="s">
        <v>74</v>
      </c>
      <c r="E68" s="17" t="s">
        <v>127</v>
      </c>
      <c r="F68" s="18">
        <v>150</v>
      </c>
    </row>
    <row r="69" spans="1:6" ht="30" outlineLevel="2" x14ac:dyDescent="0.25">
      <c r="B69" s="17" t="s">
        <v>128</v>
      </c>
      <c r="C69" s="17" t="s">
        <v>129</v>
      </c>
      <c r="D69" s="17" t="s">
        <v>96</v>
      </c>
      <c r="E69" s="17" t="s">
        <v>130</v>
      </c>
      <c r="F69" s="18">
        <v>1950</v>
      </c>
    </row>
    <row r="70" spans="1:6" outlineLevel="1" x14ac:dyDescent="0.25">
      <c r="A70" s="5"/>
      <c r="B70" s="15" t="s">
        <v>136</v>
      </c>
      <c r="C70" s="15"/>
      <c r="D70" s="15"/>
      <c r="E70" s="15"/>
      <c r="F70" s="7">
        <f>F27+F29+F30+F31+F32+F33+F34+F35+F36+F37+F38+F39+F40+F41+F42+F43+F44+F45+F46+F47+F48+F49+F50+F51+F52+F53+F54+F55+F56+F57+F58+F59+F60+F61+F62+F63+F64+F65+F66+F67+F68+F69</f>
        <v>75710.13</v>
      </c>
    </row>
    <row r="71" spans="1:6" x14ac:dyDescent="0.25">
      <c r="A71" s="5"/>
      <c r="B71" s="9"/>
      <c r="C71" s="9"/>
      <c r="D71" s="9"/>
      <c r="E71" s="9"/>
      <c r="F71" s="10"/>
    </row>
    <row r="72" spans="1:6" ht="15.75" x14ac:dyDescent="0.25">
      <c r="B72" s="12" t="s">
        <v>137</v>
      </c>
      <c r="C72" s="13"/>
      <c r="D72" s="13"/>
      <c r="E72" s="13"/>
      <c r="F72" s="14">
        <v>94458.849999999991</v>
      </c>
    </row>
  </sheetData>
  <mergeCells count="5">
    <mergeCell ref="B5:F5"/>
    <mergeCell ref="B18:F18"/>
    <mergeCell ref="B27:F27"/>
    <mergeCell ref="B2:F2"/>
    <mergeCell ref="B3:F3"/>
  </mergeCells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Legal&amp;Prof. breakup</vt:lpstr>
      <vt:lpstr>'Legal&amp;Prof. breakup'!Print_Area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Zaryab Ul Hassan</cp:lastModifiedBy>
  <dcterms:created xsi:type="dcterms:W3CDTF">2022-03-24T08:55:57Z</dcterms:created>
  <dcterms:modified xsi:type="dcterms:W3CDTF">2026-02-02T17:26:21Z</dcterms:modified>
  <cp:category/>
</cp:coreProperties>
</file>