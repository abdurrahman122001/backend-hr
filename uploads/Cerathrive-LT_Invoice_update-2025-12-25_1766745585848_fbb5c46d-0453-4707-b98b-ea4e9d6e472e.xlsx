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客户资料\Cerathrive\"/>
    </mc:Choice>
  </mc:AlternateContent>
  <xr:revisionPtr revIDLastSave="0" documentId="13_ncr:1_{5E3C898A-A094-4BE8-AC32-6FE7EDF1E6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erath Mass production invoices" sheetId="1" r:id="rId1"/>
    <sheet name="shipping cost or others" sheetId="2" r:id="rId2"/>
  </sheets>
  <definedNames>
    <definedName name="_xlnm._FilterDatabase" localSheetId="0" hidden="1">'Cerath Mass production invoices'!$A$2:$O$2</definedName>
    <definedName name="_xlnm._FilterDatabase" localSheetId="1" hidden="1">'shipping cost or others'!$A$1:$F$5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<sst xmlns="http://schemas.openxmlformats.org/spreadsheetml/2006/main" count="168" uniqueCount="93">
  <si>
    <t>Cerathrive batch</t>
  </si>
  <si>
    <t>KY order#</t>
  </si>
  <si>
    <t>PO amount</t>
  </si>
  <si>
    <t>Product name</t>
  </si>
  <si>
    <t>20% deposit at start</t>
  </si>
  <si>
    <t>40% net 60 days</t>
  </si>
  <si>
    <t>40% net 90 days</t>
  </si>
  <si>
    <t>Invoice #</t>
  </si>
  <si>
    <t>Amount</t>
  </si>
  <si>
    <t>Status (paid or due date)</t>
  </si>
  <si>
    <t>remark qtys</t>
  </si>
  <si>
    <t>Real ship date实际出货日期</t>
  </si>
  <si>
    <t>Bank</t>
  </si>
  <si>
    <t>batch 001</t>
  </si>
  <si>
    <t>#6499</t>
  </si>
  <si>
    <t>Cerathrive System</t>
  </si>
  <si>
    <t>2024-0002(30% deposit )</t>
  </si>
  <si>
    <t>paid on 12/Jan.2024</t>
  </si>
  <si>
    <t xml:space="preserve">550 units </t>
  </si>
  <si>
    <t>shipped out all before Oct.2024</t>
  </si>
  <si>
    <t>HK bank</t>
  </si>
  <si>
    <t>batch 002</t>
  </si>
  <si>
    <t>due date 2024/8/2</t>
  </si>
  <si>
    <t>due date 2025/2/23</t>
  </si>
  <si>
    <t>due date 2025/3/25</t>
  </si>
  <si>
    <t>550 units</t>
  </si>
  <si>
    <t>LTV balnk</t>
  </si>
  <si>
    <t>batch 003</t>
  </si>
  <si>
    <t>#8603</t>
  </si>
  <si>
    <t>paid on 20/Feb.2025</t>
  </si>
  <si>
    <t>due date 2025/5/30</t>
  </si>
  <si>
    <t>due date 2025/6/30</t>
  </si>
  <si>
    <t>some units already shipped out on Apr., most of them not shipped out yet</t>
  </si>
  <si>
    <t>Total</t>
  </si>
  <si>
    <t>Invoice number</t>
  </si>
  <si>
    <t>Invoice date</t>
  </si>
  <si>
    <t>Desc.</t>
  </si>
  <si>
    <t>Invoice amount</t>
  </si>
  <si>
    <t>Due date</t>
  </si>
  <si>
    <t>Paid date</t>
  </si>
  <si>
    <t>Peter Forhan for CeraThrive at Orlando show</t>
  </si>
  <si>
    <t>not paid</t>
  </si>
  <si>
    <t>IC | CES2024 costs - Cerathrive</t>
  </si>
  <si>
    <t>Biohacker Summit 2024 Sponsorship</t>
  </si>
  <si>
    <t>IC | Participation Amazon movie by lollibrands.com</t>
  </si>
  <si>
    <t>IC | Participation The New Well show Paris 2024</t>
  </si>
  <si>
    <t>Zendesk platform subscription - Customer service  cost(Apr./May/Jun. 2024)</t>
  </si>
  <si>
    <t>Zendesk platform subscription - Customer service - Monthly: $124,66 
Period: 01-07-2024 till 31-07-2024 (1 month)</t>
  </si>
  <si>
    <t>TD-02 ZLD-60BG Cerathrive system consummer testing(CE/FCC/ROHS/UKCA/CA65) costs</t>
  </si>
  <si>
    <t>Zendesk platform subscription - Customer service - Monthly: $124,66 
Period: 01-08-2024 till 31-08-2024 (1 month)</t>
  </si>
  <si>
    <t>IC | Zendesk subscription | August 2024</t>
  </si>
  <si>
    <t>Travel case mold and tooling fee &amp; shipping fee</t>
  </si>
  <si>
    <t>Shipping COST for shelf top stand and free standing unit</t>
  </si>
  <si>
    <t>shipping cost for PO2023002/#7527| 380 units to Miami</t>
  </si>
  <si>
    <t>Shipping fee/2024</t>
  </si>
  <si>
    <t>Monthly App subscription Android/IOS 
Period: 10-01-2025 till 09-02-2025 (1 month)</t>
  </si>
  <si>
    <t>Kayan Wellness festival costs by Kim</t>
  </si>
  <si>
    <t>Monthly App subscription Android/IOS 
Period: 10-02-2025 till 09-03-2025 (1 month)</t>
  </si>
  <si>
    <t>CeraThrive system travel bag tooling cost</t>
  </si>
  <si>
    <t>Monthly App subscription Android/IOS 
Period: 10-03-2025 till 09-04-2025 (1 month)</t>
  </si>
  <si>
    <t>Monthly App subscription Android/IOS 
Period: 10-04-2025 till 09-05-2025 (1 month)</t>
  </si>
  <si>
    <t>Monthly App subscription Android/IOS 
Period: 10-05-2025 till 09-06-2025 (1 month)</t>
  </si>
  <si>
    <t>#7527</t>
    <phoneticPr fontId="6" type="noConversion"/>
  </si>
  <si>
    <t>$18,385 paid , balance of $23,965 waiting to clear,due date 2024/7/8</t>
    <phoneticPr fontId="6" type="noConversion"/>
  </si>
  <si>
    <t>Shipping COST for #6499</t>
    <phoneticPr fontId="6" type="noConversion"/>
  </si>
  <si>
    <t xml:space="preserve">not paid </t>
    <phoneticPr fontId="6" type="noConversion"/>
  </si>
  <si>
    <t xml:space="preserve">HK bank </t>
    <phoneticPr fontId="6" type="noConversion"/>
  </si>
  <si>
    <t xml:space="preserve">	20250381</t>
    <phoneticPr fontId="6" type="noConversion"/>
  </si>
  <si>
    <t>Monthly App subscription Android/IOS 
Period: 10-06-2025 till 09-07-2025 (1 month)</t>
    <phoneticPr fontId="6" type="noConversion"/>
  </si>
  <si>
    <t xml:space="preserve">	20250445</t>
    <phoneticPr fontId="6" type="noConversion"/>
  </si>
  <si>
    <t xml:space="preserve">	20250447</t>
    <phoneticPr fontId="6" type="noConversion"/>
  </si>
  <si>
    <t>Shipping cost| batch 003|LTVG-25-006|#8603 Cerathrive system-160 units boxed and 160 unboxed</t>
    <phoneticPr fontId="6" type="noConversion"/>
  </si>
  <si>
    <t>Cerathrive system free sale certificate for Colombian</t>
    <phoneticPr fontId="6" type="noConversion"/>
  </si>
  <si>
    <t>Monthly App subscription Android/IOS 
Period: 10-07-2025 till 09-08-2025 (1 month)</t>
    <phoneticPr fontId="6" type="noConversion"/>
  </si>
  <si>
    <t>Shipping cost| Batch 003|LTVG-25-006|#8603 Cerathrive system（till 5/Aug.)</t>
    <phoneticPr fontId="6" type="noConversion"/>
  </si>
  <si>
    <t xml:space="preserve">	20250528</t>
    <phoneticPr fontId="6" type="noConversion"/>
  </si>
  <si>
    <t xml:space="preserve">	20250661</t>
    <phoneticPr fontId="6" type="noConversion"/>
  </si>
  <si>
    <t xml:space="preserve">	20740674</t>
    <phoneticPr fontId="6" type="noConversion"/>
  </si>
  <si>
    <t xml:space="preserve">	20740750</t>
    <phoneticPr fontId="6" type="noConversion"/>
  </si>
  <si>
    <t>Monthly App subscription Android/IOS 
Period: 10-08-2025 till 09-09-2025 (1 month)</t>
    <phoneticPr fontId="6" type="noConversion"/>
  </si>
  <si>
    <t>Monthly App subscription Android/IOS 
Period: 10-09-2025 till 09-10-2025 (1 month)</t>
    <phoneticPr fontId="6" type="noConversion"/>
  </si>
  <si>
    <t>Monthly App subscription Android/IOS 
Period: 10-10-2025 till 09-11-2025 (1 month)</t>
    <phoneticPr fontId="6" type="noConversion"/>
  </si>
  <si>
    <t>Monthly App subscription Android/IOS 
Period: 10-11-2025 till 09-12-2025 (1 month)</t>
    <phoneticPr fontId="6" type="noConversion"/>
  </si>
  <si>
    <t>Shipping cost| Batch 003|LTVG-25-006|#8603 Cerathrive system 32 units to UK</t>
    <phoneticPr fontId="6" type="noConversion"/>
  </si>
  <si>
    <t>batch 004</t>
    <phoneticPr fontId="6" type="noConversion"/>
  </si>
  <si>
    <t>#10795</t>
    <phoneticPr fontId="6" type="noConversion"/>
  </si>
  <si>
    <t>paid on 9/Dec.2025</t>
    <phoneticPr fontId="6" type="noConversion"/>
  </si>
  <si>
    <t>Shipping cost| Batch 003| LTVG-25-006|#8603 Cerathrive system 140 units</t>
    <phoneticPr fontId="6" type="noConversion"/>
  </si>
  <si>
    <t>Monthly App subscription Android/IOS 
Period: 10-12-2025 till 09-01-2026 (1 month)</t>
    <phoneticPr fontId="6" type="noConversion"/>
  </si>
  <si>
    <t xml:space="preserve">NL bank </t>
    <phoneticPr fontId="6" type="noConversion"/>
  </si>
  <si>
    <t>2024-0085</t>
    <phoneticPr fontId="6" type="noConversion"/>
  </si>
  <si>
    <t>2024-0078(70% balance before delivery)</t>
    <phoneticPr fontId="6" type="noConversion"/>
  </si>
  <si>
    <t>shipped out all before Oct.2024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</si>
</sst>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US$&quot;#,##0;\-&quot;US$&quot;#,##0"/>
    <numFmt numFmtId="177" formatCode="&quot;US$&quot;#,##0.00;[Red]\-&quot;US$&quot;#,##0.00"/>
    <numFmt numFmtId="178" formatCode="&quot;$&quot;#,##0"/>
    <numFmt numFmtId="179" formatCode="\$#,##0.0_);[Red]\(\$#,##0.0\)"/>
  </numFmts>
  <fonts count="8">
    <font>
      <sz val="11"/>
      <color theme="1"/>
      <name val="等线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177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78" fontId="0" fillId="7" borderId="1" xfId="0" applyNumberForma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177" fontId="0" fillId="7" borderId="1" xfId="0" applyNumberForma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77" fontId="0" fillId="0" borderId="1" xfId="0" applyNumberForma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79" fontId="2" fillId="7" borderId="1" xfId="0" applyNumberFormat="1" applyFont="1" applyFill="1" applyBorder="1" applyAlignment="1">
      <alignment horizontal="left"/>
    </xf>
    <xf numFmtId="178" fontId="0" fillId="0" borderId="1" xfId="0" applyNumberFormat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78" fontId="4" fillId="2" borderId="0" xfId="0" applyNumberFormat="1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178" fontId="0" fillId="4" borderId="2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left" vertical="center"/>
    </xf>
    <xf numFmtId="178" fontId="0" fillId="4" borderId="3" xfId="0" applyNumberFormat="1" applyFill="1" applyBorder="1" applyAlignment="1">
      <alignment horizontal="left" vertical="center"/>
    </xf>
    <xf numFmtId="0" fontId="7" fillId="0" borderId="1" xfId="0" applyFont="1" applyBorder="1" applyAlignment="1">
      <alignment horizontal="left" wrapText="1"/>
    </xf>
    <xf numFmtId="0" fontId="7" fillId="9" borderId="1" xfId="0" applyFont="1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7" fillId="9" borderId="1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5"/>
  <sheetViews>
    <sheetView tabSelected="1" topLeftCell="H1" workbookViewId="0">
      <selection activeCell="K11" sqref="K11"/>
    </sheetView>
  </sheetViews>
  <sheetFormatPr defaultColWidth="9" defaultRowHeight="14"/>
  <cols>
    <col min="1" max="1" width="10.4140625" style="2" customWidth="1"/>
    <col min="2" max="2" width="9" style="15" customWidth="1"/>
    <col min="3" max="3" width="11.75" style="16" customWidth="1"/>
    <col min="4" max="4" width="18" style="16" customWidth="1"/>
    <col min="5" max="6" width="13.6640625" style="2" customWidth="1"/>
    <col min="7" max="7" width="21.58203125" style="2" customWidth="1"/>
    <col min="8" max="8" width="17" style="2" customWidth="1"/>
    <col min="9" max="9" width="15.33203125" style="2" customWidth="1"/>
    <col min="10" max="10" width="22.33203125" style="2" customWidth="1"/>
    <col min="11" max="11" width="13.08203125" style="2" customWidth="1"/>
    <col min="12" max="12" width="14.08203125" style="2" customWidth="1"/>
    <col min="13" max="13" width="25.6640625" style="2" customWidth="1"/>
    <col min="14" max="14" width="11.58203125" style="17" customWidth="1"/>
    <col min="15" max="15" width="26" style="18" customWidth="1"/>
    <col min="16" max="16384" width="9" style="2"/>
  </cols>
  <sheetData>
    <row r="1" spans="1:16">
      <c r="A1" s="41" t="s">
        <v>0</v>
      </c>
      <c r="B1" s="42" t="s">
        <v>1</v>
      </c>
      <c r="C1" s="44" t="s">
        <v>2</v>
      </c>
      <c r="D1" s="42" t="s">
        <v>3</v>
      </c>
      <c r="E1" s="38" t="s">
        <v>4</v>
      </c>
      <c r="F1" s="38"/>
      <c r="G1" s="38"/>
      <c r="H1" s="39" t="s">
        <v>5</v>
      </c>
      <c r="I1" s="39"/>
      <c r="J1" s="39"/>
      <c r="K1" s="40" t="s">
        <v>6</v>
      </c>
      <c r="L1" s="40"/>
      <c r="M1" s="40"/>
    </row>
    <row r="2" spans="1:16" ht="18" customHeight="1">
      <c r="A2" s="41"/>
      <c r="B2" s="43"/>
      <c r="C2" s="45"/>
      <c r="D2" s="43"/>
      <c r="E2" s="19" t="s">
        <v>7</v>
      </c>
      <c r="F2" s="19" t="s">
        <v>8</v>
      </c>
      <c r="G2" s="19" t="s">
        <v>9</v>
      </c>
      <c r="H2" s="20" t="s">
        <v>7</v>
      </c>
      <c r="I2" s="20" t="s">
        <v>8</v>
      </c>
      <c r="J2" s="20" t="s">
        <v>9</v>
      </c>
      <c r="K2" s="35" t="s">
        <v>7</v>
      </c>
      <c r="L2" s="35" t="s">
        <v>8</v>
      </c>
      <c r="M2" s="35" t="s">
        <v>9</v>
      </c>
      <c r="N2" s="17" t="s">
        <v>10</v>
      </c>
      <c r="O2" s="36" t="s">
        <v>11</v>
      </c>
      <c r="P2" s="2" t="s">
        <v>12</v>
      </c>
    </row>
    <row r="3" spans="1:16" ht="50" customHeight="1">
      <c r="A3" s="21" t="s">
        <v>13</v>
      </c>
      <c r="B3" s="22" t="s">
        <v>14</v>
      </c>
      <c r="C3" s="23">
        <v>60500</v>
      </c>
      <c r="D3" s="23" t="s">
        <v>15</v>
      </c>
      <c r="E3" s="24" t="s">
        <v>16</v>
      </c>
      <c r="F3" s="25">
        <v>18150</v>
      </c>
      <c r="G3" s="26" t="s">
        <v>17</v>
      </c>
      <c r="H3" s="46" t="s">
        <v>91</v>
      </c>
      <c r="I3" s="28">
        <v>42350</v>
      </c>
      <c r="J3" s="46" t="s">
        <v>63</v>
      </c>
      <c r="K3" s="46"/>
      <c r="L3" s="28"/>
      <c r="M3" s="6"/>
      <c r="N3" s="17" t="s">
        <v>18</v>
      </c>
      <c r="O3" s="18" t="s">
        <v>19</v>
      </c>
      <c r="P3" s="15" t="s">
        <v>20</v>
      </c>
    </row>
    <row r="4" spans="1:16" ht="25" customHeight="1">
      <c r="A4" s="21" t="s">
        <v>21</v>
      </c>
      <c r="B4" s="22" t="s">
        <v>62</v>
      </c>
      <c r="C4" s="23">
        <v>60500</v>
      </c>
      <c r="D4" s="23" t="s">
        <v>15</v>
      </c>
      <c r="E4" s="27">
        <v>20240321</v>
      </c>
      <c r="F4" s="28">
        <v>12100</v>
      </c>
      <c r="G4" s="29" t="s">
        <v>22</v>
      </c>
      <c r="H4" s="10">
        <v>20240659</v>
      </c>
      <c r="I4" s="28">
        <v>24200</v>
      </c>
      <c r="J4" s="10" t="s">
        <v>23</v>
      </c>
      <c r="K4" s="10">
        <v>20240660</v>
      </c>
      <c r="L4" s="28">
        <v>24200</v>
      </c>
      <c r="M4" s="10" t="s">
        <v>24</v>
      </c>
      <c r="N4" s="17" t="s">
        <v>25</v>
      </c>
      <c r="O4" s="52" t="s">
        <v>92</v>
      </c>
      <c r="P4" s="2" t="s">
        <v>26</v>
      </c>
    </row>
    <row r="5" spans="1:16" ht="25" customHeight="1">
      <c r="A5" s="21" t="s">
        <v>27</v>
      </c>
      <c r="B5" s="22" t="s">
        <v>28</v>
      </c>
      <c r="C5" s="23">
        <v>64100</v>
      </c>
      <c r="D5" s="23" t="s">
        <v>15</v>
      </c>
      <c r="E5" s="24">
        <v>20250121</v>
      </c>
      <c r="F5" s="30">
        <v>12820</v>
      </c>
      <c r="G5" s="26" t="s">
        <v>29</v>
      </c>
      <c r="H5" s="10">
        <v>20250207</v>
      </c>
      <c r="I5" s="28">
        <v>25640</v>
      </c>
      <c r="J5" s="10" t="s">
        <v>30</v>
      </c>
      <c r="K5" s="10">
        <v>20250208</v>
      </c>
      <c r="L5" s="28">
        <v>25640</v>
      </c>
      <c r="M5" s="10" t="s">
        <v>31</v>
      </c>
      <c r="O5" s="18" t="s">
        <v>32</v>
      </c>
      <c r="P5" s="2" t="s">
        <v>26</v>
      </c>
    </row>
    <row r="6" spans="1:16" ht="25" customHeight="1">
      <c r="A6" s="51" t="s">
        <v>84</v>
      </c>
      <c r="B6" s="22" t="s">
        <v>85</v>
      </c>
      <c r="C6" s="23">
        <v>49800</v>
      </c>
      <c r="D6" s="23" t="s">
        <v>15</v>
      </c>
      <c r="E6" s="24">
        <v>20250827</v>
      </c>
      <c r="F6" s="30">
        <v>9960</v>
      </c>
      <c r="G6" s="26" t="s">
        <v>86</v>
      </c>
      <c r="H6" s="10"/>
      <c r="I6" s="10"/>
      <c r="J6" s="10"/>
      <c r="K6" s="10"/>
      <c r="L6" s="28"/>
      <c r="M6" s="10"/>
    </row>
    <row r="7" spans="1:16" ht="25" customHeight="1">
      <c r="A7" s="10"/>
      <c r="B7" s="9"/>
      <c r="C7" s="31"/>
      <c r="D7" s="31"/>
      <c r="E7" s="27"/>
      <c r="F7" s="32"/>
      <c r="G7" s="29"/>
      <c r="H7" s="10"/>
      <c r="I7" s="10"/>
      <c r="J7" s="10"/>
      <c r="K7" s="10"/>
      <c r="L7" s="28"/>
      <c r="M7" s="10"/>
    </row>
    <row r="8" spans="1:16" ht="25" customHeight="1">
      <c r="A8" s="10"/>
      <c r="B8" s="9"/>
      <c r="C8" s="31"/>
      <c r="D8" s="31"/>
      <c r="E8" s="27"/>
      <c r="F8" s="32"/>
      <c r="G8" s="29"/>
      <c r="H8" s="10"/>
      <c r="I8" s="10"/>
      <c r="J8" s="10"/>
      <c r="K8" s="10"/>
      <c r="L8" s="28"/>
      <c r="M8" s="10"/>
    </row>
    <row r="9" spans="1:16">
      <c r="A9" s="10"/>
      <c r="B9" s="9"/>
      <c r="C9" s="31"/>
      <c r="D9" s="31"/>
      <c r="E9" s="6"/>
      <c r="F9" s="10"/>
      <c r="G9" s="10"/>
      <c r="H9" s="10"/>
      <c r="I9" s="10"/>
      <c r="J9" s="10"/>
      <c r="K9" s="10"/>
      <c r="L9" s="28"/>
      <c r="M9" s="10"/>
    </row>
    <row r="10" spans="1:16">
      <c r="A10" s="10"/>
      <c r="B10" s="9"/>
      <c r="C10" s="31"/>
      <c r="D10" s="31"/>
      <c r="E10" s="6"/>
      <c r="F10" s="10"/>
      <c r="G10" s="10"/>
      <c r="H10" s="10"/>
      <c r="I10" s="10"/>
      <c r="J10" s="10"/>
      <c r="K10" s="10"/>
      <c r="L10" s="10"/>
      <c r="M10" s="10"/>
    </row>
    <row r="11" spans="1:16">
      <c r="A11" s="10"/>
      <c r="B11" s="9"/>
      <c r="C11" s="31"/>
      <c r="D11" s="31"/>
      <c r="E11" s="6"/>
      <c r="F11" s="10"/>
      <c r="G11" s="10"/>
      <c r="H11" s="10"/>
      <c r="I11" s="10"/>
      <c r="J11" s="10"/>
      <c r="K11" s="10"/>
      <c r="L11" s="10"/>
      <c r="M11" s="10"/>
    </row>
    <row r="12" spans="1:16">
      <c r="A12" s="10"/>
      <c r="B12" s="9"/>
      <c r="C12" s="31"/>
      <c r="D12" s="31"/>
      <c r="E12" s="10"/>
      <c r="F12" s="10"/>
      <c r="G12" s="10"/>
      <c r="H12" s="10"/>
      <c r="I12" s="10"/>
      <c r="J12" s="10"/>
      <c r="K12" s="10"/>
      <c r="L12" s="10"/>
      <c r="M12" s="10"/>
    </row>
    <row r="13" spans="1:16">
      <c r="A13" s="10"/>
      <c r="B13" s="9"/>
      <c r="C13" s="31"/>
      <c r="D13" s="31"/>
      <c r="E13" s="10"/>
      <c r="F13" s="10"/>
      <c r="G13" s="10"/>
      <c r="H13" s="10"/>
      <c r="I13" s="10"/>
      <c r="J13" s="10"/>
      <c r="K13" s="10"/>
      <c r="L13" s="10"/>
      <c r="M13" s="10"/>
    </row>
    <row r="14" spans="1:16">
      <c r="A14" s="10"/>
      <c r="B14" s="9"/>
      <c r="C14" s="31"/>
      <c r="D14" s="31"/>
      <c r="E14" s="10"/>
      <c r="F14" s="10"/>
      <c r="G14" s="10"/>
      <c r="H14" s="10"/>
      <c r="I14" s="10"/>
      <c r="J14" s="10"/>
      <c r="K14" s="10"/>
      <c r="L14" s="10"/>
      <c r="M14" s="10"/>
    </row>
    <row r="15" spans="1:16" s="14" customFormat="1" ht="21" customHeight="1">
      <c r="A15" s="14" t="s">
        <v>33</v>
      </c>
      <c r="B15" s="33"/>
      <c r="C15" s="34"/>
      <c r="D15" s="34"/>
      <c r="N15" s="37"/>
    </row>
  </sheetData>
  <autoFilter ref="A2:O2" xr:uid="{00000000-0009-0000-0000-000000000000}"/>
  <mergeCells count="7">
    <mergeCell ref="E1:G1"/>
    <mergeCell ref="H1:J1"/>
    <mergeCell ref="K1:M1"/>
    <mergeCell ref="A1:A2"/>
    <mergeCell ref="B1:B2"/>
    <mergeCell ref="C1:C2"/>
    <mergeCell ref="D1:D2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40"/>
  <sheetViews>
    <sheetView workbookViewId="0">
      <selection activeCell="C6" sqref="C6"/>
    </sheetView>
  </sheetViews>
  <sheetFormatPr defaultColWidth="8.9140625" defaultRowHeight="14"/>
  <cols>
    <col min="1" max="1" width="13.33203125" style="2" customWidth="1"/>
    <col min="2" max="2" width="13" style="2" customWidth="1"/>
    <col min="3" max="3" width="35.9140625" style="3" customWidth="1"/>
    <col min="4" max="4" width="14.08203125" style="2" customWidth="1"/>
    <col min="5" max="5" width="16.6640625" style="2" customWidth="1"/>
    <col min="6" max="6" width="10.6640625" style="2" customWidth="1"/>
    <col min="7" max="16384" width="8.9140625" style="2"/>
  </cols>
  <sheetData>
    <row r="1" spans="1:7">
      <c r="A1" s="4" t="s">
        <v>34</v>
      </c>
      <c r="B1" s="4" t="s">
        <v>35</v>
      </c>
      <c r="C1" s="5" t="s">
        <v>36</v>
      </c>
      <c r="D1" s="4" t="s">
        <v>37</v>
      </c>
      <c r="E1" s="4" t="s">
        <v>38</v>
      </c>
      <c r="F1" s="4" t="s">
        <v>39</v>
      </c>
    </row>
    <row r="2" spans="1:7" ht="23.5" customHeight="1">
      <c r="A2" s="47" t="s">
        <v>90</v>
      </c>
      <c r="B2" s="48">
        <v>45560</v>
      </c>
      <c r="C2" s="49" t="s">
        <v>64</v>
      </c>
      <c r="D2" s="8">
        <v>13754</v>
      </c>
      <c r="E2" s="48">
        <v>45567</v>
      </c>
      <c r="F2" s="9" t="s">
        <v>65</v>
      </c>
      <c r="G2" s="50" t="s">
        <v>66</v>
      </c>
    </row>
    <row r="3" spans="1:7" ht="27" customHeight="1">
      <c r="A3" s="6">
        <v>20230138</v>
      </c>
      <c r="B3" s="7">
        <v>45170</v>
      </c>
      <c r="C3" s="6" t="s">
        <v>40</v>
      </c>
      <c r="D3" s="8">
        <v>2768.02</v>
      </c>
      <c r="E3" s="7">
        <v>45177</v>
      </c>
      <c r="F3" s="9" t="s">
        <v>41</v>
      </c>
      <c r="G3" s="50" t="s">
        <v>89</v>
      </c>
    </row>
    <row r="4" spans="1:7" ht="21" customHeight="1">
      <c r="A4" s="10">
        <v>20240025</v>
      </c>
      <c r="B4" s="7">
        <v>45312</v>
      </c>
      <c r="C4" s="6" t="s">
        <v>42</v>
      </c>
      <c r="D4" s="8">
        <v>17059.43</v>
      </c>
      <c r="E4" s="7">
        <v>45319</v>
      </c>
      <c r="F4" s="9" t="s">
        <v>41</v>
      </c>
      <c r="G4" s="50" t="s">
        <v>89</v>
      </c>
    </row>
    <row r="5" spans="1:7" ht="21" customHeight="1">
      <c r="A5" s="10">
        <v>20240055</v>
      </c>
      <c r="B5" s="7">
        <v>45338</v>
      </c>
      <c r="C5" s="6" t="s">
        <v>43</v>
      </c>
      <c r="D5" s="8">
        <v>7450</v>
      </c>
      <c r="E5" s="7">
        <v>45345</v>
      </c>
      <c r="F5" s="9" t="s">
        <v>41</v>
      </c>
      <c r="G5" s="50" t="s">
        <v>89</v>
      </c>
    </row>
    <row r="6" spans="1:7" ht="27" customHeight="1">
      <c r="A6" s="6">
        <v>20240159</v>
      </c>
      <c r="B6" s="7">
        <v>45435</v>
      </c>
      <c r="C6" s="6" t="s">
        <v>44</v>
      </c>
      <c r="D6" s="8">
        <v>11666.66</v>
      </c>
      <c r="E6" s="7">
        <v>45442</v>
      </c>
      <c r="F6" s="9" t="s">
        <v>41</v>
      </c>
      <c r="G6" s="50" t="s">
        <v>89</v>
      </c>
    </row>
    <row r="7" spans="1:7" ht="27" customHeight="1">
      <c r="A7" s="6">
        <v>20240162</v>
      </c>
      <c r="B7" s="7">
        <v>45435</v>
      </c>
      <c r="C7" s="6" t="s">
        <v>45</v>
      </c>
      <c r="D7" s="8">
        <v>3256.75</v>
      </c>
      <c r="E7" s="7">
        <v>45442</v>
      </c>
      <c r="F7" s="9" t="s">
        <v>41</v>
      </c>
      <c r="G7" s="50" t="s">
        <v>89</v>
      </c>
    </row>
    <row r="8" spans="1:7" ht="30.5" customHeight="1">
      <c r="A8" s="6">
        <v>20240260</v>
      </c>
      <c r="B8" s="7">
        <v>45471</v>
      </c>
      <c r="C8" s="6" t="s">
        <v>46</v>
      </c>
      <c r="D8" s="8">
        <v>373.98</v>
      </c>
      <c r="E8" s="7">
        <v>45478</v>
      </c>
      <c r="F8" s="9" t="s">
        <v>41</v>
      </c>
      <c r="G8" s="50" t="s">
        <v>89</v>
      </c>
    </row>
    <row r="9" spans="1:7" ht="27" customHeight="1">
      <c r="A9" s="6">
        <v>20240286</v>
      </c>
      <c r="B9" s="7">
        <v>45483</v>
      </c>
      <c r="C9" s="6" t="s">
        <v>47</v>
      </c>
      <c r="D9" s="8">
        <v>124.66</v>
      </c>
      <c r="E9" s="7">
        <v>45490</v>
      </c>
      <c r="F9" s="9" t="s">
        <v>41</v>
      </c>
      <c r="G9" s="50" t="s">
        <v>89</v>
      </c>
    </row>
    <row r="10" spans="1:7" ht="27" customHeight="1">
      <c r="A10" s="6">
        <v>20240333</v>
      </c>
      <c r="B10" s="7">
        <v>45516</v>
      </c>
      <c r="C10" s="6" t="s">
        <v>48</v>
      </c>
      <c r="D10" s="8">
        <v>12500</v>
      </c>
      <c r="E10" s="7">
        <v>45523</v>
      </c>
      <c r="F10" s="9" t="s">
        <v>41</v>
      </c>
      <c r="G10" s="50" t="s">
        <v>89</v>
      </c>
    </row>
    <row r="11" spans="1:7" ht="27" customHeight="1">
      <c r="A11" s="6">
        <v>20240367</v>
      </c>
      <c r="B11" s="7">
        <v>45527</v>
      </c>
      <c r="C11" s="6" t="s">
        <v>49</v>
      </c>
      <c r="D11" s="8">
        <v>124.66</v>
      </c>
      <c r="E11" s="7">
        <v>45534</v>
      </c>
      <c r="F11" s="9" t="s">
        <v>41</v>
      </c>
      <c r="G11" s="50" t="s">
        <v>89</v>
      </c>
    </row>
    <row r="12" spans="1:7" ht="27" customHeight="1">
      <c r="A12" s="6">
        <v>20240396</v>
      </c>
      <c r="B12" s="7">
        <v>45543</v>
      </c>
      <c r="C12" s="6" t="s">
        <v>50</v>
      </c>
      <c r="D12" s="8">
        <v>165.28</v>
      </c>
      <c r="E12" s="7">
        <v>45550</v>
      </c>
      <c r="F12" s="9" t="s">
        <v>41</v>
      </c>
      <c r="G12" s="50" t="s">
        <v>89</v>
      </c>
    </row>
    <row r="13" spans="1:7" ht="27" customHeight="1">
      <c r="A13" s="6">
        <v>20240451</v>
      </c>
      <c r="B13" s="7">
        <v>45580</v>
      </c>
      <c r="C13" s="6" t="s">
        <v>51</v>
      </c>
      <c r="D13" s="8">
        <v>1345</v>
      </c>
      <c r="E13" s="7">
        <v>45587</v>
      </c>
      <c r="F13" s="9" t="s">
        <v>41</v>
      </c>
      <c r="G13" s="50" t="s">
        <v>89</v>
      </c>
    </row>
    <row r="14" spans="1:7" ht="27" customHeight="1">
      <c r="A14" s="6">
        <v>20240465</v>
      </c>
      <c r="B14" s="7">
        <v>45583</v>
      </c>
      <c r="C14" s="6" t="s">
        <v>52</v>
      </c>
      <c r="D14" s="8">
        <v>140</v>
      </c>
      <c r="E14" s="7">
        <v>45590</v>
      </c>
      <c r="F14" s="9" t="s">
        <v>41</v>
      </c>
      <c r="G14" s="50" t="s">
        <v>89</v>
      </c>
    </row>
    <row r="15" spans="1:7" ht="27" customHeight="1">
      <c r="A15" s="6">
        <v>20240657</v>
      </c>
      <c r="B15" s="7">
        <v>45650</v>
      </c>
      <c r="C15" s="6" t="s">
        <v>53</v>
      </c>
      <c r="D15" s="8">
        <v>5100</v>
      </c>
      <c r="E15" s="7">
        <v>45657</v>
      </c>
      <c r="F15" s="9" t="s">
        <v>41</v>
      </c>
      <c r="G15" s="50" t="s">
        <v>89</v>
      </c>
    </row>
    <row r="16" spans="1:7" ht="22" customHeight="1">
      <c r="A16" s="6">
        <v>20250021</v>
      </c>
      <c r="B16" s="7">
        <v>45660</v>
      </c>
      <c r="C16" s="6" t="s">
        <v>54</v>
      </c>
      <c r="D16" s="8">
        <v>500.5</v>
      </c>
      <c r="E16" s="7">
        <v>45674</v>
      </c>
      <c r="F16" s="9" t="s">
        <v>41</v>
      </c>
      <c r="G16" s="50" t="s">
        <v>89</v>
      </c>
    </row>
    <row r="17" spans="1:7" ht="27" customHeight="1">
      <c r="A17" s="6">
        <v>20250072</v>
      </c>
      <c r="B17" s="7">
        <v>45679</v>
      </c>
      <c r="C17" s="6" t="s">
        <v>55</v>
      </c>
      <c r="D17" s="8">
        <v>299.99</v>
      </c>
      <c r="E17" s="7">
        <v>45686</v>
      </c>
      <c r="F17" s="9" t="s">
        <v>41</v>
      </c>
      <c r="G17" s="50" t="s">
        <v>89</v>
      </c>
    </row>
    <row r="18" spans="1:7" ht="27" customHeight="1">
      <c r="A18" s="6">
        <v>20250085</v>
      </c>
      <c r="B18" s="7">
        <v>45692</v>
      </c>
      <c r="C18" s="6" t="s">
        <v>56</v>
      </c>
      <c r="D18" s="8">
        <v>1169.5899999999999</v>
      </c>
      <c r="E18" s="7">
        <v>45699</v>
      </c>
      <c r="F18" s="9" t="s">
        <v>41</v>
      </c>
      <c r="G18" s="50" t="s">
        <v>89</v>
      </c>
    </row>
    <row r="19" spans="1:7" ht="27" customHeight="1">
      <c r="A19" s="6">
        <v>20250101</v>
      </c>
      <c r="B19" s="7">
        <v>45698</v>
      </c>
      <c r="C19" s="6" t="s">
        <v>57</v>
      </c>
      <c r="D19" s="8">
        <v>299.99</v>
      </c>
      <c r="E19" s="7">
        <v>45705</v>
      </c>
      <c r="F19" s="9" t="s">
        <v>41</v>
      </c>
      <c r="G19" s="50" t="s">
        <v>89</v>
      </c>
    </row>
    <row r="20" spans="1:7" ht="22" customHeight="1">
      <c r="A20" s="6">
        <v>20250134</v>
      </c>
      <c r="B20" s="7">
        <v>45716</v>
      </c>
      <c r="C20" s="6" t="s">
        <v>58</v>
      </c>
      <c r="D20" s="8">
        <v>800</v>
      </c>
      <c r="E20" s="7">
        <v>45723</v>
      </c>
      <c r="F20" s="9" t="s">
        <v>41</v>
      </c>
      <c r="G20" s="50" t="s">
        <v>89</v>
      </c>
    </row>
    <row r="21" spans="1:7" ht="27" customHeight="1">
      <c r="A21" s="6">
        <v>20250174</v>
      </c>
      <c r="B21" s="7">
        <v>45730</v>
      </c>
      <c r="C21" s="6" t="s">
        <v>59</v>
      </c>
      <c r="D21" s="8">
        <v>299.99</v>
      </c>
      <c r="E21" s="7">
        <v>45737</v>
      </c>
      <c r="F21" s="9" t="s">
        <v>41</v>
      </c>
      <c r="G21" s="50" t="s">
        <v>89</v>
      </c>
    </row>
    <row r="22" spans="1:7" ht="27" customHeight="1">
      <c r="A22" s="6">
        <v>20250236</v>
      </c>
      <c r="B22" s="7">
        <v>45762</v>
      </c>
      <c r="C22" s="6" t="s">
        <v>60</v>
      </c>
      <c r="D22" s="8">
        <v>299.99</v>
      </c>
      <c r="E22" s="7">
        <v>45769</v>
      </c>
      <c r="F22" s="9" t="s">
        <v>41</v>
      </c>
      <c r="G22" s="50" t="s">
        <v>89</v>
      </c>
    </row>
    <row r="23" spans="1:7" ht="27" customHeight="1">
      <c r="A23" s="6">
        <v>20250319</v>
      </c>
      <c r="B23" s="7">
        <v>45792</v>
      </c>
      <c r="C23" s="6" t="s">
        <v>61</v>
      </c>
      <c r="D23" s="8">
        <v>299.99</v>
      </c>
      <c r="E23" s="7">
        <v>45799</v>
      </c>
      <c r="F23" s="9" t="s">
        <v>41</v>
      </c>
      <c r="G23" s="50" t="s">
        <v>89</v>
      </c>
    </row>
    <row r="24" spans="1:7" ht="27" customHeight="1">
      <c r="A24" s="46" t="s">
        <v>67</v>
      </c>
      <c r="B24" s="7">
        <v>45818</v>
      </c>
      <c r="C24" s="46" t="s">
        <v>68</v>
      </c>
      <c r="D24" s="8">
        <v>299.99</v>
      </c>
      <c r="E24" s="7">
        <v>45825</v>
      </c>
      <c r="F24" s="9" t="s">
        <v>41</v>
      </c>
      <c r="G24" s="50" t="s">
        <v>89</v>
      </c>
    </row>
    <row r="25" spans="1:7" ht="27" customHeight="1">
      <c r="A25" s="46" t="s">
        <v>69</v>
      </c>
      <c r="B25" s="7">
        <v>45847</v>
      </c>
      <c r="C25" s="46" t="s">
        <v>71</v>
      </c>
      <c r="D25" s="8">
        <v>2830</v>
      </c>
      <c r="E25" s="7">
        <v>45854</v>
      </c>
      <c r="F25" s="9" t="s">
        <v>41</v>
      </c>
      <c r="G25" s="50" t="s">
        <v>89</v>
      </c>
    </row>
    <row r="26" spans="1:7" ht="27" customHeight="1">
      <c r="A26" s="46" t="s">
        <v>70</v>
      </c>
      <c r="B26" s="7">
        <v>45847</v>
      </c>
      <c r="C26" s="46" t="s">
        <v>72</v>
      </c>
      <c r="D26" s="8">
        <v>250</v>
      </c>
      <c r="E26" s="7">
        <v>45854</v>
      </c>
      <c r="F26" s="9" t="s">
        <v>41</v>
      </c>
      <c r="G26" s="50" t="s">
        <v>89</v>
      </c>
    </row>
    <row r="27" spans="1:7" ht="27" customHeight="1">
      <c r="A27" s="6">
        <v>20250461</v>
      </c>
      <c r="B27" s="7">
        <v>45853</v>
      </c>
      <c r="C27" s="46" t="s">
        <v>73</v>
      </c>
      <c r="D27" s="8">
        <v>299.99</v>
      </c>
      <c r="E27" s="7">
        <v>45860</v>
      </c>
      <c r="F27" s="9" t="s">
        <v>41</v>
      </c>
      <c r="G27" s="50" t="s">
        <v>89</v>
      </c>
    </row>
    <row r="28" spans="1:7" ht="27" customHeight="1">
      <c r="A28" s="6">
        <v>20250509</v>
      </c>
      <c r="B28" s="7">
        <v>45874</v>
      </c>
      <c r="C28" s="46" t="s">
        <v>74</v>
      </c>
      <c r="D28" s="8">
        <v>5658</v>
      </c>
      <c r="E28" s="7">
        <v>45881</v>
      </c>
      <c r="F28" s="9" t="s">
        <v>41</v>
      </c>
      <c r="G28" s="50" t="s">
        <v>89</v>
      </c>
    </row>
    <row r="29" spans="1:7" ht="27" customHeight="1">
      <c r="A29" s="46" t="s">
        <v>75</v>
      </c>
      <c r="B29" s="7">
        <v>45881</v>
      </c>
      <c r="C29" s="46" t="s">
        <v>79</v>
      </c>
      <c r="D29" s="8">
        <v>299.99</v>
      </c>
      <c r="E29" s="7">
        <v>45888</v>
      </c>
      <c r="F29" s="9" t="s">
        <v>41</v>
      </c>
      <c r="G29" s="50" t="s">
        <v>89</v>
      </c>
    </row>
    <row r="30" spans="1:7" ht="27" customHeight="1">
      <c r="A30" s="46" t="s">
        <v>76</v>
      </c>
      <c r="B30" s="7">
        <v>45932</v>
      </c>
      <c r="C30" s="46" t="s">
        <v>80</v>
      </c>
      <c r="D30" s="8">
        <v>299.99</v>
      </c>
      <c r="E30" s="7">
        <v>45939</v>
      </c>
      <c r="F30" s="9" t="s">
        <v>41</v>
      </c>
      <c r="G30" s="50" t="s">
        <v>89</v>
      </c>
    </row>
    <row r="31" spans="1:7" ht="27" customHeight="1">
      <c r="A31" s="46" t="s">
        <v>77</v>
      </c>
      <c r="B31" s="7">
        <v>45940</v>
      </c>
      <c r="C31" s="46" t="s">
        <v>81</v>
      </c>
      <c r="D31" s="8">
        <v>299.99</v>
      </c>
      <c r="E31" s="7">
        <v>45947</v>
      </c>
      <c r="F31" s="9" t="s">
        <v>41</v>
      </c>
      <c r="G31" s="50" t="s">
        <v>89</v>
      </c>
    </row>
    <row r="32" spans="1:7" ht="27" customHeight="1">
      <c r="A32" s="46" t="s">
        <v>78</v>
      </c>
      <c r="B32" s="7">
        <v>45960</v>
      </c>
      <c r="C32" s="46" t="s">
        <v>83</v>
      </c>
      <c r="D32" s="8">
        <v>995</v>
      </c>
      <c r="E32" s="7">
        <v>45967</v>
      </c>
      <c r="F32" s="9" t="s">
        <v>41</v>
      </c>
      <c r="G32" s="50" t="s">
        <v>89</v>
      </c>
    </row>
    <row r="33" spans="1:7" ht="27" customHeight="1">
      <c r="A33" s="46">
        <v>20250795</v>
      </c>
      <c r="B33" s="7">
        <v>45976</v>
      </c>
      <c r="C33" s="46" t="s">
        <v>82</v>
      </c>
      <c r="D33" s="8">
        <v>299.99</v>
      </c>
      <c r="E33" s="7">
        <v>45983</v>
      </c>
      <c r="F33" s="9" t="s">
        <v>41</v>
      </c>
      <c r="G33" s="50" t="s">
        <v>89</v>
      </c>
    </row>
    <row r="34" spans="1:7" ht="27" customHeight="1">
      <c r="A34" s="46">
        <v>20250831</v>
      </c>
      <c r="B34" s="7">
        <v>45989</v>
      </c>
      <c r="C34" s="46" t="s">
        <v>87</v>
      </c>
      <c r="D34" s="8">
        <v>830</v>
      </c>
      <c r="E34" s="7">
        <v>45994</v>
      </c>
      <c r="F34" s="9" t="s">
        <v>41</v>
      </c>
      <c r="G34" s="50" t="s">
        <v>89</v>
      </c>
    </row>
    <row r="35" spans="1:7" ht="27" customHeight="1">
      <c r="A35" s="46">
        <v>20250901</v>
      </c>
      <c r="B35" s="7">
        <v>46006</v>
      </c>
      <c r="C35" s="46" t="s">
        <v>88</v>
      </c>
      <c r="D35" s="8">
        <v>299.99</v>
      </c>
      <c r="E35" s="7">
        <v>46013</v>
      </c>
      <c r="F35" s="9" t="s">
        <v>41</v>
      </c>
      <c r="G35" s="50" t="s">
        <v>89</v>
      </c>
    </row>
    <row r="36" spans="1:7" ht="27" customHeight="1">
      <c r="A36" s="46"/>
      <c r="B36" s="7"/>
      <c r="C36" s="46"/>
      <c r="D36" s="8"/>
      <c r="E36" s="7"/>
      <c r="F36" s="9"/>
    </row>
    <row r="37" spans="1:7" ht="27" customHeight="1">
      <c r="A37" s="46"/>
      <c r="B37" s="7"/>
      <c r="C37" s="46"/>
      <c r="D37" s="8"/>
      <c r="E37" s="7"/>
      <c r="F37" s="9"/>
    </row>
    <row r="38" spans="1:7" ht="27" customHeight="1">
      <c r="A38" s="6"/>
      <c r="B38" s="7"/>
      <c r="C38" s="6"/>
      <c r="D38" s="8"/>
      <c r="E38" s="7"/>
      <c r="F38" s="9"/>
    </row>
    <row r="39" spans="1:7" ht="27" customHeight="1">
      <c r="A39" s="10"/>
      <c r="B39" s="10"/>
      <c r="C39" s="6"/>
      <c r="D39" s="10"/>
      <c r="E39" s="10"/>
      <c r="F39" s="10"/>
    </row>
    <row r="40" spans="1:7" s="1" customFormat="1" ht="25" customHeight="1">
      <c r="A40" s="11" t="s">
        <v>33</v>
      </c>
      <c r="B40" s="11"/>
      <c r="C40" s="12"/>
      <c r="D40" s="13">
        <f>SUM(D2:D39)</f>
        <v>92461.410000000062</v>
      </c>
      <c r="E40" s="11"/>
      <c r="F40" s="11"/>
    </row>
  </sheetData>
  <autoFilter ref="A1:F5" xr:uid="{00000000-0009-0000-0000-000001000000}"/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Cerath Mass production invoices</vt:lpstr>
      <vt:lpstr>shipping cost or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Zhu</dc:creator>
  <cp:lastModifiedBy>Shiny He</cp:lastModifiedBy>
  <dcterms:created xsi:type="dcterms:W3CDTF">2024-07-08T21:12:00Z</dcterms:created>
  <dcterms:modified xsi:type="dcterms:W3CDTF">2025-12-25T10:07:23Z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5F17401A521848609D93476B985515E1</vt:lpwstr>
  </property>
  <property fmtid="{D5CDD505-2E9C-101B-9397-08002B2CF9AE}" pid="3" name="KSOProductBuildVer">
    <vt:lpwstr>2052-11.8.2.12195</vt:lpwstr>
  </property>
</Properties>
</file>