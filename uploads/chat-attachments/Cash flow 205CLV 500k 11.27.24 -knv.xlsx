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 Cash Flow Annual" sheetId="1" r:id="rId4"/>
    <sheet state="visible" name="P&amp;L Cash Flow Monthly" sheetId="2" r:id="rId5"/>
    <sheet state="visible" name="Rev 2" sheetId="3" r:id="rId6"/>
    <sheet state="visible" name="COGS" sheetId="4" r:id="rId7"/>
    <sheet state="visible" name="Expenses 2" sheetId="5" r:id="rId8"/>
    <sheet state="visible" name="Overhead" sheetId="6" r:id="rId9"/>
    <sheet state="visible" name="Taxes" sheetId="7" r:id="rId10"/>
    <sheet state="visible" name="Graph" sheetId="8" r:id="rId11"/>
    <sheet state="visible" name="Facility cost" sheetId="9" r:id="rId12"/>
    <sheet state="visible" name="Notes" sheetId="10" r:id="rId13"/>
    <sheet state="hidden" name="Up front costs" sheetId="11" r:id="rId14"/>
    <sheet state="hidden" name="CAC" sheetId="12" r:id="rId15"/>
    <sheet state="hidden" name="Capital" sheetId="13" r:id="rId16"/>
    <sheet state="hidden" name="Cash flow" sheetId="14" r:id="rId17"/>
    <sheet state="hidden" name="Brand Ambassisdors " sheetId="15" r:id="rId18"/>
    <sheet state="hidden" name="Cost of bar break down" sheetId="16" r:id="rId19"/>
    <sheet state="hidden" name="EOS" sheetId="17" r:id="rId20"/>
    <sheet state="hidden" name="Marketing expenses " sheetId="18" r:id="rId21"/>
  </sheets>
  <definedNames/>
  <calcPr/>
  <extLst>
    <ext uri="GoogleSheetsCustomDataVersion2">
      <go:sheetsCustomData xmlns:go="http://customooxmlschemas.google.com/" r:id="rId22" roundtripDataChecksum="9bjpO4m2E7GnkFmRt0e2LTigxmeAzr8mEn9ZkKkjHM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G46">
      <text>
        <t xml:space="preserve">======
ID#AAAAfr8fSBs
Matthew DeMaio    (2022-09-07 14:26:20)
Second Manufacturing facility increase capacity</t>
      </text>
    </comment>
    <comment authorId="0" ref="BG61">
      <text>
        <t xml:space="preserve">======
ID#AAAAfr8fSBU
Matthew DeMaio    (2022-09-07 14:06:38)
Second manufacturing facility Construction</t>
      </text>
    </comment>
    <comment authorId="0" ref="AM46">
      <text>
        <t xml:space="preserve">======
ID#AAAAfr8fSBM
Matthew DeMaio    (2022-09-07 14:00:21)
Increase rent for New facility</t>
      </text>
    </comment>
  </commentList>
  <extLst>
    <ext uri="GoogleSheetsCustomDataVersion2">
      <go:sheetsCustomData xmlns:go="http://customooxmlschemas.google.com/" r:id="rId1" roundtripDataSignature="AMtx7mhdErDIn6z2jpyKOqMF6XbdQhrKkg=="/>
    </ext>
  </extLst>
</comments>
</file>

<file path=xl/sharedStrings.xml><?xml version="1.0" encoding="utf-8"?>
<sst xmlns="http://schemas.openxmlformats.org/spreadsheetml/2006/main" count="490" uniqueCount="395">
  <si>
    <t>Condition One</t>
  </si>
  <si>
    <t>Cash Flow Annual</t>
  </si>
  <si>
    <t>Sales</t>
  </si>
  <si>
    <t xml:space="preserve">  Gyms</t>
  </si>
  <si>
    <t xml:space="preserve">  E-commerce</t>
  </si>
  <si>
    <t>Cost of goods sold</t>
  </si>
  <si>
    <t>Gross margin</t>
  </si>
  <si>
    <t>Expenses (see tab for detail)</t>
  </si>
  <si>
    <t xml:space="preserve">Net income/EBITDA </t>
  </si>
  <si>
    <t>Adjustments to convert net income to cash flow</t>
  </si>
  <si>
    <t xml:space="preserve">  COGS</t>
  </si>
  <si>
    <t xml:space="preserve">  Payment for COGS</t>
  </si>
  <si>
    <t xml:space="preserve">  Marketing ad spend</t>
  </si>
  <si>
    <t xml:space="preserve">  Payment for Marketing ad spend</t>
  </si>
  <si>
    <t xml:space="preserve">  Initial up front costs</t>
  </si>
  <si>
    <t xml:space="preserve">  Tax distribution</t>
  </si>
  <si>
    <t xml:space="preserve">  Capital investment </t>
  </si>
  <si>
    <t>Annual cash flow</t>
  </si>
  <si>
    <t>Cash beginning of year</t>
  </si>
  <si>
    <t>Cash end of year</t>
  </si>
  <si>
    <t>Gross Profit %</t>
  </si>
  <si>
    <t>Net Profit %</t>
  </si>
  <si>
    <t>Cash Flow Monthly</t>
  </si>
  <si>
    <t xml:space="preserve"> </t>
  </si>
  <si>
    <t>Note 1</t>
  </si>
  <si>
    <t>Monthly cash flow</t>
  </si>
  <si>
    <t>Cash beginning of month</t>
  </si>
  <si>
    <t>Cash end of month</t>
  </si>
  <si>
    <t>I</t>
  </si>
  <si>
    <t>March</t>
  </si>
  <si>
    <t>April</t>
  </si>
  <si>
    <t>May</t>
  </si>
  <si>
    <t>June</t>
  </si>
  <si>
    <t>July</t>
  </si>
  <si>
    <t>August</t>
  </si>
  <si>
    <t>Spetember</t>
  </si>
  <si>
    <t>October</t>
  </si>
  <si>
    <t xml:space="preserve">Novemeber </t>
  </si>
  <si>
    <t xml:space="preserve">December </t>
  </si>
  <si>
    <t>January</t>
  </si>
  <si>
    <t>February</t>
  </si>
  <si>
    <t>Effect on gross sales by increasing sales over base  selling procew per bar</t>
  </si>
  <si>
    <t>E-Commerce Revenue</t>
  </si>
  <si>
    <t>Number of customers added</t>
  </si>
  <si>
    <t>Ecommcer rev</t>
  </si>
  <si>
    <t>Bars sold</t>
  </si>
  <si>
    <t xml:space="preserve">Total Bars Sold per month </t>
  </si>
  <si>
    <t xml:space="preserve">Total Gross Revenue per month. </t>
  </si>
  <si>
    <t>% sales</t>
  </si>
  <si>
    <t>Base selling price</t>
  </si>
  <si>
    <t>Higher selling price</t>
  </si>
  <si>
    <t>New weighted average selling price</t>
  </si>
  <si>
    <t>Adjustment to selling proce</t>
  </si>
  <si>
    <t xml:space="preserve"> ECOMM Figures </t>
  </si>
  <si>
    <t>Price per bar</t>
  </si>
  <si>
    <t xml:space="preserve">Bars per $1 of sales </t>
  </si>
  <si>
    <t xml:space="preserve">GYMs figures </t>
  </si>
  <si>
    <t>Whole sale price per bar</t>
  </si>
  <si>
    <t xml:space="preserve">Bars per minum order </t>
  </si>
  <si>
    <t xml:space="preserve">Minum gym order value </t>
  </si>
  <si>
    <t xml:space="preserve">Cost to Acquire customer </t>
  </si>
  <si>
    <t>Cost to aquire gym</t>
  </si>
  <si>
    <t xml:space="preserve">Total gyms </t>
  </si>
  <si>
    <t>Gym attrition rate per year</t>
  </si>
  <si>
    <t>New customers</t>
  </si>
  <si>
    <t>Total active customers</t>
  </si>
  <si>
    <t># years</t>
  </si>
  <si>
    <t>% new customers</t>
  </si>
  <si>
    <t># months</t>
  </si>
  <si>
    <t>Total LT value</t>
  </si>
  <si>
    <t>Monthly LT value</t>
  </si>
  <si>
    <t>wieghted average</t>
  </si>
  <si>
    <t>Values for each new customers</t>
  </si>
  <si>
    <t>First months sales new customers</t>
  </si>
  <si>
    <t>Social media account manager</t>
  </si>
  <si>
    <t>From</t>
  </si>
  <si>
    <t>Returning Customers</t>
  </si>
  <si>
    <t>Sales for customers &lt; 1 year customers</t>
  </si>
  <si>
    <t>Sales for customers &gt; 1 &lt; 2 year customers</t>
  </si>
  <si>
    <t>Sales for customers &gt; 2 &lt;3 year customers</t>
  </si>
  <si>
    <t>Sales for customers &gt; 3 &lt;4 year customers</t>
  </si>
  <si>
    <t>Total sales</t>
  </si>
  <si>
    <t>COGS Projections</t>
  </si>
  <si>
    <t>Labor &amp; Fullment cost per bar</t>
  </si>
  <si>
    <t>Ingredients and packging cost per bar</t>
  </si>
  <si>
    <t>total cost per bar</t>
  </si>
  <si>
    <t>For sales in month</t>
  </si>
  <si>
    <t>Produced third month prior to sale</t>
  </si>
  <si>
    <t>Ingredietns Purchase three months forward</t>
  </si>
  <si>
    <t># bars produced</t>
  </si>
  <si>
    <t>Additional production month 1</t>
  </si>
  <si>
    <t># bars to be sold months 1 and 2</t>
  </si>
  <si>
    <t>Cost per bar</t>
  </si>
  <si>
    <t>Cost of inventory on hand</t>
  </si>
  <si>
    <t>Additional production costs for first</t>
  </si>
  <si>
    <t xml:space="preserve">  two months sales</t>
  </si>
  <si>
    <t xml:space="preserve">economy of scale </t>
  </si>
  <si>
    <t>%30 reduction</t>
  </si>
  <si>
    <t>Bar cost break down per bar</t>
  </si>
  <si>
    <t>ingredients</t>
  </si>
  <si>
    <t xml:space="preserve">flow wrap and label </t>
  </si>
  <si>
    <t xml:space="preserve">display box </t>
  </si>
  <si>
    <t>Shipper box</t>
  </si>
  <si>
    <t>total material cost per bar</t>
  </si>
  <si>
    <t>Expense Projections</t>
  </si>
  <si>
    <t>Expense</t>
  </si>
  <si>
    <t>Salaries</t>
  </si>
  <si>
    <t xml:space="preserve">  Executive</t>
  </si>
  <si>
    <t xml:space="preserve">    COO</t>
  </si>
  <si>
    <t xml:space="preserve">    CFO</t>
  </si>
  <si>
    <t xml:space="preserve">  Sales</t>
  </si>
  <si>
    <t xml:space="preserve">    Director</t>
  </si>
  <si>
    <t xml:space="preserve">    Sales representive </t>
  </si>
  <si>
    <t xml:space="preserve">  Marketing</t>
  </si>
  <si>
    <t xml:space="preserve">    SEO manager</t>
  </si>
  <si>
    <t xml:space="preserve">    Social media manager</t>
  </si>
  <si>
    <t xml:space="preserve">    Tier 1 customer support</t>
  </si>
  <si>
    <t>Marketing expenses</t>
  </si>
  <si>
    <t xml:space="preserve">  Content creation</t>
  </si>
  <si>
    <t xml:space="preserve">  Marketing at spend</t>
  </si>
  <si>
    <t xml:space="preserve">    Instagram</t>
  </si>
  <si>
    <t xml:space="preserve">    Facebook</t>
  </si>
  <si>
    <t xml:space="preserve">    TikTok</t>
  </si>
  <si>
    <t xml:space="preserve">    Brand Ambassador</t>
  </si>
  <si>
    <t xml:space="preserve">  Operations</t>
  </si>
  <si>
    <t xml:space="preserve">    Website maintenance and design</t>
  </si>
  <si>
    <t xml:space="preserve">    Website hosting</t>
  </si>
  <si>
    <t xml:space="preserve">    Website utility and operations platform</t>
  </si>
  <si>
    <t xml:space="preserve">  Marketing events and sponsorships</t>
  </si>
  <si>
    <t xml:space="preserve">  Public relations</t>
  </si>
  <si>
    <t>Selling and G&amp;A expenses</t>
  </si>
  <si>
    <t xml:space="preserve">  Salaries</t>
  </si>
  <si>
    <t xml:space="preserve">    Officer, administration and customer service</t>
  </si>
  <si>
    <t xml:space="preserve">  Credit card processing fees</t>
  </si>
  <si>
    <t xml:space="preserve">  Warehousing</t>
  </si>
  <si>
    <t xml:space="preserve">  E-commerce platform (ie Shopify)</t>
  </si>
  <si>
    <t xml:space="preserve">  Rent</t>
  </si>
  <si>
    <t xml:space="preserve">  Utilities</t>
  </si>
  <si>
    <t xml:space="preserve">  Internet, cable and phone</t>
  </si>
  <si>
    <t xml:space="preserve">  Computer</t>
  </si>
  <si>
    <t xml:space="preserve">  Insurance</t>
  </si>
  <si>
    <t xml:space="preserve">  Travel</t>
  </si>
  <si>
    <t xml:space="preserve">  Accounting</t>
  </si>
  <si>
    <t xml:space="preserve">  Legal</t>
  </si>
  <si>
    <t xml:space="preserve">  5% donation to veteran non-profits</t>
  </si>
  <si>
    <t xml:space="preserve">  Miscellaneous</t>
  </si>
  <si>
    <t>Research and development</t>
  </si>
  <si>
    <t xml:space="preserve">  Food and product development</t>
  </si>
  <si>
    <t>Capital expenses</t>
  </si>
  <si>
    <t xml:space="preserve">  Manfacturing equipment</t>
  </si>
  <si>
    <t xml:space="preserve">  Website maintance &amp; Design </t>
  </si>
  <si>
    <t xml:space="preserve">  Marketing director </t>
  </si>
  <si>
    <t xml:space="preserve">  SEO manager </t>
  </si>
  <si>
    <t xml:space="preserve">  Executive salary</t>
  </si>
  <si>
    <t xml:space="preserve">  Social Media Manager (Kyle)</t>
  </si>
  <si>
    <t xml:space="preserve">  Food &amp; Product Development </t>
  </si>
  <si>
    <t xml:space="preserve">  Internet cable and Phone service </t>
  </si>
  <si>
    <t xml:space="preserve">  Shopify</t>
  </si>
  <si>
    <t xml:space="preserve">  Office, administration and customer serivce </t>
  </si>
  <si>
    <t xml:space="preserve">  Sales director</t>
  </si>
  <si>
    <t xml:space="preserve">  Sales representatives</t>
  </si>
  <si>
    <t>Web untiliy &amp; anayltics platforms (netsuit</t>
  </si>
  <si>
    <t xml:space="preserve">  Brand ambassadors </t>
  </si>
  <si>
    <r>
      <rPr>
        <rFont val="Arial"/>
        <color theme="1"/>
        <sz val="10.0"/>
      </rPr>
      <t xml:space="preserve">  Monthly Marketing Ad Spend</t>
    </r>
    <r>
      <rPr>
        <rFont val="Arial"/>
        <b/>
        <color rgb="FFFF0000"/>
        <sz val="10.0"/>
      </rPr>
      <t xml:space="preserve"> </t>
    </r>
  </si>
  <si>
    <t xml:space="preserve">  Computer expense</t>
  </si>
  <si>
    <t xml:space="preserve">  Processing fee based 4% month Rev </t>
  </si>
  <si>
    <t xml:space="preserve">  5% Donations to Veteran Non Profits </t>
  </si>
  <si>
    <t xml:space="preserve">  PR</t>
  </si>
  <si>
    <t xml:space="preserve">  Manufacturing Equipment </t>
  </si>
  <si>
    <t>Total monthly expense (Includes fixed expenses)</t>
  </si>
  <si>
    <t xml:space="preserve">Fixed monthly expenses </t>
  </si>
  <si>
    <t xml:space="preserve">Sales representatives for gym sales </t>
  </si>
  <si>
    <t xml:space="preserve">  # representatives</t>
  </si>
  <si>
    <t xml:space="preserve">  Base pay per representative</t>
  </si>
  <si>
    <t xml:space="preserve">  Commission for each representative</t>
  </si>
  <si>
    <t xml:space="preserve">  Sales per month</t>
  </si>
  <si>
    <t xml:space="preserve">  Total compensation per representative</t>
  </si>
  <si>
    <t>Overhead Projections</t>
  </si>
  <si>
    <t>Monthly Overhead</t>
  </si>
  <si>
    <t xml:space="preserve">Internet cable and Phone service </t>
  </si>
  <si>
    <t>x</t>
  </si>
  <si>
    <t>Insurance</t>
  </si>
  <si>
    <t>Warehousing</t>
  </si>
  <si>
    <t>Food</t>
  </si>
  <si>
    <t xml:space="preserve">Website hosting </t>
  </si>
  <si>
    <t>ADOBE</t>
  </si>
  <si>
    <t xml:space="preserve">Quickbooks </t>
  </si>
  <si>
    <t>SUShio</t>
  </si>
  <si>
    <t>RENT</t>
  </si>
  <si>
    <t>credit card</t>
  </si>
  <si>
    <t>Shipstation (shipping platform)</t>
  </si>
  <si>
    <t>GYM</t>
  </si>
  <si>
    <t>Shopify (web plaform)</t>
  </si>
  <si>
    <t>Square (payment processing)</t>
  </si>
  <si>
    <t>HW St john</t>
  </si>
  <si>
    <t>GAS</t>
  </si>
  <si>
    <t>Google Adwords</t>
  </si>
  <si>
    <t>Refersion (ambassador tracking)</t>
  </si>
  <si>
    <t>KUdo (site review plug in)</t>
  </si>
  <si>
    <t xml:space="preserve"> ingredient storage cost </t>
  </si>
  <si>
    <t>Buffer</t>
  </si>
  <si>
    <t>Zendesk (web tracking)</t>
  </si>
  <si>
    <t>Use</t>
  </si>
  <si>
    <t>Utilities</t>
  </si>
  <si>
    <t>Payroll</t>
  </si>
  <si>
    <t>Delivery</t>
  </si>
  <si>
    <t>Advertising</t>
  </si>
  <si>
    <t>Postage/fedx</t>
  </si>
  <si>
    <t>Office supplies</t>
  </si>
  <si>
    <t>Office cleaning</t>
  </si>
  <si>
    <t>Computer expense</t>
  </si>
  <si>
    <t>Accounting</t>
  </si>
  <si>
    <t>Legal</t>
  </si>
  <si>
    <t>Bank fees</t>
  </si>
  <si>
    <t>Taxes</t>
  </si>
  <si>
    <t>Waste</t>
  </si>
  <si>
    <t>Net income</t>
  </si>
  <si>
    <t>Cummulative net income</t>
  </si>
  <si>
    <t>Tax rate</t>
  </si>
  <si>
    <t>Tax</t>
  </si>
  <si>
    <t>Cummulative tax</t>
  </si>
  <si>
    <t>Previous cummulative tax</t>
  </si>
  <si>
    <t>Current period tax</t>
  </si>
  <si>
    <t>Tax distribution</t>
  </si>
  <si>
    <t xml:space="preserve">Food Production equipment </t>
  </si>
  <si>
    <t xml:space="preserve">Cost </t>
  </si>
  <si>
    <t>Bars per hour</t>
  </si>
  <si>
    <t xml:space="preserve">Food tools Granola Press </t>
  </si>
  <si>
    <t>Unifiller Depositor</t>
  </si>
  <si>
    <t>Bakery and Food Grade Conveyors</t>
  </si>
  <si>
    <t>Tumble Mixer</t>
  </si>
  <si>
    <t xml:space="preserve">Food tools sonic cutter </t>
  </si>
  <si>
    <t xml:space="preserve">Industrail double rack convection oven </t>
  </si>
  <si>
    <t xml:space="preserve">hobart mixer </t>
  </si>
  <si>
    <t xml:space="preserve">Kettle mixer </t>
  </si>
  <si>
    <t xml:space="preserve">Sheet, trayes, tools, misc </t>
  </si>
  <si>
    <t xml:space="preserve">total </t>
  </si>
  <si>
    <t>Order fullfiment equipment</t>
  </si>
  <si>
    <t>Boxes per min</t>
  </si>
  <si>
    <t xml:space="preserve">Computers, printers, etc </t>
  </si>
  <si>
    <t>High speed thermal lable maker</t>
  </si>
  <si>
    <t xml:space="preserve">Little David box maker and sealer </t>
  </si>
  <si>
    <t xml:space="preserve">Roller converyers </t>
  </si>
  <si>
    <t>Misc</t>
  </si>
  <si>
    <t xml:space="preserve">Warhousing </t>
  </si>
  <si>
    <t xml:space="preserve">Forklift </t>
  </si>
  <si>
    <t xml:space="preserve">Shelving </t>
  </si>
  <si>
    <t xml:space="preserve">Misc </t>
  </si>
  <si>
    <t xml:space="preserve">Total </t>
  </si>
  <si>
    <t xml:space="preserve">Facilty renovation </t>
  </si>
  <si>
    <t xml:space="preserve">Nuemacitc air system </t>
  </si>
  <si>
    <t xml:space="preserve">Renvoations </t>
  </si>
  <si>
    <t>Total</t>
  </si>
  <si>
    <t xml:space="preserve">Entire facitly build out </t>
  </si>
  <si>
    <t>Note #</t>
  </si>
  <si>
    <t>Up front costs</t>
  </si>
  <si>
    <t xml:space="preserve">Landing pages </t>
  </si>
  <si>
    <t>Video</t>
  </si>
  <si>
    <t xml:space="preserve">Editing </t>
  </si>
  <si>
    <t>Face book ads A&amp;B testing</t>
  </si>
  <si>
    <t xml:space="preserve">New flavors </t>
  </si>
  <si>
    <t xml:space="preserve">Website optmization </t>
  </si>
  <si>
    <t>Total up front cost</t>
  </si>
  <si>
    <t>Kaltec Equipment needs</t>
  </si>
  <si>
    <t>Candy stove</t>
  </si>
  <si>
    <t xml:space="preserve">Cost to sample 100 gym 20% Success </t>
  </si>
  <si>
    <t xml:space="preserve">Bars sampled to acquire </t>
  </si>
  <si>
    <t>#ERROR!</t>
  </si>
  <si>
    <t>Cost of employee</t>
  </si>
  <si>
    <t>Rev gen</t>
  </si>
  <si>
    <t xml:space="preserve">Gyms contacted </t>
  </si>
  <si>
    <t xml:space="preserve">gyms accquired </t>
  </si>
  <si>
    <t>CAC</t>
  </si>
  <si>
    <t xml:space="preserve">Marketing Expenses </t>
  </si>
  <si>
    <t>Capitial invesment</t>
  </si>
  <si>
    <t>Working Captial</t>
  </si>
  <si>
    <t>Account blance</t>
  </si>
  <si>
    <t>Capital Investment 2nd round</t>
  </si>
  <si>
    <t>?</t>
  </si>
  <si>
    <t xml:space="preserve">Marketing </t>
  </si>
  <si>
    <t xml:space="preserve">Packaging </t>
  </si>
  <si>
    <t>CASH FLOW</t>
  </si>
  <si>
    <t>Wokring Capital</t>
  </si>
  <si>
    <t xml:space="preserve">Gross Projected Revenue </t>
  </si>
  <si>
    <t>Cash Flow</t>
  </si>
  <si>
    <t>End of Month balance</t>
  </si>
  <si>
    <t>bar</t>
  </si>
  <si>
    <t xml:space="preserve">Followers </t>
  </si>
  <si>
    <t>Enagement rate average</t>
  </si>
  <si>
    <t>Ripped Barbie</t>
  </si>
  <si>
    <t xml:space="preserve">Philip Dore	</t>
  </si>
  <si>
    <t xml:space="preserve">Caitlin Foresman	</t>
  </si>
  <si>
    <t xml:space="preserve">Thomas Karlick	</t>
  </si>
  <si>
    <t xml:space="preserve">Meredith Burns	</t>
  </si>
  <si>
    <t xml:space="preserve">Paige Miller	</t>
  </si>
  <si>
    <t>Kineesa</t>
  </si>
  <si>
    <t xml:space="preserve">Cody Hendricks	</t>
  </si>
  <si>
    <t xml:space="preserve">Jeff Nicoles </t>
  </si>
  <si>
    <t>Jessica</t>
  </si>
  <si>
    <t>Kenny Santucci</t>
  </si>
  <si>
    <t>Rudy Reyes</t>
  </si>
  <si>
    <t>Real world</t>
  </si>
  <si>
    <t>Labor costs</t>
  </si>
  <si>
    <t xml:space="preserve">Bakery toll daily </t>
  </si>
  <si>
    <t>Hourly labor per person</t>
  </si>
  <si>
    <t xml:space="preserve">Daily (8hours) labor cost of 4 person team </t>
  </si>
  <si>
    <t>Total cost per day</t>
  </si>
  <si>
    <t xml:space="preserve">Avergae production run time 1.5 days </t>
  </si>
  <si>
    <t xml:space="preserve">Total cost per run. </t>
  </si>
  <si>
    <t>Economy of scale</t>
  </si>
  <si>
    <t>Trays per run (42bars per tray)</t>
  </si>
  <si>
    <t>Bars produced per run</t>
  </si>
  <si>
    <t>labor cost per bar</t>
  </si>
  <si>
    <t>Single bar price point $1.25</t>
  </si>
  <si>
    <t xml:space="preserve">Maketing expense </t>
  </si>
  <si>
    <t>Annual Net Gym Vaule</t>
  </si>
  <si>
    <t xml:space="preserve">Annual Net Customer Vaule </t>
  </si>
  <si>
    <t>Swage and apparel</t>
  </si>
  <si>
    <t>Cost per item</t>
  </si>
  <si>
    <t>Amount</t>
  </si>
  <si>
    <t xml:space="preserve">Tee shirts </t>
  </si>
  <si>
    <t xml:space="preserve">Hats </t>
  </si>
  <si>
    <t>Silkies</t>
  </si>
  <si>
    <t xml:space="preserve">Stickers and Patches </t>
  </si>
  <si>
    <t>Gym banner  (per gym)</t>
  </si>
  <si>
    <t xml:space="preserve">Branded Wood create </t>
  </si>
  <si>
    <t>Email regargeting campaige</t>
  </si>
  <si>
    <t xml:space="preserve">Month 1 </t>
  </si>
  <si>
    <t>Month 2</t>
  </si>
  <si>
    <t xml:space="preserve">Month 3 </t>
  </si>
  <si>
    <t xml:space="preserve">Ad email Generation </t>
  </si>
  <si>
    <t>Converstion rate</t>
  </si>
  <si>
    <t>Total Customers Created</t>
  </si>
  <si>
    <t xml:space="preserve">Customers created </t>
  </si>
  <si>
    <t xml:space="preserve">Goss revenue generated </t>
  </si>
  <si>
    <t xml:space="preserve">Annual customer Vaule </t>
  </si>
  <si>
    <t>12 month ROI</t>
  </si>
  <si>
    <t xml:space="preserve">Content Creation </t>
  </si>
  <si>
    <t>Cost per Item</t>
  </si>
  <si>
    <t>One video per month</t>
  </si>
  <si>
    <t xml:space="preserve">Video edit </t>
  </si>
  <si>
    <t xml:space="preserve">Asset collection </t>
  </si>
  <si>
    <t>Event Marketing Kit</t>
  </si>
  <si>
    <t>Branded Table cloth</t>
  </si>
  <si>
    <t>Branded Tent</t>
  </si>
  <si>
    <t>Banner and pop ups</t>
  </si>
  <si>
    <t>Back Drop</t>
  </si>
  <si>
    <t>Design</t>
  </si>
  <si>
    <t>Event Kit total</t>
  </si>
  <si>
    <t xml:space="preserve">Events </t>
  </si>
  <si>
    <t xml:space="preserve">Both Cost </t>
  </si>
  <si>
    <t xml:space="preserve">Attendees </t>
  </si>
  <si>
    <t xml:space="preserve">Customer Converstion </t>
  </si>
  <si>
    <t xml:space="preserve">Estimated customers acquired </t>
  </si>
  <si>
    <t>WODAPOLOZA Jan 2019</t>
  </si>
  <si>
    <t>Product Give away.</t>
  </si>
  <si>
    <t>Averge Sale Vaule</t>
  </si>
  <si>
    <t>Tees</t>
  </si>
  <si>
    <t>Hats</t>
  </si>
  <si>
    <t xml:space="preserve">Product sales. </t>
  </si>
  <si>
    <t xml:space="preserve">Apparel </t>
  </si>
  <si>
    <t>Apparel sales</t>
  </si>
  <si>
    <t xml:space="preserve">Shipping Product </t>
  </si>
  <si>
    <t xml:space="preserve">Total gross </t>
  </si>
  <si>
    <t>Net after COG</t>
  </si>
  <si>
    <t>Event personel needed 3</t>
  </si>
  <si>
    <t>$150 per day</t>
  </si>
  <si>
    <t>per person</t>
  </si>
  <si>
    <t>Total for three days</t>
  </si>
  <si>
    <t xml:space="preserve">12 Month Event ROI </t>
  </si>
  <si>
    <t>Travel</t>
  </si>
  <si>
    <t xml:space="preserve">Customers retainted </t>
  </si>
  <si>
    <t>Hotel</t>
  </si>
  <si>
    <t>Gyms acquired</t>
  </si>
  <si>
    <t xml:space="preserve">Total cost </t>
  </si>
  <si>
    <t>Net vaule</t>
  </si>
  <si>
    <t xml:space="preserve">Net gym vaule </t>
  </si>
  <si>
    <t>Both</t>
  </si>
  <si>
    <t>Arnold classic March 2019</t>
  </si>
  <si>
    <t>COG</t>
  </si>
  <si>
    <t>Event personel needed 4</t>
  </si>
  <si>
    <t xml:space="preserve">Gym mailing campaige </t>
  </si>
  <si>
    <t>Cost</t>
  </si>
  <si>
    <t>Gym list tristate</t>
  </si>
  <si>
    <t>Gyms Aquired</t>
  </si>
  <si>
    <t xml:space="preserve">Gym sample Kit </t>
  </si>
  <si>
    <t>3 bars</t>
  </si>
  <si>
    <t>Flyer</t>
  </si>
  <si>
    <t xml:space="preserve">12 month ROI </t>
  </si>
  <si>
    <t>Shipping</t>
  </si>
  <si>
    <t>Gym kit cost</t>
  </si>
  <si>
    <t>Campaige cost</t>
  </si>
  <si>
    <t>Total Marketing Spend</t>
  </si>
  <si>
    <t xml:space="preserve">Total Marketing ROI </t>
  </si>
  <si>
    <t xml:space="preserve">Net profit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</si>
</sst>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_);_(&quot;$&quot;* \(#,##0\);_(&quot;$&quot;* &quot;-&quot;??_);_(@_)"/>
    <numFmt numFmtId="165" formatCode="_(* #,##0_);_(* \(#,##0\);_(* &quot;-&quot;??_);_(@_)"/>
    <numFmt numFmtId="166" formatCode="_(* #,##0.00_);_(* \(#,##0.00\);_(* &quot;-&quot;??_);_(@_)"/>
    <numFmt numFmtId="167" formatCode="&quot;$&quot;#,##0.00"/>
    <numFmt numFmtId="168" formatCode="mmmm\ yyyy"/>
    <numFmt numFmtId="169" formatCode="&quot;$&quot;#,##0"/>
    <numFmt numFmtId="170" formatCode="0.0000"/>
    <numFmt numFmtId="171" formatCode="_(&quot;$&quot;* #,##0.00_);_(&quot;$&quot;* \(#,##0.00\);_(&quot;$&quot;* &quot;-&quot;??_);_(@_)"/>
    <numFmt numFmtId="172" formatCode="mmm\ yyyy"/>
    <numFmt numFmtId="173" formatCode="0.0%"/>
  </numFmts>
  <fonts count="22">
    <font>
      <sz val="10.0"/>
      <color rgb="FF000000"/>
      <name val="Calibri"/>
      <scheme val="minor"/>
    </font>
    <font>
      <sz val="10.0"/>
      <color rgb="FF000000"/>
      <name val="Arial"/>
    </font>
    <font>
      <b/>
      <sz val="20.0"/>
      <color rgb="FF000000"/>
      <name val="Arial"/>
    </font>
    <font/>
    <font>
      <sz val="10.0"/>
      <color theme="1"/>
      <name val="Calibri"/>
    </font>
    <font>
      <sz val="10.0"/>
      <color theme="1"/>
      <name val="Arial"/>
    </font>
    <font>
      <sz val="10.0"/>
      <color rgb="FFFF0000"/>
      <name val="Arial"/>
    </font>
    <font>
      <color theme="1"/>
      <name val="Calibri"/>
      <scheme val="minor"/>
    </font>
    <font>
      <sz val="14.0"/>
      <color rgb="FF000000"/>
      <name val="Arial"/>
    </font>
    <font>
      <b/>
      <sz val="10.0"/>
      <color theme="1"/>
      <name val="Arial"/>
    </font>
    <font>
      <sz val="11.0"/>
      <color rgb="FF000000"/>
      <name val="Inconsolata"/>
    </font>
    <font>
      <sz val="14.0"/>
      <color theme="1"/>
      <name val="Arial"/>
    </font>
    <font>
      <b/>
      <sz val="16.0"/>
      <color rgb="FFFF0000"/>
      <name val="Arial"/>
    </font>
    <font>
      <b/>
      <sz val="14.0"/>
      <color rgb="FFFF0000"/>
      <name val="Arial"/>
    </font>
    <font>
      <sz val="14.0"/>
      <color rgb="FF000000"/>
      <name val="Calibri"/>
    </font>
    <font>
      <b/>
      <sz val="10.0"/>
      <color rgb="FFFF0000"/>
      <name val="Arial"/>
    </font>
    <font>
      <b/>
      <sz val="10.0"/>
      <color rgb="FFFF0000"/>
      <name val="Calibri"/>
    </font>
    <font>
      <b/>
      <sz val="10.0"/>
      <color rgb="FF000000"/>
      <name val="Arial"/>
    </font>
    <font>
      <sz val="10.0"/>
      <color rgb="FF000000"/>
      <name val="Calibri"/>
    </font>
    <font>
      <u/>
      <sz val="10.0"/>
      <color theme="1"/>
      <name val="Arial"/>
    </font>
    <font>
      <b/>
      <sz val="10.0"/>
      <color theme="1"/>
      <name val="Calibri"/>
    </font>
    <font>
      <sz val="10.0"/>
      <color rgb="FF6AA84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</fills>
  <borders count="7">
    <border/>
    <border>
      <left/>
      <top/>
      <bottom/>
    </border>
    <border>
      <top/>
      <bottom/>
    </border>
    <border>
      <left/>
      <right/>
      <top/>
      <bottom/>
    </border>
    <border>
      <bottom style="thin">
        <color rgb="FF000000"/>
      </bottom>
    </border>
    <border>
      <bottom style="double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2" fontId="1" numFmtId="1" xfId="0" applyAlignment="1" applyBorder="1" applyFont="1" applyNumberFormat="1">
      <alignment horizontal="center"/>
    </xf>
    <xf borderId="0" fillId="0" fontId="4" numFmtId="0" xfId="0" applyFont="1"/>
    <xf borderId="0" fillId="0" fontId="1" numFmtId="14" xfId="0" applyFont="1" applyNumberFormat="1"/>
    <xf borderId="0" fillId="0" fontId="1" numFmtId="164" xfId="0" applyFont="1" applyNumberFormat="1"/>
    <xf borderId="3" fillId="3" fontId="4" numFmtId="0" xfId="0" applyBorder="1" applyFill="1" applyFont="1"/>
    <xf borderId="0" fillId="0" fontId="1" numFmtId="165" xfId="0" applyFont="1" applyNumberFormat="1"/>
    <xf borderId="4" fillId="0" fontId="1" numFmtId="165" xfId="0" applyBorder="1" applyFont="1" applyNumberFormat="1"/>
    <xf borderId="0" fillId="0" fontId="4" numFmtId="10" xfId="0" applyFont="1" applyNumberFormat="1"/>
    <xf borderId="0" fillId="0" fontId="5" numFmtId="165" xfId="0" applyFont="1" applyNumberFormat="1"/>
    <xf borderId="4" fillId="0" fontId="5" numFmtId="165" xfId="0" applyBorder="1" applyFont="1" applyNumberFormat="1"/>
    <xf borderId="5" fillId="0" fontId="5" numFmtId="164" xfId="0" applyBorder="1" applyFont="1" applyNumberFormat="1"/>
    <xf borderId="0" fillId="0" fontId="1" numFmtId="10" xfId="0" applyFont="1" applyNumberFormat="1"/>
    <xf borderId="0" fillId="0" fontId="1" numFmtId="166" xfId="0" applyFont="1" applyNumberFormat="1"/>
    <xf borderId="3" fillId="2" fontId="1" numFmtId="14" xfId="0" applyBorder="1" applyFont="1" applyNumberFormat="1"/>
    <xf borderId="3" fillId="4" fontId="4" numFmtId="0" xfId="0" applyBorder="1" applyFill="1" applyFont="1"/>
    <xf borderId="3" fillId="4" fontId="6" numFmtId="165" xfId="0" applyBorder="1" applyFont="1" applyNumberFormat="1"/>
    <xf borderId="3" fillId="4" fontId="1" numFmtId="165" xfId="0" applyBorder="1" applyFont="1" applyNumberFormat="1"/>
    <xf borderId="3" fillId="2" fontId="1" numFmtId="165" xfId="0" applyBorder="1" applyFont="1" applyNumberFormat="1"/>
    <xf borderId="3" fillId="2" fontId="5" numFmtId="165" xfId="0" applyBorder="1" applyFont="1" applyNumberFormat="1"/>
    <xf borderId="3" fillId="2" fontId="1" numFmtId="165" xfId="0" applyAlignment="1" applyBorder="1" applyFont="1" applyNumberFormat="1">
      <alignment horizontal="right"/>
    </xf>
    <xf borderId="3" fillId="2" fontId="5" numFmtId="165" xfId="0" applyAlignment="1" applyBorder="1" applyFont="1" applyNumberFormat="1">
      <alignment readingOrder="0"/>
    </xf>
    <xf borderId="3" fillId="3" fontId="1" numFmtId="165" xfId="0" applyAlignment="1" applyBorder="1" applyFont="1" applyNumberFormat="1">
      <alignment horizontal="left"/>
    </xf>
    <xf borderId="6" fillId="2" fontId="1" numFmtId="165" xfId="0" applyBorder="1" applyFont="1" applyNumberFormat="1"/>
    <xf borderId="0" fillId="0" fontId="5" numFmtId="164" xfId="0" applyFont="1" applyNumberFormat="1"/>
    <xf borderId="0" fillId="0" fontId="7" numFmtId="165" xfId="0" applyFont="1" applyNumberFormat="1"/>
    <xf borderId="0" fillId="0" fontId="8" numFmtId="0" xfId="0" applyFont="1"/>
    <xf borderId="0" fillId="0" fontId="5" numFmtId="0" xfId="0" applyFont="1"/>
    <xf borderId="0" fillId="0" fontId="5" numFmtId="167" xfId="0" applyFont="1" applyNumberFormat="1"/>
    <xf borderId="3" fillId="2" fontId="9" numFmtId="0" xfId="0" applyBorder="1" applyFont="1"/>
    <xf borderId="3" fillId="2" fontId="5" numFmtId="0" xfId="0" applyBorder="1" applyFont="1"/>
    <xf borderId="3" fillId="2" fontId="5" numFmtId="168" xfId="0" applyBorder="1" applyFont="1" applyNumberFormat="1"/>
    <xf borderId="3" fillId="2" fontId="1" numFmtId="14" xfId="0" applyAlignment="1" applyBorder="1" applyFont="1" applyNumberFormat="1">
      <alignment horizontal="center"/>
    </xf>
    <xf borderId="3" fillId="5" fontId="1" numFmtId="14" xfId="0" applyAlignment="1" applyBorder="1" applyFill="1" applyFont="1" applyNumberFormat="1">
      <alignment horizontal="center"/>
    </xf>
    <xf borderId="0" fillId="0" fontId="5" numFmtId="0" xfId="0" applyAlignment="1" applyFont="1">
      <alignment horizontal="right"/>
    </xf>
    <xf borderId="0" fillId="0" fontId="5" numFmtId="3" xfId="0" applyAlignment="1" applyFont="1" applyNumberFormat="1">
      <alignment horizontal="right"/>
    </xf>
    <xf borderId="0" fillId="0" fontId="9" numFmtId="0" xfId="0" applyFont="1"/>
    <xf borderId="3" fillId="6" fontId="5" numFmtId="0" xfId="0" applyAlignment="1" applyBorder="1" applyFill="1" applyFont="1">
      <alignment horizontal="right"/>
    </xf>
    <xf borderId="0" fillId="0" fontId="5" numFmtId="10" xfId="0" applyAlignment="1" applyFont="1" applyNumberFormat="1">
      <alignment horizontal="right"/>
    </xf>
    <xf borderId="0" fillId="0" fontId="5" numFmtId="1" xfId="0" applyAlignment="1" applyFont="1" applyNumberFormat="1">
      <alignment horizontal="right"/>
    </xf>
    <xf borderId="0" fillId="0" fontId="5" numFmtId="167" xfId="0" applyAlignment="1" applyFont="1" applyNumberFormat="1">
      <alignment horizontal="right"/>
    </xf>
    <xf borderId="0" fillId="0" fontId="5" numFmtId="164" xfId="0" applyAlignment="1" applyFont="1" applyNumberFormat="1">
      <alignment horizontal="right"/>
    </xf>
    <xf borderId="0" fillId="0" fontId="5" numFmtId="165" xfId="0" applyAlignment="1" applyFont="1" applyNumberFormat="1">
      <alignment horizontal="right"/>
    </xf>
    <xf borderId="3" fillId="3" fontId="5" numFmtId="0" xfId="0" applyAlignment="1" applyBorder="1" applyFont="1">
      <alignment horizontal="right"/>
    </xf>
    <xf borderId="0" fillId="0" fontId="5" numFmtId="169" xfId="0" applyFont="1" applyNumberFormat="1"/>
    <xf borderId="0" fillId="0" fontId="5" numFmtId="169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4" numFmtId="165" xfId="0" applyFont="1" applyNumberFormat="1"/>
    <xf borderId="0" fillId="0" fontId="4" numFmtId="164" xfId="0" applyFont="1" applyNumberFormat="1"/>
    <xf borderId="3" fillId="7" fontId="5" numFmtId="167" xfId="0" applyBorder="1" applyFill="1" applyFont="1" applyNumberFormat="1"/>
    <xf borderId="3" fillId="8" fontId="5" numFmtId="9" xfId="0" applyBorder="1" applyFill="1" applyFont="1" applyNumberFormat="1"/>
    <xf borderId="0" fillId="0" fontId="6" numFmtId="165" xfId="0" applyFont="1" applyNumberFormat="1"/>
    <xf borderId="0" fillId="0" fontId="5" numFmtId="166" xfId="0" applyFont="1" applyNumberFormat="1"/>
    <xf borderId="3" fillId="3" fontId="1" numFmtId="0" xfId="0" applyAlignment="1" applyBorder="1" applyFont="1">
      <alignment horizontal="left"/>
    </xf>
    <xf borderId="3" fillId="3" fontId="10" numFmtId="169" xfId="0" applyAlignment="1" applyBorder="1" applyFont="1" applyNumberFormat="1">
      <alignment horizontal="right"/>
    </xf>
    <xf borderId="0" fillId="0" fontId="11" numFmtId="0" xfId="0" applyFont="1"/>
    <xf borderId="0" fillId="0" fontId="12" numFmtId="0" xfId="0" applyFont="1"/>
    <xf borderId="0" fillId="0" fontId="12" numFmtId="167" xfId="0" applyFont="1" applyNumberForma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" numFmtId="167" xfId="0" applyFont="1" applyNumberFormat="1"/>
    <xf borderId="3" fillId="3" fontId="5" numFmtId="167" xfId="0" applyBorder="1" applyFont="1" applyNumberFormat="1"/>
    <xf borderId="3" fillId="3" fontId="5" numFmtId="170" xfId="0" applyBorder="1" applyFont="1" applyNumberFormat="1"/>
    <xf borderId="0" fillId="0" fontId="6" numFmtId="0" xfId="0" applyFont="1"/>
    <xf borderId="3" fillId="9" fontId="5" numFmtId="171" xfId="0" applyAlignment="1" applyBorder="1" applyFill="1" applyFont="1" applyNumberFormat="1">
      <alignment horizontal="right"/>
    </xf>
    <xf borderId="3" fillId="3" fontId="5" numFmtId="0" xfId="0" applyBorder="1" applyFont="1"/>
    <xf borderId="3" fillId="3" fontId="10" numFmtId="0" xfId="0" applyAlignment="1" applyBorder="1" applyFont="1">
      <alignment horizontal="right"/>
    </xf>
    <xf borderId="3" fillId="9" fontId="5" numFmtId="0" xfId="0" applyAlignment="1" applyBorder="1" applyFont="1">
      <alignment horizontal="right"/>
    </xf>
    <xf borderId="3" fillId="3" fontId="17" numFmtId="0" xfId="0" applyBorder="1" applyFont="1"/>
    <xf borderId="0" fillId="0" fontId="9" numFmtId="169" xfId="0" applyAlignment="1" applyFont="1" applyNumberFormat="1">
      <alignment horizontal="right"/>
    </xf>
    <xf borderId="3" fillId="3" fontId="5" numFmtId="164" xfId="0" applyAlignment="1" applyBorder="1" applyFont="1" applyNumberFormat="1">
      <alignment horizontal="right"/>
    </xf>
    <xf borderId="3" fillId="9" fontId="5" numFmtId="0" xfId="0" applyBorder="1" applyFont="1"/>
    <xf borderId="3" fillId="9" fontId="5" numFmtId="169" xfId="0" applyAlignment="1" applyBorder="1" applyFont="1" applyNumberFormat="1">
      <alignment horizontal="right"/>
    </xf>
    <xf borderId="3" fillId="3" fontId="5" numFmtId="169" xfId="0" applyBorder="1" applyFont="1" applyNumberFormat="1"/>
    <xf borderId="3" fillId="9" fontId="5" numFmtId="169" xfId="0" applyBorder="1" applyFont="1" applyNumberFormat="1"/>
    <xf borderId="3" fillId="9" fontId="5" numFmtId="164" xfId="0" applyAlignment="1" applyBorder="1" applyFont="1" applyNumberFormat="1">
      <alignment horizontal="right"/>
    </xf>
    <xf borderId="0" fillId="0" fontId="5" numFmtId="10" xfId="0" applyFont="1" applyNumberFormat="1"/>
    <xf borderId="3" fillId="9" fontId="5" numFmtId="9" xfId="0" applyAlignment="1" applyBorder="1" applyFont="1" applyNumberFormat="1">
      <alignment horizontal="right"/>
    </xf>
    <xf borderId="0" fillId="0" fontId="1" numFmtId="3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2" xfId="0" applyFont="1" applyNumberFormat="1"/>
    <xf borderId="3" fillId="8" fontId="1" numFmtId="167" xfId="0" applyBorder="1" applyFont="1" applyNumberFormat="1"/>
    <xf borderId="3" fillId="8" fontId="1" numFmtId="3" xfId="0" applyBorder="1" applyFont="1" applyNumberFormat="1"/>
    <xf borderId="4" fillId="0" fontId="1" numFmtId="0" xfId="0" applyBorder="1" applyFont="1"/>
    <xf borderId="0" fillId="0" fontId="4" numFmtId="167" xfId="0" applyFont="1" applyNumberFormat="1"/>
    <xf borderId="3" fillId="4" fontId="1" numFmtId="0" xfId="0" applyBorder="1" applyFont="1"/>
    <xf borderId="0" fillId="0" fontId="18" numFmtId="0" xfId="0" applyFont="1"/>
    <xf borderId="4" fillId="0" fontId="18" numFmtId="0" xfId="0" applyBorder="1" applyFont="1"/>
    <xf borderId="0" fillId="0" fontId="1" numFmtId="14" xfId="0" applyAlignment="1" applyFont="1" applyNumberFormat="1">
      <alignment horizontal="center"/>
    </xf>
    <xf borderId="3" fillId="2" fontId="5" numFmtId="167" xfId="0" applyBorder="1" applyFont="1" applyNumberFormat="1"/>
    <xf borderId="6" fillId="2" fontId="5" numFmtId="167" xfId="0" applyBorder="1" applyFont="1" applyNumberFormat="1"/>
    <xf borderId="4" fillId="0" fontId="1" numFmtId="3" xfId="0" applyBorder="1" applyFont="1" applyNumberFormat="1"/>
    <xf borderId="4" fillId="0" fontId="1" numFmtId="171" xfId="0" applyBorder="1" applyFont="1" applyNumberFormat="1"/>
    <xf borderId="3" fillId="2" fontId="5" numFmtId="171" xfId="0" applyAlignment="1" applyBorder="1" applyFont="1" applyNumberFormat="1">
      <alignment horizontal="right"/>
    </xf>
    <xf borderId="3" fillId="2" fontId="5" numFmtId="166" xfId="0" applyAlignment="1" applyBorder="1" applyFont="1" applyNumberFormat="1">
      <alignment horizontal="right"/>
    </xf>
    <xf borderId="6" fillId="2" fontId="5" numFmtId="166" xfId="0" applyBorder="1" applyFont="1" applyNumberFormat="1"/>
    <xf borderId="0" fillId="0" fontId="5" numFmtId="171" xfId="0" applyAlignment="1" applyFont="1" applyNumberFormat="1">
      <alignment horizontal="right"/>
    </xf>
    <xf borderId="0" fillId="0" fontId="5" numFmtId="171" xfId="0" applyFont="1" applyNumberFormat="1"/>
    <xf borderId="0" fillId="0" fontId="5" numFmtId="168" xfId="0" applyFont="1" applyNumberFormat="1"/>
    <xf borderId="0" fillId="0" fontId="5" numFmtId="172" xfId="0" applyFont="1" applyNumberFormat="1"/>
    <xf borderId="3" fillId="10" fontId="5" numFmtId="0" xfId="0" applyBorder="1" applyFill="1" applyFont="1"/>
    <xf borderId="3" fillId="10" fontId="5" numFmtId="165" xfId="0" applyBorder="1" applyFont="1" applyNumberFormat="1"/>
    <xf borderId="3" fillId="7" fontId="1" numFmtId="165" xfId="0" applyBorder="1" applyFont="1" applyNumberFormat="1"/>
    <xf borderId="3" fillId="7" fontId="1" numFmtId="165" xfId="0" applyAlignment="1" applyBorder="1" applyFont="1" applyNumberFormat="1">
      <alignment readingOrder="0"/>
    </xf>
    <xf borderId="3" fillId="4" fontId="5" numFmtId="165" xfId="0" applyBorder="1" applyFont="1" applyNumberFormat="1"/>
    <xf borderId="3" fillId="2" fontId="5" numFmtId="164" xfId="0" applyBorder="1" applyFont="1" applyNumberFormat="1"/>
    <xf borderId="3" fillId="4" fontId="5" numFmtId="0" xfId="0" applyBorder="1" applyFont="1"/>
    <xf borderId="3" fillId="7" fontId="5" numFmtId="0" xfId="0" applyBorder="1" applyFont="1"/>
    <xf borderId="3" fillId="10" fontId="1" numFmtId="0" xfId="0" applyAlignment="1" applyBorder="1" applyFont="1">
      <alignment horizontal="left"/>
    </xf>
    <xf borderId="3" fillId="10" fontId="1" numFmtId="165" xfId="0" applyBorder="1" applyFont="1" applyNumberFormat="1"/>
    <xf borderId="3" fillId="2" fontId="1" numFmtId="0" xfId="0" applyBorder="1" applyFont="1"/>
    <xf borderId="3" fillId="2" fontId="1" numFmtId="173" xfId="0" applyBorder="1" applyFont="1" applyNumberFormat="1"/>
    <xf borderId="0" fillId="0" fontId="19" numFmtId="165" xfId="0" applyFont="1" applyNumberFormat="1"/>
    <xf borderId="6" fillId="9" fontId="1" numFmtId="9" xfId="0" applyBorder="1" applyFont="1" applyNumberFormat="1"/>
    <xf borderId="4" fillId="0" fontId="1" numFmtId="9" xfId="0" applyBorder="1" applyFont="1" applyNumberFormat="1"/>
    <xf borderId="0" fillId="0" fontId="20" numFmtId="0" xfId="0" applyFont="1"/>
    <xf borderId="0" fillId="0" fontId="4" numFmtId="3" xfId="0" applyFont="1" applyNumberFormat="1"/>
    <xf borderId="3" fillId="3" fontId="18" numFmtId="0" xfId="0" applyAlignment="1" applyBorder="1" applyFont="1">
      <alignment horizontal="left"/>
    </xf>
    <xf borderId="4" fillId="0" fontId="5" numFmtId="167" xfId="0" applyBorder="1" applyFont="1" applyNumberFormat="1"/>
    <xf borderId="0" fillId="0" fontId="5" numFmtId="3" xfId="0" applyFont="1" applyNumberFormat="1"/>
    <xf borderId="3" fillId="7" fontId="9" numFmtId="0" xfId="0" applyBorder="1" applyFont="1"/>
    <xf borderId="3" fillId="7" fontId="5" numFmtId="168" xfId="0" applyBorder="1" applyFont="1" applyNumberFormat="1"/>
    <xf borderId="0" fillId="0" fontId="6" numFmtId="169" xfId="0" applyFont="1" applyNumberFormat="1"/>
    <xf borderId="0" fillId="0" fontId="21" numFmtId="169" xfId="0" applyFont="1" applyNumberFormat="1"/>
    <xf borderId="0" fillId="0" fontId="5" numFmtId="9" xfId="0" applyFont="1" applyNumberFormat="1"/>
    <xf borderId="3" fillId="3" fontId="1" numFmtId="169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sales per-month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2,770 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'P&amp;L Cash Flow Monthly'!$C$8:$BB$8</c:f>
            </c:strRef>
          </c:cat>
          <c:val>
            <c:numRef>
              <c:f>'P&amp;L Cash Flow Monthly'!$C$15:$BB$15</c:f>
              <c:numCache/>
            </c:numRef>
          </c:val>
        </c:ser>
        <c:axId val="1084766825"/>
        <c:axId val="1729332311"/>
      </c:barChart>
      <c:catAx>
        <c:axId val="1084766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9332311"/>
      </c:catAx>
      <c:valAx>
        <c:axId val="1729332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476682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48950" cy="5362575"/>
    <xdr:graphicFrame>
      <xdr:nvGraphicFramePr>
        <xdr:cNvPr id="107716131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hidden="1" min="2" max="3" width="12.71"/>
    <col customWidth="1" min="4" max="5" width="12.71"/>
    <col customWidth="1" min="6" max="7" width="12.43"/>
    <col customWidth="1" min="8" max="8" width="16.0"/>
    <col customWidth="1" min="9" max="10" width="8.71"/>
  </cols>
  <sheetData>
    <row r="1" ht="3.0" customHeight="1">
      <c r="A1" s="1"/>
      <c r="B1" s="1"/>
      <c r="C1" s="1"/>
      <c r="D1" s="1"/>
      <c r="E1" s="1"/>
    </row>
    <row r="2" ht="27.75" customHeight="1">
      <c r="A2" s="2" t="s">
        <v>0</v>
      </c>
      <c r="B2" s="3"/>
      <c r="C2" s="3"/>
      <c r="D2" s="3"/>
      <c r="E2" s="3"/>
    </row>
    <row r="3" ht="30.0" customHeight="1">
      <c r="A3" s="2" t="s">
        <v>1</v>
      </c>
      <c r="B3" s="3"/>
      <c r="C3" s="3"/>
      <c r="D3" s="3"/>
      <c r="E3" s="3"/>
    </row>
    <row r="4" ht="12.75" customHeight="1">
      <c r="A4" s="1"/>
      <c r="B4" s="1"/>
      <c r="C4" s="1"/>
      <c r="D4" s="1"/>
      <c r="E4" s="1"/>
    </row>
    <row r="5" ht="12.75" customHeight="1">
      <c r="A5" s="1"/>
      <c r="B5" s="1"/>
      <c r="C5" s="1"/>
      <c r="D5" s="1"/>
      <c r="E5" s="1"/>
    </row>
    <row r="6" ht="12.75" customHeight="1">
      <c r="A6" s="1"/>
      <c r="B6" s="1"/>
      <c r="C6" s="1"/>
      <c r="D6" s="1"/>
      <c r="E6" s="1"/>
    </row>
    <row r="7" ht="12.75" customHeight="1">
      <c r="A7" s="1"/>
      <c r="B7" s="1"/>
      <c r="C7" s="1"/>
      <c r="D7" s="1"/>
      <c r="E7" s="1"/>
    </row>
    <row r="8" ht="12.75" customHeight="1">
      <c r="B8" s="4">
        <v>2021.0</v>
      </c>
      <c r="C8" s="4">
        <v>2022.0</v>
      </c>
      <c r="D8" s="4">
        <v>2023.0</v>
      </c>
      <c r="E8" s="4">
        <v>2024.0</v>
      </c>
      <c r="F8" s="4">
        <v>2025.0</v>
      </c>
      <c r="G8" s="4">
        <v>2026.0</v>
      </c>
      <c r="H8" s="4">
        <v>2027.0</v>
      </c>
      <c r="L8" s="5"/>
    </row>
    <row r="9" ht="12.75" customHeight="1">
      <c r="A9" s="1"/>
      <c r="B9" s="6"/>
      <c r="C9" s="6"/>
      <c r="D9" s="6"/>
      <c r="E9" s="6"/>
      <c r="L9" s="5"/>
    </row>
    <row r="10" ht="12.75" hidden="1" customHeight="1">
      <c r="A10" s="1" t="s">
        <v>2</v>
      </c>
      <c r="L10" s="5">
        <v>216.15</v>
      </c>
    </row>
    <row r="11" ht="12.75" hidden="1" customHeight="1">
      <c r="A11" s="1" t="s">
        <v>3</v>
      </c>
      <c r="B11" s="7">
        <f>SUM('P&amp;L Cash Flow Monthly'!K11:V11)</f>
        <v>133087.1057</v>
      </c>
      <c r="C11" s="7">
        <f>+'P&amp;L Cash Flow Monthly'!W11+'P&amp;L Cash Flow Monthly'!X11+'P&amp;L Cash Flow Monthly'!Y11+'P&amp;L Cash Flow Monthly'!Z11+'P&amp;L Cash Flow Monthly'!AA11+'P&amp;L Cash Flow Monthly'!AB11+'P&amp;L Cash Flow Monthly'!AC11+'P&amp;L Cash Flow Monthly'!AD11+'P&amp;L Cash Flow Monthly'!AE11+'P&amp;L Cash Flow Monthly'!AF11+'P&amp;L Cash Flow Monthly'!AG11+'P&amp;L Cash Flow Monthly'!AH11</f>
        <v>127294.6194</v>
      </c>
      <c r="D11" s="7">
        <f>+'P&amp;L Cash Flow Monthly'!AI11+'P&amp;L Cash Flow Monthly'!AJ11+'P&amp;L Cash Flow Monthly'!AK11+'P&amp;L Cash Flow Monthly'!AL11+'P&amp;L Cash Flow Monthly'!AM11+'P&amp;L Cash Flow Monthly'!AN11+'P&amp;L Cash Flow Monthly'!AO11+'P&amp;L Cash Flow Monthly'!AP11+'P&amp;L Cash Flow Monthly'!AQ11+'P&amp;L Cash Flow Monthly'!AR11+'P&amp;L Cash Flow Monthly'!AS11+'P&amp;L Cash Flow Monthly'!AT11</f>
        <v>90473.63176</v>
      </c>
      <c r="E11" s="7">
        <f>+'P&amp;L Cash Flow Monthly'!AU11+'P&amp;L Cash Flow Monthly'!AV11+'P&amp;L Cash Flow Monthly'!AW11+'P&amp;L Cash Flow Monthly'!AX11+'P&amp;L Cash Flow Monthly'!AY11+'P&amp;L Cash Flow Monthly'!AZ11+'P&amp;L Cash Flow Monthly'!BA11+'P&amp;L Cash Flow Monthly'!BB11+'P&amp;L Cash Flow Monthly'!BC11+'P&amp;L Cash Flow Monthly'!BD11+'P&amp;L Cash Flow Monthly'!BE11+'P&amp;L Cash Flow Monthly'!BF11</f>
        <v>132743.0454</v>
      </c>
      <c r="F11" s="7">
        <f>+'P&amp;L Cash Flow Monthly'!BG11+'P&amp;L Cash Flow Monthly'!BH11+'P&amp;L Cash Flow Monthly'!BI11+'P&amp;L Cash Flow Monthly'!BJ11+'P&amp;L Cash Flow Monthly'!BK11+'P&amp;L Cash Flow Monthly'!BL11+'P&amp;L Cash Flow Monthly'!BM11+'P&amp;L Cash Flow Monthly'!BN11+'P&amp;L Cash Flow Monthly'!BO11+'P&amp;L Cash Flow Monthly'!BP11+'P&amp;L Cash Flow Monthly'!BQ11+'P&amp;L Cash Flow Monthly'!BR11</f>
        <v>128606.4935</v>
      </c>
      <c r="G11" s="7">
        <f>SUM('P&amp;L Cash Flow Monthly'!BS11:CD11)</f>
        <v>201224.0632</v>
      </c>
      <c r="H11" s="7">
        <f>SUM('P&amp;L Cash Flow Monthly'!CE11:CP11)</f>
        <v>317836.3861</v>
      </c>
      <c r="I11" s="8"/>
      <c r="L11" s="5">
        <v>60.0</v>
      </c>
    </row>
    <row r="12" ht="12.75" hidden="1" customHeight="1">
      <c r="A12" s="1" t="s">
        <v>4</v>
      </c>
      <c r="B12" s="9">
        <f>SUM('P&amp;L Cash Flow Monthly'!K12:V12)</f>
        <v>910216.4719</v>
      </c>
      <c r="C12" s="9">
        <f>+'P&amp;L Cash Flow Monthly'!W12+'P&amp;L Cash Flow Monthly'!X12+'P&amp;L Cash Flow Monthly'!Y12+'P&amp;L Cash Flow Monthly'!Z12+'P&amp;L Cash Flow Monthly'!AA12+'P&amp;L Cash Flow Monthly'!AB12+'P&amp;L Cash Flow Monthly'!AC12+'P&amp;L Cash Flow Monthly'!AD12+'P&amp;L Cash Flow Monthly'!AE12+'P&amp;L Cash Flow Monthly'!AF12+'P&amp;L Cash Flow Monthly'!AG12+'P&amp;L Cash Flow Monthly'!AH12</f>
        <v>891020.336</v>
      </c>
      <c r="D12" s="9">
        <f>+'P&amp;L Cash Flow Monthly'!AI12+'P&amp;L Cash Flow Monthly'!AJ12+'P&amp;L Cash Flow Monthly'!AK12+'P&amp;L Cash Flow Monthly'!AL12+'P&amp;L Cash Flow Monthly'!AM12+'P&amp;L Cash Flow Monthly'!AN12+'P&amp;L Cash Flow Monthly'!AO12+'P&amp;L Cash Flow Monthly'!AP12+'P&amp;L Cash Flow Monthly'!AQ12+'P&amp;L Cash Flow Monthly'!AR12+'P&amp;L Cash Flow Monthly'!AS12+'P&amp;L Cash Flow Monthly'!AT12</f>
        <v>633273.4223</v>
      </c>
      <c r="E12" s="9">
        <f>+'P&amp;L Cash Flow Monthly'!AU12+'P&amp;L Cash Flow Monthly'!AV12+'P&amp;L Cash Flow Monthly'!AW12+'P&amp;L Cash Flow Monthly'!AX12+'P&amp;L Cash Flow Monthly'!AY12+'P&amp;L Cash Flow Monthly'!AZ12+'P&amp;L Cash Flow Monthly'!BA12+'P&amp;L Cash Flow Monthly'!BB12+'P&amp;L Cash Flow Monthly'!BC12+'P&amp;L Cash Flow Monthly'!BD12+'P&amp;L Cash Flow Monthly'!BE12+'P&amp;L Cash Flow Monthly'!BF12</f>
        <v>929159.3178</v>
      </c>
      <c r="F12" s="9">
        <f>+'P&amp;L Cash Flow Monthly'!BG12+'P&amp;L Cash Flow Monthly'!BH12+'P&amp;L Cash Flow Monthly'!BI12+'P&amp;L Cash Flow Monthly'!BJ12+'P&amp;L Cash Flow Monthly'!BK12+'P&amp;L Cash Flow Monthly'!BL12+'P&amp;L Cash Flow Monthly'!BM12+'P&amp;L Cash Flow Monthly'!BN12+'P&amp;L Cash Flow Monthly'!BO12+'P&amp;L Cash Flow Monthly'!BP12+'P&amp;L Cash Flow Monthly'!BQ12+'P&amp;L Cash Flow Monthly'!BR12</f>
        <v>900203.4545</v>
      </c>
      <c r="G12" s="9">
        <f>SUM('P&amp;L Cash Flow Monthly'!BS12:CD12)</f>
        <v>1408526.443</v>
      </c>
      <c r="H12" s="9">
        <f>SUM('P&amp;L Cash Flow Monthly'!CE12:CP12)</f>
        <v>2224812.703</v>
      </c>
      <c r="L12" s="5">
        <v>117.15</v>
      </c>
    </row>
    <row r="13" ht="12.75" hidden="1" customHeight="1">
      <c r="A13" s="1"/>
      <c r="B13" s="10"/>
      <c r="C13" s="10"/>
      <c r="D13" s="10"/>
      <c r="E13" s="10"/>
      <c r="F13" s="10"/>
      <c r="G13" s="10"/>
      <c r="H13" s="10"/>
      <c r="L13" s="5">
        <v>252.0</v>
      </c>
    </row>
    <row r="14" ht="12.75" hidden="1" customHeight="1">
      <c r="A14" s="1"/>
      <c r="B14" s="9"/>
      <c r="C14" s="9"/>
      <c r="D14" s="9"/>
      <c r="E14" s="9"/>
      <c r="F14" s="9"/>
      <c r="G14" s="9"/>
      <c r="H14" s="9"/>
      <c r="L14" s="5">
        <v>8.99</v>
      </c>
    </row>
    <row r="15" ht="12.75" customHeight="1">
      <c r="A15" s="1" t="s">
        <v>2</v>
      </c>
      <c r="B15" s="7">
        <f t="shared" ref="B15:H15" si="1">SUM(B11:B12)</f>
        <v>1043303.578</v>
      </c>
      <c r="C15" s="7">
        <f t="shared" si="1"/>
        <v>1018314.955</v>
      </c>
      <c r="D15" s="7">
        <f t="shared" si="1"/>
        <v>723747.0541</v>
      </c>
      <c r="E15" s="7">
        <f t="shared" si="1"/>
        <v>1061902.363</v>
      </c>
      <c r="F15" s="7">
        <f t="shared" si="1"/>
        <v>1028809.948</v>
      </c>
      <c r="G15" s="7">
        <f t="shared" si="1"/>
        <v>1609750.506</v>
      </c>
      <c r="H15" s="7">
        <f t="shared" si="1"/>
        <v>2542649.089</v>
      </c>
      <c r="L15" s="5"/>
    </row>
    <row r="16" ht="12.75" customHeight="1">
      <c r="B16" s="9"/>
      <c r="C16" s="9"/>
      <c r="D16" s="9"/>
      <c r="E16" s="9"/>
      <c r="F16" s="9"/>
      <c r="G16" s="9"/>
      <c r="H16" s="9"/>
    </row>
    <row r="17" ht="12.75" customHeight="1">
      <c r="A17" s="1" t="s">
        <v>5</v>
      </c>
      <c r="B17" s="10">
        <f>SUM('P&amp;L Cash Flow Monthly'!K17:V17)</f>
        <v>748803.0214</v>
      </c>
      <c r="C17" s="10">
        <f>+'P&amp;L Cash Flow Monthly'!W17+'P&amp;L Cash Flow Monthly'!X17+'P&amp;L Cash Flow Monthly'!Y17+'P&amp;L Cash Flow Monthly'!Z17+'P&amp;L Cash Flow Monthly'!AA17+'P&amp;L Cash Flow Monthly'!AB17+'P&amp;L Cash Flow Monthly'!AC17+'P&amp;L Cash Flow Monthly'!AD17+'P&amp;L Cash Flow Monthly'!AE17+'P&amp;L Cash Flow Monthly'!AF17+'P&amp;L Cash Flow Monthly'!AG17+'P&amp;L Cash Flow Monthly'!AH17</f>
        <v>716210.632</v>
      </c>
      <c r="D17" s="10">
        <f>+'P&amp;L Cash Flow Monthly'!AI17+'P&amp;L Cash Flow Monthly'!AJ17+'P&amp;L Cash Flow Monthly'!AK17+'P&amp;L Cash Flow Monthly'!AL17+'P&amp;L Cash Flow Monthly'!AM17+'P&amp;L Cash Flow Monthly'!AN17+'P&amp;L Cash Flow Monthly'!AO17+'P&amp;L Cash Flow Monthly'!AP17+'P&amp;L Cash Flow Monthly'!AQ17+'P&amp;L Cash Flow Monthly'!AR17+'P&amp;L Cash Flow Monthly'!AS17+'P&amp;L Cash Flow Monthly'!AT17</f>
        <v>436657.1026</v>
      </c>
      <c r="E17" s="10">
        <f>+'P&amp;L Cash Flow Monthly'!AU17+'P&amp;L Cash Flow Monthly'!AV17+'P&amp;L Cash Flow Monthly'!AW17+'P&amp;L Cash Flow Monthly'!AX17+'P&amp;L Cash Flow Monthly'!AY17+'P&amp;L Cash Flow Monthly'!AZ17+'P&amp;L Cash Flow Monthly'!BA17+'P&amp;L Cash Flow Monthly'!BB17+'P&amp;L Cash Flow Monthly'!BC17+'P&amp;L Cash Flow Monthly'!BD17+'P&amp;L Cash Flow Monthly'!BE17+'P&amp;L Cash Flow Monthly'!BF17</f>
        <v>640677.4724</v>
      </c>
      <c r="F17" s="10">
        <f>+'P&amp;L Cash Flow Monthly'!BG17+'P&amp;L Cash Flow Monthly'!BH17+'P&amp;L Cash Flow Monthly'!BI17+'P&amp;L Cash Flow Monthly'!BJ17+'P&amp;L Cash Flow Monthly'!BK17+'P&amp;L Cash Flow Monthly'!BL17+'P&amp;L Cash Flow Monthly'!BM17+'P&amp;L Cash Flow Monthly'!BN17+'P&amp;L Cash Flow Monthly'!BO17+'P&amp;L Cash Flow Monthly'!BP17+'P&amp;L Cash Flow Monthly'!BQ17+'P&amp;L Cash Flow Monthly'!BR17</f>
        <v>526500.9377</v>
      </c>
      <c r="G17" s="10">
        <f>SUM('P&amp;L Cash Flow Monthly'!BS17:CD17)</f>
        <v>706946.1288</v>
      </c>
      <c r="H17" s="10">
        <f>SUM('P&amp;L Cash Flow Monthly'!CE17:CP17)</f>
        <v>1116644.09</v>
      </c>
      <c r="L17" s="5"/>
    </row>
    <row r="18" ht="12.75" customHeight="1">
      <c r="B18" s="9"/>
      <c r="C18" s="9"/>
      <c r="D18" s="9"/>
      <c r="E18" s="9"/>
      <c r="F18" s="9"/>
      <c r="G18" s="9"/>
      <c r="H18" s="9"/>
    </row>
    <row r="19" ht="12.75" customHeight="1">
      <c r="A19" s="1" t="s">
        <v>6</v>
      </c>
      <c r="B19" s="9">
        <f t="shared" ref="B19:H19" si="2">+B15-B17</f>
        <v>294500.5562</v>
      </c>
      <c r="C19" s="9">
        <f t="shared" si="2"/>
        <v>302104.3235</v>
      </c>
      <c r="D19" s="9">
        <f t="shared" si="2"/>
        <v>287089.9515</v>
      </c>
      <c r="E19" s="9">
        <f t="shared" si="2"/>
        <v>421224.8907</v>
      </c>
      <c r="F19" s="9">
        <f t="shared" si="2"/>
        <v>502309.0103</v>
      </c>
      <c r="G19" s="9">
        <f t="shared" si="2"/>
        <v>902804.3771</v>
      </c>
      <c r="H19" s="9">
        <f t="shared" si="2"/>
        <v>1426004.999</v>
      </c>
    </row>
    <row r="20" ht="12.75" customHeight="1">
      <c r="B20" s="9"/>
      <c r="C20" s="9"/>
      <c r="D20" s="9"/>
      <c r="E20" s="9"/>
      <c r="F20" s="9"/>
      <c r="G20" s="9"/>
      <c r="H20" s="9"/>
    </row>
    <row r="21" ht="12.75" customHeight="1">
      <c r="A21" s="1" t="s">
        <v>7</v>
      </c>
      <c r="B21" s="10">
        <f>SUM('P&amp;L Cash Flow Monthly'!K21:V21)</f>
        <v>654881.8991</v>
      </c>
      <c r="C21" s="10">
        <f>+'P&amp;L Cash Flow Monthly'!W21+'P&amp;L Cash Flow Monthly'!X21+'P&amp;L Cash Flow Monthly'!Y21+'P&amp;L Cash Flow Monthly'!Z21+'P&amp;L Cash Flow Monthly'!AA21+'P&amp;L Cash Flow Monthly'!AB21+'P&amp;L Cash Flow Monthly'!AC21+'P&amp;L Cash Flow Monthly'!AD21+'P&amp;L Cash Flow Monthly'!AE21+'P&amp;L Cash Flow Monthly'!AF21+'P&amp;L Cash Flow Monthly'!AG21+'P&amp;L Cash Flow Monthly'!AH21</f>
        <v>648488.7453</v>
      </c>
      <c r="D21" s="10">
        <f>+'P&amp;L Cash Flow Monthly'!AI21+'P&amp;L Cash Flow Monthly'!AJ21+'P&amp;L Cash Flow Monthly'!AK21+'P&amp;L Cash Flow Monthly'!AL21+'P&amp;L Cash Flow Monthly'!AM21+'P&amp;L Cash Flow Monthly'!AN21+'P&amp;L Cash Flow Monthly'!AO21+'P&amp;L Cash Flow Monthly'!AP21+'P&amp;L Cash Flow Monthly'!AQ21+'P&amp;L Cash Flow Monthly'!AR21+'P&amp;L Cash Flow Monthly'!AS21+'P&amp;L Cash Flow Monthly'!AT21</f>
        <v>365212.5613</v>
      </c>
      <c r="E21" s="10">
        <f>+'P&amp;L Cash Flow Monthly'!AU21+'P&amp;L Cash Flow Monthly'!AV21+'P&amp;L Cash Flow Monthly'!AW21+'P&amp;L Cash Flow Monthly'!AX21+'P&amp;L Cash Flow Monthly'!AY21+'P&amp;L Cash Flow Monthly'!AZ21+'P&amp;L Cash Flow Monthly'!BA21+'P&amp;L Cash Flow Monthly'!BB21+'P&amp;L Cash Flow Monthly'!BC21+'P&amp;L Cash Flow Monthly'!BD21+'P&amp;L Cash Flow Monthly'!BE21+'P&amp;L Cash Flow Monthly'!BF21</f>
        <v>621502.5163</v>
      </c>
      <c r="F21" s="10">
        <f>+'P&amp;L Cash Flow Monthly'!BG21+'P&amp;L Cash Flow Monthly'!BH21+'P&amp;L Cash Flow Monthly'!BI21+'P&amp;L Cash Flow Monthly'!BJ21+'P&amp;L Cash Flow Monthly'!BK21+'P&amp;L Cash Flow Monthly'!BL21+'P&amp;L Cash Flow Monthly'!BM21+'P&amp;L Cash Flow Monthly'!BN21+'P&amp;L Cash Flow Monthly'!BO21+'P&amp;L Cash Flow Monthly'!BP21+'P&amp;L Cash Flow Monthly'!BQ21+'P&amp;L Cash Flow Monthly'!BR21</f>
        <v>604084.5063</v>
      </c>
      <c r="G21" s="10">
        <f>SUM('P&amp;L Cash Flow Monthly'!BS21:CD21)</f>
        <v>902177.8092</v>
      </c>
      <c r="H21" s="10">
        <f>SUM('P&amp;L Cash Flow Monthly'!CE21:CP21)</f>
        <v>1297152.513</v>
      </c>
      <c r="I21" s="11"/>
      <c r="J21" s="11"/>
    </row>
    <row r="22" ht="12.75" customHeight="1">
      <c r="B22" s="9"/>
      <c r="C22" s="9"/>
      <c r="D22" s="9"/>
      <c r="E22" s="9"/>
      <c r="F22" s="9"/>
      <c r="G22" s="9"/>
      <c r="H22" s="9"/>
    </row>
    <row r="23" ht="12.75" customHeight="1">
      <c r="A23" s="1" t="s">
        <v>8</v>
      </c>
      <c r="B23" s="12">
        <f t="shared" ref="B23:H23" si="3">+B19-B21</f>
        <v>-360381.3429</v>
      </c>
      <c r="C23" s="12">
        <f t="shared" si="3"/>
        <v>-346384.4219</v>
      </c>
      <c r="D23" s="12">
        <f t="shared" si="3"/>
        <v>-78122.60982</v>
      </c>
      <c r="E23" s="12">
        <f t="shared" si="3"/>
        <v>-200277.6255</v>
      </c>
      <c r="F23" s="12">
        <f t="shared" si="3"/>
        <v>-101775.496</v>
      </c>
      <c r="G23" s="12">
        <f t="shared" si="3"/>
        <v>626.5678826</v>
      </c>
      <c r="H23" s="12">
        <f t="shared" si="3"/>
        <v>128852.4854</v>
      </c>
    </row>
    <row r="24" ht="12.75" customHeight="1">
      <c r="B24" s="12"/>
      <c r="C24" s="12"/>
      <c r="D24" s="12"/>
      <c r="E24" s="12"/>
      <c r="F24" s="12"/>
      <c r="G24" s="12"/>
      <c r="H24" s="12"/>
    </row>
    <row r="25" ht="12.75" customHeight="1">
      <c r="A25" s="1" t="s">
        <v>9</v>
      </c>
      <c r="B25" s="12"/>
      <c r="C25" s="12"/>
      <c r="D25" s="12"/>
      <c r="E25" s="12"/>
      <c r="F25" s="12"/>
      <c r="G25" s="12"/>
      <c r="H25" s="12"/>
    </row>
    <row r="26" ht="12.75" customHeight="1">
      <c r="A26" s="1" t="s">
        <v>10</v>
      </c>
      <c r="B26" s="9">
        <f>SUM('P&amp;L Cash Flow Monthly'!K26:V26)</f>
        <v>748803.0214</v>
      </c>
      <c r="C26" s="9">
        <f>+'P&amp;L Cash Flow Monthly'!W26+'P&amp;L Cash Flow Monthly'!X26+'P&amp;L Cash Flow Monthly'!Y26+'P&amp;L Cash Flow Monthly'!Z26+'P&amp;L Cash Flow Monthly'!AA26+'P&amp;L Cash Flow Monthly'!AB26+'P&amp;L Cash Flow Monthly'!AC26+'P&amp;L Cash Flow Monthly'!AD26+'P&amp;L Cash Flow Monthly'!AE26+'P&amp;L Cash Flow Monthly'!AF26+'P&amp;L Cash Flow Monthly'!AG26+'P&amp;L Cash Flow Monthly'!AH26</f>
        <v>716210.632</v>
      </c>
      <c r="D26" s="9">
        <f>+'P&amp;L Cash Flow Monthly'!AI26+'P&amp;L Cash Flow Monthly'!AJ26+'P&amp;L Cash Flow Monthly'!AK26+'P&amp;L Cash Flow Monthly'!AL26+'P&amp;L Cash Flow Monthly'!AM26+'P&amp;L Cash Flow Monthly'!AN26+'P&amp;L Cash Flow Monthly'!AO26+'P&amp;L Cash Flow Monthly'!AP26+'P&amp;L Cash Flow Monthly'!AQ26+'P&amp;L Cash Flow Monthly'!AR26+'P&amp;L Cash Flow Monthly'!AS26+'P&amp;L Cash Flow Monthly'!AT26</f>
        <v>436657.1026</v>
      </c>
      <c r="E26" s="9">
        <f>+'P&amp;L Cash Flow Monthly'!AU26+'P&amp;L Cash Flow Monthly'!AV26+'P&amp;L Cash Flow Monthly'!AW26+'P&amp;L Cash Flow Monthly'!AX26+'P&amp;L Cash Flow Monthly'!AY26+'P&amp;L Cash Flow Monthly'!AZ26+'P&amp;L Cash Flow Monthly'!BA26+'P&amp;L Cash Flow Monthly'!BB26+'P&amp;L Cash Flow Monthly'!BC26+'P&amp;L Cash Flow Monthly'!BD26+'P&amp;L Cash Flow Monthly'!BE26+'P&amp;L Cash Flow Monthly'!BF26</f>
        <v>640677.4724</v>
      </c>
      <c r="F26" s="9">
        <f>+'P&amp;L Cash Flow Monthly'!BG26+'P&amp;L Cash Flow Monthly'!BH26+'P&amp;L Cash Flow Monthly'!BI26+'P&amp;L Cash Flow Monthly'!BJ26+'P&amp;L Cash Flow Monthly'!BK26+'P&amp;L Cash Flow Monthly'!BL26+'P&amp;L Cash Flow Monthly'!BM26+'P&amp;L Cash Flow Monthly'!BN26+'P&amp;L Cash Flow Monthly'!BO26+'P&amp;L Cash Flow Monthly'!BP26+'P&amp;L Cash Flow Monthly'!BQ26+'P&amp;L Cash Flow Monthly'!BR26</f>
        <v>526500.9377</v>
      </c>
      <c r="G26" s="9">
        <f>SUM('P&amp;L Cash Flow Monthly'!BS26:CD26)</f>
        <v>706946.1288</v>
      </c>
      <c r="H26" s="9">
        <f>SUM('P&amp;L Cash Flow Monthly'!CE26:CP26)</f>
        <v>1116644.09</v>
      </c>
    </row>
    <row r="27" ht="12.75" customHeight="1">
      <c r="A27" s="1" t="s">
        <v>11</v>
      </c>
      <c r="B27" s="9">
        <f>SUM('P&amp;L Cash Flow Monthly'!K27:V27)</f>
        <v>-773403.1181</v>
      </c>
      <c r="C27" s="9">
        <f>+'P&amp;L Cash Flow Monthly'!W27+'P&amp;L Cash Flow Monthly'!X27+'P&amp;L Cash Flow Monthly'!Y27+'P&amp;L Cash Flow Monthly'!Z27+'P&amp;L Cash Flow Monthly'!AA27+'P&amp;L Cash Flow Monthly'!AB27+'P&amp;L Cash Flow Monthly'!AC27+'P&amp;L Cash Flow Monthly'!AD27+'P&amp;L Cash Flow Monthly'!AE27+'P&amp;L Cash Flow Monthly'!AF27+'P&amp;L Cash Flow Monthly'!AG27+'P&amp;L Cash Flow Monthly'!AH27</f>
        <v>-695924.6679</v>
      </c>
      <c r="D27" s="9">
        <f>+'P&amp;L Cash Flow Monthly'!AI27+'P&amp;L Cash Flow Monthly'!AJ27+'P&amp;L Cash Flow Monthly'!AK27+'P&amp;L Cash Flow Monthly'!AL27+'P&amp;L Cash Flow Monthly'!AM27+'P&amp;L Cash Flow Monthly'!AN27+'P&amp;L Cash Flow Monthly'!AO27+'P&amp;L Cash Flow Monthly'!AP27+'P&amp;L Cash Flow Monthly'!AQ27+'P&amp;L Cash Flow Monthly'!AR27+'P&amp;L Cash Flow Monthly'!AS27+'P&amp;L Cash Flow Monthly'!AT27</f>
        <v>-413845.8948</v>
      </c>
      <c r="E27" s="9">
        <f>+'P&amp;L Cash Flow Monthly'!AU27+'P&amp;L Cash Flow Monthly'!AV27+'P&amp;L Cash Flow Monthly'!AW27+'P&amp;L Cash Flow Monthly'!AX27+'P&amp;L Cash Flow Monthly'!AY27+'P&amp;L Cash Flow Monthly'!AZ27+'P&amp;L Cash Flow Monthly'!BA27+'P&amp;L Cash Flow Monthly'!BB27+'P&amp;L Cash Flow Monthly'!BC27+'P&amp;L Cash Flow Monthly'!BD27+'P&amp;L Cash Flow Monthly'!BE27+'P&amp;L Cash Flow Monthly'!BF27</f>
        <v>-694703.0105</v>
      </c>
      <c r="F27" s="9">
        <f>+'P&amp;L Cash Flow Monthly'!BG27+'P&amp;L Cash Flow Monthly'!BH27+'P&amp;L Cash Flow Monthly'!BI27+'P&amp;L Cash Flow Monthly'!BJ27+'P&amp;L Cash Flow Monthly'!BK27+'P&amp;L Cash Flow Monthly'!BL27+'P&amp;L Cash Flow Monthly'!BM27+'P&amp;L Cash Flow Monthly'!BN27+'P&amp;L Cash Flow Monthly'!BO27+'P&amp;L Cash Flow Monthly'!BP27+'P&amp;L Cash Flow Monthly'!BQ27+'P&amp;L Cash Flow Monthly'!BR27</f>
        <v>-489003.9403</v>
      </c>
      <c r="G27" s="9">
        <f>SUM('P&amp;L Cash Flow Monthly'!BS27:CD27)</f>
        <v>-774169.5444</v>
      </c>
      <c r="H27" s="9">
        <f>SUM('P&amp;L Cash Flow Monthly'!CE27:CP27)</f>
        <v>-1187655.132</v>
      </c>
    </row>
    <row r="28" ht="12.75" customHeight="1">
      <c r="A28" s="1" t="s">
        <v>12</v>
      </c>
      <c r="B28" s="9">
        <f>SUM('P&amp;L Cash Flow Monthly'!K28:V28)</f>
        <v>175000</v>
      </c>
      <c r="C28" s="9">
        <f>+'P&amp;L Cash Flow Monthly'!W28+'P&amp;L Cash Flow Monthly'!X28+'P&amp;L Cash Flow Monthly'!Y28+'P&amp;L Cash Flow Monthly'!Z28+'P&amp;L Cash Flow Monthly'!AA28+'P&amp;L Cash Flow Monthly'!AB28+'P&amp;L Cash Flow Monthly'!AC28+'P&amp;L Cash Flow Monthly'!AD28+'P&amp;L Cash Flow Monthly'!AE28+'P&amp;L Cash Flow Monthly'!AF28+'P&amp;L Cash Flow Monthly'!AG28+'P&amp;L Cash Flow Monthly'!AH28</f>
        <v>118000</v>
      </c>
      <c r="D28" s="9">
        <f>+'P&amp;L Cash Flow Monthly'!AI28+'P&amp;L Cash Flow Monthly'!AJ28+'P&amp;L Cash Flow Monthly'!AK28+'P&amp;L Cash Flow Monthly'!AL28+'P&amp;L Cash Flow Monthly'!AM28+'P&amp;L Cash Flow Monthly'!AN28+'P&amp;L Cash Flow Monthly'!AO28+'P&amp;L Cash Flow Monthly'!AP28+'P&amp;L Cash Flow Monthly'!AQ28+'P&amp;L Cash Flow Monthly'!AR28+'P&amp;L Cash Flow Monthly'!AS28+'P&amp;L Cash Flow Monthly'!AT28</f>
        <v>79000</v>
      </c>
      <c r="E28" s="9">
        <f>+'P&amp;L Cash Flow Monthly'!AU28+'P&amp;L Cash Flow Monthly'!AV28+'P&amp;L Cash Flow Monthly'!AW28+'P&amp;L Cash Flow Monthly'!AX28+'P&amp;L Cash Flow Monthly'!AY28+'P&amp;L Cash Flow Monthly'!AZ28+'P&amp;L Cash Flow Monthly'!BA28+'P&amp;L Cash Flow Monthly'!BB28+'P&amp;L Cash Flow Monthly'!BC28+'P&amp;L Cash Flow Monthly'!BD28+'P&amp;L Cash Flow Monthly'!BE28+'P&amp;L Cash Flow Monthly'!BF28</f>
        <v>233000</v>
      </c>
      <c r="F28" s="9">
        <f>+'P&amp;L Cash Flow Monthly'!BG28+'P&amp;L Cash Flow Monthly'!BH28+'P&amp;L Cash Flow Monthly'!BI28+'P&amp;L Cash Flow Monthly'!BJ28+'P&amp;L Cash Flow Monthly'!BK28+'P&amp;L Cash Flow Monthly'!BL28+'P&amp;L Cash Flow Monthly'!BM28+'P&amp;L Cash Flow Monthly'!BN28+'P&amp;L Cash Flow Monthly'!BO28+'P&amp;L Cash Flow Monthly'!BP28+'P&amp;L Cash Flow Monthly'!BQ28+'P&amp;L Cash Flow Monthly'!BR28</f>
        <v>150000</v>
      </c>
      <c r="G28" s="9">
        <f>SUM('P&amp;L Cash Flow Monthly'!BS28:CD28)</f>
        <v>305000</v>
      </c>
      <c r="H28" s="9">
        <f>SUM('P&amp;L Cash Flow Monthly'!CE28:CP28)</f>
        <v>530000</v>
      </c>
    </row>
    <row r="29" ht="12.75" customHeight="1">
      <c r="A29" s="1" t="s">
        <v>13</v>
      </c>
      <c r="B29" s="9">
        <f>SUM('P&amp;L Cash Flow Monthly'!K29:V29)</f>
        <v>-170000</v>
      </c>
      <c r="C29" s="9">
        <f>+'P&amp;L Cash Flow Monthly'!W29+'P&amp;L Cash Flow Monthly'!X29+'P&amp;L Cash Flow Monthly'!Y29+'P&amp;L Cash Flow Monthly'!Z29+'P&amp;L Cash Flow Monthly'!AA29+'P&amp;L Cash Flow Monthly'!AB29+'P&amp;L Cash Flow Monthly'!AC29+'P&amp;L Cash Flow Monthly'!AD29+'P&amp;L Cash Flow Monthly'!AE29+'P&amp;L Cash Flow Monthly'!AF29+'P&amp;L Cash Flow Monthly'!AG29+'P&amp;L Cash Flow Monthly'!AH29</f>
        <v>-118000</v>
      </c>
      <c r="D29" s="9">
        <f>+'P&amp;L Cash Flow Monthly'!AI29+'P&amp;L Cash Flow Monthly'!AJ29+'P&amp;L Cash Flow Monthly'!AK29+'P&amp;L Cash Flow Monthly'!AL29+'P&amp;L Cash Flow Monthly'!AM29+'P&amp;L Cash Flow Monthly'!AN29+'P&amp;L Cash Flow Monthly'!AO29+'P&amp;L Cash Flow Monthly'!AP29+'P&amp;L Cash Flow Monthly'!AQ29+'P&amp;L Cash Flow Monthly'!AR29+'P&amp;L Cash Flow Monthly'!AS29+'P&amp;L Cash Flow Monthly'!AT29</f>
        <v>-77000</v>
      </c>
      <c r="E29" s="9">
        <f>+'P&amp;L Cash Flow Monthly'!AU29+'P&amp;L Cash Flow Monthly'!AV29+'P&amp;L Cash Flow Monthly'!AW29+'P&amp;L Cash Flow Monthly'!AX29+'P&amp;L Cash Flow Monthly'!AY29+'P&amp;L Cash Flow Monthly'!AZ29+'P&amp;L Cash Flow Monthly'!BA29+'P&amp;L Cash Flow Monthly'!BB29+'P&amp;L Cash Flow Monthly'!BC29+'P&amp;L Cash Flow Monthly'!BD29+'P&amp;L Cash Flow Monthly'!BE29+'P&amp;L Cash Flow Monthly'!BF29</f>
        <v>-250000</v>
      </c>
      <c r="F29" s="9">
        <f>+'P&amp;L Cash Flow Monthly'!BG29+'P&amp;L Cash Flow Monthly'!BH29+'P&amp;L Cash Flow Monthly'!BI29+'P&amp;L Cash Flow Monthly'!BJ29+'P&amp;L Cash Flow Monthly'!BK29+'P&amp;L Cash Flow Monthly'!BL29+'P&amp;L Cash Flow Monthly'!BM29+'P&amp;L Cash Flow Monthly'!BN29+'P&amp;L Cash Flow Monthly'!BO29+'P&amp;L Cash Flow Monthly'!BP29+'P&amp;L Cash Flow Monthly'!BQ29+'P&amp;L Cash Flow Monthly'!BR29</f>
        <v>-140000</v>
      </c>
      <c r="G29" s="9">
        <f>SUM('P&amp;L Cash Flow Monthly'!BS29:CD29)</f>
        <v>-325000</v>
      </c>
      <c r="H29" s="9">
        <f>SUM('P&amp;L Cash Flow Monthly'!CE29:CP29)</f>
        <v>-495000</v>
      </c>
    </row>
    <row r="30" ht="12.75" customHeight="1">
      <c r="A30" s="1" t="s">
        <v>14</v>
      </c>
      <c r="B30" s="9">
        <f>SUM('P&amp;L Cash Flow Monthly'!K30:V30)</f>
        <v>0</v>
      </c>
      <c r="C30" s="9">
        <f>+'P&amp;L Cash Flow Monthly'!W30+'P&amp;L Cash Flow Monthly'!X30+'P&amp;L Cash Flow Monthly'!Y30+'P&amp;L Cash Flow Monthly'!Z30+'P&amp;L Cash Flow Monthly'!AA30+'P&amp;L Cash Flow Monthly'!AB30+'P&amp;L Cash Flow Monthly'!AC30+'P&amp;L Cash Flow Monthly'!AD30+'P&amp;L Cash Flow Monthly'!AE30+'P&amp;L Cash Flow Monthly'!AF30+'P&amp;L Cash Flow Monthly'!AG30+'P&amp;L Cash Flow Monthly'!AH30</f>
        <v>0</v>
      </c>
      <c r="D30" s="9">
        <f>+'P&amp;L Cash Flow Monthly'!AI30+'P&amp;L Cash Flow Monthly'!AJ30+'P&amp;L Cash Flow Monthly'!AK30+'P&amp;L Cash Flow Monthly'!AL30+'P&amp;L Cash Flow Monthly'!AM30+'P&amp;L Cash Flow Monthly'!AN30+'P&amp;L Cash Flow Monthly'!AO30+'P&amp;L Cash Flow Monthly'!AP30+'P&amp;L Cash Flow Monthly'!AQ30+'P&amp;L Cash Flow Monthly'!AR30+'P&amp;L Cash Flow Monthly'!AS30+'P&amp;L Cash Flow Monthly'!AT30</f>
        <v>0</v>
      </c>
      <c r="E30" s="9">
        <f>+'P&amp;L Cash Flow Monthly'!AU30+'P&amp;L Cash Flow Monthly'!AV30+'P&amp;L Cash Flow Monthly'!AW30+'P&amp;L Cash Flow Monthly'!AX30+'P&amp;L Cash Flow Monthly'!AY30+'P&amp;L Cash Flow Monthly'!AZ30+'P&amp;L Cash Flow Monthly'!BA30+'P&amp;L Cash Flow Monthly'!BB30+'P&amp;L Cash Flow Monthly'!BC30+'P&amp;L Cash Flow Monthly'!BD30+'P&amp;L Cash Flow Monthly'!BE30+'P&amp;L Cash Flow Monthly'!BF30</f>
        <v>0</v>
      </c>
      <c r="F30" s="9">
        <f>+'P&amp;L Cash Flow Monthly'!BG30+'P&amp;L Cash Flow Monthly'!BH30+'P&amp;L Cash Flow Monthly'!BI30+'P&amp;L Cash Flow Monthly'!BJ30+'P&amp;L Cash Flow Monthly'!BK30+'P&amp;L Cash Flow Monthly'!BL30+'P&amp;L Cash Flow Monthly'!BM30+'P&amp;L Cash Flow Monthly'!BN30+'P&amp;L Cash Flow Monthly'!BO30+'P&amp;L Cash Flow Monthly'!BP30+'P&amp;L Cash Flow Monthly'!BQ30+'P&amp;L Cash Flow Monthly'!BR30</f>
        <v>0</v>
      </c>
      <c r="G30" s="9">
        <f>SUM('P&amp;L Cash Flow Monthly'!BS30:CD30)</f>
        <v>0</v>
      </c>
      <c r="H30" s="9">
        <f>SUM('P&amp;L Cash Flow Monthly'!CE30:CP30)</f>
        <v>0</v>
      </c>
    </row>
    <row r="31" ht="12.75" customHeight="1">
      <c r="A31" s="1" t="s">
        <v>15</v>
      </c>
      <c r="B31" s="9">
        <f>SUM('P&amp;L Cash Flow Monthly'!K31:V31)</f>
        <v>0</v>
      </c>
      <c r="C31" s="9">
        <f>+'P&amp;L Cash Flow Monthly'!W31+'P&amp;L Cash Flow Monthly'!X31+'P&amp;L Cash Flow Monthly'!Y31+'P&amp;L Cash Flow Monthly'!Z31+'P&amp;L Cash Flow Monthly'!AA31+'P&amp;L Cash Flow Monthly'!AB31+'P&amp;L Cash Flow Monthly'!AC31+'P&amp;L Cash Flow Monthly'!AD31+'P&amp;L Cash Flow Monthly'!AE31+'P&amp;L Cash Flow Monthly'!AF31+'P&amp;L Cash Flow Monthly'!AG31+'P&amp;L Cash Flow Monthly'!AH31</f>
        <v>0</v>
      </c>
      <c r="D31" s="9">
        <f>+'P&amp;L Cash Flow Monthly'!AI31+'P&amp;L Cash Flow Monthly'!AJ31+'P&amp;L Cash Flow Monthly'!AK31+'P&amp;L Cash Flow Monthly'!AL31+'P&amp;L Cash Flow Monthly'!AM31+'P&amp;L Cash Flow Monthly'!AN31+'P&amp;L Cash Flow Monthly'!AO31+'P&amp;L Cash Flow Monthly'!AP31+'P&amp;L Cash Flow Monthly'!AQ31+'P&amp;L Cash Flow Monthly'!AR31+'P&amp;L Cash Flow Monthly'!AS31+'P&amp;L Cash Flow Monthly'!AT31</f>
        <v>0</v>
      </c>
      <c r="E31" s="9">
        <f>+'P&amp;L Cash Flow Monthly'!AU31+'P&amp;L Cash Flow Monthly'!AV31+'P&amp;L Cash Flow Monthly'!AW31+'P&amp;L Cash Flow Monthly'!AX31+'P&amp;L Cash Flow Monthly'!AY31+'P&amp;L Cash Flow Monthly'!AZ31+'P&amp;L Cash Flow Monthly'!BA31+'P&amp;L Cash Flow Monthly'!BB31+'P&amp;L Cash Flow Monthly'!BC31+'P&amp;L Cash Flow Monthly'!BD31+'P&amp;L Cash Flow Monthly'!BE31+'P&amp;L Cash Flow Monthly'!BF31</f>
        <v>0</v>
      </c>
      <c r="F31" s="9">
        <f>+'P&amp;L Cash Flow Monthly'!BG31+'P&amp;L Cash Flow Monthly'!BH31+'P&amp;L Cash Flow Monthly'!BI31+'P&amp;L Cash Flow Monthly'!BJ31+'P&amp;L Cash Flow Monthly'!BK31+'P&amp;L Cash Flow Monthly'!BL31+'P&amp;L Cash Flow Monthly'!BM31+'P&amp;L Cash Flow Monthly'!BN31+'P&amp;L Cash Flow Monthly'!BO31+'P&amp;L Cash Flow Monthly'!BP31+'P&amp;L Cash Flow Monthly'!BQ31+'P&amp;L Cash Flow Monthly'!BR31</f>
        <v>0</v>
      </c>
      <c r="G31" s="9">
        <f>SUM('P&amp;L Cash Flow Monthly'!BS31:CD31)</f>
        <v>0</v>
      </c>
      <c r="H31" s="9">
        <f>SUM('P&amp;L Cash Flow Monthly'!CE31:CP31)</f>
        <v>0</v>
      </c>
    </row>
    <row r="32" ht="12.75" customHeight="1">
      <c r="A32" s="1" t="s">
        <v>16</v>
      </c>
      <c r="B32" s="9">
        <f>SUM('P&amp;L Cash Flow Monthly'!K32:V32)</f>
        <v>400000</v>
      </c>
      <c r="C32" s="9">
        <f>+'P&amp;L Cash Flow Monthly'!W32+'P&amp;L Cash Flow Monthly'!X32+'P&amp;L Cash Flow Monthly'!Y32+'P&amp;L Cash Flow Monthly'!Z32+'P&amp;L Cash Flow Monthly'!AA32+'P&amp;L Cash Flow Monthly'!AB32+'P&amp;L Cash Flow Monthly'!AC32+'P&amp;L Cash Flow Monthly'!AD32+'P&amp;L Cash Flow Monthly'!AE32+'P&amp;L Cash Flow Monthly'!AF32+'P&amp;L Cash Flow Monthly'!AG32+'P&amp;L Cash Flow Monthly'!AH32</f>
        <v>285000</v>
      </c>
      <c r="D32" s="9">
        <f>+'P&amp;L Cash Flow Monthly'!AI32+'P&amp;L Cash Flow Monthly'!AJ32+'P&amp;L Cash Flow Monthly'!AK32+'P&amp;L Cash Flow Monthly'!AL32+'P&amp;L Cash Flow Monthly'!AM32+'P&amp;L Cash Flow Monthly'!AN32+'P&amp;L Cash Flow Monthly'!AO32+'P&amp;L Cash Flow Monthly'!AP32+'P&amp;L Cash Flow Monthly'!AQ32+'P&amp;L Cash Flow Monthly'!AR32+'P&amp;L Cash Flow Monthly'!AS32+'P&amp;L Cash Flow Monthly'!AT32</f>
        <v>-14589</v>
      </c>
      <c r="E32" s="9">
        <f>+'P&amp;L Cash Flow Monthly'!AU32+'P&amp;L Cash Flow Monthly'!AV32+'P&amp;L Cash Flow Monthly'!AW32+'P&amp;L Cash Flow Monthly'!AX32+'P&amp;L Cash Flow Monthly'!AY32+'P&amp;L Cash Flow Monthly'!AZ32+'P&amp;L Cash Flow Monthly'!BA32+'P&amp;L Cash Flow Monthly'!BB32+'P&amp;L Cash Flow Monthly'!BC32+'P&amp;L Cash Flow Monthly'!BD32+'P&amp;L Cash Flow Monthly'!BE32+'P&amp;L Cash Flow Monthly'!BF32</f>
        <v>400000</v>
      </c>
      <c r="F32" s="9">
        <f>+'P&amp;L Cash Flow Monthly'!BG32+'P&amp;L Cash Flow Monthly'!BH32+'P&amp;L Cash Flow Monthly'!BI32+'P&amp;L Cash Flow Monthly'!BJ32+'P&amp;L Cash Flow Monthly'!BK32+'P&amp;L Cash Flow Monthly'!BL32+'P&amp;L Cash Flow Monthly'!BM32+'P&amp;L Cash Flow Monthly'!BN32+'P&amp;L Cash Flow Monthly'!BO32+'P&amp;L Cash Flow Monthly'!BP32+'P&amp;L Cash Flow Monthly'!BQ32+'P&amp;L Cash Flow Monthly'!BR32</f>
        <v>-15000</v>
      </c>
      <c r="G32" s="9">
        <f>SUM('P&amp;L Cash Flow Monthly'!BS32:CD32)</f>
        <v>0</v>
      </c>
      <c r="H32" s="9">
        <f>SUM('P&amp;L Cash Flow Monthly'!CE32:CP32)</f>
        <v>0</v>
      </c>
    </row>
    <row r="33" ht="12.75" customHeight="1">
      <c r="B33" s="13"/>
      <c r="C33" s="13"/>
      <c r="D33" s="13"/>
      <c r="E33" s="13"/>
      <c r="F33" s="13"/>
      <c r="G33" s="13"/>
      <c r="H33" s="13"/>
    </row>
    <row r="34" ht="12.75" customHeight="1">
      <c r="A34" s="1"/>
      <c r="B34" s="12"/>
      <c r="C34" s="12"/>
      <c r="D34" s="12"/>
      <c r="E34" s="12"/>
      <c r="F34" s="12"/>
      <c r="G34" s="12"/>
      <c r="H34" s="12"/>
    </row>
    <row r="35" ht="12.75" customHeight="1">
      <c r="A35" s="1" t="s">
        <v>17</v>
      </c>
      <c r="B35" s="12">
        <f t="shared" ref="B35:H35" si="4">SUM(B23:B33)</f>
        <v>20018.56045</v>
      </c>
      <c r="C35" s="12">
        <f t="shared" si="4"/>
        <v>-41098.45777</v>
      </c>
      <c r="D35" s="12">
        <f t="shared" si="4"/>
        <v>-67900.40201</v>
      </c>
      <c r="E35" s="12">
        <f t="shared" si="4"/>
        <v>128696.8364</v>
      </c>
      <c r="F35" s="12">
        <f t="shared" si="4"/>
        <v>-69278.49865</v>
      </c>
      <c r="G35" s="12">
        <f t="shared" si="4"/>
        <v>-86596.84767</v>
      </c>
      <c r="H35" s="12">
        <f t="shared" si="4"/>
        <v>92841.44336</v>
      </c>
    </row>
    <row r="36" ht="12.75" customHeight="1">
      <c r="B36" s="12"/>
      <c r="C36" s="12"/>
      <c r="D36" s="12"/>
      <c r="E36" s="12"/>
      <c r="F36" s="12"/>
      <c r="G36" s="12"/>
      <c r="H36" s="12"/>
    </row>
    <row r="37" ht="12.75" customHeight="1">
      <c r="A37" s="1" t="s">
        <v>18</v>
      </c>
      <c r="B37" s="10">
        <f>'P&amp;L Cash Flow Monthly'!K37:K38</f>
        <v>179360.0061</v>
      </c>
      <c r="C37" s="13">
        <f t="shared" ref="C37:H37" si="5">+B39</f>
        <v>199378.5666</v>
      </c>
      <c r="D37" s="13">
        <f t="shared" si="5"/>
        <v>158280.1088</v>
      </c>
      <c r="E37" s="13">
        <f t="shared" si="5"/>
        <v>90379.70681</v>
      </c>
      <c r="F37" s="13">
        <f t="shared" si="5"/>
        <v>219076.5432</v>
      </c>
      <c r="G37" s="13">
        <f t="shared" si="5"/>
        <v>149798.0446</v>
      </c>
      <c r="H37" s="13">
        <f t="shared" si="5"/>
        <v>63201.19693</v>
      </c>
    </row>
    <row r="38" ht="12.75" customHeight="1">
      <c r="B38" s="12"/>
      <c r="C38" s="12"/>
      <c r="D38" s="12"/>
      <c r="E38" s="12"/>
      <c r="F38" s="12"/>
      <c r="G38" s="12"/>
      <c r="H38" s="12"/>
    </row>
    <row r="39" ht="12.75" customHeight="1">
      <c r="A39" s="1" t="s">
        <v>19</v>
      </c>
      <c r="B39" s="14">
        <f t="shared" ref="B39:H39" si="6">SUM(B35:B37)</f>
        <v>199378.5666</v>
      </c>
      <c r="C39" s="14">
        <f t="shared" si="6"/>
        <v>158280.1088</v>
      </c>
      <c r="D39" s="14">
        <f t="shared" si="6"/>
        <v>90379.70681</v>
      </c>
      <c r="E39" s="14">
        <f t="shared" si="6"/>
        <v>219076.5432</v>
      </c>
      <c r="F39" s="14">
        <f t="shared" si="6"/>
        <v>149798.0446</v>
      </c>
      <c r="G39" s="14">
        <f t="shared" si="6"/>
        <v>63201.19693</v>
      </c>
      <c r="H39" s="14">
        <f t="shared" si="6"/>
        <v>156042.6403</v>
      </c>
    </row>
    <row r="40" ht="12.75" customHeight="1">
      <c r="B40" s="7"/>
      <c r="C40" s="7"/>
      <c r="D40" s="7"/>
      <c r="E40" s="7"/>
      <c r="F40" s="7"/>
      <c r="G40" s="7"/>
      <c r="H40" s="7"/>
    </row>
    <row r="41" ht="12.75" customHeight="1">
      <c r="B41" s="9"/>
      <c r="C41" s="9"/>
      <c r="D41" s="9"/>
      <c r="E41" s="9"/>
      <c r="F41" s="9"/>
      <c r="G41" s="9"/>
      <c r="H41" s="9"/>
    </row>
    <row r="42" ht="12.75" customHeight="1">
      <c r="A42" s="1" t="s">
        <v>20</v>
      </c>
      <c r="B42" s="15">
        <f t="shared" ref="B42:H42" si="7">B19/B15</f>
        <v>0.2822769542</v>
      </c>
      <c r="C42" s="15">
        <f t="shared" si="7"/>
        <v>0.2966708108</v>
      </c>
      <c r="D42" s="15">
        <f t="shared" si="7"/>
        <v>0.3966716684</v>
      </c>
      <c r="E42" s="15">
        <f t="shared" si="7"/>
        <v>0.3966700756</v>
      </c>
      <c r="F42" s="15">
        <f t="shared" si="7"/>
        <v>0.4882427617</v>
      </c>
      <c r="G42" s="15">
        <f t="shared" si="7"/>
        <v>0.5608349702</v>
      </c>
      <c r="H42" s="15">
        <f t="shared" si="7"/>
        <v>0.5608343697</v>
      </c>
    </row>
    <row r="43" ht="12.75" customHeight="1">
      <c r="A43" s="1"/>
      <c r="B43" s="9"/>
      <c r="C43" s="9"/>
      <c r="D43" s="9"/>
      <c r="E43" s="9"/>
      <c r="F43" s="9"/>
      <c r="G43" s="9"/>
      <c r="H43" s="9"/>
    </row>
    <row r="44" ht="12.75" customHeight="1">
      <c r="A44" s="1" t="s">
        <v>21</v>
      </c>
      <c r="B44" s="15">
        <f t="shared" ref="B44:H44" si="8">B23/B15</f>
        <v>-0.3454232791</v>
      </c>
      <c r="C44" s="15">
        <f t="shared" si="8"/>
        <v>-0.3401545072</v>
      </c>
      <c r="D44" s="15">
        <f t="shared" si="8"/>
        <v>-0.1079418692</v>
      </c>
      <c r="E44" s="15">
        <f t="shared" si="8"/>
        <v>-0.1886026743</v>
      </c>
      <c r="F44" s="15">
        <f t="shared" si="8"/>
        <v>-0.09892545869</v>
      </c>
      <c r="G44" s="15">
        <f t="shared" si="8"/>
        <v>0.0003892329155</v>
      </c>
      <c r="H44" s="15">
        <f t="shared" si="8"/>
        <v>0.05067647203</v>
      </c>
    </row>
    <row r="45" ht="12.75" customHeight="1">
      <c r="B45" s="9"/>
      <c r="C45" s="9"/>
      <c r="D45" s="9"/>
      <c r="E45" s="9"/>
      <c r="F45" s="9"/>
      <c r="G45" s="9"/>
      <c r="H45" s="9"/>
    </row>
    <row r="46" ht="12.75" customHeight="1">
      <c r="B46" s="9"/>
      <c r="C46" s="9"/>
      <c r="D46" s="9"/>
      <c r="E46" s="9"/>
    </row>
    <row r="47" ht="12.75" customHeight="1">
      <c r="B47" s="9"/>
      <c r="C47" s="9"/>
      <c r="D47" s="9"/>
      <c r="E47" s="9"/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3:E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7.14"/>
    <col customWidth="1" hidden="1" min="2" max="4" width="10.43"/>
    <col customWidth="1" hidden="1" min="5" max="41" width="12.71"/>
    <col customWidth="1" hidden="1" min="42" max="42" width="10.14"/>
    <col customWidth="1" hidden="1" min="43" max="45" width="12.71"/>
    <col customWidth="1" min="46" max="69" width="15.71"/>
    <col customWidth="1" min="70" max="70" width="24.43"/>
    <col customWidth="1" min="71" max="94" width="15.71"/>
    <col customWidth="1" min="95" max="95" width="18.14"/>
    <col customWidth="1" min="96" max="96" width="17.86"/>
    <col customWidth="1" min="97" max="97" width="15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 t="s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 t="s">
        <v>0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2" t="s">
        <v>0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ht="30.0" customHeight="1">
      <c r="A3" s="2" t="s">
        <v>22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 t="s">
        <v>22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 t="s">
        <v>22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2" t="s">
        <v>22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6"/>
      <c r="W6" s="16"/>
      <c r="X6" s="16"/>
      <c r="Y6" s="16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ht="13.5" customHeight="1">
      <c r="B8" s="17">
        <v>43951.0</v>
      </c>
      <c r="C8" s="17">
        <v>43982.0</v>
      </c>
      <c r="D8" s="17">
        <v>44012.0</v>
      </c>
      <c r="E8" s="17">
        <v>44043.0</v>
      </c>
      <c r="F8" s="17">
        <v>44074.0</v>
      </c>
      <c r="G8" s="17">
        <v>44104.0</v>
      </c>
      <c r="H8" s="17">
        <v>44135.0</v>
      </c>
      <c r="I8" s="17">
        <v>44165.0</v>
      </c>
      <c r="J8" s="17">
        <v>44196.0</v>
      </c>
      <c r="K8" s="17">
        <v>44227.0</v>
      </c>
      <c r="L8" s="17">
        <v>44255.0</v>
      </c>
      <c r="M8" s="17">
        <v>44286.0</v>
      </c>
      <c r="N8" s="17">
        <v>44316.0</v>
      </c>
      <c r="O8" s="17">
        <v>44347.0</v>
      </c>
      <c r="P8" s="17">
        <v>44377.0</v>
      </c>
      <c r="Q8" s="17">
        <v>44408.0</v>
      </c>
      <c r="R8" s="17">
        <v>44439.0</v>
      </c>
      <c r="S8" s="17">
        <v>44469.0</v>
      </c>
      <c r="T8" s="17">
        <v>44500.0</v>
      </c>
      <c r="U8" s="17">
        <v>44530.0</v>
      </c>
      <c r="V8" s="17">
        <v>44561.0</v>
      </c>
      <c r="W8" s="17">
        <v>44592.0</v>
      </c>
      <c r="X8" s="17">
        <v>44620.0</v>
      </c>
      <c r="Y8" s="17">
        <v>44651.0</v>
      </c>
      <c r="Z8" s="17">
        <v>44681.0</v>
      </c>
      <c r="AA8" s="17">
        <v>44712.0</v>
      </c>
      <c r="AB8" s="17">
        <v>44742.0</v>
      </c>
      <c r="AC8" s="17">
        <v>44773.0</v>
      </c>
      <c r="AD8" s="17">
        <v>44804.0</v>
      </c>
      <c r="AE8" s="17">
        <v>44834.0</v>
      </c>
      <c r="AF8" s="17">
        <v>44865.0</v>
      </c>
      <c r="AG8" s="17">
        <v>44895.0</v>
      </c>
      <c r="AH8" s="17">
        <v>44926.0</v>
      </c>
      <c r="AI8" s="17">
        <v>44957.0</v>
      </c>
      <c r="AJ8" s="17">
        <v>44985.0</v>
      </c>
      <c r="AK8" s="17">
        <v>45016.0</v>
      </c>
      <c r="AL8" s="17">
        <v>45046.0</v>
      </c>
      <c r="AM8" s="17">
        <v>45077.0</v>
      </c>
      <c r="AN8" s="17">
        <v>45107.0</v>
      </c>
      <c r="AO8" s="17">
        <v>45138.0</v>
      </c>
      <c r="AP8" s="17">
        <v>45169.0</v>
      </c>
      <c r="AQ8" s="17">
        <v>45199.0</v>
      </c>
      <c r="AR8" s="17">
        <v>45230.0</v>
      </c>
      <c r="AS8" s="17">
        <v>45260.0</v>
      </c>
      <c r="AT8" s="17">
        <v>45291.0</v>
      </c>
      <c r="AU8" s="17">
        <v>45322.0</v>
      </c>
      <c r="AV8" s="17">
        <v>45351.0</v>
      </c>
      <c r="AW8" s="17">
        <v>45382.0</v>
      </c>
      <c r="AX8" s="17">
        <v>45412.0</v>
      </c>
      <c r="AY8" s="17">
        <v>45443.0</v>
      </c>
      <c r="AZ8" s="17">
        <v>45473.0</v>
      </c>
      <c r="BA8" s="17">
        <v>45504.0</v>
      </c>
      <c r="BB8" s="17">
        <v>45535.0</v>
      </c>
      <c r="BC8" s="17">
        <v>45565.0</v>
      </c>
      <c r="BD8" s="17">
        <v>45596.0</v>
      </c>
      <c r="BE8" s="17">
        <v>45626.0</v>
      </c>
      <c r="BF8" s="17">
        <v>45657.0</v>
      </c>
      <c r="BG8" s="17">
        <v>45688.0</v>
      </c>
      <c r="BH8" s="17">
        <v>45716.0</v>
      </c>
      <c r="BI8" s="17">
        <v>45747.0</v>
      </c>
      <c r="BJ8" s="17">
        <v>45777.0</v>
      </c>
      <c r="BK8" s="17">
        <v>45808.0</v>
      </c>
      <c r="BL8" s="17">
        <v>45838.0</v>
      </c>
      <c r="BM8" s="17">
        <v>45869.0</v>
      </c>
      <c r="BN8" s="17">
        <v>45900.0</v>
      </c>
      <c r="BO8" s="17">
        <v>45930.0</v>
      </c>
      <c r="BP8" s="17">
        <v>45961.0</v>
      </c>
      <c r="BQ8" s="17">
        <v>45991.0</v>
      </c>
      <c r="BR8" s="17">
        <v>46022.0</v>
      </c>
      <c r="BS8" s="17">
        <v>46053.0</v>
      </c>
      <c r="BT8" s="17">
        <v>46081.0</v>
      </c>
      <c r="BU8" s="17">
        <v>46112.0</v>
      </c>
      <c r="BV8" s="17">
        <v>46142.0</v>
      </c>
      <c r="BW8" s="17">
        <v>46173.0</v>
      </c>
      <c r="BX8" s="17">
        <v>46203.0</v>
      </c>
      <c r="BY8" s="17">
        <v>46234.0</v>
      </c>
      <c r="BZ8" s="17">
        <v>46265.0</v>
      </c>
      <c r="CA8" s="17">
        <v>46295.0</v>
      </c>
      <c r="CB8" s="17">
        <v>46326.0</v>
      </c>
      <c r="CC8" s="17">
        <v>46356.0</v>
      </c>
      <c r="CD8" s="17">
        <v>46387.0</v>
      </c>
      <c r="CE8" s="17">
        <v>46418.0</v>
      </c>
      <c r="CF8" s="17">
        <v>46446.0</v>
      </c>
      <c r="CG8" s="17">
        <v>46477.0</v>
      </c>
      <c r="CH8" s="17">
        <v>46507.0</v>
      </c>
      <c r="CI8" s="17">
        <v>46538.0</v>
      </c>
      <c r="CJ8" s="17">
        <v>46568.0</v>
      </c>
      <c r="CK8" s="17">
        <v>46599.0</v>
      </c>
      <c r="CL8" s="17">
        <v>46630.0</v>
      </c>
      <c r="CM8" s="17">
        <v>46660.0</v>
      </c>
      <c r="CN8" s="17">
        <v>46691.0</v>
      </c>
      <c r="CO8" s="17">
        <v>46721.0</v>
      </c>
      <c r="CP8" s="17">
        <v>46752.0</v>
      </c>
      <c r="CQ8" s="17">
        <v>46753.0</v>
      </c>
      <c r="CR8" s="17">
        <v>46754.0</v>
      </c>
      <c r="CS8" s="17">
        <v>46755.0</v>
      </c>
    </row>
    <row r="9" ht="12.75" customHeight="1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ht="12.75" hidden="1" customHeight="1">
      <c r="A10" s="5" t="s">
        <v>2</v>
      </c>
    </row>
    <row r="11" ht="12.75" hidden="1" customHeight="1">
      <c r="A11" s="5" t="s">
        <v>3</v>
      </c>
      <c r="B11" s="7"/>
      <c r="C11" s="7">
        <f>+'Rev 2'!V13</f>
        <v>65.08498677</v>
      </c>
      <c r="D11" s="7">
        <f>+'Rev 2'!W13</f>
        <v>782.6959509</v>
      </c>
      <c r="E11" s="7">
        <f>+'Rev 2'!X13</f>
        <v>1192.759359</v>
      </c>
      <c r="F11" s="7">
        <f>+'Rev 2'!Y13</f>
        <v>1545.461656</v>
      </c>
      <c r="G11" s="7">
        <f>+'Rev 2'!Z13</f>
        <v>1523.211089</v>
      </c>
      <c r="H11" s="7">
        <f>+'Rev 2'!AA13</f>
        <v>2184.172078</v>
      </c>
      <c r="I11" s="7">
        <f>+'Rev 2'!AB13</f>
        <v>4280.354996</v>
      </c>
      <c r="J11" s="7">
        <f>+'Rev 2'!AC13</f>
        <v>4144.122108</v>
      </c>
      <c r="K11" s="7">
        <f>+'Rev 2'!AD13</f>
        <v>6693.538286</v>
      </c>
      <c r="L11" s="7">
        <f>+'Rev 2'!AE13</f>
        <v>8429.584441</v>
      </c>
      <c r="M11" s="7">
        <f>+'Rev 2'!AF13</f>
        <v>11986.61825</v>
      </c>
      <c r="N11" s="7">
        <f>+'Rev 2'!AG13</f>
        <v>11989.17714</v>
      </c>
      <c r="O11" s="7">
        <f>+'Rev 2'!AH13</f>
        <v>10556.8553</v>
      </c>
      <c r="P11" s="7">
        <f>+'Rev 2'!AI13</f>
        <v>9124.533447</v>
      </c>
      <c r="Q11" s="7">
        <f>+'Rev 2'!AJ13</f>
        <v>8443.369006</v>
      </c>
      <c r="R11" s="7">
        <f>+'Rev 2'!AK13</f>
        <v>9697.856912</v>
      </c>
      <c r="S11" s="7">
        <f>+'Rev 2'!AL13</f>
        <v>11977.50334</v>
      </c>
      <c r="T11" s="7">
        <f>+'Rev 2'!AM13</f>
        <v>16307.46681</v>
      </c>
      <c r="U11" s="7">
        <f>+'Rev 2'!AN13</f>
        <v>15047.78396</v>
      </c>
      <c r="V11" s="7">
        <f>+'Rev 2'!AO13</f>
        <v>12832.81882</v>
      </c>
      <c r="W11" s="7">
        <f>+'Rev 2'!AP13</f>
        <v>9392.048262</v>
      </c>
      <c r="X11" s="7">
        <f>+'Rev 2'!AQ13</f>
        <v>10103.12956</v>
      </c>
      <c r="Y11" s="7">
        <f>+'Rev 2'!AR13</f>
        <v>10800.14854</v>
      </c>
      <c r="Z11" s="7">
        <f>+'Rev 2'!AS13</f>
        <v>10959.16634</v>
      </c>
      <c r="AA11" s="7">
        <f>+'Rev 2'!AT13</f>
        <v>11019.74793</v>
      </c>
      <c r="AB11" s="7">
        <f>+'Rev 2'!AU13</f>
        <v>10195.79417</v>
      </c>
      <c r="AC11" s="7">
        <f>+'Rev 2'!AV13</f>
        <v>9162.663446</v>
      </c>
      <c r="AD11" s="7">
        <f>+'Rev 2'!AW13</f>
        <v>8712.987625</v>
      </c>
      <c r="AE11" s="7">
        <f>+'Rev 2'!AX13</f>
        <v>10609.02756</v>
      </c>
      <c r="AF11" s="7">
        <f>+'Rev 2'!AY13</f>
        <v>12563.07455</v>
      </c>
      <c r="AG11" s="7">
        <f>+'Rev 2'!AZ13</f>
        <v>12545.24413</v>
      </c>
      <c r="AH11" s="7">
        <f>+'Rev 2'!BA13</f>
        <v>11231.58732</v>
      </c>
      <c r="AI11" s="7">
        <f>+'Rev 2'!BB13</f>
        <v>9730.175075</v>
      </c>
      <c r="AJ11" s="7">
        <f>+'Rev 2'!BC13</f>
        <v>8793.188823</v>
      </c>
      <c r="AK11" s="7">
        <f>+'Rev 2'!BD13</f>
        <v>7779.255186</v>
      </c>
      <c r="AL11" s="7">
        <f>+'Rev 2'!BE13</f>
        <v>6787.022019</v>
      </c>
      <c r="AM11" s="7">
        <f>+'Rev 2'!BF13</f>
        <v>6960.335181</v>
      </c>
      <c r="AN11" s="7">
        <f>+'Rev 2'!BG13</f>
        <v>7200.006367</v>
      </c>
      <c r="AO11" s="7">
        <f>+'Rev 2'!BH13</f>
        <v>7439.991906</v>
      </c>
      <c r="AP11" s="7">
        <f>+'Rev 2'!BI13</f>
        <v>7419.213556</v>
      </c>
      <c r="AQ11" s="7">
        <f>+'Rev 2'!BJ13</f>
        <v>7398.435206</v>
      </c>
      <c r="AR11" s="7">
        <f>+'Rev 2'!BK13</f>
        <v>7282.112875</v>
      </c>
      <c r="AS11" s="7">
        <f>+'Rev 2'!BL13</f>
        <v>7059.869187</v>
      </c>
      <c r="AT11" s="7">
        <f>+'Rev 2'!BM13</f>
        <v>6624.026379</v>
      </c>
      <c r="AU11" s="7">
        <f>+'Rev 2'!BN13</f>
        <v>6606.725002</v>
      </c>
      <c r="AV11" s="7">
        <f>+'Rev 2'!BO13</f>
        <v>7190.559931</v>
      </c>
      <c r="AW11" s="7">
        <f>+'Rev 2'!BP13</f>
        <v>8993.549349</v>
      </c>
      <c r="AX11" s="7">
        <f>+'Rev 2'!BQ13</f>
        <v>10356.9611</v>
      </c>
      <c r="AY11" s="7">
        <f>+'Rev 2'!BR13</f>
        <v>11774.36032</v>
      </c>
      <c r="AZ11" s="7">
        <f>+'Rev 2'!BS13</f>
        <v>12230.77441</v>
      </c>
      <c r="BA11" s="7">
        <f>+'Rev 2'!BT13</f>
        <v>13033.35983</v>
      </c>
      <c r="BB11" s="7">
        <f>+'Rev 2'!BU13</f>
        <v>14099.50194</v>
      </c>
      <c r="BC11" s="7">
        <f>+'Rev 2'!BV13</f>
        <v>13583.97091</v>
      </c>
      <c r="BD11" s="7">
        <f>+'Rev 2'!BW13</f>
        <v>12736.22332</v>
      </c>
      <c r="BE11" s="7">
        <f>+'Rev 2'!BX13</f>
        <v>11145.11389</v>
      </c>
      <c r="BF11" s="7">
        <f>+'Rev 2'!BY13</f>
        <v>10991.94538</v>
      </c>
      <c r="BG11" s="7">
        <f>+'Rev 2'!BZ13</f>
        <v>12707.52167</v>
      </c>
      <c r="BH11" s="7">
        <f>+'Rev 2'!CA13</f>
        <v>12282.89959</v>
      </c>
      <c r="BI11" s="7">
        <f>+'Rev 2'!CB13</f>
        <v>11800.6528</v>
      </c>
      <c r="BJ11" s="7">
        <f>+'Rev 2'!CC13</f>
        <v>9627.903039</v>
      </c>
      <c r="BK11" s="7">
        <f>+'Rev 2'!CD13</f>
        <v>9671.088656</v>
      </c>
      <c r="BL11" s="7">
        <f>+'Rev 2'!CE13</f>
        <v>9733.2584</v>
      </c>
      <c r="BM11" s="7">
        <f>+'Rev 2'!CF13</f>
        <v>9767.093267</v>
      </c>
      <c r="BN11" s="7">
        <f>+'Rev 2'!CG13</f>
        <v>9785.355714</v>
      </c>
      <c r="BO11" s="7">
        <f>+'Rev 2'!CH13</f>
        <v>9727.681653</v>
      </c>
      <c r="BP11" s="7">
        <f>+'Rev 2'!CI13</f>
        <v>10460.84417</v>
      </c>
      <c r="BQ11" s="7">
        <f>+'Rev 2'!CJ13</f>
        <v>11163.95487</v>
      </c>
      <c r="BR11" s="7">
        <f>+'Rev 2'!CK13</f>
        <v>11878.23967</v>
      </c>
      <c r="BS11" s="7">
        <f>+'Rev 2'!CL13</f>
        <v>11859.29751</v>
      </c>
      <c r="BT11" s="7">
        <f>+'Rev 2'!CM13</f>
        <v>11799.75067</v>
      </c>
      <c r="BU11" s="7">
        <f>+'Rev 2'!CN13</f>
        <v>12623.87738</v>
      </c>
      <c r="BV11" s="7">
        <f>+'Rev 2'!CO13</f>
        <v>14238.84067</v>
      </c>
      <c r="BW11" s="7">
        <f>+'Rev 2'!CP13</f>
        <v>15894.90552</v>
      </c>
      <c r="BX11" s="7">
        <f>+'Rev 2'!CQ13</f>
        <v>16857.54775</v>
      </c>
      <c r="BY11" s="7">
        <f>+'Rev 2'!CR13</f>
        <v>17768.54224</v>
      </c>
      <c r="BZ11" s="7">
        <f>+'Rev 2'!CS13</f>
        <v>18831.88367</v>
      </c>
      <c r="CA11" s="7">
        <f>+'Rev 2'!CT13</f>
        <v>19859.39177</v>
      </c>
      <c r="CB11" s="7">
        <f>+'Rev 2'!CU13</f>
        <v>20184.51892</v>
      </c>
      <c r="CC11" s="7">
        <f>+'Rev 2'!CV13</f>
        <v>20496.67535</v>
      </c>
      <c r="CD11" s="7">
        <f>+'Rev 2'!CW13</f>
        <v>20808.83179</v>
      </c>
      <c r="CE11" s="7">
        <f>+'Rev 2'!CX13</f>
        <v>21205.89216</v>
      </c>
      <c r="CF11" s="7">
        <f>+'Rev 2'!CY13</f>
        <v>21586.95551</v>
      </c>
      <c r="CG11" s="7">
        <f>+'Rev 2'!CZ13</f>
        <v>22711.19134</v>
      </c>
      <c r="CH11" s="7">
        <f>+'Rev 2'!DA13</f>
        <v>23693.38919</v>
      </c>
      <c r="CI11" s="7">
        <f>+'Rev 2'!DB13</f>
        <v>24686.69375</v>
      </c>
      <c r="CJ11" s="7">
        <f>+'Rev 2'!DC13</f>
        <v>25760.41399</v>
      </c>
      <c r="CK11" s="7">
        <f>+'Rev 2'!DD13</f>
        <v>26768.82002</v>
      </c>
      <c r="CL11" s="7">
        <f>+'Rev 2'!DE13</f>
        <v>28539.95976</v>
      </c>
      <c r="CM11" s="7">
        <f>+'Rev 2'!DF13</f>
        <v>29630.20778</v>
      </c>
      <c r="CN11" s="7">
        <f>+'Rev 2'!DG13</f>
        <v>30666.21543</v>
      </c>
      <c r="CO11" s="7">
        <f>+'Rev 2'!DH13</f>
        <v>31084.28752</v>
      </c>
      <c r="CP11" s="7">
        <f>+'Rev 2'!DI13</f>
        <v>31502.35961</v>
      </c>
      <c r="CQ11" s="7"/>
      <c r="CR11" s="7"/>
      <c r="CS11" s="7"/>
    </row>
    <row r="12" ht="12.75" hidden="1" customHeight="1">
      <c r="A12" s="18" t="s">
        <v>4</v>
      </c>
      <c r="B12" s="19">
        <v>2770.21</v>
      </c>
      <c r="C12" s="19">
        <v>3324.68</v>
      </c>
      <c r="D12" s="19">
        <v>5292.33</v>
      </c>
      <c r="E12" s="19">
        <v>10996.11</v>
      </c>
      <c r="F12" s="19">
        <v>17836.54</v>
      </c>
      <c r="G12" s="19">
        <v>20272.6</v>
      </c>
      <c r="H12" s="19">
        <v>20869.28</v>
      </c>
      <c r="I12" s="19">
        <v>34588.0</v>
      </c>
      <c r="J12" s="20">
        <v>22500.0</v>
      </c>
      <c r="K12" s="20">
        <v>25500.0</v>
      </c>
      <c r="L12" s="20">
        <f>+'Rev 2'!AE18</f>
        <v>59003.59109</v>
      </c>
      <c r="M12" s="20">
        <f>+'Rev 2'!AF18</f>
        <v>83902.82775</v>
      </c>
      <c r="N12" s="20">
        <f>+'Rev 2'!AG18</f>
        <v>83920.74001</v>
      </c>
      <c r="O12" s="20">
        <f>+'Rev 2'!AH18</f>
        <v>73894.48707</v>
      </c>
      <c r="P12" s="20">
        <f>+'Rev 2'!AI18</f>
        <v>63868.23413</v>
      </c>
      <c r="Q12" s="20">
        <f>+'Rev 2'!AJ18</f>
        <v>59100.08304</v>
      </c>
      <c r="R12" s="20">
        <f>+'Rev 2'!AK18</f>
        <v>67881.49838</v>
      </c>
      <c r="S12" s="20">
        <f>+'Rev 2'!AL18</f>
        <v>83839.02337</v>
      </c>
      <c r="T12" s="20">
        <f>+'Rev 2'!AM18</f>
        <v>114148.7676</v>
      </c>
      <c r="U12" s="20">
        <f>+'Rev 2'!AN18</f>
        <v>105330.9877</v>
      </c>
      <c r="V12" s="20">
        <f>+'Rev 2'!AO18</f>
        <v>89826.23172</v>
      </c>
      <c r="W12" s="20">
        <f>+'Rev 2'!AP18</f>
        <v>65740.83783</v>
      </c>
      <c r="X12" s="20">
        <f>+'Rev 2'!AQ18</f>
        <v>70718.40691</v>
      </c>
      <c r="Y12" s="20">
        <f>+'Rev 2'!AR18</f>
        <v>75597.53977</v>
      </c>
      <c r="Z12" s="20">
        <f>+'Rev 2'!AS18</f>
        <v>76710.6644</v>
      </c>
      <c r="AA12" s="20">
        <f>+'Rev 2'!AT18</f>
        <v>77134.73554</v>
      </c>
      <c r="AB12" s="20">
        <f>+'Rev 2'!AU18</f>
        <v>71367.05917</v>
      </c>
      <c r="AC12" s="20">
        <f>+'Rev 2'!AV18</f>
        <v>64135.14412</v>
      </c>
      <c r="AD12" s="20">
        <f>+'Rev 2'!AW18</f>
        <v>60987.41337</v>
      </c>
      <c r="AE12" s="20">
        <f>+'Rev 2'!AX18</f>
        <v>74259.69292</v>
      </c>
      <c r="AF12" s="20">
        <f>+'Rev 2'!AY18</f>
        <v>87938.02184</v>
      </c>
      <c r="AG12" s="20">
        <f>+'Rev 2'!AZ18</f>
        <v>87813.20891</v>
      </c>
      <c r="AH12" s="20">
        <f>+'Rev 2'!BA18</f>
        <v>78617.61126</v>
      </c>
      <c r="AI12" s="20">
        <f>+'Rev 2'!BB18</f>
        <v>68107.72553</v>
      </c>
      <c r="AJ12" s="20">
        <f>+'Rev 2'!BC18</f>
        <v>61548.82176</v>
      </c>
      <c r="AK12" s="20">
        <f>+'Rev 2'!BD18</f>
        <v>54451.2863</v>
      </c>
      <c r="AL12" s="20">
        <f>+'Rev 2'!BE18</f>
        <v>47505.65414</v>
      </c>
      <c r="AM12" s="20">
        <f>+'Rev 2'!BF18</f>
        <v>48718.84627</v>
      </c>
      <c r="AN12" s="20">
        <f>+'Rev 2'!BG18</f>
        <v>50396.54457</v>
      </c>
      <c r="AO12" s="20">
        <f>+'Rev 2'!BH18</f>
        <v>52076.44334</v>
      </c>
      <c r="AP12" s="20">
        <f>+'Rev 2'!BI18</f>
        <v>51930.99489</v>
      </c>
      <c r="AQ12" s="20">
        <f>+'Rev 2'!BJ18</f>
        <v>51785.54644</v>
      </c>
      <c r="AR12" s="20">
        <f>+'Rev 2'!BK18</f>
        <v>50971.29012</v>
      </c>
      <c r="AS12" s="20">
        <f>+'Rev 2'!BL18</f>
        <v>49415.58431</v>
      </c>
      <c r="AT12" s="20">
        <f>+'Rev 2'!BM18</f>
        <v>46364.68466</v>
      </c>
      <c r="AU12" s="20">
        <f>+'Rev 2'!BN18</f>
        <v>46243.57501</v>
      </c>
      <c r="AV12" s="20">
        <f>+'Rev 2'!BO18</f>
        <v>50330.41952</v>
      </c>
      <c r="AW12" s="20">
        <f>+'Rev 2'!BP18</f>
        <v>62951.34544</v>
      </c>
      <c r="AX12" s="20">
        <f>+'Rev 2'!BQ18</f>
        <v>72495.22772</v>
      </c>
      <c r="AY12" s="20">
        <f>+'Rev 2'!BR18</f>
        <v>82417.02225</v>
      </c>
      <c r="AZ12" s="20">
        <f>+'Rev 2'!BS18</f>
        <v>85611.92084</v>
      </c>
      <c r="BA12" s="20">
        <f>+'Rev 2'!BT18</f>
        <v>91230.01883</v>
      </c>
      <c r="BB12" s="20">
        <f>+'Rev 2'!BU18</f>
        <v>98693.01361</v>
      </c>
      <c r="BC12" s="20">
        <f>+'Rev 2'!BV18</f>
        <v>95084.29636</v>
      </c>
      <c r="BD12" s="20">
        <f>+'Rev 2'!BW18</f>
        <v>89150.06324</v>
      </c>
      <c r="BE12" s="20">
        <f>+'Rev 2'!BX18</f>
        <v>78012.29726</v>
      </c>
      <c r="BF12" s="20">
        <f>+'Rev 2'!BY18</f>
        <v>76940.11769</v>
      </c>
      <c r="BG12" s="20">
        <f>+'Rev 2'!BZ18</f>
        <v>88949.15171</v>
      </c>
      <c r="BH12" s="20">
        <f>+'Rev 2'!CA18</f>
        <v>85976.79715</v>
      </c>
      <c r="BI12" s="20">
        <f>+'Rev 2'!CB18</f>
        <v>82601.06957</v>
      </c>
      <c r="BJ12" s="20">
        <f>+'Rev 2'!CC18</f>
        <v>67391.82127</v>
      </c>
      <c r="BK12" s="20">
        <f>+'Rev 2'!CD18</f>
        <v>67694.12059</v>
      </c>
      <c r="BL12" s="20">
        <f>+'Rev 2'!CE18</f>
        <v>68129.3088</v>
      </c>
      <c r="BM12" s="20">
        <f>+'Rev 2'!CF18</f>
        <v>68366.15287</v>
      </c>
      <c r="BN12" s="20">
        <f>+'Rev 2'!CG18</f>
        <v>68493.99</v>
      </c>
      <c r="BO12" s="20">
        <f>+'Rev 2'!CH18</f>
        <v>68090.27157</v>
      </c>
      <c r="BP12" s="20">
        <f>+'Rev 2'!CI18</f>
        <v>73222.40916</v>
      </c>
      <c r="BQ12" s="20">
        <f>+'Rev 2'!CJ18</f>
        <v>78144.18408</v>
      </c>
      <c r="BR12" s="20">
        <f>+'Rev 2'!CK18</f>
        <v>83144.17771</v>
      </c>
      <c r="BS12" s="20">
        <f>+'Rev 2'!CL18</f>
        <v>83011.58259</v>
      </c>
      <c r="BT12" s="20">
        <f>+'Rev 2'!CM18</f>
        <v>82594.75468</v>
      </c>
      <c r="BU12" s="20">
        <f>+'Rev 2'!CN18</f>
        <v>88363.64168</v>
      </c>
      <c r="BV12" s="20">
        <f>+'Rev 2'!CO18</f>
        <v>99668.38468</v>
      </c>
      <c r="BW12" s="20">
        <f>+'Rev 2'!CP18</f>
        <v>111260.8386</v>
      </c>
      <c r="BX12" s="20">
        <f>+'Rev 2'!CQ18</f>
        <v>117999.3342</v>
      </c>
      <c r="BY12" s="20">
        <f>+'Rev 2'!CR18</f>
        <v>124376.2957</v>
      </c>
      <c r="BZ12" s="20">
        <f>+'Rev 2'!CS18</f>
        <v>131819.6857</v>
      </c>
      <c r="CA12" s="20">
        <f>+'Rev 2'!CT18</f>
        <v>139012.2424</v>
      </c>
      <c r="CB12" s="20">
        <f>+'Rev 2'!CU18</f>
        <v>141288.1324</v>
      </c>
      <c r="CC12" s="20">
        <f>+'Rev 2'!CV18</f>
        <v>143473.2275</v>
      </c>
      <c r="CD12" s="20">
        <f>+'Rev 2'!CW18</f>
        <v>145658.3225</v>
      </c>
      <c r="CE12" s="20">
        <f>+'Rev 2'!CX18</f>
        <v>148437.7451</v>
      </c>
      <c r="CF12" s="20">
        <f>+'Rev 2'!CY18</f>
        <v>151105.1886</v>
      </c>
      <c r="CG12" s="20">
        <f>+'Rev 2'!CZ18</f>
        <v>158974.8394</v>
      </c>
      <c r="CH12" s="20">
        <f>+'Rev 2'!DA18</f>
        <v>165850.2243</v>
      </c>
      <c r="CI12" s="20">
        <f>+'Rev 2'!DB18</f>
        <v>172803.3562</v>
      </c>
      <c r="CJ12" s="20">
        <f>+'Rev 2'!DC18</f>
        <v>180319.3979</v>
      </c>
      <c r="CK12" s="20">
        <f>+'Rev 2'!DD18</f>
        <v>187378.2402</v>
      </c>
      <c r="CL12" s="20">
        <f>+'Rev 2'!DE18</f>
        <v>199776.2183</v>
      </c>
      <c r="CM12" s="20">
        <f>+'Rev 2'!DF18</f>
        <v>207407.9545</v>
      </c>
      <c r="CN12" s="20">
        <f>+'Rev 2'!DG18</f>
        <v>214660.008</v>
      </c>
      <c r="CO12" s="20">
        <f>+'Rev 2'!DH18</f>
        <v>217586.5127</v>
      </c>
      <c r="CP12" s="20">
        <f>+'Rev 2'!DI18</f>
        <v>220513.0173</v>
      </c>
      <c r="CQ12" s="20"/>
      <c r="CR12" s="20"/>
      <c r="CS12" s="20"/>
    </row>
    <row r="13" ht="12.75" hidden="1" customHeight="1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9"/>
      <c r="CR13" s="9"/>
      <c r="CS13" s="9"/>
    </row>
    <row r="14" ht="12.75" hidden="1" customHeight="1">
      <c r="B14" s="9"/>
      <c r="C14" s="9"/>
      <c r="D14" s="9"/>
      <c r="E14" s="9"/>
      <c r="F14" s="9"/>
      <c r="G14" s="9"/>
      <c r="H14" s="9"/>
      <c r="I14" s="9"/>
    </row>
    <row r="15" ht="12.75" customHeight="1">
      <c r="A15" s="1" t="s">
        <v>2</v>
      </c>
      <c r="B15" s="9">
        <f t="shared" ref="B15:CS15" si="1">SUM(B11:B13)</f>
        <v>2770.21</v>
      </c>
      <c r="C15" s="9">
        <f t="shared" si="1"/>
        <v>3389.764987</v>
      </c>
      <c r="D15" s="9">
        <f t="shared" si="1"/>
        <v>6075.025951</v>
      </c>
      <c r="E15" s="9">
        <f t="shared" si="1"/>
        <v>12188.86936</v>
      </c>
      <c r="F15" s="9">
        <f t="shared" si="1"/>
        <v>19382.00166</v>
      </c>
      <c r="G15" s="9">
        <f t="shared" si="1"/>
        <v>21795.81109</v>
      </c>
      <c r="H15" s="9">
        <f t="shared" si="1"/>
        <v>23053.45208</v>
      </c>
      <c r="I15" s="9">
        <f t="shared" si="1"/>
        <v>38868.355</v>
      </c>
      <c r="J15" s="9">
        <f t="shared" si="1"/>
        <v>26644.12211</v>
      </c>
      <c r="K15" s="9">
        <f t="shared" si="1"/>
        <v>32193.53829</v>
      </c>
      <c r="L15" s="9">
        <f t="shared" si="1"/>
        <v>67433.17553</v>
      </c>
      <c r="M15" s="9">
        <f t="shared" si="1"/>
        <v>95889.446</v>
      </c>
      <c r="N15" s="9">
        <f t="shared" si="1"/>
        <v>95909.91715</v>
      </c>
      <c r="O15" s="9">
        <f t="shared" si="1"/>
        <v>84451.34236</v>
      </c>
      <c r="P15" s="9">
        <f t="shared" si="1"/>
        <v>72992.76757</v>
      </c>
      <c r="Q15" s="9">
        <f t="shared" si="1"/>
        <v>67543.45205</v>
      </c>
      <c r="R15" s="9">
        <f t="shared" si="1"/>
        <v>77579.3553</v>
      </c>
      <c r="S15" s="9">
        <f t="shared" si="1"/>
        <v>95816.52671</v>
      </c>
      <c r="T15" s="9">
        <f t="shared" si="1"/>
        <v>130456.2344</v>
      </c>
      <c r="U15" s="9">
        <f t="shared" si="1"/>
        <v>120378.7717</v>
      </c>
      <c r="V15" s="9">
        <f t="shared" si="1"/>
        <v>102659.0505</v>
      </c>
      <c r="W15" s="9">
        <f t="shared" si="1"/>
        <v>75132.88609</v>
      </c>
      <c r="X15" s="9">
        <f t="shared" si="1"/>
        <v>80821.53647</v>
      </c>
      <c r="Y15" s="9">
        <f t="shared" si="1"/>
        <v>86397.68831</v>
      </c>
      <c r="Z15" s="9">
        <f t="shared" si="1"/>
        <v>87669.83075</v>
      </c>
      <c r="AA15" s="9">
        <f t="shared" si="1"/>
        <v>88154.48347</v>
      </c>
      <c r="AB15" s="9">
        <f t="shared" si="1"/>
        <v>81562.85334</v>
      </c>
      <c r="AC15" s="9">
        <f t="shared" si="1"/>
        <v>73297.80757</v>
      </c>
      <c r="AD15" s="9">
        <f t="shared" si="1"/>
        <v>69700.401</v>
      </c>
      <c r="AE15" s="9">
        <f t="shared" si="1"/>
        <v>84868.72048</v>
      </c>
      <c r="AF15" s="9">
        <f t="shared" si="1"/>
        <v>100501.0964</v>
      </c>
      <c r="AG15" s="9">
        <f t="shared" si="1"/>
        <v>100358.453</v>
      </c>
      <c r="AH15" s="9">
        <f t="shared" si="1"/>
        <v>89849.19858</v>
      </c>
      <c r="AI15" s="9">
        <f t="shared" si="1"/>
        <v>77837.9006</v>
      </c>
      <c r="AJ15" s="9">
        <f t="shared" si="1"/>
        <v>70342.01058</v>
      </c>
      <c r="AK15" s="9">
        <f t="shared" si="1"/>
        <v>62230.54149</v>
      </c>
      <c r="AL15" s="9">
        <f t="shared" si="1"/>
        <v>54292.67616</v>
      </c>
      <c r="AM15" s="9">
        <f t="shared" si="1"/>
        <v>55679.18145</v>
      </c>
      <c r="AN15" s="9">
        <f t="shared" si="1"/>
        <v>57596.55094</v>
      </c>
      <c r="AO15" s="9">
        <f t="shared" si="1"/>
        <v>59516.43525</v>
      </c>
      <c r="AP15" s="9">
        <f t="shared" si="1"/>
        <v>59350.20845</v>
      </c>
      <c r="AQ15" s="9">
        <f t="shared" si="1"/>
        <v>59183.98165</v>
      </c>
      <c r="AR15" s="9">
        <f t="shared" si="1"/>
        <v>58253.403</v>
      </c>
      <c r="AS15" s="9">
        <f t="shared" si="1"/>
        <v>56475.4535</v>
      </c>
      <c r="AT15" s="9">
        <f t="shared" si="1"/>
        <v>52988.71103</v>
      </c>
      <c r="AU15" s="9">
        <f t="shared" si="1"/>
        <v>52850.30002</v>
      </c>
      <c r="AV15" s="9">
        <f t="shared" si="1"/>
        <v>57520.97945</v>
      </c>
      <c r="AW15" s="9">
        <f t="shared" si="1"/>
        <v>71944.89479</v>
      </c>
      <c r="AX15" s="9">
        <f t="shared" si="1"/>
        <v>82852.18882</v>
      </c>
      <c r="AY15" s="9">
        <f t="shared" si="1"/>
        <v>94191.38257</v>
      </c>
      <c r="AZ15" s="9">
        <f t="shared" si="1"/>
        <v>97842.69525</v>
      </c>
      <c r="BA15" s="9">
        <f t="shared" si="1"/>
        <v>104263.3787</v>
      </c>
      <c r="BB15" s="9">
        <f t="shared" si="1"/>
        <v>112792.5155</v>
      </c>
      <c r="BC15" s="9">
        <f t="shared" si="1"/>
        <v>108668.2673</v>
      </c>
      <c r="BD15" s="9">
        <f t="shared" si="1"/>
        <v>101886.2866</v>
      </c>
      <c r="BE15" s="9">
        <f t="shared" si="1"/>
        <v>89157.41115</v>
      </c>
      <c r="BF15" s="9">
        <f t="shared" si="1"/>
        <v>87932.06308</v>
      </c>
      <c r="BG15" s="9">
        <f t="shared" si="1"/>
        <v>101656.6734</v>
      </c>
      <c r="BH15" s="9">
        <f t="shared" si="1"/>
        <v>98259.69674</v>
      </c>
      <c r="BI15" s="9">
        <f t="shared" si="1"/>
        <v>94401.72237</v>
      </c>
      <c r="BJ15" s="9">
        <f t="shared" si="1"/>
        <v>77019.72431</v>
      </c>
      <c r="BK15" s="9">
        <f t="shared" si="1"/>
        <v>77365.20925</v>
      </c>
      <c r="BL15" s="9">
        <f t="shared" si="1"/>
        <v>77862.5672</v>
      </c>
      <c r="BM15" s="9">
        <f t="shared" si="1"/>
        <v>78133.24614</v>
      </c>
      <c r="BN15" s="9">
        <f t="shared" si="1"/>
        <v>78279.34572</v>
      </c>
      <c r="BO15" s="9">
        <f t="shared" si="1"/>
        <v>77817.95323</v>
      </c>
      <c r="BP15" s="9">
        <f t="shared" si="1"/>
        <v>83683.25332</v>
      </c>
      <c r="BQ15" s="9">
        <f t="shared" si="1"/>
        <v>89308.13895</v>
      </c>
      <c r="BR15" s="9">
        <f t="shared" si="1"/>
        <v>95022.41738</v>
      </c>
      <c r="BS15" s="9">
        <f t="shared" si="1"/>
        <v>94870.88011</v>
      </c>
      <c r="BT15" s="9">
        <f t="shared" si="1"/>
        <v>94394.50534</v>
      </c>
      <c r="BU15" s="9">
        <f t="shared" si="1"/>
        <v>100987.5191</v>
      </c>
      <c r="BV15" s="9">
        <f t="shared" si="1"/>
        <v>113907.2254</v>
      </c>
      <c r="BW15" s="9">
        <f t="shared" si="1"/>
        <v>127155.7441</v>
      </c>
      <c r="BX15" s="9">
        <f t="shared" si="1"/>
        <v>134856.882</v>
      </c>
      <c r="BY15" s="9">
        <f t="shared" si="1"/>
        <v>142144.8379</v>
      </c>
      <c r="BZ15" s="9">
        <f t="shared" si="1"/>
        <v>150651.5694</v>
      </c>
      <c r="CA15" s="9">
        <f t="shared" si="1"/>
        <v>158871.6342</v>
      </c>
      <c r="CB15" s="9">
        <f t="shared" si="1"/>
        <v>161472.6513</v>
      </c>
      <c r="CC15" s="9">
        <f t="shared" si="1"/>
        <v>163969.9028</v>
      </c>
      <c r="CD15" s="9">
        <f t="shared" si="1"/>
        <v>166467.1543</v>
      </c>
      <c r="CE15" s="9">
        <f t="shared" si="1"/>
        <v>169643.6373</v>
      </c>
      <c r="CF15" s="9">
        <f t="shared" si="1"/>
        <v>172692.1441</v>
      </c>
      <c r="CG15" s="9">
        <f t="shared" si="1"/>
        <v>181686.0307</v>
      </c>
      <c r="CH15" s="9">
        <f t="shared" si="1"/>
        <v>189543.6135</v>
      </c>
      <c r="CI15" s="9">
        <f t="shared" si="1"/>
        <v>197490.05</v>
      </c>
      <c r="CJ15" s="9">
        <f t="shared" si="1"/>
        <v>206079.8119</v>
      </c>
      <c r="CK15" s="9">
        <f t="shared" si="1"/>
        <v>214147.0602</v>
      </c>
      <c r="CL15" s="9">
        <f t="shared" si="1"/>
        <v>228316.1781</v>
      </c>
      <c r="CM15" s="9">
        <f t="shared" si="1"/>
        <v>237038.1622</v>
      </c>
      <c r="CN15" s="9">
        <f t="shared" si="1"/>
        <v>245326.2235</v>
      </c>
      <c r="CO15" s="9">
        <f t="shared" si="1"/>
        <v>248670.8002</v>
      </c>
      <c r="CP15" s="9">
        <f t="shared" si="1"/>
        <v>252015.3769</v>
      </c>
      <c r="CQ15" s="9">
        <f t="shared" si="1"/>
        <v>0</v>
      </c>
      <c r="CR15" s="9">
        <f t="shared" si="1"/>
        <v>0</v>
      </c>
      <c r="CS15" s="9">
        <f t="shared" si="1"/>
        <v>0</v>
      </c>
    </row>
    <row r="16" ht="12.75" customHeight="1">
      <c r="B16" s="9"/>
      <c r="C16" s="9"/>
      <c r="D16" s="9"/>
      <c r="E16" s="9"/>
      <c r="F16" s="9"/>
      <c r="G16" s="9"/>
      <c r="H16" s="9"/>
      <c r="I16" s="9"/>
    </row>
    <row r="17" ht="12.75" customHeight="1">
      <c r="A17" s="1" t="s">
        <v>5</v>
      </c>
      <c r="B17" s="10">
        <f>+'Rev 2'!U21*COGS!B28</f>
        <v>0</v>
      </c>
      <c r="C17" s="10">
        <f>+'Rev 2'!V21*COGS!B28</f>
        <v>440.9001764</v>
      </c>
      <c r="D17" s="10">
        <f>+COGS!B23</f>
        <v>5339.791025</v>
      </c>
      <c r="E17" s="10">
        <f>+COGS!C23</f>
        <v>8139.157224</v>
      </c>
      <c r="F17" s="10">
        <f>+COGS!D23</f>
        <v>9928.953576</v>
      </c>
      <c r="G17" s="10">
        <f>+COGS!E23</f>
        <v>9785.956599</v>
      </c>
      <c r="H17" s="10">
        <f>+COGS!F23</f>
        <v>14033.73256</v>
      </c>
      <c r="I17" s="10">
        <f>+COGS!G23</f>
        <v>24081.31744</v>
      </c>
      <c r="J17" s="10">
        <f>+COGS!H23</f>
        <v>23314.78039</v>
      </c>
      <c r="K17" s="10">
        <f>+COGS!I23</f>
        <v>37659.49542</v>
      </c>
      <c r="L17" s="10">
        <f>+COGS!J23</f>
        <v>47427.64845</v>
      </c>
      <c r="M17" s="10">
        <f>+COGS!K23</f>
        <v>67441.89202</v>
      </c>
      <c r="N17" s="10">
        <f>+COGS!L23</f>
        <v>67456.29006</v>
      </c>
      <c r="O17" s="10">
        <f>+COGS!M23</f>
        <v>59397.09246</v>
      </c>
      <c r="P17" s="10">
        <f>+COGS!N23</f>
        <v>51337.89486</v>
      </c>
      <c r="Q17" s="10">
        <f>+COGS!O23</f>
        <v>47505.2096</v>
      </c>
      <c r="R17" s="10">
        <f>+COGS!P23</f>
        <v>54563.79489</v>
      </c>
      <c r="S17" s="10">
        <f>+COGS!Q23</f>
        <v>67390.60545</v>
      </c>
      <c r="T17" s="10">
        <f>+COGS!R23</f>
        <v>91753.86656</v>
      </c>
      <c r="U17" s="10">
        <f>+COGS!S23</f>
        <v>84666.0511</v>
      </c>
      <c r="V17" s="10">
        <f>+COGS!T23</f>
        <v>72203.18054</v>
      </c>
      <c r="W17" s="10">
        <f>+COGS!U23</f>
        <v>52843.11155</v>
      </c>
      <c r="X17" s="10">
        <f>+COGS!V23</f>
        <v>56844.12898</v>
      </c>
      <c r="Y17" s="10">
        <f>+COGS!W23</f>
        <v>60766.02244</v>
      </c>
      <c r="Z17" s="10">
        <f>+COGS!X23</f>
        <v>61660.76263</v>
      </c>
      <c r="AA17" s="10">
        <f>+COGS!Y23</f>
        <v>62001.63504</v>
      </c>
      <c r="AB17" s="10">
        <f>+COGS!Z23</f>
        <v>57365.52185</v>
      </c>
      <c r="AC17" s="10">
        <f>+COGS!AA23</f>
        <v>51552.43966</v>
      </c>
      <c r="AD17" s="10">
        <f>+COGS!AB23</f>
        <v>49022.2637</v>
      </c>
      <c r="AE17" s="10">
        <f>+COGS!AC23</f>
        <v>59690.6484</v>
      </c>
      <c r="AF17" s="10">
        <f>+COGS!AD23</f>
        <v>70685.41946</v>
      </c>
      <c r="AG17" s="10">
        <f>+COGS!AE23</f>
        <v>70585.09364</v>
      </c>
      <c r="AH17" s="10">
        <f>+COGS!AF23</f>
        <v>63193.58467</v>
      </c>
      <c r="AI17" s="10">
        <f>+COGS!AG23</f>
        <v>46961.89836</v>
      </c>
      <c r="AJ17" s="10">
        <f>+COGS!AH23</f>
        <v>42439.37805</v>
      </c>
      <c r="AK17" s="10">
        <f>+COGS!AI23</f>
        <v>37545.45836</v>
      </c>
      <c r="AL17" s="10">
        <f>+COGS!AJ23</f>
        <v>32756.27961</v>
      </c>
      <c r="AM17" s="10">
        <f>+COGS!AK23</f>
        <v>33592.80447</v>
      </c>
      <c r="AN17" s="10">
        <f>+COGS!AL23</f>
        <v>34749.6174</v>
      </c>
      <c r="AO17" s="10">
        <f>+COGS!AM23</f>
        <v>35907.9476</v>
      </c>
      <c r="AP17" s="10">
        <f>+COGS!AN23</f>
        <v>35807.65743</v>
      </c>
      <c r="AQ17" s="10">
        <f>+COGS!AO23</f>
        <v>35707.36726</v>
      </c>
      <c r="AR17" s="10">
        <f>+COGS!AP23</f>
        <v>35145.91814</v>
      </c>
      <c r="AS17" s="10">
        <f>+COGS!AQ23</f>
        <v>34073.22194</v>
      </c>
      <c r="AT17" s="10">
        <f>+COGS!AR23</f>
        <v>31969.55399</v>
      </c>
      <c r="AU17" s="10">
        <f>+COGS!AS23</f>
        <v>31886.04601</v>
      </c>
      <c r="AV17" s="10">
        <f>+COGS!AT23</f>
        <v>34704.0226</v>
      </c>
      <c r="AW17" s="10">
        <f>+COGS!AU23</f>
        <v>43406.45152</v>
      </c>
      <c r="AX17" s="10">
        <f>+COGS!AV23</f>
        <v>49987.18559</v>
      </c>
      <c r="AY17" s="10">
        <f>+COGS!AW23</f>
        <v>56828.49915</v>
      </c>
      <c r="AZ17" s="10">
        <f>+COGS!AX23</f>
        <v>59031.4578</v>
      </c>
      <c r="BA17" s="10">
        <f>+COGS!AY23</f>
        <v>62905.27013</v>
      </c>
      <c r="BB17" s="10">
        <f>+COGS!AZ23</f>
        <v>68051.18271</v>
      </c>
      <c r="BC17" s="10">
        <f>+COGS!BA23</f>
        <v>65562.88625</v>
      </c>
      <c r="BD17" s="10">
        <f>+COGS!BB23</f>
        <v>61471.09122</v>
      </c>
      <c r="BE17" s="10">
        <f>+COGS!BC23</f>
        <v>53791.33639</v>
      </c>
      <c r="BF17" s="10">
        <f>+COGS!BD23</f>
        <v>53052.04306</v>
      </c>
      <c r="BG17" s="10">
        <f>+COGS!BE23</f>
        <v>61332.55794</v>
      </c>
      <c r="BH17" s="10">
        <f>+COGS!BF23</f>
        <v>59283.0487</v>
      </c>
      <c r="BI17" s="10">
        <f>+COGS!BG23</f>
        <v>49639.30943</v>
      </c>
      <c r="BJ17" s="10">
        <f>+COGS!BH23</f>
        <v>40499.27545</v>
      </c>
      <c r="BK17" s="10">
        <f>+COGS!BI23</f>
        <v>40680.94295</v>
      </c>
      <c r="BL17" s="10">
        <f>+COGS!BJ23</f>
        <v>40942.47034</v>
      </c>
      <c r="BM17" s="10">
        <f>+COGS!BK23</f>
        <v>41084.80235</v>
      </c>
      <c r="BN17" s="10">
        <f>+COGS!BL23</f>
        <v>41161.62637</v>
      </c>
      <c r="BO17" s="10">
        <f>+COGS!BM23</f>
        <v>34174.83154</v>
      </c>
      <c r="BP17" s="10">
        <f>+COGS!BN23</f>
        <v>36750.67583</v>
      </c>
      <c r="BQ17" s="10">
        <f>+COGS!BO23</f>
        <v>39220.93811</v>
      </c>
      <c r="BR17" s="10">
        <f>+COGS!BP23</f>
        <v>41730.45871</v>
      </c>
      <c r="BS17" s="10">
        <f>+COGS!BQ23</f>
        <v>41663.9086</v>
      </c>
      <c r="BT17" s="10">
        <f>+COGS!BR23</f>
        <v>41454.70068</v>
      </c>
      <c r="BU17" s="10">
        <f>+COGS!BS23</f>
        <v>44350.13254</v>
      </c>
      <c r="BV17" s="10">
        <f>+COGS!BT23</f>
        <v>50024.03688</v>
      </c>
      <c r="BW17" s="10">
        <f>+COGS!BU23</f>
        <v>55842.34472</v>
      </c>
      <c r="BX17" s="10">
        <f>+COGS!BV23</f>
        <v>59224.42775</v>
      </c>
      <c r="BY17" s="10">
        <f>+COGS!BW23</f>
        <v>62425.05507</v>
      </c>
      <c r="BZ17" s="10">
        <f>+COGS!BX23</f>
        <v>66160.92797</v>
      </c>
      <c r="CA17" s="10">
        <f>+COGS!BY23</f>
        <v>69770.90642</v>
      </c>
      <c r="CB17" s="10">
        <f>+COGS!BZ23</f>
        <v>70913.18646</v>
      </c>
      <c r="CC17" s="10">
        <f>+COGS!CA23</f>
        <v>72009.89607</v>
      </c>
      <c r="CD17" s="10">
        <f>+COGS!CB23</f>
        <v>73106.60568</v>
      </c>
      <c r="CE17" s="10">
        <f>+COGS!CC23</f>
        <v>74501.61113</v>
      </c>
      <c r="CF17" s="10">
        <f>+COGS!CD23</f>
        <v>75840.4137</v>
      </c>
      <c r="CG17" s="10">
        <f>+COGS!CE23</f>
        <v>79790.22891</v>
      </c>
      <c r="CH17" s="10">
        <f>+COGS!CF23</f>
        <v>83241.01734</v>
      </c>
      <c r="CI17" s="10">
        <f>+COGS!CG23</f>
        <v>86730.82737</v>
      </c>
      <c r="CJ17" s="10">
        <f>+COGS!CH23</f>
        <v>90503.16448</v>
      </c>
      <c r="CK17" s="10">
        <f>+COGS!CI23</f>
        <v>94046.03102</v>
      </c>
      <c r="CL17" s="10">
        <f>+COGS!CJ23</f>
        <v>100268.6353</v>
      </c>
      <c r="CM17" s="10">
        <f>+COGS!CK23</f>
        <v>104099.04</v>
      </c>
      <c r="CN17" s="10">
        <f>+COGS!CL23</f>
        <v>107738.8802</v>
      </c>
      <c r="CO17" s="10">
        <f>+COGS!CM23</f>
        <v>109207.7068</v>
      </c>
      <c r="CP17" s="10">
        <f>+COGS!CN23</f>
        <v>110676.5334</v>
      </c>
      <c r="CQ17" s="9"/>
      <c r="CR17" s="9"/>
      <c r="CS17" s="9"/>
    </row>
    <row r="18" ht="12.75" customHeight="1">
      <c r="B18" s="9"/>
      <c r="C18" s="9"/>
      <c r="D18" s="9"/>
      <c r="E18" s="9"/>
      <c r="F18" s="9"/>
      <c r="G18" s="9"/>
      <c r="H18" s="9"/>
      <c r="I18" s="9"/>
    </row>
    <row r="19" ht="12.75" customHeight="1">
      <c r="A19" s="1" t="s">
        <v>6</v>
      </c>
      <c r="B19" s="9">
        <f t="shared" ref="B19:CP19" si="2">+B15-B17</f>
        <v>2770.21</v>
      </c>
      <c r="C19" s="9">
        <f t="shared" si="2"/>
        <v>2948.86481</v>
      </c>
      <c r="D19" s="9">
        <f t="shared" si="2"/>
        <v>735.234926</v>
      </c>
      <c r="E19" s="9">
        <f t="shared" si="2"/>
        <v>4049.712135</v>
      </c>
      <c r="F19" s="9">
        <f t="shared" si="2"/>
        <v>9453.04808</v>
      </c>
      <c r="G19" s="9">
        <f t="shared" si="2"/>
        <v>12009.85449</v>
      </c>
      <c r="H19" s="9">
        <f t="shared" si="2"/>
        <v>9019.719521</v>
      </c>
      <c r="I19" s="9">
        <f t="shared" si="2"/>
        <v>14787.03755</v>
      </c>
      <c r="J19" s="9">
        <f t="shared" si="2"/>
        <v>3329.341715</v>
      </c>
      <c r="K19" s="9">
        <f t="shared" si="2"/>
        <v>-5465.957138</v>
      </c>
      <c r="L19" s="9">
        <f t="shared" si="2"/>
        <v>20005.52707</v>
      </c>
      <c r="M19" s="9">
        <f t="shared" si="2"/>
        <v>28447.55398</v>
      </c>
      <c r="N19" s="9">
        <f t="shared" si="2"/>
        <v>28453.62709</v>
      </c>
      <c r="O19" s="9">
        <f t="shared" si="2"/>
        <v>25054.2499</v>
      </c>
      <c r="P19" s="9">
        <f t="shared" si="2"/>
        <v>21654.87271</v>
      </c>
      <c r="Q19" s="9">
        <f t="shared" si="2"/>
        <v>20038.24244</v>
      </c>
      <c r="R19" s="9">
        <f t="shared" si="2"/>
        <v>23015.5604</v>
      </c>
      <c r="S19" s="9">
        <f t="shared" si="2"/>
        <v>28425.92126</v>
      </c>
      <c r="T19" s="9">
        <f t="shared" si="2"/>
        <v>38702.36788</v>
      </c>
      <c r="U19" s="9">
        <f t="shared" si="2"/>
        <v>35712.72061</v>
      </c>
      <c r="V19" s="9">
        <f t="shared" si="2"/>
        <v>30455.86999</v>
      </c>
      <c r="W19" s="9">
        <f t="shared" si="2"/>
        <v>22289.77454</v>
      </c>
      <c r="X19" s="9">
        <f t="shared" si="2"/>
        <v>23977.40748</v>
      </c>
      <c r="Y19" s="9">
        <f t="shared" si="2"/>
        <v>25631.66587</v>
      </c>
      <c r="Z19" s="9">
        <f t="shared" si="2"/>
        <v>26009.06812</v>
      </c>
      <c r="AA19" s="9">
        <f t="shared" si="2"/>
        <v>26152.84843</v>
      </c>
      <c r="AB19" s="9">
        <f t="shared" si="2"/>
        <v>24197.33149</v>
      </c>
      <c r="AC19" s="9">
        <f t="shared" si="2"/>
        <v>21745.36791</v>
      </c>
      <c r="AD19" s="9">
        <f t="shared" si="2"/>
        <v>20678.1373</v>
      </c>
      <c r="AE19" s="9">
        <f t="shared" si="2"/>
        <v>25178.07207</v>
      </c>
      <c r="AF19" s="9">
        <f t="shared" si="2"/>
        <v>29815.67693</v>
      </c>
      <c r="AG19" s="9">
        <f t="shared" si="2"/>
        <v>29773.3594</v>
      </c>
      <c r="AH19" s="9">
        <f t="shared" si="2"/>
        <v>26655.61391</v>
      </c>
      <c r="AI19" s="9">
        <f t="shared" si="2"/>
        <v>30876.00224</v>
      </c>
      <c r="AJ19" s="9">
        <f t="shared" si="2"/>
        <v>27902.63253</v>
      </c>
      <c r="AK19" s="9">
        <f t="shared" si="2"/>
        <v>24685.08312</v>
      </c>
      <c r="AL19" s="9">
        <f t="shared" si="2"/>
        <v>21536.39654</v>
      </c>
      <c r="AM19" s="9">
        <f t="shared" si="2"/>
        <v>22086.37697</v>
      </c>
      <c r="AN19" s="9">
        <f t="shared" si="2"/>
        <v>22846.93354</v>
      </c>
      <c r="AO19" s="9">
        <f t="shared" si="2"/>
        <v>23608.48765</v>
      </c>
      <c r="AP19" s="9">
        <f t="shared" si="2"/>
        <v>23542.55102</v>
      </c>
      <c r="AQ19" s="9">
        <f t="shared" si="2"/>
        <v>23476.61439</v>
      </c>
      <c r="AR19" s="9">
        <f t="shared" si="2"/>
        <v>23107.48486</v>
      </c>
      <c r="AS19" s="9">
        <f t="shared" si="2"/>
        <v>22402.23155</v>
      </c>
      <c r="AT19" s="9">
        <f t="shared" si="2"/>
        <v>21019.15704</v>
      </c>
      <c r="AU19" s="9">
        <f t="shared" si="2"/>
        <v>20964.25401</v>
      </c>
      <c r="AV19" s="9">
        <f t="shared" si="2"/>
        <v>22816.95685</v>
      </c>
      <c r="AW19" s="9">
        <f t="shared" si="2"/>
        <v>28538.44327</v>
      </c>
      <c r="AX19" s="9">
        <f t="shared" si="2"/>
        <v>32865.00323</v>
      </c>
      <c r="AY19" s="9">
        <f t="shared" si="2"/>
        <v>37362.88342</v>
      </c>
      <c r="AZ19" s="9">
        <f t="shared" si="2"/>
        <v>38811.23745</v>
      </c>
      <c r="BA19" s="9">
        <f t="shared" si="2"/>
        <v>41358.10854</v>
      </c>
      <c r="BB19" s="9">
        <f t="shared" si="2"/>
        <v>44741.33283</v>
      </c>
      <c r="BC19" s="9">
        <f t="shared" si="2"/>
        <v>43105.38102</v>
      </c>
      <c r="BD19" s="9">
        <f t="shared" si="2"/>
        <v>40415.19534</v>
      </c>
      <c r="BE19" s="9">
        <f t="shared" si="2"/>
        <v>35366.07476</v>
      </c>
      <c r="BF19" s="9">
        <f t="shared" si="2"/>
        <v>34880.02002</v>
      </c>
      <c r="BG19" s="9">
        <f t="shared" si="2"/>
        <v>40324.11544</v>
      </c>
      <c r="BH19" s="9">
        <f t="shared" si="2"/>
        <v>38976.64804</v>
      </c>
      <c r="BI19" s="9">
        <f t="shared" si="2"/>
        <v>44762.41294</v>
      </c>
      <c r="BJ19" s="9">
        <f t="shared" si="2"/>
        <v>36520.44886</v>
      </c>
      <c r="BK19" s="9">
        <f t="shared" si="2"/>
        <v>36684.2663</v>
      </c>
      <c r="BL19" s="9">
        <f t="shared" si="2"/>
        <v>36920.09686</v>
      </c>
      <c r="BM19" s="9">
        <f t="shared" si="2"/>
        <v>37048.44379</v>
      </c>
      <c r="BN19" s="9">
        <f t="shared" si="2"/>
        <v>37117.71934</v>
      </c>
      <c r="BO19" s="9">
        <f t="shared" si="2"/>
        <v>43643.12168</v>
      </c>
      <c r="BP19" s="9">
        <f t="shared" si="2"/>
        <v>46932.57749</v>
      </c>
      <c r="BQ19" s="9">
        <f t="shared" si="2"/>
        <v>50087.20085</v>
      </c>
      <c r="BR19" s="9">
        <f t="shared" si="2"/>
        <v>53291.95866</v>
      </c>
      <c r="BS19" s="9">
        <f t="shared" si="2"/>
        <v>53206.97151</v>
      </c>
      <c r="BT19" s="9">
        <f t="shared" si="2"/>
        <v>52939.80466</v>
      </c>
      <c r="BU19" s="9">
        <f t="shared" si="2"/>
        <v>56637.38652</v>
      </c>
      <c r="BV19" s="9">
        <f t="shared" si="2"/>
        <v>63883.18847</v>
      </c>
      <c r="BW19" s="9">
        <f t="shared" si="2"/>
        <v>71313.39942</v>
      </c>
      <c r="BX19" s="9">
        <f t="shared" si="2"/>
        <v>75632.45423</v>
      </c>
      <c r="BY19" s="9">
        <f t="shared" si="2"/>
        <v>79719.78285</v>
      </c>
      <c r="BZ19" s="9">
        <f t="shared" si="2"/>
        <v>84490.64141</v>
      </c>
      <c r="CA19" s="9">
        <f t="shared" si="2"/>
        <v>89100.72774</v>
      </c>
      <c r="CB19" s="9">
        <f t="shared" si="2"/>
        <v>90559.46487</v>
      </c>
      <c r="CC19" s="9">
        <f t="shared" si="2"/>
        <v>91960.00675</v>
      </c>
      <c r="CD19" s="9">
        <f t="shared" si="2"/>
        <v>93360.54862</v>
      </c>
      <c r="CE19" s="9">
        <f t="shared" si="2"/>
        <v>95142.02617</v>
      </c>
      <c r="CF19" s="9">
        <f t="shared" si="2"/>
        <v>96851.7304</v>
      </c>
      <c r="CG19" s="9">
        <f t="shared" si="2"/>
        <v>101895.8018</v>
      </c>
      <c r="CH19" s="9">
        <f t="shared" si="2"/>
        <v>106302.5961</v>
      </c>
      <c r="CI19" s="9">
        <f t="shared" si="2"/>
        <v>110759.2226</v>
      </c>
      <c r="CJ19" s="9">
        <f t="shared" si="2"/>
        <v>115576.6474</v>
      </c>
      <c r="CK19" s="9">
        <f t="shared" si="2"/>
        <v>120101.0292</v>
      </c>
      <c r="CL19" s="9">
        <f t="shared" si="2"/>
        <v>128047.5428</v>
      </c>
      <c r="CM19" s="9">
        <f t="shared" si="2"/>
        <v>132939.1222</v>
      </c>
      <c r="CN19" s="9">
        <f t="shared" si="2"/>
        <v>137587.3432</v>
      </c>
      <c r="CO19" s="9">
        <f t="shared" si="2"/>
        <v>139463.0934</v>
      </c>
      <c r="CP19" s="9">
        <f t="shared" si="2"/>
        <v>141338.8435</v>
      </c>
      <c r="CQ19" s="9"/>
      <c r="CR19" s="9"/>
      <c r="CS19" s="9"/>
    </row>
    <row r="20" ht="12.75" customHeight="1">
      <c r="B20" s="9"/>
      <c r="C20" s="9"/>
      <c r="D20" s="9"/>
      <c r="E20" s="9"/>
      <c r="F20" s="9"/>
      <c r="G20" s="9"/>
      <c r="H20" s="9"/>
      <c r="I20" s="9"/>
    </row>
    <row r="21" ht="12.75" customHeight="1">
      <c r="A21" s="1" t="s">
        <v>7</v>
      </c>
      <c r="B21" s="10">
        <f>+'Expenses 2'!B102</f>
        <v>29693.7035</v>
      </c>
      <c r="C21" s="10">
        <f>+'Expenses 2'!C102</f>
        <v>26720.25143</v>
      </c>
      <c r="D21" s="10">
        <f>+'Expenses 2'!D102</f>
        <v>26835.31486</v>
      </c>
      <c r="E21" s="10">
        <f>+'Expenses 2'!E102</f>
        <v>25597.29305</v>
      </c>
      <c r="F21" s="10">
        <f>+'Expenses 2'!F102</f>
        <v>25905.51877</v>
      </c>
      <c r="G21" s="10">
        <f>+'Expenses 2'!G102</f>
        <v>27008.95051</v>
      </c>
      <c r="H21" s="10">
        <f>+'Expenses 2'!H102</f>
        <v>32062.84042</v>
      </c>
      <c r="I21" s="10">
        <f>+'Expenses 2'!I102</f>
        <v>40740.50901</v>
      </c>
      <c r="J21" s="10">
        <f>+'Expenses 2'!J102</f>
        <v>28216.70063</v>
      </c>
      <c r="K21" s="10">
        <f>+'Expenses 2'!K102</f>
        <v>41454.49312</v>
      </c>
      <c r="L21" s="10">
        <f>+'Expenses 2'!L102</f>
        <v>44964.51157</v>
      </c>
      <c r="M21" s="10">
        <f>+'Expenses 2'!M102</f>
        <v>46683.86276</v>
      </c>
      <c r="N21" s="10">
        <f>+'Expenses 2'!N102</f>
        <v>44684.73995</v>
      </c>
      <c r="O21" s="10">
        <f>+'Expenses 2'!O102</f>
        <v>39193.74002</v>
      </c>
      <c r="P21" s="10">
        <f>+'Expenses 2'!P102</f>
        <v>41702.74009</v>
      </c>
      <c r="Q21" s="10">
        <f>+'Expenses 2'!Q102</f>
        <v>50249.88569</v>
      </c>
      <c r="R21" s="10">
        <f>+'Expenses 2'!R102</f>
        <v>86984.59156</v>
      </c>
      <c r="S21" s="10">
        <f>+'Expenses 2'!S102</f>
        <v>65136.88664</v>
      </c>
      <c r="T21" s="10">
        <f>+'Expenses 2'!T102</f>
        <v>81124.36012</v>
      </c>
      <c r="U21" s="10">
        <f>+'Expenses 2'!U102</f>
        <v>57382.47069</v>
      </c>
      <c r="V21" s="10">
        <f>+'Expenses 2'!V102</f>
        <v>55319.61688</v>
      </c>
      <c r="W21" s="10">
        <f>+'Expenses 2'!W102</f>
        <v>88561.71936</v>
      </c>
      <c r="X21" s="10">
        <f>+'Expenses 2'!X102</f>
        <v>59545.00258</v>
      </c>
      <c r="Y21" s="10">
        <f>+'Expenses 2'!Y102</f>
        <v>49508.84042</v>
      </c>
      <c r="Z21" s="10">
        <f>+'Expenses 2'!Z102</f>
        <v>43228.73024</v>
      </c>
      <c r="AA21" s="10">
        <f>+'Expenses 2'!AA102</f>
        <v>42037.50247</v>
      </c>
      <c r="AB21" s="10">
        <f>+'Expenses 2'!AB102</f>
        <v>35898.1392</v>
      </c>
      <c r="AC21" s="10">
        <f>+'Expenses 2'!AC102</f>
        <v>34469.52604</v>
      </c>
      <c r="AD21" s="10">
        <f>+'Expenses 2'!AD102</f>
        <v>36847.71431</v>
      </c>
      <c r="AE21" s="10">
        <f>+'Expenses 2'!AE102</f>
        <v>53469.55833</v>
      </c>
      <c r="AF21" s="10">
        <f>+'Expenses 2'!AF102</f>
        <v>119171.6145</v>
      </c>
      <c r="AG21" s="10">
        <f>+'Expenses 2'!AG102</f>
        <v>57600.35971</v>
      </c>
      <c r="AH21" s="10">
        <f>+'Expenses 2'!AH102</f>
        <v>28150.03816</v>
      </c>
      <c r="AI21" s="10">
        <f>+'Expenses 2'!AI102</f>
        <v>32135.35404</v>
      </c>
      <c r="AJ21" s="10">
        <f>+'Expenses 2'!AJ102</f>
        <v>26814.15515</v>
      </c>
      <c r="AK21" s="10">
        <f>+'Expenses 2'!AK102</f>
        <v>26466.5787</v>
      </c>
      <c r="AL21" s="10">
        <f>+'Expenses 2'!AL102</f>
        <v>26126.44117</v>
      </c>
      <c r="AM21" s="10">
        <f>+'Expenses 2'!AM102</f>
        <v>29885.85292</v>
      </c>
      <c r="AN21" s="10">
        <f>+'Expenses 2'!AN102</f>
        <v>29968.01221</v>
      </c>
      <c r="AO21" s="10">
        <f>+'Expenses 2'!AO102</f>
        <v>30050.27925</v>
      </c>
      <c r="AP21" s="10">
        <f>+'Expenses 2'!AP102</f>
        <v>40043.15643</v>
      </c>
      <c r="AQ21" s="10">
        <f>+'Expenses 2'!AQ102</f>
        <v>31036.03361</v>
      </c>
      <c r="AR21" s="10">
        <f>+'Expenses 2'!AR102</f>
        <v>31996.15832</v>
      </c>
      <c r="AS21" s="10">
        <f>+'Expenses 2'!AS102</f>
        <v>30919.97318</v>
      </c>
      <c r="AT21" s="10">
        <f>+'Expenses 2'!AT102</f>
        <v>29770.56627</v>
      </c>
      <c r="AU21" s="10">
        <f>+'Expenses 2'!AU102</f>
        <v>35764.63536</v>
      </c>
      <c r="AV21" s="10">
        <f>+'Expenses 2'!AV102</f>
        <v>44964.77397</v>
      </c>
      <c r="AW21" s="10">
        <f>+'Expenses 2'!AW102</f>
        <v>55582.83874</v>
      </c>
      <c r="AX21" s="10">
        <f>+'Expenses 2'!AX102</f>
        <v>56050.21629</v>
      </c>
      <c r="AY21" s="10">
        <f>+'Expenses 2'!AY102</f>
        <v>56536.10074</v>
      </c>
      <c r="AZ21" s="10">
        <f>+'Expenses 2'!AZ102</f>
        <v>56692.55949</v>
      </c>
      <c r="BA21" s="10">
        <f>+'Expenses 2'!BA102</f>
        <v>56967.68578</v>
      </c>
      <c r="BB21" s="10">
        <f>+'Expenses 2'!BB102</f>
        <v>60333.15929</v>
      </c>
      <c r="BC21" s="10">
        <f>+'Expenses 2'!BC102</f>
        <v>50156.43525</v>
      </c>
      <c r="BD21" s="10">
        <f>+'Expenses 2'!BD102</f>
        <v>49865.82738</v>
      </c>
      <c r="BE21" s="10">
        <f>+'Expenses 2'!BE102</f>
        <v>49320.39507</v>
      </c>
      <c r="BF21" s="10">
        <f>+'Expenses 2'!BF102</f>
        <v>49267.8889</v>
      </c>
      <c r="BG21" s="10">
        <f>+'Expenses 2'!BG102</f>
        <v>64455.98845</v>
      </c>
      <c r="BH21" s="10">
        <f>+'Expenses 2'!BH102</f>
        <v>47310.42801</v>
      </c>
      <c r="BI21" s="10">
        <f>+'Expenses 2'!BI102</f>
        <v>49145.1138</v>
      </c>
      <c r="BJ21" s="10">
        <f>+'Expenses 2'!BJ102</f>
        <v>44400.29519</v>
      </c>
      <c r="BK21" s="10">
        <f>+'Expenses 2'!BK102</f>
        <v>46415.09922</v>
      </c>
      <c r="BL21" s="10">
        <f>+'Expenses 2'!BL102</f>
        <v>44436.411</v>
      </c>
      <c r="BM21" s="10">
        <f>+'Expenses 2'!BM102</f>
        <v>46448.0096</v>
      </c>
      <c r="BN21" s="10">
        <f>+'Expenses 2'!BN102</f>
        <v>44454.26996</v>
      </c>
      <c r="BO21" s="10">
        <f>+'Expenses 2'!BO102</f>
        <v>46434.4993</v>
      </c>
      <c r="BP21" s="10">
        <f>+'Expenses 2'!BP102</f>
        <v>51685.8274</v>
      </c>
      <c r="BQ21" s="10">
        <f>+'Expenses 2'!BQ102</f>
        <v>59326.85375</v>
      </c>
      <c r="BR21" s="10">
        <f>+'Expenses 2'!BR102</f>
        <v>59571.71058</v>
      </c>
      <c r="BS21" s="10">
        <f>+'Expenses 2'!BS102</f>
        <v>62665.21721</v>
      </c>
      <c r="BT21" s="10">
        <f>+'Expenses 2'!BT102</f>
        <v>62644.80455</v>
      </c>
      <c r="BU21" s="10">
        <f>+'Expenses 2'!BU102</f>
        <v>67927.31519</v>
      </c>
      <c r="BV21" s="10">
        <f>+'Expenses 2'!BV102</f>
        <v>73480.92461</v>
      </c>
      <c r="BW21" s="10">
        <f>+'Expenses 2'!BW102</f>
        <v>74048.62364</v>
      </c>
      <c r="BX21" s="10">
        <f>+'Expenses 2'!BX102</f>
        <v>75378.61739</v>
      </c>
      <c r="BY21" s="10">
        <f>+'Expenses 2'!BY102</f>
        <v>80690.9063</v>
      </c>
      <c r="BZ21" s="10">
        <f>+'Expenses 2'!BZ102</f>
        <v>81055.41975</v>
      </c>
      <c r="CA21" s="10">
        <f>+'Expenses 2'!CA102</f>
        <v>80407.64952</v>
      </c>
      <c r="CB21" s="10">
        <f>+'Expenses 2'!CB102</f>
        <v>80519.10311</v>
      </c>
      <c r="CC21" s="10">
        <f>+'Expenses 2'!CC102</f>
        <v>81626.11034</v>
      </c>
      <c r="CD21" s="10">
        <f>+'Expenses 2'!CD102</f>
        <v>81733.11756</v>
      </c>
      <c r="CE21" s="10">
        <f>+'Expenses 2'!CE102</f>
        <v>89869.22986</v>
      </c>
      <c r="CF21" s="10">
        <f>+'Expenses 2'!CF102</f>
        <v>90999.85837</v>
      </c>
      <c r="CG21" s="10">
        <f>+'Expenses 2'!CG102</f>
        <v>96385.24642</v>
      </c>
      <c r="CH21" s="10">
        <f>+'Expenses 2'!CH102</f>
        <v>102721.9438</v>
      </c>
      <c r="CI21" s="10">
        <f>+'Expenses 2'!CI102</f>
        <v>104062.4486</v>
      </c>
      <c r="CJ21" s="10">
        <f>+'Expenses 2'!CJ102</f>
        <v>111430.5199</v>
      </c>
      <c r="CK21" s="10">
        <f>+'Expenses 2'!CK102</f>
        <v>111776.2015</v>
      </c>
      <c r="CL21" s="10">
        <f>+'Expenses 2'!CL102</f>
        <v>117383.3482</v>
      </c>
      <c r="CM21" s="10">
        <f>+'Expenses 2'!CM102</f>
        <v>117757.0853</v>
      </c>
      <c r="CN21" s="10">
        <f>+'Expenses 2'!CN102</f>
        <v>118112.2287</v>
      </c>
      <c r="CO21" s="10">
        <f>+'Expenses 2'!CO102</f>
        <v>118255.5438</v>
      </c>
      <c r="CP21" s="10">
        <f>+'Expenses 2'!CP102</f>
        <v>118398.8589</v>
      </c>
      <c r="CQ21" s="9"/>
      <c r="CR21" s="9"/>
      <c r="CS21" s="9"/>
    </row>
    <row r="22" ht="12.75" customHeight="1">
      <c r="B22" s="9"/>
      <c r="C22" s="9"/>
      <c r="D22" s="9"/>
      <c r="E22" s="9"/>
      <c r="F22" s="9"/>
      <c r="G22" s="9"/>
      <c r="H22" s="9"/>
      <c r="I22" s="9"/>
    </row>
    <row r="23" ht="12.75" customHeight="1">
      <c r="A23" s="1" t="s">
        <v>8</v>
      </c>
      <c r="B23" s="12">
        <f t="shared" ref="B23:CP23" si="3">+B19-B21</f>
        <v>-26923.4935</v>
      </c>
      <c r="C23" s="12">
        <f t="shared" si="3"/>
        <v>-23771.38662</v>
      </c>
      <c r="D23" s="12">
        <f t="shared" si="3"/>
        <v>-26100.07994</v>
      </c>
      <c r="E23" s="12">
        <f t="shared" si="3"/>
        <v>-21547.58092</v>
      </c>
      <c r="F23" s="12">
        <f t="shared" si="3"/>
        <v>-16452.47069</v>
      </c>
      <c r="G23" s="12">
        <f t="shared" si="3"/>
        <v>-14999.09602</v>
      </c>
      <c r="H23" s="12">
        <f t="shared" si="3"/>
        <v>-23043.1209</v>
      </c>
      <c r="I23" s="12">
        <f t="shared" si="3"/>
        <v>-25953.47146</v>
      </c>
      <c r="J23" s="12">
        <f t="shared" si="3"/>
        <v>-24887.35892</v>
      </c>
      <c r="K23" s="12">
        <f t="shared" si="3"/>
        <v>-46920.45025</v>
      </c>
      <c r="L23" s="12">
        <f t="shared" si="3"/>
        <v>-24958.9845</v>
      </c>
      <c r="M23" s="12">
        <f t="shared" si="3"/>
        <v>-18236.30878</v>
      </c>
      <c r="N23" s="12">
        <f t="shared" si="3"/>
        <v>-16231.11286</v>
      </c>
      <c r="O23" s="12">
        <f t="shared" si="3"/>
        <v>-14139.49012</v>
      </c>
      <c r="P23" s="12">
        <f t="shared" si="3"/>
        <v>-20047.86738</v>
      </c>
      <c r="Q23" s="12">
        <f t="shared" si="3"/>
        <v>-30211.64325</v>
      </c>
      <c r="R23" s="12">
        <f t="shared" si="3"/>
        <v>-63969.03116</v>
      </c>
      <c r="S23" s="12">
        <f t="shared" si="3"/>
        <v>-36710.96538</v>
      </c>
      <c r="T23" s="12">
        <f t="shared" si="3"/>
        <v>-42421.99224</v>
      </c>
      <c r="U23" s="12">
        <f t="shared" si="3"/>
        <v>-21669.75008</v>
      </c>
      <c r="V23" s="12">
        <f t="shared" si="3"/>
        <v>-24863.74689</v>
      </c>
      <c r="W23" s="12">
        <f t="shared" si="3"/>
        <v>-66271.94482</v>
      </c>
      <c r="X23" s="12">
        <f t="shared" si="3"/>
        <v>-35567.59509</v>
      </c>
      <c r="Y23" s="12">
        <f t="shared" si="3"/>
        <v>-23877.17456</v>
      </c>
      <c r="Z23" s="12">
        <f t="shared" si="3"/>
        <v>-17219.66212</v>
      </c>
      <c r="AA23" s="12">
        <f t="shared" si="3"/>
        <v>-15884.65404</v>
      </c>
      <c r="AB23" s="12">
        <f t="shared" si="3"/>
        <v>-11700.80771</v>
      </c>
      <c r="AC23" s="12">
        <f t="shared" si="3"/>
        <v>-12724.15813</v>
      </c>
      <c r="AD23" s="12">
        <f t="shared" si="3"/>
        <v>-16169.57702</v>
      </c>
      <c r="AE23" s="12">
        <f t="shared" si="3"/>
        <v>-28291.48626</v>
      </c>
      <c r="AF23" s="12">
        <f t="shared" si="3"/>
        <v>-89355.93758</v>
      </c>
      <c r="AG23" s="12">
        <f t="shared" si="3"/>
        <v>-27827.00031</v>
      </c>
      <c r="AH23" s="12">
        <f t="shared" si="3"/>
        <v>-1494.424247</v>
      </c>
      <c r="AI23" s="12">
        <f t="shared" si="3"/>
        <v>-1259.351801</v>
      </c>
      <c r="AJ23" s="12">
        <f t="shared" si="3"/>
        <v>1088.477377</v>
      </c>
      <c r="AK23" s="12">
        <f t="shared" si="3"/>
        <v>-1781.49558</v>
      </c>
      <c r="AL23" s="12">
        <f t="shared" si="3"/>
        <v>-4590.044632</v>
      </c>
      <c r="AM23" s="12">
        <f t="shared" si="3"/>
        <v>-7799.475951</v>
      </c>
      <c r="AN23" s="12">
        <f t="shared" si="3"/>
        <v>-7121.07867</v>
      </c>
      <c r="AO23" s="12">
        <f t="shared" si="3"/>
        <v>-6441.791602</v>
      </c>
      <c r="AP23" s="12">
        <f t="shared" si="3"/>
        <v>-16500.60541</v>
      </c>
      <c r="AQ23" s="12">
        <f t="shared" si="3"/>
        <v>-7559.419226</v>
      </c>
      <c r="AR23" s="12">
        <f t="shared" si="3"/>
        <v>-8888.673463</v>
      </c>
      <c r="AS23" s="12">
        <f t="shared" si="3"/>
        <v>-8517.741629</v>
      </c>
      <c r="AT23" s="12">
        <f t="shared" si="3"/>
        <v>-8751.409224</v>
      </c>
      <c r="AU23" s="12">
        <f t="shared" si="3"/>
        <v>-14800.38135</v>
      </c>
      <c r="AV23" s="12">
        <f t="shared" si="3"/>
        <v>-22147.81712</v>
      </c>
      <c r="AW23" s="12">
        <f t="shared" si="3"/>
        <v>-27044.39547</v>
      </c>
      <c r="AX23" s="12">
        <f t="shared" si="3"/>
        <v>-23185.21306</v>
      </c>
      <c r="AY23" s="12">
        <f t="shared" si="3"/>
        <v>-19173.21732</v>
      </c>
      <c r="AZ23" s="12">
        <f t="shared" si="3"/>
        <v>-17881.32204</v>
      </c>
      <c r="BA23" s="12">
        <f t="shared" si="3"/>
        <v>-15609.57724</v>
      </c>
      <c r="BB23" s="12">
        <f t="shared" si="3"/>
        <v>-15591.82646</v>
      </c>
      <c r="BC23" s="12">
        <f t="shared" si="3"/>
        <v>-7051.054236</v>
      </c>
      <c r="BD23" s="12">
        <f t="shared" si="3"/>
        <v>-9450.632044</v>
      </c>
      <c r="BE23" s="12">
        <f t="shared" si="3"/>
        <v>-13954.32031</v>
      </c>
      <c r="BF23" s="12">
        <f t="shared" si="3"/>
        <v>-14387.86888</v>
      </c>
      <c r="BG23" s="12">
        <f t="shared" si="3"/>
        <v>-24131.87301</v>
      </c>
      <c r="BH23" s="12">
        <f t="shared" si="3"/>
        <v>-8333.779965</v>
      </c>
      <c r="BI23" s="12">
        <f t="shared" si="3"/>
        <v>-4382.700865</v>
      </c>
      <c r="BJ23" s="12">
        <f t="shared" si="3"/>
        <v>-7879.846326</v>
      </c>
      <c r="BK23" s="12">
        <f t="shared" si="3"/>
        <v>-9730.832915</v>
      </c>
      <c r="BL23" s="12">
        <f t="shared" si="3"/>
        <v>-7516.314141</v>
      </c>
      <c r="BM23" s="12">
        <f t="shared" si="3"/>
        <v>-9399.565803</v>
      </c>
      <c r="BN23" s="12">
        <f t="shared" si="3"/>
        <v>-7336.550621</v>
      </c>
      <c r="BO23" s="12">
        <f t="shared" si="3"/>
        <v>-2791.377611</v>
      </c>
      <c r="BP23" s="12">
        <f t="shared" si="3"/>
        <v>-4753.249918</v>
      </c>
      <c r="BQ23" s="12">
        <f t="shared" si="3"/>
        <v>-9239.652909</v>
      </c>
      <c r="BR23" s="12">
        <f t="shared" si="3"/>
        <v>-6279.751922</v>
      </c>
      <c r="BS23" s="12">
        <f t="shared" si="3"/>
        <v>-9458.245703</v>
      </c>
      <c r="BT23" s="12">
        <f t="shared" si="3"/>
        <v>-9704.99989</v>
      </c>
      <c r="BU23" s="12">
        <f t="shared" si="3"/>
        <v>-11289.92867</v>
      </c>
      <c r="BV23" s="12">
        <f t="shared" si="3"/>
        <v>-9597.736137</v>
      </c>
      <c r="BW23" s="12">
        <f t="shared" si="3"/>
        <v>-2735.224213</v>
      </c>
      <c r="BX23" s="12">
        <f t="shared" si="3"/>
        <v>253.8368333</v>
      </c>
      <c r="BY23" s="12">
        <f t="shared" si="3"/>
        <v>-971.1234535</v>
      </c>
      <c r="BZ23" s="12">
        <f t="shared" si="3"/>
        <v>3435.221661</v>
      </c>
      <c r="CA23" s="12">
        <f t="shared" si="3"/>
        <v>8693.07822</v>
      </c>
      <c r="CB23" s="12">
        <f t="shared" si="3"/>
        <v>10040.36176</v>
      </c>
      <c r="CC23" s="12">
        <f t="shared" si="3"/>
        <v>10333.89641</v>
      </c>
      <c r="CD23" s="12">
        <f t="shared" si="3"/>
        <v>11627.43106</v>
      </c>
      <c r="CE23" s="12">
        <f t="shared" si="3"/>
        <v>5272.796309</v>
      </c>
      <c r="CF23" s="12">
        <f t="shared" si="3"/>
        <v>5851.872024</v>
      </c>
      <c r="CG23" s="12">
        <f t="shared" si="3"/>
        <v>5510.555396</v>
      </c>
      <c r="CH23" s="12">
        <f t="shared" si="3"/>
        <v>3580.652309</v>
      </c>
      <c r="CI23" s="12">
        <f t="shared" si="3"/>
        <v>6696.77398</v>
      </c>
      <c r="CJ23" s="12">
        <f t="shared" si="3"/>
        <v>4146.127484</v>
      </c>
      <c r="CK23" s="12">
        <f t="shared" si="3"/>
        <v>8324.827649</v>
      </c>
      <c r="CL23" s="12">
        <f t="shared" si="3"/>
        <v>10664.19458</v>
      </c>
      <c r="CM23" s="12">
        <f t="shared" si="3"/>
        <v>15182.03699</v>
      </c>
      <c r="CN23" s="12">
        <f t="shared" si="3"/>
        <v>19475.11457</v>
      </c>
      <c r="CO23" s="12">
        <f t="shared" si="3"/>
        <v>21207.54957</v>
      </c>
      <c r="CP23" s="12">
        <f t="shared" si="3"/>
        <v>22939.98456</v>
      </c>
      <c r="CQ23" s="12"/>
      <c r="CR23" s="12"/>
      <c r="CS23" s="12"/>
    </row>
    <row r="24" ht="12.75" customHeight="1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 t="s">
        <v>23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</row>
    <row r="25" ht="12.75" customHeight="1">
      <c r="A25" s="1" t="s">
        <v>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</row>
    <row r="26" ht="12.75" customHeight="1">
      <c r="A26" s="1" t="s">
        <v>10</v>
      </c>
      <c r="B26" s="12">
        <f t="shared" ref="B26:CP26" si="4">+B17</f>
        <v>0</v>
      </c>
      <c r="C26" s="12">
        <f t="shared" si="4"/>
        <v>440.9001764</v>
      </c>
      <c r="D26" s="12">
        <f t="shared" si="4"/>
        <v>5339.791025</v>
      </c>
      <c r="E26" s="12">
        <f t="shared" si="4"/>
        <v>8139.157224</v>
      </c>
      <c r="F26" s="12">
        <f t="shared" si="4"/>
        <v>9928.953576</v>
      </c>
      <c r="G26" s="12">
        <f t="shared" si="4"/>
        <v>9785.956599</v>
      </c>
      <c r="H26" s="12">
        <f t="shared" si="4"/>
        <v>14033.73256</v>
      </c>
      <c r="I26" s="12">
        <f t="shared" si="4"/>
        <v>24081.31744</v>
      </c>
      <c r="J26" s="12">
        <f t="shared" si="4"/>
        <v>23314.78039</v>
      </c>
      <c r="K26" s="12">
        <f t="shared" si="4"/>
        <v>37659.49542</v>
      </c>
      <c r="L26" s="12">
        <f t="shared" si="4"/>
        <v>47427.64845</v>
      </c>
      <c r="M26" s="12">
        <f t="shared" si="4"/>
        <v>67441.89202</v>
      </c>
      <c r="N26" s="12">
        <f t="shared" si="4"/>
        <v>67456.29006</v>
      </c>
      <c r="O26" s="12">
        <f t="shared" si="4"/>
        <v>59397.09246</v>
      </c>
      <c r="P26" s="12">
        <f t="shared" si="4"/>
        <v>51337.89486</v>
      </c>
      <c r="Q26" s="12">
        <f t="shared" si="4"/>
        <v>47505.2096</v>
      </c>
      <c r="R26" s="12">
        <f t="shared" si="4"/>
        <v>54563.79489</v>
      </c>
      <c r="S26" s="12">
        <f t="shared" si="4"/>
        <v>67390.60545</v>
      </c>
      <c r="T26" s="12">
        <f t="shared" si="4"/>
        <v>91753.86656</v>
      </c>
      <c r="U26" s="12">
        <f t="shared" si="4"/>
        <v>84666.0511</v>
      </c>
      <c r="V26" s="12">
        <f t="shared" si="4"/>
        <v>72203.18054</v>
      </c>
      <c r="W26" s="12">
        <f t="shared" si="4"/>
        <v>52843.11155</v>
      </c>
      <c r="X26" s="12">
        <f t="shared" si="4"/>
        <v>56844.12898</v>
      </c>
      <c r="Y26" s="12">
        <f t="shared" si="4"/>
        <v>60766.02244</v>
      </c>
      <c r="Z26" s="12">
        <f t="shared" si="4"/>
        <v>61660.76263</v>
      </c>
      <c r="AA26" s="12">
        <f t="shared" si="4"/>
        <v>62001.63504</v>
      </c>
      <c r="AB26" s="12">
        <f t="shared" si="4"/>
        <v>57365.52185</v>
      </c>
      <c r="AC26" s="12">
        <f t="shared" si="4"/>
        <v>51552.43966</v>
      </c>
      <c r="AD26" s="12">
        <f t="shared" si="4"/>
        <v>49022.2637</v>
      </c>
      <c r="AE26" s="12">
        <f t="shared" si="4"/>
        <v>59690.6484</v>
      </c>
      <c r="AF26" s="12">
        <f t="shared" si="4"/>
        <v>70685.41946</v>
      </c>
      <c r="AG26" s="12">
        <f t="shared" si="4"/>
        <v>70585.09364</v>
      </c>
      <c r="AH26" s="12">
        <f t="shared" si="4"/>
        <v>63193.58467</v>
      </c>
      <c r="AI26" s="12">
        <f t="shared" si="4"/>
        <v>46961.89836</v>
      </c>
      <c r="AJ26" s="12">
        <f t="shared" si="4"/>
        <v>42439.37805</v>
      </c>
      <c r="AK26" s="12">
        <f t="shared" si="4"/>
        <v>37545.45836</v>
      </c>
      <c r="AL26" s="12">
        <f t="shared" si="4"/>
        <v>32756.27961</v>
      </c>
      <c r="AM26" s="12">
        <f t="shared" si="4"/>
        <v>33592.80447</v>
      </c>
      <c r="AN26" s="12">
        <f t="shared" si="4"/>
        <v>34749.6174</v>
      </c>
      <c r="AO26" s="12">
        <f t="shared" si="4"/>
        <v>35907.9476</v>
      </c>
      <c r="AP26" s="12">
        <f t="shared" si="4"/>
        <v>35807.65743</v>
      </c>
      <c r="AQ26" s="12">
        <f t="shared" si="4"/>
        <v>35707.36726</v>
      </c>
      <c r="AR26" s="12">
        <f t="shared" si="4"/>
        <v>35145.91814</v>
      </c>
      <c r="AS26" s="12">
        <f t="shared" si="4"/>
        <v>34073.22194</v>
      </c>
      <c r="AT26" s="12">
        <f t="shared" si="4"/>
        <v>31969.55399</v>
      </c>
      <c r="AU26" s="12">
        <f t="shared" si="4"/>
        <v>31886.04601</v>
      </c>
      <c r="AV26" s="12">
        <f t="shared" si="4"/>
        <v>34704.0226</v>
      </c>
      <c r="AW26" s="12">
        <f t="shared" si="4"/>
        <v>43406.45152</v>
      </c>
      <c r="AX26" s="12">
        <f t="shared" si="4"/>
        <v>49987.18559</v>
      </c>
      <c r="AY26" s="12">
        <f t="shared" si="4"/>
        <v>56828.49915</v>
      </c>
      <c r="AZ26" s="12">
        <f t="shared" si="4"/>
        <v>59031.4578</v>
      </c>
      <c r="BA26" s="12">
        <f t="shared" si="4"/>
        <v>62905.27013</v>
      </c>
      <c r="BB26" s="12">
        <f t="shared" si="4"/>
        <v>68051.18271</v>
      </c>
      <c r="BC26" s="12">
        <f t="shared" si="4"/>
        <v>65562.88625</v>
      </c>
      <c r="BD26" s="12">
        <f t="shared" si="4"/>
        <v>61471.09122</v>
      </c>
      <c r="BE26" s="12">
        <f t="shared" si="4"/>
        <v>53791.33639</v>
      </c>
      <c r="BF26" s="12">
        <f t="shared" si="4"/>
        <v>53052.04306</v>
      </c>
      <c r="BG26" s="12">
        <f t="shared" si="4"/>
        <v>61332.55794</v>
      </c>
      <c r="BH26" s="12">
        <f t="shared" si="4"/>
        <v>59283.0487</v>
      </c>
      <c r="BI26" s="12">
        <f t="shared" si="4"/>
        <v>49639.30943</v>
      </c>
      <c r="BJ26" s="12">
        <f t="shared" si="4"/>
        <v>40499.27545</v>
      </c>
      <c r="BK26" s="12">
        <f t="shared" si="4"/>
        <v>40680.94295</v>
      </c>
      <c r="BL26" s="12">
        <f t="shared" si="4"/>
        <v>40942.47034</v>
      </c>
      <c r="BM26" s="12">
        <f t="shared" si="4"/>
        <v>41084.80235</v>
      </c>
      <c r="BN26" s="12">
        <f t="shared" si="4"/>
        <v>41161.62637</v>
      </c>
      <c r="BO26" s="12">
        <f t="shared" si="4"/>
        <v>34174.83154</v>
      </c>
      <c r="BP26" s="12">
        <f t="shared" si="4"/>
        <v>36750.67583</v>
      </c>
      <c r="BQ26" s="12">
        <f t="shared" si="4"/>
        <v>39220.93811</v>
      </c>
      <c r="BR26" s="12">
        <f t="shared" si="4"/>
        <v>41730.45871</v>
      </c>
      <c r="BS26" s="12">
        <f t="shared" si="4"/>
        <v>41663.9086</v>
      </c>
      <c r="BT26" s="12">
        <f t="shared" si="4"/>
        <v>41454.70068</v>
      </c>
      <c r="BU26" s="12">
        <f t="shared" si="4"/>
        <v>44350.13254</v>
      </c>
      <c r="BV26" s="12">
        <f t="shared" si="4"/>
        <v>50024.03688</v>
      </c>
      <c r="BW26" s="12">
        <f t="shared" si="4"/>
        <v>55842.34472</v>
      </c>
      <c r="BX26" s="12">
        <f t="shared" si="4"/>
        <v>59224.42775</v>
      </c>
      <c r="BY26" s="12">
        <f t="shared" si="4"/>
        <v>62425.05507</v>
      </c>
      <c r="BZ26" s="12">
        <f t="shared" si="4"/>
        <v>66160.92797</v>
      </c>
      <c r="CA26" s="12">
        <f t="shared" si="4"/>
        <v>69770.90642</v>
      </c>
      <c r="CB26" s="12">
        <f t="shared" si="4"/>
        <v>70913.18646</v>
      </c>
      <c r="CC26" s="12">
        <f t="shared" si="4"/>
        <v>72009.89607</v>
      </c>
      <c r="CD26" s="12">
        <f t="shared" si="4"/>
        <v>73106.60568</v>
      </c>
      <c r="CE26" s="12">
        <f t="shared" si="4"/>
        <v>74501.61113</v>
      </c>
      <c r="CF26" s="12">
        <f t="shared" si="4"/>
        <v>75840.4137</v>
      </c>
      <c r="CG26" s="12">
        <f t="shared" si="4"/>
        <v>79790.22891</v>
      </c>
      <c r="CH26" s="12">
        <f t="shared" si="4"/>
        <v>83241.01734</v>
      </c>
      <c r="CI26" s="12">
        <f t="shared" si="4"/>
        <v>86730.82737</v>
      </c>
      <c r="CJ26" s="12">
        <f t="shared" si="4"/>
        <v>90503.16448</v>
      </c>
      <c r="CK26" s="12">
        <f t="shared" si="4"/>
        <v>94046.03102</v>
      </c>
      <c r="CL26" s="12">
        <f t="shared" si="4"/>
        <v>100268.6353</v>
      </c>
      <c r="CM26" s="12">
        <f t="shared" si="4"/>
        <v>104099.04</v>
      </c>
      <c r="CN26" s="12">
        <f t="shared" si="4"/>
        <v>107738.8802</v>
      </c>
      <c r="CO26" s="12">
        <f t="shared" si="4"/>
        <v>109207.7068</v>
      </c>
      <c r="CP26" s="12">
        <f t="shared" si="4"/>
        <v>110676.5334</v>
      </c>
      <c r="CQ26" s="12"/>
      <c r="CR26" s="12"/>
      <c r="CS26" s="12"/>
    </row>
    <row r="27" ht="12.75" customHeight="1">
      <c r="A27" s="1" t="s">
        <v>11</v>
      </c>
      <c r="B27" s="12">
        <f>-COGS!B32-COGS!B23</f>
        <v>-6120.482226</v>
      </c>
      <c r="C27" s="12">
        <f>-COGS!C23</f>
        <v>-8139.157224</v>
      </c>
      <c r="D27" s="12">
        <f>-COGS!D23</f>
        <v>-9928.953576</v>
      </c>
      <c r="E27" s="12">
        <f>-COGS!E23</f>
        <v>-9785.956599</v>
      </c>
      <c r="F27" s="12">
        <f>-COGS!F23</f>
        <v>-14033.73256</v>
      </c>
      <c r="G27" s="12">
        <f>-COGS!G23</f>
        <v>-24081.31744</v>
      </c>
      <c r="H27" s="12">
        <f>-COGS!H23</f>
        <v>-23314.78039</v>
      </c>
      <c r="I27" s="12">
        <f>-COGS!I23</f>
        <v>-37659.49542</v>
      </c>
      <c r="J27" s="12">
        <f>-COGS!J23</f>
        <v>-47427.64845</v>
      </c>
      <c r="K27" s="12">
        <f>-COGS!K23</f>
        <v>-67441.89202</v>
      </c>
      <c r="L27" s="12">
        <f>-COGS!L23</f>
        <v>-67456.29006</v>
      </c>
      <c r="M27" s="12">
        <f>-COGS!M23</f>
        <v>-59397.09246</v>
      </c>
      <c r="N27" s="12">
        <f>-COGS!N23</f>
        <v>-51337.89486</v>
      </c>
      <c r="O27" s="12">
        <f>-COGS!O23</f>
        <v>-47505.2096</v>
      </c>
      <c r="P27" s="12">
        <f>-COGS!P23</f>
        <v>-54563.79489</v>
      </c>
      <c r="Q27" s="12">
        <f>-COGS!Q23</f>
        <v>-67390.60545</v>
      </c>
      <c r="R27" s="12">
        <f>-COGS!R23</f>
        <v>-91753.86656</v>
      </c>
      <c r="S27" s="12">
        <f>-COGS!S23</f>
        <v>-84666.0511</v>
      </c>
      <c r="T27" s="12">
        <f>-COGS!T23</f>
        <v>-72203.18054</v>
      </c>
      <c r="U27" s="12">
        <f>-COGS!U23</f>
        <v>-52843.11155</v>
      </c>
      <c r="V27" s="12">
        <f>-COGS!V23</f>
        <v>-56844.12898</v>
      </c>
      <c r="W27" s="12">
        <f>-COGS!W23</f>
        <v>-60766.02244</v>
      </c>
      <c r="X27" s="12">
        <f>-COGS!X23</f>
        <v>-61660.76263</v>
      </c>
      <c r="Y27" s="12">
        <f>-COGS!Y23</f>
        <v>-62001.63504</v>
      </c>
      <c r="Z27" s="12">
        <f>-COGS!Z23</f>
        <v>-57365.52185</v>
      </c>
      <c r="AA27" s="12">
        <f>-COGS!AA23</f>
        <v>-51552.43966</v>
      </c>
      <c r="AB27" s="12">
        <f>-COGS!AB23</f>
        <v>-49022.2637</v>
      </c>
      <c r="AC27" s="12">
        <f>-COGS!AC23</f>
        <v>-59690.6484</v>
      </c>
      <c r="AD27" s="12">
        <f>-COGS!AD23</f>
        <v>-70685.41946</v>
      </c>
      <c r="AE27" s="12">
        <f>-COGS!AE23</f>
        <v>-70585.09364</v>
      </c>
      <c r="AF27" s="12">
        <f>-COGS!AF23</f>
        <v>-63193.58467</v>
      </c>
      <c r="AG27" s="12">
        <f>-COGS!AG23</f>
        <v>-46961.89836</v>
      </c>
      <c r="AH27" s="12">
        <f>-COGS!AH23</f>
        <v>-42439.37805</v>
      </c>
      <c r="AI27" s="12">
        <f>-COGS!AI23</f>
        <v>-37545.45836</v>
      </c>
      <c r="AJ27" s="12">
        <f>-COGS!AJ23</f>
        <v>-32756.27961</v>
      </c>
      <c r="AK27" s="12">
        <f>-COGS!AK23</f>
        <v>-33592.80447</v>
      </c>
      <c r="AL27" s="12">
        <f>-COGS!AL23</f>
        <v>-34749.6174</v>
      </c>
      <c r="AM27" s="12">
        <f>-COGS!AM23</f>
        <v>-35907.9476</v>
      </c>
      <c r="AN27" s="12">
        <f>-COGS!AN23</f>
        <v>-35807.65743</v>
      </c>
      <c r="AO27" s="12">
        <f>-COGS!AO23</f>
        <v>-35707.36726</v>
      </c>
      <c r="AP27" s="12">
        <f>-COGS!AP23</f>
        <v>-35145.91814</v>
      </c>
      <c r="AQ27" s="12">
        <f>-COGS!AQ23</f>
        <v>-34073.22194</v>
      </c>
      <c r="AR27" s="12">
        <f>-COGS!AR23</f>
        <v>-31969.55399</v>
      </c>
      <c r="AS27" s="12">
        <f>-COGS!AS23</f>
        <v>-31886.04601</v>
      </c>
      <c r="AT27" s="12">
        <f>-COGS!AT23</f>
        <v>-34704.0226</v>
      </c>
      <c r="AU27" s="12">
        <f>-COGS!AU23</f>
        <v>-43406.45152</v>
      </c>
      <c r="AV27" s="12">
        <f>-COGS!AV23</f>
        <v>-49987.18559</v>
      </c>
      <c r="AW27" s="12">
        <f>-COGS!AW23</f>
        <v>-56828.49915</v>
      </c>
      <c r="AX27" s="12">
        <f>-COGS!AX23</f>
        <v>-59031.4578</v>
      </c>
      <c r="AY27" s="12">
        <f>-COGS!AY23</f>
        <v>-62905.27013</v>
      </c>
      <c r="AZ27" s="12">
        <f>-COGS!AZ23</f>
        <v>-68051.18271</v>
      </c>
      <c r="BA27" s="12">
        <f>-COGS!BA23</f>
        <v>-65562.88625</v>
      </c>
      <c r="BB27" s="12">
        <f>-COGS!BB23</f>
        <v>-61471.09122</v>
      </c>
      <c r="BC27" s="12">
        <f>-COGS!BC23</f>
        <v>-53791.33639</v>
      </c>
      <c r="BD27" s="12">
        <f>-COGS!BD23</f>
        <v>-53052.04306</v>
      </c>
      <c r="BE27" s="12">
        <f>-COGS!BE23</f>
        <v>-61332.55794</v>
      </c>
      <c r="BF27" s="12">
        <f>-COGS!BF23</f>
        <v>-59283.0487</v>
      </c>
      <c r="BG27" s="12">
        <f>-COGS!BG23</f>
        <v>-49639.30943</v>
      </c>
      <c r="BH27" s="12">
        <f>-COGS!BH23</f>
        <v>-40499.27545</v>
      </c>
      <c r="BI27" s="12">
        <f>-COGS!BI23</f>
        <v>-40680.94295</v>
      </c>
      <c r="BJ27" s="12">
        <f>-COGS!BJ23</f>
        <v>-40942.47034</v>
      </c>
      <c r="BK27" s="12">
        <f>-COGS!BK23</f>
        <v>-41084.80235</v>
      </c>
      <c r="BL27" s="12">
        <f>-COGS!BL23</f>
        <v>-41161.62637</v>
      </c>
      <c r="BM27" s="12">
        <f>-COGS!BM23</f>
        <v>-34174.83154</v>
      </c>
      <c r="BN27" s="12">
        <f>-COGS!BN23</f>
        <v>-36750.67583</v>
      </c>
      <c r="BO27" s="12">
        <f>-COGS!BO23</f>
        <v>-39220.93811</v>
      </c>
      <c r="BP27" s="12">
        <f>-COGS!BP23</f>
        <v>-41730.45871</v>
      </c>
      <c r="BQ27" s="12">
        <f>-COGS!BQ23</f>
        <v>-41663.9086</v>
      </c>
      <c r="BR27" s="12">
        <f>-COGS!BR23</f>
        <v>-41454.70068</v>
      </c>
      <c r="BS27" s="12">
        <f>-COGS!BS23</f>
        <v>-44350.13254</v>
      </c>
      <c r="BT27" s="12">
        <f>-COGS!BT23</f>
        <v>-50024.03688</v>
      </c>
      <c r="BU27" s="12">
        <f>-COGS!BU23</f>
        <v>-55842.34472</v>
      </c>
      <c r="BV27" s="12">
        <f>-COGS!BV23</f>
        <v>-59224.42775</v>
      </c>
      <c r="BW27" s="12">
        <f>-COGS!BW23</f>
        <v>-62425.05507</v>
      </c>
      <c r="BX27" s="12">
        <f>-COGS!BX23</f>
        <v>-66160.92797</v>
      </c>
      <c r="BY27" s="12">
        <f>-COGS!BY23</f>
        <v>-69770.90642</v>
      </c>
      <c r="BZ27" s="12">
        <f>-COGS!BZ23</f>
        <v>-70913.18646</v>
      </c>
      <c r="CA27" s="12">
        <f>-COGS!CA23</f>
        <v>-72009.89607</v>
      </c>
      <c r="CB27" s="12">
        <f>-COGS!CB23</f>
        <v>-73106.60568</v>
      </c>
      <c r="CC27" s="12">
        <f>-COGS!CC23</f>
        <v>-74501.61113</v>
      </c>
      <c r="CD27" s="12">
        <f>-COGS!CD23</f>
        <v>-75840.4137</v>
      </c>
      <c r="CE27" s="12">
        <f>-COGS!CE23</f>
        <v>-79790.22891</v>
      </c>
      <c r="CF27" s="12">
        <f>-COGS!CF23</f>
        <v>-83241.01734</v>
      </c>
      <c r="CG27" s="12">
        <f>-COGS!CG23</f>
        <v>-86730.82737</v>
      </c>
      <c r="CH27" s="12">
        <f>-COGS!CH23</f>
        <v>-90503.16448</v>
      </c>
      <c r="CI27" s="12">
        <f>-COGS!CI23</f>
        <v>-94046.03102</v>
      </c>
      <c r="CJ27" s="12">
        <f>-COGS!CJ23</f>
        <v>-100268.6353</v>
      </c>
      <c r="CK27" s="12">
        <f>-COGS!CK23</f>
        <v>-104099.04</v>
      </c>
      <c r="CL27" s="12">
        <f>-COGS!CL23</f>
        <v>-107738.8802</v>
      </c>
      <c r="CM27" s="12">
        <f>-COGS!CM23</f>
        <v>-109207.7068</v>
      </c>
      <c r="CN27" s="12">
        <f>-COGS!CN23</f>
        <v>-110676.5334</v>
      </c>
      <c r="CO27" s="12">
        <f>-COGS!CO23</f>
        <v>-110676.5334</v>
      </c>
      <c r="CP27" s="12">
        <f>-COGS!CP23</f>
        <v>-110676.5334</v>
      </c>
      <c r="CQ27" s="12"/>
      <c r="CR27" s="12"/>
      <c r="CS27" s="12"/>
    </row>
    <row r="28" ht="12.75" customHeight="1">
      <c r="A28" s="1" t="s">
        <v>12</v>
      </c>
      <c r="B28" s="12">
        <f>'Expenses 2'!B89</f>
        <v>1500</v>
      </c>
      <c r="C28" s="12">
        <f>'Expenses 2'!C89</f>
        <v>3500</v>
      </c>
      <c r="D28" s="12">
        <f>'Expenses 2'!D89</f>
        <v>3500</v>
      </c>
      <c r="E28" s="12">
        <f>'Expenses 2'!E89</f>
        <v>2000</v>
      </c>
      <c r="F28" s="12">
        <f>'Expenses 2'!F89</f>
        <v>2000</v>
      </c>
      <c r="G28" s="12">
        <f>'Expenses 2'!G89</f>
        <v>3000</v>
      </c>
      <c r="H28" s="12">
        <f>'Expenses 2'!H89</f>
        <v>5000</v>
      </c>
      <c r="I28" s="12">
        <f>'Expenses 2'!I89</f>
        <v>12000</v>
      </c>
      <c r="J28" s="12">
        <f>'Expenses 2'!J89</f>
        <v>2000</v>
      </c>
      <c r="K28" s="12">
        <f>'Expenses 2'!K89</f>
        <v>15000</v>
      </c>
      <c r="L28" s="12">
        <f>'Expenses 2'!L89</f>
        <v>17000</v>
      </c>
      <c r="M28" s="12">
        <f>'Expenses 2'!M89</f>
        <v>17000</v>
      </c>
      <c r="N28" s="12">
        <f>'Expenses 2'!N89</f>
        <v>15000</v>
      </c>
      <c r="O28" s="12">
        <f>'Expenses 2'!O89</f>
        <v>10000</v>
      </c>
      <c r="P28" s="12">
        <f>'Expenses 2'!P89</f>
        <v>10000</v>
      </c>
      <c r="Q28" s="12">
        <f>'Expenses 2'!Q89</f>
        <v>10000</v>
      </c>
      <c r="R28" s="12">
        <f>'Expenses 2'!R89</f>
        <v>15000</v>
      </c>
      <c r="S28" s="12">
        <f>'Expenses 2'!S89</f>
        <v>20000</v>
      </c>
      <c r="T28" s="12">
        <f>'Expenses 2'!T89</f>
        <v>30000</v>
      </c>
      <c r="U28" s="12">
        <f>'Expenses 2'!U89</f>
        <v>8000</v>
      </c>
      <c r="V28" s="12">
        <f>'Expenses 2'!V89</f>
        <v>8000</v>
      </c>
      <c r="W28" s="12">
        <f>'Expenses 2'!W89</f>
        <v>10000</v>
      </c>
      <c r="X28" s="12">
        <f>'Expenses 2'!X89</f>
        <v>10000</v>
      </c>
      <c r="Y28" s="12">
        <f>'Expenses 2'!Y89</f>
        <v>10000</v>
      </c>
      <c r="Z28" s="12">
        <f>'Expenses 2'!Z89</f>
        <v>10000</v>
      </c>
      <c r="AA28" s="12">
        <f>'Expenses 2'!AA89</f>
        <v>10000</v>
      </c>
      <c r="AB28" s="12">
        <f>'Expenses 2'!AB89</f>
        <v>5000</v>
      </c>
      <c r="AC28" s="12">
        <f>'Expenses 2'!AC89</f>
        <v>5000</v>
      </c>
      <c r="AD28" s="12">
        <f>'Expenses 2'!AD89</f>
        <v>8000</v>
      </c>
      <c r="AE28" s="12">
        <f>'Expenses 2'!AE89</f>
        <v>15000</v>
      </c>
      <c r="AF28" s="12">
        <f>'Expenses 2'!AF89</f>
        <v>15000</v>
      </c>
      <c r="AG28" s="12">
        <f>'Expenses 2'!AG89</f>
        <v>10000</v>
      </c>
      <c r="AH28" s="12">
        <f>'Expenses 2'!AH28</f>
        <v>10000</v>
      </c>
      <c r="AI28" s="12">
        <f>'Expenses 2'!AI28</f>
        <v>10000</v>
      </c>
      <c r="AJ28" s="12">
        <f>'Expenses 2'!AJ28</f>
        <v>5000</v>
      </c>
      <c r="AK28" s="12">
        <f>'Expenses 2'!AK28</f>
        <v>5000</v>
      </c>
      <c r="AL28" s="12">
        <f>'Expenses 2'!AL28</f>
        <v>5000</v>
      </c>
      <c r="AM28" s="12">
        <f>'Expenses 2'!AM28</f>
        <v>7000</v>
      </c>
      <c r="AN28" s="12">
        <f>'Expenses 2'!AN28</f>
        <v>7000</v>
      </c>
      <c r="AO28" s="12">
        <f>'Expenses 2'!AO28</f>
        <v>7000</v>
      </c>
      <c r="AP28" s="12">
        <f>'Expenses 2'!AP28</f>
        <v>7000</v>
      </c>
      <c r="AQ28" s="12">
        <f>'Expenses 2'!AQ28</f>
        <v>7000</v>
      </c>
      <c r="AR28" s="12">
        <f>'Expenses 2'!AR28</f>
        <v>7000</v>
      </c>
      <c r="AS28" s="12">
        <f>'Expenses 2'!AS28</f>
        <v>7000</v>
      </c>
      <c r="AT28" s="12">
        <f>'Expenses 2'!AT28</f>
        <v>5000</v>
      </c>
      <c r="AU28" s="12">
        <f>'Expenses 2'!AU28</f>
        <v>8000</v>
      </c>
      <c r="AV28" s="12">
        <f>'Expenses 2'!AV28</f>
        <v>15000</v>
      </c>
      <c r="AW28" s="12">
        <f>'Expenses 2'!AW28</f>
        <v>25000</v>
      </c>
      <c r="AX28" s="12">
        <f>'Expenses 2'!AX28</f>
        <v>25000</v>
      </c>
      <c r="AY28" s="12">
        <f>'Expenses 2'!AY28</f>
        <v>25000</v>
      </c>
      <c r="AZ28" s="12">
        <f>'Expenses 2'!AZ28</f>
        <v>25000</v>
      </c>
      <c r="BA28" s="12">
        <f>'Expenses 2'!BA28</f>
        <v>25000</v>
      </c>
      <c r="BB28" s="12">
        <f>'Expenses 2'!BB28</f>
        <v>25000</v>
      </c>
      <c r="BC28" s="12">
        <f>'Expenses 2'!BC28</f>
        <v>15000</v>
      </c>
      <c r="BD28" s="12">
        <f>'Expenses 2'!BD28</f>
        <v>15000</v>
      </c>
      <c r="BE28" s="12">
        <f>'Expenses 2'!BE28</f>
        <v>15000</v>
      </c>
      <c r="BF28" s="12">
        <f>'Expenses 2'!BF28</f>
        <v>15000</v>
      </c>
      <c r="BG28" s="12">
        <f>'Expenses 2'!BG28</f>
        <v>25000</v>
      </c>
      <c r="BH28" s="12">
        <f>'Expenses 2'!BH28</f>
        <v>10000</v>
      </c>
      <c r="BI28" s="12">
        <f>'Expenses 2'!BI28</f>
        <v>10000</v>
      </c>
      <c r="BJ28" s="12">
        <f>'Expenses 2'!BJ28</f>
        <v>10000</v>
      </c>
      <c r="BK28" s="12">
        <f>'Expenses 2'!BK28</f>
        <v>10000</v>
      </c>
      <c r="BL28" s="12">
        <f>'Expenses 2'!BL28</f>
        <v>10000</v>
      </c>
      <c r="BM28" s="12">
        <f>'Expenses 2'!BM28</f>
        <v>10000</v>
      </c>
      <c r="BN28" s="12">
        <f>'Expenses 2'!BN28</f>
        <v>10000</v>
      </c>
      <c r="BO28" s="12">
        <f>'Expenses 2'!BO28</f>
        <v>10000</v>
      </c>
      <c r="BP28" s="12">
        <f>'Expenses 2'!BP28</f>
        <v>15000</v>
      </c>
      <c r="BQ28" s="12">
        <f>'Expenses 2'!BQ28</f>
        <v>15000</v>
      </c>
      <c r="BR28" s="12">
        <f>'Expenses 2'!BR28</f>
        <v>15000</v>
      </c>
      <c r="BS28" s="12">
        <f>'Expenses 2'!BS28</f>
        <v>15000</v>
      </c>
      <c r="BT28" s="12">
        <f>'Expenses 2'!BT28</f>
        <v>15000</v>
      </c>
      <c r="BU28" s="12">
        <f>'Expenses 2'!BU28</f>
        <v>20000</v>
      </c>
      <c r="BV28" s="12">
        <f>'Expenses 2'!BV28</f>
        <v>25000</v>
      </c>
      <c r="BW28" s="12">
        <f>'Expenses 2'!BW28</f>
        <v>25000</v>
      </c>
      <c r="BX28" s="12">
        <f>'Expenses 2'!BX28</f>
        <v>25000</v>
      </c>
      <c r="BY28" s="12">
        <f>'Expenses 2'!BY28</f>
        <v>30000</v>
      </c>
      <c r="BZ28" s="12">
        <f>'Expenses 2'!BZ28</f>
        <v>30000</v>
      </c>
      <c r="CA28" s="12">
        <f>'Expenses 2'!CA28</f>
        <v>30000</v>
      </c>
      <c r="CB28" s="12">
        <f>'Expenses 2'!CB28</f>
        <v>30000</v>
      </c>
      <c r="CC28" s="12">
        <f>'Expenses 2'!CC28</f>
        <v>30000</v>
      </c>
      <c r="CD28" s="12">
        <f>'Expenses 2'!CD28</f>
        <v>30000</v>
      </c>
      <c r="CE28" s="12">
        <f>'Expenses 2'!CE28</f>
        <v>35000</v>
      </c>
      <c r="CF28" s="12">
        <f>'Expenses 2'!CF28</f>
        <v>35000</v>
      </c>
      <c r="CG28" s="12">
        <f>'Expenses 2'!CG28</f>
        <v>40000</v>
      </c>
      <c r="CH28" s="12">
        <f>'Expenses 2'!CH28</f>
        <v>40000</v>
      </c>
      <c r="CI28" s="12">
        <f>'Expenses 2'!CI28</f>
        <v>40000</v>
      </c>
      <c r="CJ28" s="12">
        <f>'Expenses 2'!CJ28</f>
        <v>45000</v>
      </c>
      <c r="CK28" s="12">
        <f>'Expenses 2'!CK28</f>
        <v>45000</v>
      </c>
      <c r="CL28" s="12">
        <f>'Expenses 2'!CL28</f>
        <v>50000</v>
      </c>
      <c r="CM28" s="12">
        <f>'Expenses 2'!CM28</f>
        <v>50000</v>
      </c>
      <c r="CN28" s="12">
        <f>'Expenses 2'!CN28</f>
        <v>50000</v>
      </c>
      <c r="CO28" s="12">
        <f>'Expenses 2'!CO28</f>
        <v>50000</v>
      </c>
      <c r="CP28" s="12">
        <f>'Expenses 2'!CP28</f>
        <v>50000</v>
      </c>
      <c r="CQ28" s="12"/>
      <c r="CR28" s="12"/>
      <c r="CS28" s="12"/>
    </row>
    <row r="29" ht="12.75" customHeight="1">
      <c r="A29" s="1" t="s">
        <v>13</v>
      </c>
      <c r="B29" s="12">
        <f>-'Expenses 2'!C89</f>
        <v>-3500</v>
      </c>
      <c r="C29" s="12">
        <f>-'Expenses 2'!D89</f>
        <v>-3500</v>
      </c>
      <c r="D29" s="12">
        <f>-'Expenses 2'!E89</f>
        <v>-2000</v>
      </c>
      <c r="E29" s="12">
        <f>-'Expenses 2'!F89</f>
        <v>-2000</v>
      </c>
      <c r="F29" s="12">
        <f>-'Expenses 2'!G89</f>
        <v>-3000</v>
      </c>
      <c r="G29" s="12">
        <f>-'Expenses 2'!H89</f>
        <v>-5000</v>
      </c>
      <c r="H29" s="12">
        <f>-'Expenses 2'!I89</f>
        <v>-12000</v>
      </c>
      <c r="I29" s="12">
        <f>-'Expenses 2'!J89</f>
        <v>-2000</v>
      </c>
      <c r="J29" s="12">
        <f>-'Expenses 2'!K89</f>
        <v>-15000</v>
      </c>
      <c r="K29" s="12">
        <f>-'Expenses 2'!L89</f>
        <v>-17000</v>
      </c>
      <c r="L29" s="12">
        <f>-'Expenses 2'!M89</f>
        <v>-17000</v>
      </c>
      <c r="M29" s="12">
        <f>-'Expenses 2'!N89</f>
        <v>-15000</v>
      </c>
      <c r="N29" s="12">
        <f>-'Expenses 2'!O89</f>
        <v>-10000</v>
      </c>
      <c r="O29" s="12">
        <f>-'Expenses 2'!P89</f>
        <v>-10000</v>
      </c>
      <c r="P29" s="12">
        <f>-'Expenses 2'!Q89</f>
        <v>-10000</v>
      </c>
      <c r="Q29" s="12">
        <f>-'Expenses 2'!R89</f>
        <v>-15000</v>
      </c>
      <c r="R29" s="12">
        <f>-'Expenses 2'!S89</f>
        <v>-20000</v>
      </c>
      <c r="S29" s="12">
        <f>-'Expenses 2'!T89</f>
        <v>-30000</v>
      </c>
      <c r="T29" s="12">
        <f>-'Expenses 2'!U89</f>
        <v>-8000</v>
      </c>
      <c r="U29" s="12">
        <f>-'Expenses 2'!V89</f>
        <v>-8000</v>
      </c>
      <c r="V29" s="12">
        <f>-'Expenses 2'!W89</f>
        <v>-10000</v>
      </c>
      <c r="W29" s="12">
        <f>-'Expenses 2'!X89</f>
        <v>-10000</v>
      </c>
      <c r="X29" s="12">
        <f>-'Expenses 2'!Y89</f>
        <v>-10000</v>
      </c>
      <c r="Y29" s="12">
        <f>-'Expenses 2'!Z89</f>
        <v>-10000</v>
      </c>
      <c r="Z29" s="12">
        <f>-'Expenses 2'!AA89</f>
        <v>-10000</v>
      </c>
      <c r="AA29" s="12">
        <f>-'Expenses 2'!AB89</f>
        <v>-5000</v>
      </c>
      <c r="AB29" s="12">
        <f>-'Expenses 2'!AC89</f>
        <v>-5000</v>
      </c>
      <c r="AC29" s="12">
        <f>-'Expenses 2'!AD89</f>
        <v>-8000</v>
      </c>
      <c r="AD29" s="12">
        <f>-'Expenses 2'!AE89</f>
        <v>-15000</v>
      </c>
      <c r="AE29" s="12">
        <f>-'Expenses 2'!AF89</f>
        <v>-15000</v>
      </c>
      <c r="AF29" s="12">
        <f>-'Expenses 2'!AG89</f>
        <v>-10000</v>
      </c>
      <c r="AG29" s="12">
        <f>-'Expenses 2'!AH28</f>
        <v>-10000</v>
      </c>
      <c r="AH29" s="12">
        <f>-'Expenses 2'!AI28</f>
        <v>-10000</v>
      </c>
      <c r="AI29" s="12">
        <f>-'Expenses 2'!AJ28</f>
        <v>-5000</v>
      </c>
      <c r="AJ29" s="12">
        <f>-'Expenses 2'!AK28</f>
        <v>-5000</v>
      </c>
      <c r="AK29" s="12">
        <f>-'Expenses 2'!AL28</f>
        <v>-5000</v>
      </c>
      <c r="AL29" s="12">
        <f>-'Expenses 2'!AM28</f>
        <v>-7000</v>
      </c>
      <c r="AM29" s="12">
        <f>-'Expenses 2'!AN28</f>
        <v>-7000</v>
      </c>
      <c r="AN29" s="12">
        <f>-'Expenses 2'!AO28</f>
        <v>-7000</v>
      </c>
      <c r="AO29" s="12">
        <f>-'Expenses 2'!AP28</f>
        <v>-7000</v>
      </c>
      <c r="AP29" s="12">
        <f>-'Expenses 2'!AQ28</f>
        <v>-7000</v>
      </c>
      <c r="AQ29" s="12">
        <f>-'Expenses 2'!AR28</f>
        <v>-7000</v>
      </c>
      <c r="AR29" s="12">
        <f>-'Expenses 2'!AS28</f>
        <v>-7000</v>
      </c>
      <c r="AS29" s="12">
        <f>-'Expenses 2'!AT28</f>
        <v>-5000</v>
      </c>
      <c r="AT29" s="12">
        <f>-'Expenses 2'!AU28</f>
        <v>-8000</v>
      </c>
      <c r="AU29" s="12">
        <f>-'Expenses 2'!AV28</f>
        <v>-15000</v>
      </c>
      <c r="AV29" s="12">
        <f>-'Expenses 2'!AW28</f>
        <v>-25000</v>
      </c>
      <c r="AW29" s="12">
        <f>-'Expenses 2'!AX28</f>
        <v>-25000</v>
      </c>
      <c r="AX29" s="12">
        <f>-'Expenses 2'!AY28</f>
        <v>-25000</v>
      </c>
      <c r="AY29" s="12">
        <f>-'Expenses 2'!AZ28</f>
        <v>-25000</v>
      </c>
      <c r="AZ29" s="12">
        <f>-'Expenses 2'!BA28</f>
        <v>-25000</v>
      </c>
      <c r="BA29" s="12">
        <f>-'Expenses 2'!BB28</f>
        <v>-25000</v>
      </c>
      <c r="BB29" s="12">
        <f>-'Expenses 2'!BC28</f>
        <v>-15000</v>
      </c>
      <c r="BC29" s="12">
        <f>-'Expenses 2'!BD28</f>
        <v>-15000</v>
      </c>
      <c r="BD29" s="12">
        <f>-'Expenses 2'!BE28</f>
        <v>-15000</v>
      </c>
      <c r="BE29" s="12">
        <f>-'Expenses 2'!BF28</f>
        <v>-15000</v>
      </c>
      <c r="BF29" s="12">
        <f>-'Expenses 2'!BG28</f>
        <v>-25000</v>
      </c>
      <c r="BG29" s="12">
        <f>-'Expenses 2'!BH28</f>
        <v>-10000</v>
      </c>
      <c r="BH29" s="12">
        <f>-'Expenses 2'!BI28</f>
        <v>-10000</v>
      </c>
      <c r="BI29" s="12">
        <f>-'Expenses 2'!BJ28</f>
        <v>-10000</v>
      </c>
      <c r="BJ29" s="12">
        <f>-'Expenses 2'!BK28</f>
        <v>-10000</v>
      </c>
      <c r="BK29" s="12">
        <f>-'Expenses 2'!BL28</f>
        <v>-10000</v>
      </c>
      <c r="BL29" s="12">
        <f>-'Expenses 2'!BM28</f>
        <v>-10000</v>
      </c>
      <c r="BM29" s="12">
        <f>-'Expenses 2'!BN28</f>
        <v>-10000</v>
      </c>
      <c r="BN29" s="12">
        <f>-'Expenses 2'!BO28</f>
        <v>-10000</v>
      </c>
      <c r="BO29" s="12">
        <f>-'Expenses 2'!BP28</f>
        <v>-15000</v>
      </c>
      <c r="BP29" s="12">
        <f>-'Expenses 2'!BQ28</f>
        <v>-15000</v>
      </c>
      <c r="BQ29" s="12">
        <f>-'Expenses 2'!BR28</f>
        <v>-15000</v>
      </c>
      <c r="BR29" s="12">
        <f>-'Expenses 2'!BS28</f>
        <v>-15000</v>
      </c>
      <c r="BS29" s="12">
        <f>-'Expenses 2'!BT28</f>
        <v>-15000</v>
      </c>
      <c r="BT29" s="12">
        <f>-'Expenses 2'!BU28</f>
        <v>-20000</v>
      </c>
      <c r="BU29" s="12">
        <f>-'Expenses 2'!BV28</f>
        <v>-25000</v>
      </c>
      <c r="BV29" s="12">
        <f>-'Expenses 2'!BW28</f>
        <v>-25000</v>
      </c>
      <c r="BW29" s="12">
        <f>-'Expenses 2'!BX28</f>
        <v>-25000</v>
      </c>
      <c r="BX29" s="12">
        <f>-'Expenses 2'!BY28</f>
        <v>-30000</v>
      </c>
      <c r="BY29" s="12">
        <f>-'Expenses 2'!BZ28</f>
        <v>-30000</v>
      </c>
      <c r="BZ29" s="12">
        <f>-'Expenses 2'!CA28</f>
        <v>-30000</v>
      </c>
      <c r="CA29" s="12">
        <f>-'Expenses 2'!CB28</f>
        <v>-30000</v>
      </c>
      <c r="CB29" s="12">
        <f>-'Expenses 2'!CC28</f>
        <v>-30000</v>
      </c>
      <c r="CC29" s="12">
        <f>-'Expenses 2'!CD28</f>
        <v>-30000</v>
      </c>
      <c r="CD29" s="12">
        <f>-'Expenses 2'!CE28</f>
        <v>-35000</v>
      </c>
      <c r="CE29" s="12">
        <f>-'Expenses 2'!CF28</f>
        <v>-35000</v>
      </c>
      <c r="CF29" s="12">
        <f>-'Expenses 2'!CG28</f>
        <v>-40000</v>
      </c>
      <c r="CG29" s="12">
        <f>-'Expenses 2'!CH28</f>
        <v>-40000</v>
      </c>
      <c r="CH29" s="12">
        <f>-'Expenses 2'!CI28</f>
        <v>-40000</v>
      </c>
      <c r="CI29" s="12">
        <f>-'Expenses 2'!CJ28</f>
        <v>-45000</v>
      </c>
      <c r="CJ29" s="12">
        <f>-'Expenses 2'!CK28</f>
        <v>-45000</v>
      </c>
      <c r="CK29" s="12">
        <f>-'Expenses 2'!CL28</f>
        <v>-50000</v>
      </c>
      <c r="CL29" s="12">
        <f>-'Expenses 2'!CM28</f>
        <v>-50000</v>
      </c>
      <c r="CM29" s="12">
        <f>-'Expenses 2'!CN28</f>
        <v>-50000</v>
      </c>
      <c r="CN29" s="12">
        <f>-'Expenses 2'!CO28</f>
        <v>-50000</v>
      </c>
      <c r="CO29" s="12">
        <f>-'Expenses 2'!CP28</f>
        <v>-50000</v>
      </c>
      <c r="CP29" s="12">
        <f>-'Expenses 2'!CQ89</f>
        <v>0</v>
      </c>
      <c r="CQ29" s="12"/>
      <c r="CR29" s="12"/>
      <c r="CS29" s="12"/>
    </row>
    <row r="30" ht="12.75" customHeight="1">
      <c r="A30" s="1" t="s">
        <v>14</v>
      </c>
      <c r="B30" s="12">
        <f>-'Up front costs'!B20</f>
        <v>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</row>
    <row r="31" ht="12.75" customHeight="1">
      <c r="A31" s="1" t="s">
        <v>15</v>
      </c>
      <c r="B31" s="12"/>
      <c r="C31" s="12"/>
      <c r="D31" s="12"/>
      <c r="E31" s="12"/>
      <c r="F31" s="12"/>
      <c r="G31" s="12"/>
      <c r="H31" s="12"/>
      <c r="I31" s="12"/>
      <c r="J31" s="12"/>
      <c r="K31" s="12">
        <f>-Taxes!D32</f>
        <v>0</v>
      </c>
      <c r="L31" s="12">
        <f>-Taxes!E32</f>
        <v>0</v>
      </c>
      <c r="M31" s="12">
        <f>-Taxes!F32</f>
        <v>0</v>
      </c>
      <c r="N31" s="12">
        <f>-Taxes!G32</f>
        <v>0</v>
      </c>
      <c r="O31" s="12">
        <f>-Taxes!H32</f>
        <v>0</v>
      </c>
      <c r="P31" s="12">
        <f>-Taxes!I32</f>
        <v>0</v>
      </c>
      <c r="Q31" s="12">
        <f>-Taxes!J32</f>
        <v>0</v>
      </c>
      <c r="R31" s="12">
        <f>-Taxes!K32</f>
        <v>0</v>
      </c>
      <c r="S31" s="12">
        <f>-Taxes!L32</f>
        <v>0</v>
      </c>
      <c r="T31" s="12">
        <f>-Taxes!M32</f>
        <v>0</v>
      </c>
      <c r="U31" s="12">
        <f>-Taxes!N32</f>
        <v>0</v>
      </c>
      <c r="V31" s="12">
        <f>-Taxes!O32</f>
        <v>0</v>
      </c>
      <c r="W31" s="12">
        <f>-Taxes!P32</f>
        <v>0</v>
      </c>
      <c r="X31" s="12">
        <f>-Taxes!Q32</f>
        <v>0</v>
      </c>
      <c r="Y31" s="12">
        <f>-Taxes!R32</f>
        <v>0</v>
      </c>
      <c r="Z31" s="12">
        <f>-Taxes!S32</f>
        <v>0</v>
      </c>
      <c r="AA31" s="12">
        <f>-Taxes!T32</f>
        <v>0</v>
      </c>
      <c r="AB31" s="12">
        <f>-Taxes!U32</f>
        <v>0</v>
      </c>
      <c r="AC31" s="12">
        <f>-Taxes!V32</f>
        <v>0</v>
      </c>
      <c r="AD31" s="12">
        <f>-Taxes!W32</f>
        <v>0</v>
      </c>
      <c r="AE31" s="12">
        <f>-Taxes!X32</f>
        <v>0</v>
      </c>
      <c r="AF31" s="12">
        <f>-Taxes!Y32</f>
        <v>0</v>
      </c>
      <c r="AG31" s="12">
        <f>-Taxes!Z32</f>
        <v>0</v>
      </c>
      <c r="AH31" s="12">
        <f>-Taxes!AA32</f>
        <v>0</v>
      </c>
      <c r="AI31" s="12">
        <f>-Taxes!AB32</f>
        <v>0</v>
      </c>
      <c r="AJ31" s="12">
        <f>-Taxes!AC32</f>
        <v>0</v>
      </c>
      <c r="AK31" s="12">
        <f>-Taxes!AD32</f>
        <v>0</v>
      </c>
      <c r="AL31" s="12">
        <f>-Taxes!AE32</f>
        <v>0</v>
      </c>
      <c r="AM31" s="12">
        <f>-Taxes!AF32</f>
        <v>0</v>
      </c>
      <c r="AN31" s="12">
        <f>-Taxes!AG32</f>
        <v>0</v>
      </c>
      <c r="AO31" s="12">
        <f>-Taxes!AH32</f>
        <v>0</v>
      </c>
      <c r="AP31" s="12">
        <f>-Taxes!AI32</f>
        <v>0</v>
      </c>
      <c r="AQ31" s="12">
        <f>-Taxes!AJ32</f>
        <v>0</v>
      </c>
      <c r="AR31" s="12">
        <f>-Taxes!AK32</f>
        <v>0</v>
      </c>
      <c r="AS31" s="12">
        <f>-Taxes!AL32</f>
        <v>0</v>
      </c>
      <c r="AT31" s="12">
        <f>-Taxes!AM32</f>
        <v>0</v>
      </c>
      <c r="AU31" s="12">
        <f>-Taxes!AN32</f>
        <v>0</v>
      </c>
      <c r="AV31" s="12">
        <f>-Taxes!AO32</f>
        <v>0</v>
      </c>
      <c r="AW31" s="12">
        <f>-Taxes!AP32</f>
        <v>0</v>
      </c>
      <c r="AX31" s="12">
        <f>-Taxes!AQ32</f>
        <v>0</v>
      </c>
      <c r="AY31" s="12">
        <f>-Taxes!AR32</f>
        <v>0</v>
      </c>
      <c r="AZ31" s="12">
        <f>-Taxes!AS32</f>
        <v>0</v>
      </c>
      <c r="BA31" s="12">
        <f>-Taxes!AT32</f>
        <v>0</v>
      </c>
      <c r="BB31" s="12">
        <f>-Taxes!AU32</f>
        <v>0</v>
      </c>
      <c r="BC31" s="12">
        <f>-Taxes!AV32</f>
        <v>0</v>
      </c>
      <c r="BD31" s="12">
        <f>-Taxes!AW32</f>
        <v>0</v>
      </c>
      <c r="BE31" s="12">
        <f>-Taxes!AX32</f>
        <v>0</v>
      </c>
      <c r="BF31" s="12">
        <f>-Taxes!AY32</f>
        <v>0</v>
      </c>
      <c r="BG31" s="12">
        <f>-Taxes!AZ32</f>
        <v>0</v>
      </c>
      <c r="BH31" s="12">
        <f>-Taxes!BA32</f>
        <v>0</v>
      </c>
      <c r="BI31" s="12">
        <f>-Taxes!BB32</f>
        <v>0</v>
      </c>
      <c r="BJ31" s="12">
        <f>-Taxes!BC32</f>
        <v>0</v>
      </c>
      <c r="BK31" s="12">
        <f>-Taxes!BD32</f>
        <v>0</v>
      </c>
      <c r="BL31" s="12">
        <f>-Taxes!BE32</f>
        <v>0</v>
      </c>
      <c r="BM31" s="12">
        <f>-Taxes!BF32</f>
        <v>0</v>
      </c>
      <c r="BN31" s="12">
        <f>-Taxes!BG32</f>
        <v>0</v>
      </c>
      <c r="BO31" s="12">
        <f>-Taxes!BH32</f>
        <v>0</v>
      </c>
      <c r="BP31" s="12">
        <f>-Taxes!BI32</f>
        <v>0</v>
      </c>
      <c r="BQ31" s="12">
        <f>-Taxes!BJ32</f>
        <v>0</v>
      </c>
      <c r="BR31" s="12">
        <f>-Taxes!BK32</f>
        <v>0</v>
      </c>
      <c r="BS31" s="12">
        <f>-Taxes!BL32</f>
        <v>0</v>
      </c>
      <c r="BT31" s="12">
        <f>-Taxes!BM32</f>
        <v>0</v>
      </c>
      <c r="BU31" s="12">
        <f>-Taxes!BN32</f>
        <v>0</v>
      </c>
      <c r="BV31" s="12">
        <f>-Taxes!BO32</f>
        <v>0</v>
      </c>
      <c r="BW31" s="12">
        <f>-Taxes!BP32</f>
        <v>0</v>
      </c>
      <c r="BX31" s="12">
        <f>-Taxes!BQ32</f>
        <v>0</v>
      </c>
      <c r="BY31" s="12">
        <f>-Taxes!BR32</f>
        <v>0</v>
      </c>
      <c r="BZ31" s="12">
        <f>-Taxes!BS32</f>
        <v>0</v>
      </c>
      <c r="CA31" s="12">
        <f>-Taxes!BT32</f>
        <v>0</v>
      </c>
      <c r="CB31" s="12">
        <f>-Taxes!BU32</f>
        <v>0</v>
      </c>
      <c r="CC31" s="12">
        <f>-Taxes!BV32</f>
        <v>0</v>
      </c>
      <c r="CD31" s="12">
        <f>-Taxes!BW32</f>
        <v>0</v>
      </c>
      <c r="CE31" s="12">
        <f>-Taxes!BX32</f>
        <v>0</v>
      </c>
      <c r="CF31" s="12">
        <f>-Taxes!BY32</f>
        <v>0</v>
      </c>
      <c r="CG31" s="12">
        <f>-Taxes!BZ32</f>
        <v>0</v>
      </c>
      <c r="CH31" s="12">
        <f>-Taxes!CA32</f>
        <v>0</v>
      </c>
      <c r="CI31" s="12">
        <f>-Taxes!CB32</f>
        <v>0</v>
      </c>
      <c r="CJ31" s="12">
        <f>-Taxes!CC32</f>
        <v>0</v>
      </c>
      <c r="CK31" s="12">
        <f>-Taxes!CD32</f>
        <v>0</v>
      </c>
      <c r="CL31" s="12">
        <f>-Taxes!CE32</f>
        <v>0</v>
      </c>
      <c r="CM31" s="12">
        <f>-Taxes!CF32</f>
        <v>0</v>
      </c>
      <c r="CN31" s="12">
        <f>-Taxes!CG32</f>
        <v>0</v>
      </c>
      <c r="CO31" s="12">
        <f>-Taxes!CH32</f>
        <v>0</v>
      </c>
      <c r="CP31" s="12">
        <f>-Taxes!CI32</f>
        <v>0</v>
      </c>
      <c r="CQ31" s="12"/>
      <c r="CR31" s="12"/>
      <c r="CS31" s="12"/>
    </row>
    <row r="32" ht="12.75" customHeight="1">
      <c r="A32" s="1" t="s">
        <v>16</v>
      </c>
      <c r="B32" s="21">
        <v>375000.0</v>
      </c>
      <c r="C32" s="22"/>
      <c r="D32" s="22"/>
      <c r="E32" s="22"/>
      <c r="F32" s="22"/>
      <c r="G32" s="22"/>
      <c r="H32" s="22"/>
      <c r="I32" s="22"/>
      <c r="J32" s="22">
        <v>100000.0</v>
      </c>
      <c r="K32" s="22"/>
      <c r="L32" s="22"/>
      <c r="M32" s="22"/>
      <c r="N32" s="22">
        <v>10000.0</v>
      </c>
      <c r="O32" s="22">
        <v>50000.0</v>
      </c>
      <c r="P32" s="22">
        <v>80000.0</v>
      </c>
      <c r="Q32" s="22"/>
      <c r="R32" s="22">
        <v>260000.0</v>
      </c>
      <c r="S32" s="22"/>
      <c r="T32" s="22"/>
      <c r="U32" s="22"/>
      <c r="V32" s="22"/>
      <c r="W32" s="22">
        <v>150000.0</v>
      </c>
      <c r="X32" s="22"/>
      <c r="Y32" s="22"/>
      <c r="Z32" s="22"/>
      <c r="AA32" s="22">
        <v>35000.0</v>
      </c>
      <c r="AB32" s="22">
        <v>100000.0</v>
      </c>
      <c r="AC32" s="22"/>
      <c r="AD32" s="22"/>
      <c r="AE32" s="22"/>
      <c r="AF32" s="22"/>
      <c r="AG32" s="22"/>
      <c r="AH32" s="22"/>
      <c r="AI32" s="22"/>
      <c r="AJ32" s="22"/>
      <c r="AK32" s="22"/>
      <c r="AL32" s="22">
        <v>25000.0</v>
      </c>
      <c r="AM32" s="22"/>
      <c r="AN32" s="22">
        <v>-139589.0</v>
      </c>
      <c r="AO32" s="23">
        <v>25000.0</v>
      </c>
      <c r="AP32" s="22"/>
      <c r="AQ32" s="22"/>
      <c r="AR32" s="22">
        <v>25000.0</v>
      </c>
      <c r="AS32" s="22"/>
      <c r="AT32" s="22">
        <v>50000.0</v>
      </c>
      <c r="AU32" s="22">
        <v>100000.0</v>
      </c>
      <c r="AV32" s="22">
        <v>150000.0</v>
      </c>
      <c r="AW32" s="22">
        <v>0.0</v>
      </c>
      <c r="AX32" s="22">
        <v>0.0</v>
      </c>
      <c r="AY32" s="22">
        <v>0.0</v>
      </c>
      <c r="AZ32" s="22">
        <v>0.0</v>
      </c>
      <c r="BA32" s="22">
        <v>0.0</v>
      </c>
      <c r="BB32" s="22"/>
      <c r="BC32" s="24">
        <v>-15000.0</v>
      </c>
      <c r="BD32" s="24">
        <v>80000.0</v>
      </c>
      <c r="BE32" s="24">
        <v>100000.0</v>
      </c>
      <c r="BF32" s="24">
        <v>-15000.0</v>
      </c>
      <c r="BG32" s="24">
        <v>-15000.0</v>
      </c>
      <c r="BH32" s="24">
        <v>-15000.0</v>
      </c>
      <c r="BI32" s="24">
        <v>-15000.0</v>
      </c>
      <c r="BJ32" s="24">
        <v>-15000.0</v>
      </c>
      <c r="BK32" s="24">
        <v>-15000.0</v>
      </c>
      <c r="BL32" s="24">
        <v>-15000.0</v>
      </c>
      <c r="BM32" s="24">
        <v>-15000.0</v>
      </c>
      <c r="BN32" s="24">
        <v>-15000.0</v>
      </c>
      <c r="BO32" s="24">
        <v>-15000.0</v>
      </c>
      <c r="BP32" s="24">
        <v>-15000.0</v>
      </c>
      <c r="BQ32" s="24">
        <v>-15000.0</v>
      </c>
      <c r="BR32" s="24">
        <v>150000.0</v>
      </c>
      <c r="BS32" s="24"/>
      <c r="BT32" s="22">
        <v>0.0</v>
      </c>
      <c r="BU32" s="22">
        <v>0.0</v>
      </c>
      <c r="BV32" s="22">
        <v>0.0</v>
      </c>
      <c r="BW32" s="22">
        <v>0.0</v>
      </c>
      <c r="BX32" s="22">
        <v>0.0</v>
      </c>
      <c r="BY32" s="22">
        <v>0.0</v>
      </c>
      <c r="BZ32" s="22">
        <v>0.0</v>
      </c>
      <c r="CA32" s="22">
        <v>0.0</v>
      </c>
      <c r="CB32" s="22">
        <v>0.0</v>
      </c>
      <c r="CC32" s="22">
        <v>0.0</v>
      </c>
      <c r="CD32" s="22">
        <v>0.0</v>
      </c>
      <c r="CE32" s="22">
        <v>0.0</v>
      </c>
      <c r="CF32" s="22">
        <v>0.0</v>
      </c>
      <c r="CG32" s="22">
        <v>0.0</v>
      </c>
      <c r="CH32" s="22">
        <v>0.0</v>
      </c>
      <c r="CI32" s="22">
        <v>0.0</v>
      </c>
      <c r="CJ32" s="22">
        <v>0.0</v>
      </c>
      <c r="CK32" s="22"/>
      <c r="CL32" s="22"/>
      <c r="CM32" s="22"/>
      <c r="CN32" s="22"/>
      <c r="CO32" s="22"/>
      <c r="CP32" s="22"/>
      <c r="CQ32" s="22"/>
      <c r="CR32" s="22"/>
      <c r="CS32" s="22"/>
    </row>
    <row r="33" ht="12.75" customHeight="1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25" t="s">
        <v>24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2"/>
      <c r="CR33" s="12"/>
      <c r="CS33" s="12"/>
    </row>
    <row r="34" ht="12.75" customHeight="1">
      <c r="A34" s="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</row>
    <row r="35" ht="12.75" customHeight="1">
      <c r="A35" s="1" t="s">
        <v>25</v>
      </c>
      <c r="B35" s="12">
        <f t="shared" ref="B35:CP35" si="5">SUM(B23:B33)</f>
        <v>339956.0243</v>
      </c>
      <c r="C35" s="12">
        <f t="shared" si="5"/>
        <v>-31469.64367</v>
      </c>
      <c r="D35" s="12">
        <f t="shared" si="5"/>
        <v>-29189.24249</v>
      </c>
      <c r="E35" s="12">
        <f t="shared" si="5"/>
        <v>-23194.38029</v>
      </c>
      <c r="F35" s="12">
        <f t="shared" si="5"/>
        <v>-21557.24967</v>
      </c>
      <c r="G35" s="12">
        <f t="shared" si="5"/>
        <v>-31294.45686</v>
      </c>
      <c r="H35" s="12">
        <f t="shared" si="5"/>
        <v>-39324.16874</v>
      </c>
      <c r="I35" s="12">
        <f t="shared" si="5"/>
        <v>-29531.64944</v>
      </c>
      <c r="J35" s="12">
        <f t="shared" si="5"/>
        <v>37999.77302</v>
      </c>
      <c r="K35" s="12">
        <f t="shared" si="5"/>
        <v>-78702.84685</v>
      </c>
      <c r="L35" s="12">
        <f t="shared" si="5"/>
        <v>-44987.62611</v>
      </c>
      <c r="M35" s="12">
        <f t="shared" si="5"/>
        <v>-8191.509224</v>
      </c>
      <c r="N35" s="12">
        <f t="shared" si="5"/>
        <v>14887.28234</v>
      </c>
      <c r="O35" s="12">
        <f t="shared" si="5"/>
        <v>47752.39274</v>
      </c>
      <c r="P35" s="12">
        <f t="shared" si="5"/>
        <v>56726.23259</v>
      </c>
      <c r="Q35" s="12">
        <f t="shared" si="5"/>
        <v>-55097.03909</v>
      </c>
      <c r="R35" s="12">
        <f t="shared" si="5"/>
        <v>153840.8972</v>
      </c>
      <c r="S35" s="12">
        <f t="shared" si="5"/>
        <v>-63986.41103</v>
      </c>
      <c r="T35" s="12">
        <f t="shared" si="5"/>
        <v>-871.3062231</v>
      </c>
      <c r="U35" s="12">
        <f t="shared" si="5"/>
        <v>10153.18946</v>
      </c>
      <c r="V35" s="12">
        <f t="shared" si="5"/>
        <v>-11504.69533</v>
      </c>
      <c r="W35" s="12">
        <f t="shared" si="5"/>
        <v>75805.14429</v>
      </c>
      <c r="X35" s="12">
        <f t="shared" si="5"/>
        <v>-40384.22874</v>
      </c>
      <c r="Y35" s="12">
        <f t="shared" si="5"/>
        <v>-25112.78716</v>
      </c>
      <c r="Z35" s="12">
        <f t="shared" si="5"/>
        <v>-12924.42135</v>
      </c>
      <c r="AA35" s="12">
        <f t="shared" si="5"/>
        <v>34564.54135</v>
      </c>
      <c r="AB35" s="12">
        <f t="shared" si="5"/>
        <v>96642.45044</v>
      </c>
      <c r="AC35" s="12">
        <f t="shared" si="5"/>
        <v>-23862.36687</v>
      </c>
      <c r="AD35" s="12">
        <f t="shared" si="5"/>
        <v>-44832.73277</v>
      </c>
      <c r="AE35" s="12">
        <f t="shared" si="5"/>
        <v>-39185.9315</v>
      </c>
      <c r="AF35" s="12">
        <f t="shared" si="5"/>
        <v>-76864.10279</v>
      </c>
      <c r="AG35" s="12">
        <f t="shared" si="5"/>
        <v>-4203.805037</v>
      </c>
      <c r="AH35" s="12">
        <f t="shared" si="5"/>
        <v>19259.78237</v>
      </c>
      <c r="AI35" s="12">
        <f t="shared" si="5"/>
        <v>13157.0882</v>
      </c>
      <c r="AJ35" s="12">
        <f t="shared" si="5"/>
        <v>10771.57581</v>
      </c>
      <c r="AK35" s="12">
        <f t="shared" si="5"/>
        <v>2171.158311</v>
      </c>
      <c r="AL35" s="12">
        <f t="shared" si="5"/>
        <v>16416.61758</v>
      </c>
      <c r="AM35" s="12">
        <f t="shared" si="5"/>
        <v>-10114.61908</v>
      </c>
      <c r="AN35" s="12">
        <f t="shared" si="5"/>
        <v>-147768.1187</v>
      </c>
      <c r="AO35" s="12">
        <f t="shared" si="5"/>
        <v>18758.78874</v>
      </c>
      <c r="AP35" s="12">
        <f t="shared" si="5"/>
        <v>-15838.86613</v>
      </c>
      <c r="AQ35" s="12">
        <f t="shared" si="5"/>
        <v>-5925.273908</v>
      </c>
      <c r="AR35" s="12">
        <f t="shared" si="5"/>
        <v>19287.69069</v>
      </c>
      <c r="AS35" s="12">
        <f t="shared" si="5"/>
        <v>-4330.565695</v>
      </c>
      <c r="AT35" s="12">
        <f t="shared" si="5"/>
        <v>35514.12217</v>
      </c>
      <c r="AU35" s="12">
        <f t="shared" si="5"/>
        <v>66679.21314</v>
      </c>
      <c r="AV35" s="12">
        <f t="shared" si="5"/>
        <v>102569.0199</v>
      </c>
      <c r="AW35" s="12">
        <f t="shared" si="5"/>
        <v>-40466.4431</v>
      </c>
      <c r="AX35" s="12">
        <f t="shared" si="5"/>
        <v>-32229.48527</v>
      </c>
      <c r="AY35" s="12">
        <f t="shared" si="5"/>
        <v>-25249.9883</v>
      </c>
      <c r="AZ35" s="12">
        <f t="shared" si="5"/>
        <v>-26901.04696</v>
      </c>
      <c r="BA35" s="12">
        <f t="shared" si="5"/>
        <v>-18267.19336</v>
      </c>
      <c r="BB35" s="12">
        <f t="shared" si="5"/>
        <v>988.2650332</v>
      </c>
      <c r="BC35" s="12">
        <f t="shared" si="5"/>
        <v>-10279.50438</v>
      </c>
      <c r="BD35" s="12">
        <f t="shared" si="5"/>
        <v>78968.41612</v>
      </c>
      <c r="BE35" s="12">
        <f t="shared" si="5"/>
        <v>78504.45814</v>
      </c>
      <c r="BF35" s="12">
        <f t="shared" si="5"/>
        <v>-45618.87452</v>
      </c>
      <c r="BG35" s="12">
        <f t="shared" si="5"/>
        <v>-12438.6245</v>
      </c>
      <c r="BH35" s="12">
        <f t="shared" si="5"/>
        <v>-4550.006716</v>
      </c>
      <c r="BI35" s="12">
        <f t="shared" si="5"/>
        <v>-10424.33438</v>
      </c>
      <c r="BJ35" s="12">
        <f t="shared" si="5"/>
        <v>-23323.04121</v>
      </c>
      <c r="BK35" s="12">
        <f t="shared" si="5"/>
        <v>-25134.69231</v>
      </c>
      <c r="BL35" s="12">
        <f t="shared" si="5"/>
        <v>-22735.47018</v>
      </c>
      <c r="BM35" s="12">
        <f t="shared" si="5"/>
        <v>-17489.595</v>
      </c>
      <c r="BN35" s="12">
        <f t="shared" si="5"/>
        <v>-17925.60008</v>
      </c>
      <c r="BO35" s="12">
        <f t="shared" si="5"/>
        <v>-27837.48418</v>
      </c>
      <c r="BP35" s="12">
        <f t="shared" si="5"/>
        <v>-24733.0328</v>
      </c>
      <c r="BQ35" s="12">
        <f t="shared" si="5"/>
        <v>-26682.6234</v>
      </c>
      <c r="BR35" s="12">
        <f t="shared" si="5"/>
        <v>143996.0061</v>
      </c>
      <c r="BS35" s="12">
        <f t="shared" si="5"/>
        <v>-12144.46964</v>
      </c>
      <c r="BT35" s="12">
        <f t="shared" si="5"/>
        <v>-23274.33609</v>
      </c>
      <c r="BU35" s="12">
        <f t="shared" si="5"/>
        <v>-27782.14085</v>
      </c>
      <c r="BV35" s="12">
        <f t="shared" si="5"/>
        <v>-18798.127</v>
      </c>
      <c r="BW35" s="12">
        <f t="shared" si="5"/>
        <v>-9317.934565</v>
      </c>
      <c r="BX35" s="12">
        <f t="shared" si="5"/>
        <v>-11682.66338</v>
      </c>
      <c r="BY35" s="12">
        <f t="shared" si="5"/>
        <v>-8316.974803</v>
      </c>
      <c r="BZ35" s="12">
        <f t="shared" si="5"/>
        <v>-1317.036831</v>
      </c>
      <c r="CA35" s="12">
        <f t="shared" si="5"/>
        <v>6454.08857</v>
      </c>
      <c r="CB35" s="12">
        <f t="shared" si="5"/>
        <v>7846.942543</v>
      </c>
      <c r="CC35" s="12">
        <f t="shared" si="5"/>
        <v>7842.181353</v>
      </c>
      <c r="CD35" s="12">
        <f t="shared" si="5"/>
        <v>3893.623041</v>
      </c>
      <c r="CE35" s="12">
        <f t="shared" si="5"/>
        <v>-15.82146992</v>
      </c>
      <c r="CF35" s="12">
        <f t="shared" si="5"/>
        <v>-6548.731615</v>
      </c>
      <c r="CG35" s="12">
        <f t="shared" si="5"/>
        <v>-1430.043069</v>
      </c>
      <c r="CH35" s="12">
        <f t="shared" si="5"/>
        <v>-3681.494827</v>
      </c>
      <c r="CI35" s="12">
        <f t="shared" si="5"/>
        <v>-5618.429668</v>
      </c>
      <c r="CJ35" s="12">
        <f t="shared" si="5"/>
        <v>-5619.343345</v>
      </c>
      <c r="CK35" s="12">
        <f t="shared" si="5"/>
        <v>-6728.181331</v>
      </c>
      <c r="CL35" s="12">
        <f t="shared" si="5"/>
        <v>3193.949659</v>
      </c>
      <c r="CM35" s="12">
        <f t="shared" si="5"/>
        <v>10073.37016</v>
      </c>
      <c r="CN35" s="12">
        <f t="shared" si="5"/>
        <v>16537.46135</v>
      </c>
      <c r="CO35" s="12">
        <f t="shared" si="5"/>
        <v>19738.72296</v>
      </c>
      <c r="CP35" s="12">
        <f t="shared" si="5"/>
        <v>72939.98456</v>
      </c>
      <c r="CQ35" s="12"/>
      <c r="CR35" s="12"/>
      <c r="CS35" s="12"/>
    </row>
    <row r="36" ht="12.75" customHeight="1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</row>
    <row r="37" ht="12.75" customHeight="1">
      <c r="A37" s="1" t="s">
        <v>26</v>
      </c>
      <c r="B37" s="26">
        <v>6965.0</v>
      </c>
      <c r="C37" s="13">
        <f t="shared" ref="C37:CP37" si="6">+B39</f>
        <v>346921.0243</v>
      </c>
      <c r="D37" s="13">
        <f t="shared" si="6"/>
        <v>315451.3806</v>
      </c>
      <c r="E37" s="13">
        <f t="shared" si="6"/>
        <v>286262.1381</v>
      </c>
      <c r="F37" s="13">
        <f t="shared" si="6"/>
        <v>263067.7578</v>
      </c>
      <c r="G37" s="13">
        <f t="shared" si="6"/>
        <v>241510.5082</v>
      </c>
      <c r="H37" s="13">
        <f t="shared" si="6"/>
        <v>210216.0513</v>
      </c>
      <c r="I37" s="13">
        <f t="shared" si="6"/>
        <v>170891.8826</v>
      </c>
      <c r="J37" s="13">
        <f t="shared" si="6"/>
        <v>141360.2331</v>
      </c>
      <c r="K37" s="13">
        <f t="shared" si="6"/>
        <v>179360.0061</v>
      </c>
      <c r="L37" s="13">
        <f t="shared" si="6"/>
        <v>100657.1593</v>
      </c>
      <c r="M37" s="13">
        <f t="shared" si="6"/>
        <v>55669.53319</v>
      </c>
      <c r="N37" s="13">
        <f t="shared" si="6"/>
        <v>47478.02396</v>
      </c>
      <c r="O37" s="13">
        <f t="shared" si="6"/>
        <v>62365.3063</v>
      </c>
      <c r="P37" s="13">
        <f t="shared" si="6"/>
        <v>110117.699</v>
      </c>
      <c r="Q37" s="13">
        <f t="shared" si="6"/>
        <v>166843.9316</v>
      </c>
      <c r="R37" s="13">
        <f t="shared" si="6"/>
        <v>111746.8925</v>
      </c>
      <c r="S37" s="13">
        <f t="shared" si="6"/>
        <v>265587.7897</v>
      </c>
      <c r="T37" s="13">
        <f t="shared" si="6"/>
        <v>201601.3787</v>
      </c>
      <c r="U37" s="13">
        <f t="shared" si="6"/>
        <v>200730.0725</v>
      </c>
      <c r="V37" s="13">
        <f t="shared" si="6"/>
        <v>210883.2619</v>
      </c>
      <c r="W37" s="13">
        <f t="shared" si="6"/>
        <v>199378.5666</v>
      </c>
      <c r="X37" s="13">
        <f t="shared" si="6"/>
        <v>275183.7109</v>
      </c>
      <c r="Y37" s="13">
        <f t="shared" si="6"/>
        <v>234799.4821</v>
      </c>
      <c r="Z37" s="13">
        <f t="shared" si="6"/>
        <v>209686.695</v>
      </c>
      <c r="AA37" s="13">
        <f t="shared" si="6"/>
        <v>196762.2736</v>
      </c>
      <c r="AB37" s="13">
        <f t="shared" si="6"/>
        <v>231326.815</v>
      </c>
      <c r="AC37" s="13">
        <f t="shared" si="6"/>
        <v>327969.2654</v>
      </c>
      <c r="AD37" s="13">
        <f t="shared" si="6"/>
        <v>304106.8986</v>
      </c>
      <c r="AE37" s="13">
        <f t="shared" si="6"/>
        <v>259274.1658</v>
      </c>
      <c r="AF37" s="13">
        <f t="shared" si="6"/>
        <v>220088.2343</v>
      </c>
      <c r="AG37" s="13">
        <f t="shared" si="6"/>
        <v>143224.1315</v>
      </c>
      <c r="AH37" s="13">
        <f t="shared" si="6"/>
        <v>139020.3265</v>
      </c>
      <c r="AI37" s="13">
        <f t="shared" si="6"/>
        <v>158280.1088</v>
      </c>
      <c r="AJ37" s="13">
        <f t="shared" si="6"/>
        <v>171437.197</v>
      </c>
      <c r="AK37" s="13">
        <f t="shared" si="6"/>
        <v>182208.7728</v>
      </c>
      <c r="AL37" s="13">
        <f t="shared" si="6"/>
        <v>184379.9311</v>
      </c>
      <c r="AM37" s="13">
        <f t="shared" si="6"/>
        <v>200796.5487</v>
      </c>
      <c r="AN37" s="13">
        <f t="shared" si="6"/>
        <v>190681.9297</v>
      </c>
      <c r="AO37" s="13">
        <f t="shared" si="6"/>
        <v>42913.81095</v>
      </c>
      <c r="AP37" s="13">
        <f t="shared" si="6"/>
        <v>61672.59969</v>
      </c>
      <c r="AQ37" s="13">
        <f t="shared" si="6"/>
        <v>45833.73356</v>
      </c>
      <c r="AR37" s="13">
        <f t="shared" si="6"/>
        <v>39908.45965</v>
      </c>
      <c r="AS37" s="13">
        <f t="shared" si="6"/>
        <v>59196.15034</v>
      </c>
      <c r="AT37" s="13">
        <f t="shared" si="6"/>
        <v>54865.58465</v>
      </c>
      <c r="AU37" s="13">
        <f t="shared" si="6"/>
        <v>90379.70681</v>
      </c>
      <c r="AV37" s="13">
        <f t="shared" si="6"/>
        <v>157058.9199</v>
      </c>
      <c r="AW37" s="13">
        <f t="shared" si="6"/>
        <v>259627.9398</v>
      </c>
      <c r="AX37" s="13">
        <f t="shared" si="6"/>
        <v>219161.4967</v>
      </c>
      <c r="AY37" s="13">
        <f t="shared" si="6"/>
        <v>186932.0115</v>
      </c>
      <c r="AZ37" s="13">
        <f t="shared" si="6"/>
        <v>161682.0232</v>
      </c>
      <c r="BA37" s="13">
        <f t="shared" si="6"/>
        <v>134780.9762</v>
      </c>
      <c r="BB37" s="13">
        <f t="shared" si="6"/>
        <v>116513.7828</v>
      </c>
      <c r="BC37" s="13">
        <f t="shared" si="6"/>
        <v>117502.0479</v>
      </c>
      <c r="BD37" s="13">
        <f t="shared" si="6"/>
        <v>107222.5435</v>
      </c>
      <c r="BE37" s="13">
        <f t="shared" si="6"/>
        <v>186190.9596</v>
      </c>
      <c r="BF37" s="13">
        <f t="shared" si="6"/>
        <v>264695.4178</v>
      </c>
      <c r="BG37" s="13">
        <f t="shared" si="6"/>
        <v>219076.5432</v>
      </c>
      <c r="BH37" s="13">
        <f t="shared" si="6"/>
        <v>206637.9187</v>
      </c>
      <c r="BI37" s="13">
        <f t="shared" si="6"/>
        <v>202087.912</v>
      </c>
      <c r="BJ37" s="13">
        <f t="shared" si="6"/>
        <v>191663.5776</v>
      </c>
      <c r="BK37" s="13">
        <f t="shared" si="6"/>
        <v>168340.5364</v>
      </c>
      <c r="BL37" s="13">
        <f t="shared" si="6"/>
        <v>143205.8441</v>
      </c>
      <c r="BM37" s="13">
        <f t="shared" si="6"/>
        <v>120470.3739</v>
      </c>
      <c r="BN37" s="13">
        <f t="shared" si="6"/>
        <v>102980.7789</v>
      </c>
      <c r="BO37" s="13">
        <f t="shared" si="6"/>
        <v>85055.17886</v>
      </c>
      <c r="BP37" s="13">
        <f t="shared" si="6"/>
        <v>57217.69468</v>
      </c>
      <c r="BQ37" s="13">
        <f t="shared" si="6"/>
        <v>32484.66188</v>
      </c>
      <c r="BR37" s="13">
        <f t="shared" si="6"/>
        <v>5802.038484</v>
      </c>
      <c r="BS37" s="13">
        <f t="shared" si="6"/>
        <v>149798.0446</v>
      </c>
      <c r="BT37" s="13">
        <f t="shared" si="6"/>
        <v>137653.575</v>
      </c>
      <c r="BU37" s="13">
        <f t="shared" si="6"/>
        <v>114379.2389</v>
      </c>
      <c r="BV37" s="13">
        <f t="shared" si="6"/>
        <v>86597.09801</v>
      </c>
      <c r="BW37" s="13">
        <f t="shared" si="6"/>
        <v>67798.971</v>
      </c>
      <c r="BX37" s="13">
        <f t="shared" si="6"/>
        <v>58481.03644</v>
      </c>
      <c r="BY37" s="13">
        <f t="shared" si="6"/>
        <v>46798.37306</v>
      </c>
      <c r="BZ37" s="13">
        <f t="shared" si="6"/>
        <v>38481.39825</v>
      </c>
      <c r="CA37" s="13">
        <f t="shared" si="6"/>
        <v>37164.36142</v>
      </c>
      <c r="CB37" s="13">
        <f t="shared" si="6"/>
        <v>43618.44999</v>
      </c>
      <c r="CC37" s="13">
        <f t="shared" si="6"/>
        <v>51465.39253</v>
      </c>
      <c r="CD37" s="13">
        <f t="shared" si="6"/>
        <v>59307.57389</v>
      </c>
      <c r="CE37" s="13">
        <f t="shared" si="6"/>
        <v>63201.19693</v>
      </c>
      <c r="CF37" s="13">
        <f t="shared" si="6"/>
        <v>63185.37546</v>
      </c>
      <c r="CG37" s="13">
        <f t="shared" si="6"/>
        <v>56636.64384</v>
      </c>
      <c r="CH37" s="13">
        <f t="shared" si="6"/>
        <v>55206.60077</v>
      </c>
      <c r="CI37" s="13">
        <f t="shared" si="6"/>
        <v>51525.10595</v>
      </c>
      <c r="CJ37" s="13">
        <f t="shared" si="6"/>
        <v>45906.67628</v>
      </c>
      <c r="CK37" s="13">
        <f t="shared" si="6"/>
        <v>40287.33293</v>
      </c>
      <c r="CL37" s="13">
        <f t="shared" si="6"/>
        <v>33559.1516</v>
      </c>
      <c r="CM37" s="13">
        <f t="shared" si="6"/>
        <v>36753.10126</v>
      </c>
      <c r="CN37" s="13">
        <f t="shared" si="6"/>
        <v>46826.47142</v>
      </c>
      <c r="CO37" s="13">
        <f t="shared" si="6"/>
        <v>63363.93277</v>
      </c>
      <c r="CP37" s="13">
        <f t="shared" si="6"/>
        <v>83102.65572</v>
      </c>
      <c r="CQ37" s="12"/>
      <c r="CR37" s="12"/>
      <c r="CS37" s="12"/>
    </row>
    <row r="38" ht="12.75" customHeight="1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</row>
    <row r="39" ht="12.75" customHeight="1">
      <c r="A39" s="1" t="s">
        <v>27</v>
      </c>
      <c r="B39" s="14">
        <f t="shared" ref="B39:CP39" si="7">SUM(B35:B37)</f>
        <v>346921.0243</v>
      </c>
      <c r="C39" s="14">
        <f t="shared" si="7"/>
        <v>315451.3806</v>
      </c>
      <c r="D39" s="14">
        <f t="shared" si="7"/>
        <v>286262.1381</v>
      </c>
      <c r="E39" s="14">
        <f t="shared" si="7"/>
        <v>263067.7578</v>
      </c>
      <c r="F39" s="14">
        <f t="shared" si="7"/>
        <v>241510.5082</v>
      </c>
      <c r="G39" s="14">
        <f t="shared" si="7"/>
        <v>210216.0513</v>
      </c>
      <c r="H39" s="14">
        <f t="shared" si="7"/>
        <v>170891.8826</v>
      </c>
      <c r="I39" s="14">
        <f t="shared" si="7"/>
        <v>141360.2331</v>
      </c>
      <c r="J39" s="14">
        <f t="shared" si="7"/>
        <v>179360.0061</v>
      </c>
      <c r="K39" s="14">
        <f t="shared" si="7"/>
        <v>100657.1593</v>
      </c>
      <c r="L39" s="14">
        <f t="shared" si="7"/>
        <v>55669.53319</v>
      </c>
      <c r="M39" s="14">
        <f t="shared" si="7"/>
        <v>47478.02396</v>
      </c>
      <c r="N39" s="14">
        <f t="shared" si="7"/>
        <v>62365.3063</v>
      </c>
      <c r="O39" s="14">
        <f t="shared" si="7"/>
        <v>110117.699</v>
      </c>
      <c r="P39" s="14">
        <f t="shared" si="7"/>
        <v>166843.9316</v>
      </c>
      <c r="Q39" s="14">
        <f t="shared" si="7"/>
        <v>111746.8925</v>
      </c>
      <c r="R39" s="14">
        <f t="shared" si="7"/>
        <v>265587.7897</v>
      </c>
      <c r="S39" s="14">
        <f t="shared" si="7"/>
        <v>201601.3787</v>
      </c>
      <c r="T39" s="14">
        <f t="shared" si="7"/>
        <v>200730.0725</v>
      </c>
      <c r="U39" s="14">
        <f t="shared" si="7"/>
        <v>210883.2619</v>
      </c>
      <c r="V39" s="14">
        <f t="shared" si="7"/>
        <v>199378.5666</v>
      </c>
      <c r="W39" s="14">
        <f t="shared" si="7"/>
        <v>275183.7109</v>
      </c>
      <c r="X39" s="14">
        <f t="shared" si="7"/>
        <v>234799.4821</v>
      </c>
      <c r="Y39" s="14">
        <f t="shared" si="7"/>
        <v>209686.695</v>
      </c>
      <c r="Z39" s="14">
        <f t="shared" si="7"/>
        <v>196762.2736</v>
      </c>
      <c r="AA39" s="14">
        <f t="shared" si="7"/>
        <v>231326.815</v>
      </c>
      <c r="AB39" s="14">
        <f t="shared" si="7"/>
        <v>327969.2654</v>
      </c>
      <c r="AC39" s="14">
        <f t="shared" si="7"/>
        <v>304106.8986</v>
      </c>
      <c r="AD39" s="14">
        <f t="shared" si="7"/>
        <v>259274.1658</v>
      </c>
      <c r="AE39" s="14">
        <f t="shared" si="7"/>
        <v>220088.2343</v>
      </c>
      <c r="AF39" s="14">
        <f t="shared" si="7"/>
        <v>143224.1315</v>
      </c>
      <c r="AG39" s="14">
        <f t="shared" si="7"/>
        <v>139020.3265</v>
      </c>
      <c r="AH39" s="14">
        <f t="shared" si="7"/>
        <v>158280.1088</v>
      </c>
      <c r="AI39" s="14">
        <f t="shared" si="7"/>
        <v>171437.197</v>
      </c>
      <c r="AJ39" s="14">
        <f t="shared" si="7"/>
        <v>182208.7728</v>
      </c>
      <c r="AK39" s="14">
        <f t="shared" si="7"/>
        <v>184379.9311</v>
      </c>
      <c r="AL39" s="14">
        <f t="shared" si="7"/>
        <v>200796.5487</v>
      </c>
      <c r="AM39" s="14">
        <f t="shared" si="7"/>
        <v>190681.9297</v>
      </c>
      <c r="AN39" s="14">
        <f t="shared" si="7"/>
        <v>42913.81095</v>
      </c>
      <c r="AO39" s="14">
        <f t="shared" si="7"/>
        <v>61672.59969</v>
      </c>
      <c r="AP39" s="14">
        <f t="shared" si="7"/>
        <v>45833.73356</v>
      </c>
      <c r="AQ39" s="14">
        <f t="shared" si="7"/>
        <v>39908.45965</v>
      </c>
      <c r="AR39" s="14">
        <f t="shared" si="7"/>
        <v>59196.15034</v>
      </c>
      <c r="AS39" s="14">
        <f t="shared" si="7"/>
        <v>54865.58465</v>
      </c>
      <c r="AT39" s="14">
        <f t="shared" si="7"/>
        <v>90379.70681</v>
      </c>
      <c r="AU39" s="14">
        <f t="shared" si="7"/>
        <v>157058.9199</v>
      </c>
      <c r="AV39" s="14">
        <f t="shared" si="7"/>
        <v>259627.9398</v>
      </c>
      <c r="AW39" s="14">
        <f t="shared" si="7"/>
        <v>219161.4967</v>
      </c>
      <c r="AX39" s="14">
        <f t="shared" si="7"/>
        <v>186932.0115</v>
      </c>
      <c r="AY39" s="14">
        <f t="shared" si="7"/>
        <v>161682.0232</v>
      </c>
      <c r="AZ39" s="14">
        <f t="shared" si="7"/>
        <v>134780.9762</v>
      </c>
      <c r="BA39" s="14">
        <f t="shared" si="7"/>
        <v>116513.7828</v>
      </c>
      <c r="BB39" s="14">
        <f t="shared" si="7"/>
        <v>117502.0479</v>
      </c>
      <c r="BC39" s="14">
        <f t="shared" si="7"/>
        <v>107222.5435</v>
      </c>
      <c r="BD39" s="14">
        <f t="shared" si="7"/>
        <v>186190.9596</v>
      </c>
      <c r="BE39" s="14">
        <f t="shared" si="7"/>
        <v>264695.4178</v>
      </c>
      <c r="BF39" s="14">
        <f t="shared" si="7"/>
        <v>219076.5432</v>
      </c>
      <c r="BG39" s="14">
        <f t="shared" si="7"/>
        <v>206637.9187</v>
      </c>
      <c r="BH39" s="14">
        <f t="shared" si="7"/>
        <v>202087.912</v>
      </c>
      <c r="BI39" s="14">
        <f t="shared" si="7"/>
        <v>191663.5776</v>
      </c>
      <c r="BJ39" s="14">
        <f t="shared" si="7"/>
        <v>168340.5364</v>
      </c>
      <c r="BK39" s="14">
        <f t="shared" si="7"/>
        <v>143205.8441</v>
      </c>
      <c r="BL39" s="14">
        <f t="shared" si="7"/>
        <v>120470.3739</v>
      </c>
      <c r="BM39" s="14">
        <f t="shared" si="7"/>
        <v>102980.7789</v>
      </c>
      <c r="BN39" s="14">
        <f t="shared" si="7"/>
        <v>85055.17886</v>
      </c>
      <c r="BO39" s="14">
        <f t="shared" si="7"/>
        <v>57217.69468</v>
      </c>
      <c r="BP39" s="14">
        <f t="shared" si="7"/>
        <v>32484.66188</v>
      </c>
      <c r="BQ39" s="14">
        <f t="shared" si="7"/>
        <v>5802.038484</v>
      </c>
      <c r="BR39" s="14">
        <f t="shared" si="7"/>
        <v>149798.0446</v>
      </c>
      <c r="BS39" s="14">
        <f t="shared" si="7"/>
        <v>137653.575</v>
      </c>
      <c r="BT39" s="14">
        <f t="shared" si="7"/>
        <v>114379.2389</v>
      </c>
      <c r="BU39" s="14">
        <f t="shared" si="7"/>
        <v>86597.09801</v>
      </c>
      <c r="BV39" s="14">
        <f t="shared" si="7"/>
        <v>67798.971</v>
      </c>
      <c r="BW39" s="14">
        <f t="shared" si="7"/>
        <v>58481.03644</v>
      </c>
      <c r="BX39" s="14">
        <f t="shared" si="7"/>
        <v>46798.37306</v>
      </c>
      <c r="BY39" s="14">
        <f t="shared" si="7"/>
        <v>38481.39825</v>
      </c>
      <c r="BZ39" s="14">
        <f t="shared" si="7"/>
        <v>37164.36142</v>
      </c>
      <c r="CA39" s="14">
        <f t="shared" si="7"/>
        <v>43618.44999</v>
      </c>
      <c r="CB39" s="14">
        <f t="shared" si="7"/>
        <v>51465.39253</v>
      </c>
      <c r="CC39" s="14">
        <f t="shared" si="7"/>
        <v>59307.57389</v>
      </c>
      <c r="CD39" s="14">
        <f t="shared" si="7"/>
        <v>63201.19693</v>
      </c>
      <c r="CE39" s="14">
        <f t="shared" si="7"/>
        <v>63185.37546</v>
      </c>
      <c r="CF39" s="14">
        <f t="shared" si="7"/>
        <v>56636.64384</v>
      </c>
      <c r="CG39" s="14">
        <f t="shared" si="7"/>
        <v>55206.60077</v>
      </c>
      <c r="CH39" s="14">
        <f t="shared" si="7"/>
        <v>51525.10595</v>
      </c>
      <c r="CI39" s="14">
        <f t="shared" si="7"/>
        <v>45906.67628</v>
      </c>
      <c r="CJ39" s="14">
        <f t="shared" si="7"/>
        <v>40287.33293</v>
      </c>
      <c r="CK39" s="14">
        <f t="shared" si="7"/>
        <v>33559.1516</v>
      </c>
      <c r="CL39" s="14">
        <f t="shared" si="7"/>
        <v>36753.10126</v>
      </c>
      <c r="CM39" s="14">
        <f t="shared" si="7"/>
        <v>46826.47142</v>
      </c>
      <c r="CN39" s="14">
        <f t="shared" si="7"/>
        <v>63363.93277</v>
      </c>
      <c r="CO39" s="14">
        <f t="shared" si="7"/>
        <v>83102.65572</v>
      </c>
      <c r="CP39" s="14">
        <f t="shared" si="7"/>
        <v>156042.6403</v>
      </c>
      <c r="CQ39" s="27"/>
      <c r="CR39" s="27"/>
      <c r="CS39" s="27"/>
    </row>
    <row r="40" ht="12.75" customHeight="1">
      <c r="B40" s="7"/>
      <c r="C40" s="7"/>
      <c r="D40" s="7"/>
      <c r="E40" s="7"/>
      <c r="F40" s="7"/>
      <c r="G40" s="7"/>
      <c r="H40" s="7"/>
      <c r="I40" s="7"/>
    </row>
    <row r="41" ht="12.75" customHeight="1">
      <c r="B41" s="9"/>
      <c r="C41" s="9"/>
      <c r="D41" s="9"/>
      <c r="E41" s="9"/>
      <c r="F41" s="9"/>
      <c r="G41" s="9"/>
      <c r="H41" s="9"/>
      <c r="I41" s="9"/>
    </row>
    <row r="42" ht="12.75" customHeight="1">
      <c r="A42" s="5" t="s">
        <v>20</v>
      </c>
      <c r="B42" s="15">
        <f t="shared" ref="B42:CP42" si="8">B19/B15</f>
        <v>1</v>
      </c>
      <c r="C42" s="15">
        <f t="shared" si="8"/>
        <v>0.8699319339</v>
      </c>
      <c r="D42" s="15">
        <f t="shared" si="8"/>
        <v>0.1210258083</v>
      </c>
      <c r="E42" s="15">
        <f t="shared" si="8"/>
        <v>0.3322467421</v>
      </c>
      <c r="F42" s="15">
        <f t="shared" si="8"/>
        <v>0.4877230045</v>
      </c>
      <c r="G42" s="15">
        <f t="shared" si="8"/>
        <v>0.5510166353</v>
      </c>
      <c r="H42" s="15">
        <f t="shared" si="8"/>
        <v>0.3912524463</v>
      </c>
      <c r="I42" s="15">
        <f t="shared" si="8"/>
        <v>0.3804389857</v>
      </c>
      <c r="J42" s="15">
        <f t="shared" si="8"/>
        <v>0.1249559547</v>
      </c>
      <c r="K42" s="15">
        <f t="shared" si="8"/>
        <v>-0.169784293</v>
      </c>
      <c r="L42" s="15">
        <f t="shared" si="8"/>
        <v>0.2966718817</v>
      </c>
      <c r="M42" s="15">
        <f t="shared" si="8"/>
        <v>0.2966703341</v>
      </c>
      <c r="N42" s="15">
        <f t="shared" si="8"/>
        <v>0.2966703333</v>
      </c>
      <c r="O42" s="15">
        <f t="shared" si="8"/>
        <v>0.2966708308</v>
      </c>
      <c r="P42" s="15">
        <f t="shared" si="8"/>
        <v>0.2966714845</v>
      </c>
      <c r="Q42" s="15">
        <f t="shared" si="8"/>
        <v>0.2966718732</v>
      </c>
      <c r="R42" s="15">
        <f t="shared" si="8"/>
        <v>0.2966711997</v>
      </c>
      <c r="S42" s="15">
        <f t="shared" si="8"/>
        <v>0.2966703369</v>
      </c>
      <c r="T42" s="15">
        <f t="shared" si="8"/>
        <v>0.2966693623</v>
      </c>
      <c r="U42" s="15">
        <f t="shared" si="8"/>
        <v>0.296669588</v>
      </c>
      <c r="V42" s="15">
        <f t="shared" si="8"/>
        <v>0.2966700922</v>
      </c>
      <c r="W42" s="15">
        <f t="shared" si="8"/>
        <v>0.2966713473</v>
      </c>
      <c r="X42" s="15">
        <f t="shared" si="8"/>
        <v>0.2966710178</v>
      </c>
      <c r="Y42" s="15">
        <f t="shared" si="8"/>
        <v>0.296670737</v>
      </c>
      <c r="Z42" s="15">
        <f t="shared" si="8"/>
        <v>0.2966706779</v>
      </c>
      <c r="AA42" s="15">
        <f t="shared" si="8"/>
        <v>0.2966706559</v>
      </c>
      <c r="AB42" s="15">
        <f t="shared" si="8"/>
        <v>0.2966709783</v>
      </c>
      <c r="AC42" s="15">
        <f t="shared" si="8"/>
        <v>0.2966714644</v>
      </c>
      <c r="AD42" s="15">
        <f t="shared" si="8"/>
        <v>0.2966717121</v>
      </c>
      <c r="AE42" s="15">
        <f t="shared" si="8"/>
        <v>0.2966708103</v>
      </c>
      <c r="AF42" s="15">
        <f t="shared" si="8"/>
        <v>0.2966701658</v>
      </c>
      <c r="AG42" s="15">
        <f t="shared" si="8"/>
        <v>0.2966701708</v>
      </c>
      <c r="AH42" s="15">
        <f t="shared" si="8"/>
        <v>0.2966705806</v>
      </c>
      <c r="AI42" s="15">
        <f t="shared" si="8"/>
        <v>0.3966705422</v>
      </c>
      <c r="AJ42" s="15">
        <f t="shared" si="8"/>
        <v>0.3966709552</v>
      </c>
      <c r="AK42" s="15">
        <f t="shared" si="8"/>
        <v>0.3966715142</v>
      </c>
      <c r="AL42" s="15">
        <f t="shared" si="8"/>
        <v>0.396672223</v>
      </c>
      <c r="AM42" s="15">
        <f t="shared" si="8"/>
        <v>0.3966720846</v>
      </c>
      <c r="AN42" s="15">
        <f t="shared" si="8"/>
        <v>0.3966719042</v>
      </c>
      <c r="AO42" s="15">
        <f t="shared" si="8"/>
        <v>0.3966717353</v>
      </c>
      <c r="AP42" s="15">
        <f t="shared" si="8"/>
        <v>0.3966717495</v>
      </c>
      <c r="AQ42" s="15">
        <f t="shared" si="8"/>
        <v>0.3966717638</v>
      </c>
      <c r="AR42" s="15">
        <f t="shared" si="8"/>
        <v>0.3966718452</v>
      </c>
      <c r="AS42" s="15">
        <f t="shared" si="8"/>
        <v>0.3966720082</v>
      </c>
      <c r="AT42" s="15">
        <f t="shared" si="8"/>
        <v>0.3966723597</v>
      </c>
      <c r="AU42" s="15">
        <f t="shared" si="8"/>
        <v>0.3966723746</v>
      </c>
      <c r="AV42" s="15">
        <f t="shared" si="8"/>
        <v>0.3966719111</v>
      </c>
      <c r="AW42" s="15">
        <f t="shared" si="8"/>
        <v>0.3966708597</v>
      </c>
      <c r="AX42" s="15">
        <f t="shared" si="8"/>
        <v>0.3966703077</v>
      </c>
      <c r="AY42" s="15">
        <f t="shared" si="8"/>
        <v>0.3966698694</v>
      </c>
      <c r="AZ42" s="15">
        <f t="shared" si="8"/>
        <v>0.3966697498</v>
      </c>
      <c r="BA42" s="15">
        <f t="shared" si="8"/>
        <v>0.39666956</v>
      </c>
      <c r="BB42" s="15">
        <f t="shared" si="8"/>
        <v>0.3966693412</v>
      </c>
      <c r="BC42" s="15">
        <f t="shared" si="8"/>
        <v>0.3966694427</v>
      </c>
      <c r="BD42" s="15">
        <f t="shared" si="8"/>
        <v>0.3966696275</v>
      </c>
      <c r="BE42" s="15">
        <f t="shared" si="8"/>
        <v>0.3966700502</v>
      </c>
      <c r="BF42" s="15">
        <f t="shared" si="8"/>
        <v>0.3966700973</v>
      </c>
      <c r="BG42" s="15">
        <f t="shared" si="8"/>
        <v>0.3966696342</v>
      </c>
      <c r="BH42" s="15">
        <f t="shared" si="8"/>
        <v>0.3966697368</v>
      </c>
      <c r="BI42" s="15">
        <f t="shared" si="8"/>
        <v>0.4741694518</v>
      </c>
      <c r="BJ42" s="15">
        <f t="shared" si="8"/>
        <v>0.4741700803</v>
      </c>
      <c r="BK42" s="15">
        <f t="shared" si="8"/>
        <v>0.4741700651</v>
      </c>
      <c r="BL42" s="15">
        <f t="shared" si="8"/>
        <v>0.4741700433</v>
      </c>
      <c r="BM42" s="15">
        <f t="shared" si="8"/>
        <v>0.4741700316</v>
      </c>
      <c r="BN42" s="15">
        <f t="shared" si="8"/>
        <v>0.4741700254</v>
      </c>
      <c r="BO42" s="15">
        <f t="shared" si="8"/>
        <v>0.5608361551</v>
      </c>
      <c r="BP42" s="15">
        <f t="shared" si="8"/>
        <v>0.5608359573</v>
      </c>
      <c r="BQ42" s="15">
        <f t="shared" si="8"/>
        <v>0.560835792</v>
      </c>
      <c r="BR42" s="15">
        <f t="shared" si="8"/>
        <v>0.5608356442</v>
      </c>
      <c r="BS42" s="15">
        <f t="shared" si="8"/>
        <v>0.5608356479</v>
      </c>
      <c r="BT42" s="15">
        <f t="shared" si="8"/>
        <v>0.5608356596</v>
      </c>
      <c r="BU42" s="15">
        <f t="shared" si="8"/>
        <v>0.5608355077</v>
      </c>
      <c r="BV42" s="15">
        <f t="shared" si="8"/>
        <v>0.5608352611</v>
      </c>
      <c r="BW42" s="15">
        <f t="shared" si="8"/>
        <v>0.5608350602</v>
      </c>
      <c r="BX42" s="15">
        <f t="shared" si="8"/>
        <v>0.5608349616</v>
      </c>
      <c r="BY42" s="15">
        <f t="shared" si="8"/>
        <v>0.5608348781</v>
      </c>
      <c r="BZ42" s="15">
        <f t="shared" si="8"/>
        <v>0.5608347909</v>
      </c>
      <c r="CA42" s="15">
        <f t="shared" si="8"/>
        <v>0.5608347155</v>
      </c>
      <c r="CB42" s="15">
        <f t="shared" si="8"/>
        <v>0.5608346932</v>
      </c>
      <c r="CC42" s="15">
        <f t="shared" si="8"/>
        <v>0.5608346725</v>
      </c>
      <c r="CD42" s="15">
        <f t="shared" si="8"/>
        <v>0.5608346524</v>
      </c>
      <c r="CE42" s="15">
        <f t="shared" si="8"/>
        <v>0.5608346277</v>
      </c>
      <c r="CF42" s="15">
        <f t="shared" si="8"/>
        <v>0.5608346049</v>
      </c>
      <c r="CG42" s="15">
        <f t="shared" si="8"/>
        <v>0.5608345419</v>
      </c>
      <c r="CH42" s="15">
        <f t="shared" si="8"/>
        <v>0.5608344918</v>
      </c>
      <c r="CI42" s="15">
        <f t="shared" si="8"/>
        <v>0.5608344452</v>
      </c>
      <c r="CJ42" s="15">
        <f t="shared" si="8"/>
        <v>0.5608343989</v>
      </c>
      <c r="CK42" s="15">
        <f t="shared" si="8"/>
        <v>0.5608343587</v>
      </c>
      <c r="CL42" s="15">
        <f t="shared" si="8"/>
        <v>0.5608342951</v>
      </c>
      <c r="CM42" s="15">
        <f t="shared" si="8"/>
        <v>0.5608342597</v>
      </c>
      <c r="CN42" s="15">
        <f t="shared" si="8"/>
        <v>0.5608342284</v>
      </c>
      <c r="CO42" s="15">
        <f t="shared" si="8"/>
        <v>0.5608342164</v>
      </c>
      <c r="CP42" s="15">
        <f t="shared" si="8"/>
        <v>0.5608342046</v>
      </c>
      <c r="CQ42" s="15"/>
      <c r="CR42" s="15"/>
      <c r="CS42" s="15"/>
    </row>
    <row r="43" ht="12.75" customHeight="1">
      <c r="B43" s="9"/>
      <c r="C43" s="9"/>
      <c r="D43" s="9"/>
      <c r="E43" s="9"/>
      <c r="F43" s="9"/>
      <c r="G43" s="9"/>
      <c r="H43" s="9"/>
      <c r="I43" s="9"/>
    </row>
    <row r="44" ht="12.75" customHeight="1">
      <c r="A44" s="5" t="s">
        <v>21</v>
      </c>
      <c r="B44" s="15">
        <f t="shared" ref="B44:CP44" si="9">B23/B15</f>
        <v>-9.718935929</v>
      </c>
      <c r="C44" s="15">
        <f t="shared" si="9"/>
        <v>-7.0126946</v>
      </c>
      <c r="D44" s="15">
        <f t="shared" si="9"/>
        <v>-4.296291102</v>
      </c>
      <c r="E44" s="15">
        <f t="shared" si="9"/>
        <v>-1.767808013</v>
      </c>
      <c r="F44" s="15">
        <f t="shared" si="9"/>
        <v>-0.8488530226</v>
      </c>
      <c r="G44" s="15">
        <f t="shared" si="9"/>
        <v>-0.6881641593</v>
      </c>
      <c r="H44" s="15">
        <f t="shared" si="9"/>
        <v>-0.9995518598</v>
      </c>
      <c r="I44" s="15">
        <f t="shared" si="9"/>
        <v>-0.6677275501</v>
      </c>
      <c r="J44" s="15">
        <f t="shared" si="9"/>
        <v>-0.9340656381</v>
      </c>
      <c r="K44" s="15">
        <f t="shared" si="9"/>
        <v>-1.457449313</v>
      </c>
      <c r="L44" s="15">
        <f t="shared" si="9"/>
        <v>-0.3701291583</v>
      </c>
      <c r="M44" s="15">
        <f t="shared" si="9"/>
        <v>-0.1901805625</v>
      </c>
      <c r="N44" s="15">
        <f t="shared" si="9"/>
        <v>-0.1692328942</v>
      </c>
      <c r="O44" s="15">
        <f t="shared" si="9"/>
        <v>-0.1674276539</v>
      </c>
      <c r="P44" s="15">
        <f t="shared" si="9"/>
        <v>-0.2746555315</v>
      </c>
      <c r="Q44" s="15">
        <f t="shared" si="9"/>
        <v>-0.4472919629</v>
      </c>
      <c r="R44" s="15">
        <f t="shared" si="9"/>
        <v>-0.8245625517</v>
      </c>
      <c r="S44" s="15">
        <f t="shared" si="9"/>
        <v>-0.3831381354</v>
      </c>
      <c r="T44" s="15">
        <f t="shared" si="9"/>
        <v>-0.3251817931</v>
      </c>
      <c r="U44" s="15">
        <f t="shared" si="9"/>
        <v>-0.1800130519</v>
      </c>
      <c r="V44" s="15">
        <f t="shared" si="9"/>
        <v>-0.2421973198</v>
      </c>
      <c r="W44" s="15">
        <f t="shared" si="9"/>
        <v>-0.8820630787</v>
      </c>
      <c r="X44" s="15">
        <f t="shared" si="9"/>
        <v>-0.4400757106</v>
      </c>
      <c r="Y44" s="15">
        <f t="shared" si="9"/>
        <v>-0.2763635813</v>
      </c>
      <c r="Z44" s="15">
        <f t="shared" si="9"/>
        <v>-0.1964149124</v>
      </c>
      <c r="AA44" s="15">
        <f t="shared" si="9"/>
        <v>-0.1801911078</v>
      </c>
      <c r="AB44" s="15">
        <f t="shared" si="9"/>
        <v>-0.1434575573</v>
      </c>
      <c r="AC44" s="15">
        <f t="shared" si="9"/>
        <v>-0.1735953441</v>
      </c>
      <c r="AD44" s="15">
        <f t="shared" si="9"/>
        <v>-0.2319868578</v>
      </c>
      <c r="AE44" s="15">
        <f t="shared" si="9"/>
        <v>-0.3333558713</v>
      </c>
      <c r="AF44" s="15">
        <f t="shared" si="9"/>
        <v>-0.8891041072</v>
      </c>
      <c r="AG44" s="15">
        <f t="shared" si="9"/>
        <v>-0.2772760985</v>
      </c>
      <c r="AH44" s="15">
        <f t="shared" si="9"/>
        <v>-0.01663258294</v>
      </c>
      <c r="AI44" s="15">
        <f t="shared" si="9"/>
        <v>-0.0161791594</v>
      </c>
      <c r="AJ44" s="15">
        <f t="shared" si="9"/>
        <v>0.01547407258</v>
      </c>
      <c r="AK44" s="15">
        <f t="shared" si="9"/>
        <v>-0.02862735141</v>
      </c>
      <c r="AL44" s="15">
        <f t="shared" si="9"/>
        <v>-0.08454261157</v>
      </c>
      <c r="AM44" s="15">
        <f t="shared" si="9"/>
        <v>-0.1400788544</v>
      </c>
      <c r="AN44" s="15">
        <f t="shared" si="9"/>
        <v>-0.1236372414</v>
      </c>
      <c r="AO44" s="15">
        <f t="shared" si="9"/>
        <v>-0.108235508</v>
      </c>
      <c r="AP44" s="15">
        <f t="shared" si="9"/>
        <v>-0.2780210187</v>
      </c>
      <c r="AQ44" s="15">
        <f t="shared" si="9"/>
        <v>-0.1277274529</v>
      </c>
      <c r="AR44" s="15">
        <f t="shared" si="9"/>
        <v>-0.1525863384</v>
      </c>
      <c r="AS44" s="15">
        <f t="shared" si="9"/>
        <v>-0.1508220138</v>
      </c>
      <c r="AT44" s="15">
        <f t="shared" si="9"/>
        <v>-0.1651561069</v>
      </c>
      <c r="AU44" s="15">
        <f t="shared" si="9"/>
        <v>-0.2800434689</v>
      </c>
      <c r="AV44" s="15">
        <f t="shared" si="9"/>
        <v>-0.3850389429</v>
      </c>
      <c r="AW44" s="15">
        <f t="shared" si="9"/>
        <v>-0.3759043022</v>
      </c>
      <c r="AX44" s="15">
        <f t="shared" si="9"/>
        <v>-0.2798382685</v>
      </c>
      <c r="AY44" s="15">
        <f t="shared" si="9"/>
        <v>-0.2035559602</v>
      </c>
      <c r="AZ44" s="15">
        <f t="shared" si="9"/>
        <v>-0.1827558204</v>
      </c>
      <c r="BA44" s="15">
        <f t="shared" si="9"/>
        <v>-0.1497129427</v>
      </c>
      <c r="BB44" s="15">
        <f t="shared" si="9"/>
        <v>-0.1382345839</v>
      </c>
      <c r="BC44" s="15">
        <f t="shared" si="9"/>
        <v>-0.06488604644</v>
      </c>
      <c r="BD44" s="15">
        <f t="shared" si="9"/>
        <v>-0.09275666395</v>
      </c>
      <c r="BE44" s="15">
        <f t="shared" si="9"/>
        <v>-0.1565132963</v>
      </c>
      <c r="BF44" s="15">
        <f t="shared" si="9"/>
        <v>-0.1636248301</v>
      </c>
      <c r="BG44" s="15">
        <f t="shared" si="9"/>
        <v>-0.2373860192</v>
      </c>
      <c r="BH44" s="15">
        <f t="shared" si="9"/>
        <v>-0.08481381728</v>
      </c>
      <c r="BI44" s="15">
        <f t="shared" si="9"/>
        <v>-0.04642606888</v>
      </c>
      <c r="BJ44" s="15">
        <f t="shared" si="9"/>
        <v>-0.102309459</v>
      </c>
      <c r="BK44" s="15">
        <f t="shared" si="9"/>
        <v>-0.1257778918</v>
      </c>
      <c r="BL44" s="15">
        <f t="shared" si="9"/>
        <v>-0.09653308915</v>
      </c>
      <c r="BM44" s="15">
        <f t="shared" si="9"/>
        <v>-0.1203017444</v>
      </c>
      <c r="BN44" s="15">
        <f t="shared" si="9"/>
        <v>-0.09372268705</v>
      </c>
      <c r="BO44" s="15">
        <f t="shared" si="9"/>
        <v>-0.03587061205</v>
      </c>
      <c r="BP44" s="15">
        <f t="shared" si="9"/>
        <v>-0.05680049148</v>
      </c>
      <c r="BQ44" s="15">
        <f t="shared" si="9"/>
        <v>-0.1034581284</v>
      </c>
      <c r="BR44" s="15">
        <f t="shared" si="9"/>
        <v>-0.06608705709</v>
      </c>
      <c r="BS44" s="15">
        <f t="shared" si="9"/>
        <v>-0.09969598355</v>
      </c>
      <c r="BT44" s="15">
        <f t="shared" si="9"/>
        <v>-0.1028131866</v>
      </c>
      <c r="BU44" s="15">
        <f t="shared" si="9"/>
        <v>-0.1117952869</v>
      </c>
      <c r="BV44" s="15">
        <f t="shared" si="9"/>
        <v>-0.08425923911</v>
      </c>
      <c r="BW44" s="15">
        <f t="shared" si="9"/>
        <v>-0.02151081913</v>
      </c>
      <c r="BX44" s="15">
        <f t="shared" si="9"/>
        <v>0.001882268295</v>
      </c>
      <c r="BY44" s="15">
        <f t="shared" si="9"/>
        <v>-0.006831929092</v>
      </c>
      <c r="BZ44" s="15">
        <f t="shared" si="9"/>
        <v>0.02280242865</v>
      </c>
      <c r="CA44" s="15">
        <f t="shared" si="9"/>
        <v>0.05471762323</v>
      </c>
      <c r="CB44" s="15">
        <f t="shared" si="9"/>
        <v>0.06217995233</v>
      </c>
      <c r="CC44" s="15">
        <f t="shared" si="9"/>
        <v>0.06302312945</v>
      </c>
      <c r="CD44" s="15">
        <f t="shared" si="9"/>
        <v>0.06984819983</v>
      </c>
      <c r="CE44" s="15">
        <f t="shared" si="9"/>
        <v>0.03108160372</v>
      </c>
      <c r="CF44" s="15">
        <f t="shared" si="9"/>
        <v>0.03388615073</v>
      </c>
      <c r="CG44" s="15">
        <f t="shared" si="9"/>
        <v>0.03033009954</v>
      </c>
      <c r="CH44" s="15">
        <f t="shared" si="9"/>
        <v>0.0188909151</v>
      </c>
      <c r="CI44" s="15">
        <f t="shared" si="9"/>
        <v>0.0339094247</v>
      </c>
      <c r="CJ44" s="15">
        <f t="shared" si="9"/>
        <v>0.0201190376</v>
      </c>
      <c r="CK44" s="15">
        <f t="shared" si="9"/>
        <v>0.03887434943</v>
      </c>
      <c r="CL44" s="15">
        <f t="shared" si="9"/>
        <v>0.04670801108</v>
      </c>
      <c r="CM44" s="15">
        <f t="shared" si="9"/>
        <v>0.0640489145</v>
      </c>
      <c r="CN44" s="15">
        <f t="shared" si="9"/>
        <v>0.07938456106</v>
      </c>
      <c r="CO44" s="15">
        <f t="shared" si="9"/>
        <v>0.08528363422</v>
      </c>
      <c r="CP44" s="15">
        <f t="shared" si="9"/>
        <v>0.09102613041</v>
      </c>
      <c r="CQ44" s="15"/>
      <c r="CR44" s="15"/>
      <c r="CS44" s="15"/>
    </row>
    <row r="45" ht="12.75" customHeight="1">
      <c r="B45" s="9"/>
      <c r="C45" s="9"/>
      <c r="D45" s="9"/>
      <c r="E45" s="9"/>
      <c r="F45" s="9"/>
      <c r="G45" s="9"/>
      <c r="H45" s="9"/>
      <c r="I45" s="9"/>
    </row>
    <row r="46" ht="12.75" customHeight="1">
      <c r="B46" s="9"/>
      <c r="C46" s="9"/>
      <c r="D46" s="9"/>
      <c r="E46" s="9"/>
      <c r="F46" s="9"/>
      <c r="G46" s="9"/>
      <c r="H46" s="9"/>
      <c r="I46" s="9"/>
    </row>
    <row r="47" ht="12.75" customHeight="1">
      <c r="B47" s="9"/>
      <c r="C47" s="9"/>
      <c r="D47" s="9"/>
      <c r="E47" s="9"/>
      <c r="F47" s="9"/>
      <c r="G47" s="9"/>
      <c r="H47" s="9"/>
      <c r="I47" s="9"/>
    </row>
    <row r="48" ht="12.75" customHeight="1">
      <c r="B48" s="9"/>
      <c r="C48" s="9"/>
      <c r="D48" s="9"/>
      <c r="E48" s="9"/>
      <c r="F48" s="9"/>
      <c r="G48" s="9"/>
      <c r="H48" s="9"/>
      <c r="I48" s="9"/>
    </row>
    <row r="49" ht="12.75" customHeight="1">
      <c r="B49" s="9"/>
      <c r="C49" s="9"/>
      <c r="D49" s="9"/>
      <c r="E49" s="9"/>
      <c r="F49" s="9"/>
      <c r="G49" s="9"/>
      <c r="H49" s="9"/>
      <c r="I49" s="9"/>
      <c r="BQ49" s="28">
        <f>SUM(BF32,BG32,BH32,BJ32,BK32,BL32,BM31,BM31,BM32,BN32,BO32,BP32,BQ32,)</f>
        <v>-165000</v>
      </c>
    </row>
    <row r="50" ht="12.75" customHeight="1">
      <c r="B50" s="9"/>
      <c r="C50" s="9"/>
      <c r="D50" s="9"/>
      <c r="E50" s="9"/>
      <c r="F50" s="9"/>
      <c r="G50" s="9"/>
      <c r="H50" s="9"/>
      <c r="I50" s="9"/>
    </row>
    <row r="51" ht="12.75" customHeight="1">
      <c r="B51" s="9"/>
      <c r="C51" s="9"/>
      <c r="D51" s="9"/>
      <c r="E51" s="9"/>
      <c r="F51" s="9"/>
      <c r="G51" s="9"/>
      <c r="H51" s="9"/>
      <c r="I51" s="9"/>
    </row>
    <row r="52" ht="12.75" customHeight="1">
      <c r="B52" s="9"/>
      <c r="C52" s="9"/>
      <c r="D52" s="9"/>
      <c r="E52" s="9"/>
      <c r="F52" s="9"/>
      <c r="G52" s="9"/>
      <c r="H52" s="9"/>
      <c r="I52" s="9"/>
    </row>
    <row r="53" ht="12.75" customHeight="1">
      <c r="B53" s="9"/>
      <c r="C53" s="9"/>
      <c r="D53" s="9"/>
      <c r="E53" s="9"/>
      <c r="F53" s="9"/>
      <c r="G53" s="9"/>
      <c r="H53" s="9"/>
      <c r="I53" s="9"/>
    </row>
    <row r="54" ht="12.75" customHeight="1">
      <c r="B54" s="9"/>
      <c r="C54" s="9"/>
      <c r="D54" s="9"/>
      <c r="E54" s="9"/>
      <c r="F54" s="9"/>
      <c r="G54" s="9"/>
      <c r="H54" s="9"/>
      <c r="I54" s="9"/>
    </row>
    <row r="55" ht="12.75" customHeight="1">
      <c r="B55" s="9"/>
      <c r="C55" s="9"/>
      <c r="D55" s="9"/>
      <c r="E55" s="9"/>
      <c r="F55" s="9"/>
      <c r="G55" s="9"/>
      <c r="H55" s="9"/>
      <c r="I55" s="9"/>
    </row>
    <row r="56" ht="12.75" customHeight="1">
      <c r="B56" s="9"/>
      <c r="C56" s="9"/>
      <c r="D56" s="9"/>
      <c r="E56" s="9"/>
      <c r="F56" s="9"/>
      <c r="G56" s="9"/>
      <c r="H56" s="9"/>
      <c r="I56" s="9"/>
    </row>
    <row r="57" ht="12.75" customHeight="1">
      <c r="B57" s="9"/>
      <c r="C57" s="9"/>
      <c r="D57" s="9"/>
      <c r="E57" s="9"/>
      <c r="F57" s="9"/>
      <c r="G57" s="9"/>
      <c r="H57" s="9"/>
      <c r="I57" s="9"/>
    </row>
    <row r="58" ht="12.75" customHeight="1">
      <c r="B58" s="9"/>
      <c r="C58" s="9"/>
      <c r="D58" s="9"/>
      <c r="E58" s="9"/>
      <c r="F58" s="9"/>
      <c r="G58" s="9"/>
      <c r="H58" s="9"/>
      <c r="I58" s="9"/>
    </row>
    <row r="59" ht="12.75" customHeight="1">
      <c r="B59" s="9"/>
      <c r="C59" s="9"/>
      <c r="D59" s="9"/>
      <c r="E59" s="9"/>
      <c r="F59" s="9"/>
      <c r="G59" s="9"/>
      <c r="H59" s="9"/>
      <c r="I59" s="9"/>
    </row>
    <row r="60" ht="12.75" customHeight="1">
      <c r="B60" s="9"/>
      <c r="C60" s="9"/>
      <c r="D60" s="9"/>
      <c r="E60" s="9"/>
      <c r="F60" s="9"/>
      <c r="G60" s="9"/>
      <c r="H60" s="9"/>
      <c r="I60" s="9"/>
    </row>
    <row r="61" ht="12.75" customHeight="1">
      <c r="B61" s="9"/>
      <c r="C61" s="9"/>
      <c r="D61" s="9"/>
      <c r="E61" s="9"/>
      <c r="F61" s="9"/>
      <c r="G61" s="9"/>
      <c r="H61" s="9"/>
      <c r="I61" s="9"/>
    </row>
    <row r="62" ht="12.75" customHeight="1">
      <c r="B62" s="9"/>
      <c r="C62" s="9"/>
      <c r="D62" s="9"/>
      <c r="E62" s="9"/>
      <c r="F62" s="9"/>
      <c r="G62" s="9"/>
      <c r="H62" s="9"/>
      <c r="I62" s="9"/>
    </row>
    <row r="63" ht="12.75" customHeight="1">
      <c r="B63" s="9"/>
      <c r="C63" s="9"/>
      <c r="D63" s="9"/>
      <c r="E63" s="9"/>
      <c r="F63" s="9"/>
      <c r="G63" s="9"/>
      <c r="H63" s="9"/>
      <c r="I63" s="9"/>
    </row>
    <row r="64" ht="12.75" customHeight="1">
      <c r="B64" s="9"/>
      <c r="C64" s="9"/>
      <c r="D64" s="9"/>
      <c r="E64" s="9"/>
      <c r="F64" s="9"/>
      <c r="G64" s="9"/>
      <c r="H64" s="9"/>
      <c r="I64" s="9"/>
    </row>
    <row r="65" ht="12.75" customHeight="1">
      <c r="B65" s="9"/>
      <c r="C65" s="9"/>
      <c r="D65" s="9"/>
      <c r="E65" s="9"/>
      <c r="F65" s="9"/>
      <c r="G65" s="9"/>
      <c r="H65" s="9"/>
      <c r="I65" s="9"/>
    </row>
    <row r="66" ht="12.75" customHeight="1">
      <c r="B66" s="9"/>
      <c r="C66" s="9"/>
      <c r="D66" s="9"/>
      <c r="E66" s="9"/>
      <c r="F66" s="9"/>
      <c r="G66" s="9"/>
      <c r="H66" s="9"/>
      <c r="I66" s="9"/>
    </row>
    <row r="67" ht="12.75" customHeight="1">
      <c r="B67" s="9"/>
      <c r="C67" s="9"/>
      <c r="D67" s="9"/>
      <c r="E67" s="9"/>
      <c r="F67" s="9"/>
      <c r="G67" s="9"/>
      <c r="H67" s="9"/>
      <c r="I67" s="9"/>
    </row>
    <row r="68" ht="12.75" customHeight="1">
      <c r="B68" s="9"/>
      <c r="C68" s="9"/>
      <c r="D68" s="9"/>
      <c r="E68" s="9"/>
      <c r="F68" s="9"/>
      <c r="G68" s="9"/>
      <c r="H68" s="9"/>
      <c r="I68" s="9"/>
    </row>
    <row r="69" ht="12.75" customHeight="1">
      <c r="B69" s="9"/>
      <c r="C69" s="9"/>
      <c r="D69" s="9"/>
      <c r="E69" s="9"/>
      <c r="F69" s="9"/>
      <c r="G69" s="9"/>
      <c r="H69" s="9"/>
      <c r="I69" s="9"/>
    </row>
    <row r="70" ht="12.75" customHeight="1">
      <c r="B70" s="9"/>
      <c r="C70" s="9"/>
      <c r="D70" s="9"/>
      <c r="E70" s="9"/>
      <c r="F70" s="9"/>
      <c r="G70" s="9"/>
      <c r="H70" s="9"/>
      <c r="I70" s="9"/>
    </row>
    <row r="71" ht="12.75" customHeight="1">
      <c r="B71" s="9"/>
      <c r="C71" s="9"/>
      <c r="D71" s="9"/>
      <c r="E71" s="9"/>
      <c r="F71" s="9"/>
      <c r="G71" s="9"/>
      <c r="H71" s="9"/>
      <c r="I71" s="9"/>
    </row>
    <row r="72" ht="12.75" customHeight="1">
      <c r="B72" s="9"/>
      <c r="C72" s="9"/>
      <c r="D72" s="9"/>
      <c r="E72" s="9"/>
      <c r="F72" s="9"/>
      <c r="G72" s="9"/>
      <c r="H72" s="9"/>
      <c r="I72" s="9"/>
    </row>
    <row r="73" ht="12.75" customHeight="1">
      <c r="B73" s="9"/>
      <c r="C73" s="9"/>
      <c r="D73" s="9"/>
      <c r="E73" s="9"/>
      <c r="F73" s="9"/>
      <c r="G73" s="9"/>
      <c r="H73" s="9"/>
      <c r="I73" s="9"/>
    </row>
    <row r="74" ht="12.75" customHeight="1">
      <c r="B74" s="9"/>
      <c r="C74" s="9"/>
      <c r="D74" s="9"/>
      <c r="E74" s="9"/>
      <c r="F74" s="9"/>
      <c r="G74" s="9"/>
      <c r="H74" s="9"/>
      <c r="I74" s="9"/>
    </row>
    <row r="75" ht="12.75" customHeight="1">
      <c r="B75" s="9"/>
      <c r="C75" s="9"/>
      <c r="D75" s="9"/>
      <c r="E75" s="9"/>
      <c r="F75" s="9"/>
      <c r="G75" s="9"/>
      <c r="H75" s="9"/>
      <c r="I75" s="9"/>
    </row>
    <row r="76" ht="12.75" customHeight="1">
      <c r="B76" s="9"/>
      <c r="C76" s="9"/>
      <c r="D76" s="9"/>
      <c r="E76" s="9"/>
      <c r="F76" s="9"/>
      <c r="G76" s="9"/>
      <c r="H76" s="9"/>
      <c r="I76" s="9"/>
    </row>
    <row r="77" ht="12.75" customHeight="1">
      <c r="B77" s="9"/>
      <c r="C77" s="9"/>
      <c r="D77" s="9"/>
      <c r="E77" s="9"/>
      <c r="F77" s="9"/>
      <c r="G77" s="9"/>
      <c r="H77" s="9"/>
      <c r="I77" s="9"/>
    </row>
    <row r="78" ht="12.75" customHeight="1">
      <c r="B78" s="9"/>
      <c r="C78" s="9"/>
      <c r="D78" s="9"/>
      <c r="E78" s="9"/>
      <c r="F78" s="9"/>
      <c r="G78" s="9"/>
      <c r="H78" s="9"/>
      <c r="I78" s="9"/>
    </row>
    <row r="79" ht="12.75" customHeight="1">
      <c r="B79" s="9"/>
      <c r="C79" s="9"/>
      <c r="D79" s="9"/>
      <c r="E79" s="9"/>
      <c r="F79" s="9"/>
      <c r="G79" s="9"/>
      <c r="H79" s="9"/>
      <c r="I79" s="9"/>
    </row>
    <row r="80" ht="12.75" customHeight="1">
      <c r="B80" s="9"/>
      <c r="C80" s="9"/>
      <c r="D80" s="9"/>
      <c r="E80" s="9"/>
      <c r="F80" s="9"/>
      <c r="G80" s="9"/>
      <c r="H80" s="9"/>
      <c r="I80" s="9"/>
    </row>
    <row r="81" ht="12.75" customHeight="1">
      <c r="B81" s="9"/>
      <c r="C81" s="9"/>
      <c r="D81" s="9"/>
      <c r="E81" s="9"/>
      <c r="F81" s="9"/>
      <c r="G81" s="9"/>
      <c r="H81" s="9"/>
      <c r="I81" s="9"/>
    </row>
    <row r="82" ht="12.75" customHeight="1">
      <c r="B82" s="9"/>
      <c r="C82" s="9"/>
      <c r="D82" s="9"/>
      <c r="E82" s="9"/>
      <c r="F82" s="9"/>
      <c r="G82" s="9"/>
      <c r="H82" s="9"/>
      <c r="I82" s="9"/>
    </row>
    <row r="83" ht="12.75" customHeight="1">
      <c r="B83" s="9"/>
      <c r="C83" s="9"/>
      <c r="D83" s="9"/>
      <c r="E83" s="9"/>
      <c r="F83" s="9"/>
      <c r="G83" s="9"/>
      <c r="H83" s="9"/>
      <c r="I83" s="9"/>
    </row>
    <row r="84" ht="12.75" customHeight="1">
      <c r="B84" s="9"/>
      <c r="C84" s="9"/>
      <c r="D84" s="9"/>
      <c r="E84" s="9"/>
      <c r="F84" s="9"/>
      <c r="G84" s="9"/>
      <c r="H84" s="9"/>
      <c r="I84" s="9"/>
    </row>
    <row r="85" ht="12.75" customHeight="1">
      <c r="B85" s="9"/>
      <c r="C85" s="9"/>
      <c r="D85" s="9"/>
      <c r="E85" s="9"/>
      <c r="F85" s="9"/>
      <c r="G85" s="9"/>
      <c r="H85" s="9"/>
      <c r="I85" s="9"/>
    </row>
    <row r="86" ht="12.75" customHeight="1">
      <c r="B86" s="9"/>
      <c r="C86" s="9"/>
      <c r="D86" s="9"/>
      <c r="E86" s="9"/>
      <c r="F86" s="9"/>
      <c r="G86" s="9"/>
      <c r="H86" s="9"/>
      <c r="I86" s="9"/>
    </row>
    <row r="87" ht="12.75" customHeight="1">
      <c r="B87" s="9"/>
      <c r="C87" s="9"/>
      <c r="D87" s="9"/>
      <c r="E87" s="9"/>
      <c r="F87" s="9"/>
      <c r="G87" s="9"/>
      <c r="H87" s="9"/>
      <c r="I87" s="9"/>
    </row>
    <row r="88" ht="12.75" customHeight="1">
      <c r="B88" s="9"/>
      <c r="C88" s="9"/>
      <c r="D88" s="9"/>
      <c r="E88" s="9"/>
      <c r="F88" s="9"/>
      <c r="G88" s="9"/>
      <c r="H88" s="9"/>
      <c r="I88" s="9"/>
    </row>
    <row r="89" ht="12.75" customHeight="1">
      <c r="B89" s="9"/>
      <c r="C89" s="9"/>
      <c r="D89" s="9"/>
      <c r="E89" s="9"/>
      <c r="F89" s="9"/>
      <c r="G89" s="9"/>
      <c r="H89" s="9"/>
      <c r="I89" s="9"/>
    </row>
    <row r="90" ht="12.75" customHeight="1">
      <c r="B90" s="9"/>
      <c r="C90" s="9"/>
      <c r="D90" s="9"/>
      <c r="E90" s="9"/>
      <c r="F90" s="9"/>
      <c r="G90" s="9"/>
      <c r="H90" s="9"/>
      <c r="I90" s="9"/>
    </row>
    <row r="91" ht="12.75" customHeight="1">
      <c r="B91" s="9"/>
      <c r="C91" s="9"/>
      <c r="D91" s="9"/>
      <c r="E91" s="9"/>
      <c r="F91" s="9"/>
      <c r="G91" s="9"/>
      <c r="H91" s="9"/>
      <c r="I91" s="9"/>
    </row>
    <row r="92" ht="12.75" customHeight="1">
      <c r="B92" s="9"/>
      <c r="C92" s="9"/>
      <c r="D92" s="9"/>
      <c r="E92" s="9"/>
      <c r="F92" s="9"/>
      <c r="G92" s="9"/>
      <c r="H92" s="9"/>
      <c r="I92" s="9"/>
    </row>
    <row r="93" ht="12.75" customHeight="1">
      <c r="B93" s="9"/>
      <c r="C93" s="9"/>
      <c r="D93" s="9"/>
      <c r="E93" s="9"/>
      <c r="F93" s="9"/>
      <c r="G93" s="9"/>
      <c r="H93" s="9"/>
      <c r="I93" s="9"/>
    </row>
    <row r="94" ht="12.75" customHeight="1">
      <c r="B94" s="9"/>
      <c r="C94" s="9"/>
      <c r="D94" s="9"/>
      <c r="E94" s="9"/>
      <c r="F94" s="9"/>
      <c r="G94" s="9"/>
      <c r="H94" s="9"/>
      <c r="I94" s="9"/>
    </row>
    <row r="95" ht="12.75" customHeight="1">
      <c r="B95" s="9"/>
      <c r="C95" s="9"/>
      <c r="D95" s="9"/>
      <c r="E95" s="9"/>
      <c r="F95" s="9"/>
      <c r="G95" s="9"/>
      <c r="H95" s="9"/>
      <c r="I95" s="9"/>
    </row>
    <row r="96" ht="12.75" customHeight="1">
      <c r="B96" s="9"/>
      <c r="C96" s="9"/>
      <c r="D96" s="9"/>
      <c r="E96" s="9"/>
      <c r="F96" s="9"/>
      <c r="G96" s="9"/>
      <c r="H96" s="9"/>
      <c r="I96" s="9"/>
    </row>
    <row r="97" ht="12.75" customHeight="1">
      <c r="B97" s="9"/>
      <c r="C97" s="9"/>
      <c r="D97" s="9"/>
      <c r="E97" s="9"/>
      <c r="F97" s="9"/>
      <c r="G97" s="9"/>
      <c r="H97" s="9"/>
      <c r="I97" s="9"/>
    </row>
    <row r="98" ht="12.75" customHeight="1">
      <c r="B98" s="9"/>
      <c r="C98" s="9"/>
      <c r="D98" s="9"/>
      <c r="E98" s="9"/>
      <c r="F98" s="9"/>
      <c r="G98" s="9"/>
      <c r="H98" s="9"/>
      <c r="I98" s="9"/>
    </row>
    <row r="99" ht="12.75" customHeight="1">
      <c r="B99" s="9"/>
      <c r="C99" s="9"/>
      <c r="D99" s="9"/>
      <c r="E99" s="9"/>
      <c r="F99" s="9"/>
      <c r="G99" s="9"/>
      <c r="H99" s="9"/>
      <c r="I99" s="9"/>
    </row>
    <row r="100" ht="12.75" customHeight="1">
      <c r="B100" s="9"/>
      <c r="C100" s="9"/>
      <c r="D100" s="9"/>
      <c r="E100" s="9"/>
      <c r="F100" s="9"/>
      <c r="G100" s="9"/>
      <c r="H100" s="9"/>
      <c r="I100" s="9"/>
    </row>
    <row r="101" ht="12.75" customHeight="1">
      <c r="B101" s="9"/>
      <c r="C101" s="9"/>
      <c r="D101" s="9"/>
      <c r="E101" s="9"/>
      <c r="F101" s="9"/>
      <c r="G101" s="9"/>
      <c r="H101" s="9"/>
      <c r="I101" s="9"/>
    </row>
    <row r="102" ht="12.75" customHeight="1">
      <c r="B102" s="9"/>
      <c r="C102" s="9"/>
      <c r="D102" s="9"/>
      <c r="E102" s="9"/>
      <c r="F102" s="9"/>
      <c r="G102" s="9"/>
      <c r="H102" s="9"/>
      <c r="I102" s="9"/>
    </row>
    <row r="103" ht="12.75" customHeight="1">
      <c r="B103" s="9"/>
      <c r="C103" s="9"/>
      <c r="D103" s="9"/>
      <c r="E103" s="9"/>
      <c r="F103" s="9"/>
      <c r="G103" s="9"/>
      <c r="H103" s="9"/>
      <c r="I103" s="9"/>
    </row>
    <row r="104" ht="12.75" customHeight="1">
      <c r="B104" s="9"/>
      <c r="C104" s="9"/>
      <c r="D104" s="9"/>
      <c r="E104" s="9"/>
      <c r="F104" s="9"/>
      <c r="G104" s="9"/>
      <c r="H104" s="9"/>
      <c r="I104" s="9"/>
    </row>
    <row r="105" ht="12.75" customHeight="1">
      <c r="B105" s="9"/>
      <c r="C105" s="9"/>
      <c r="D105" s="9"/>
      <c r="E105" s="9"/>
      <c r="F105" s="9"/>
      <c r="G105" s="9"/>
      <c r="H105" s="9"/>
      <c r="I105" s="9"/>
    </row>
    <row r="106" ht="12.75" customHeight="1">
      <c r="B106" s="9"/>
      <c r="C106" s="9"/>
      <c r="D106" s="9"/>
      <c r="E106" s="9"/>
      <c r="F106" s="9"/>
      <c r="G106" s="9"/>
      <c r="H106" s="9"/>
      <c r="I106" s="9"/>
    </row>
    <row r="107" ht="12.75" customHeight="1">
      <c r="B107" s="9"/>
      <c r="C107" s="9"/>
      <c r="D107" s="9"/>
      <c r="E107" s="9"/>
      <c r="F107" s="9"/>
      <c r="G107" s="9"/>
      <c r="H107" s="9"/>
      <c r="I107" s="9"/>
    </row>
    <row r="108" ht="12.75" customHeight="1">
      <c r="B108" s="9"/>
      <c r="C108" s="9"/>
      <c r="D108" s="9"/>
      <c r="E108" s="9"/>
      <c r="F108" s="9"/>
      <c r="G108" s="9"/>
      <c r="H108" s="9"/>
      <c r="I108" s="9"/>
    </row>
    <row r="109" ht="12.75" customHeight="1">
      <c r="B109" s="9"/>
      <c r="C109" s="9"/>
      <c r="D109" s="9"/>
      <c r="E109" s="9"/>
      <c r="F109" s="9"/>
      <c r="G109" s="9"/>
      <c r="H109" s="9"/>
      <c r="I109" s="9"/>
    </row>
    <row r="110" ht="12.75" customHeight="1">
      <c r="B110" s="9"/>
      <c r="C110" s="9"/>
      <c r="D110" s="9"/>
      <c r="E110" s="9"/>
      <c r="F110" s="9"/>
      <c r="G110" s="9"/>
      <c r="H110" s="9"/>
      <c r="I110" s="9"/>
    </row>
    <row r="111" ht="12.75" customHeight="1">
      <c r="B111" s="9"/>
      <c r="C111" s="9"/>
      <c r="D111" s="9"/>
      <c r="E111" s="9"/>
      <c r="F111" s="9"/>
      <c r="G111" s="9"/>
      <c r="H111" s="9"/>
      <c r="I111" s="9"/>
    </row>
    <row r="112" ht="12.75" customHeight="1">
      <c r="B112" s="9"/>
      <c r="C112" s="9"/>
      <c r="D112" s="9"/>
      <c r="E112" s="9"/>
      <c r="F112" s="9"/>
      <c r="G112" s="9"/>
      <c r="H112" s="9"/>
      <c r="I112" s="9"/>
    </row>
    <row r="113" ht="12.75" customHeight="1">
      <c r="B113" s="9"/>
      <c r="C113" s="9"/>
      <c r="D113" s="9"/>
      <c r="E113" s="9"/>
      <c r="F113" s="9"/>
      <c r="G113" s="9"/>
      <c r="H113" s="9"/>
      <c r="I113" s="9"/>
    </row>
    <row r="114" ht="12.75" customHeight="1">
      <c r="B114" s="9"/>
      <c r="C114" s="9"/>
      <c r="D114" s="9"/>
      <c r="E114" s="9"/>
      <c r="F114" s="9"/>
      <c r="G114" s="9"/>
      <c r="H114" s="9"/>
      <c r="I114" s="9"/>
    </row>
    <row r="115" ht="12.75" customHeight="1">
      <c r="B115" s="9"/>
      <c r="C115" s="9"/>
      <c r="D115" s="9"/>
      <c r="E115" s="9"/>
      <c r="F115" s="9"/>
      <c r="G115" s="9"/>
      <c r="H115" s="9"/>
      <c r="I115" s="9"/>
    </row>
    <row r="116" ht="12.75" customHeight="1">
      <c r="B116" s="9"/>
      <c r="C116" s="9"/>
      <c r="D116" s="9"/>
      <c r="E116" s="9"/>
      <c r="F116" s="9"/>
      <c r="G116" s="9"/>
      <c r="H116" s="9"/>
      <c r="I116" s="9"/>
    </row>
    <row r="117" ht="12.75" customHeight="1">
      <c r="B117" s="9"/>
      <c r="C117" s="9"/>
      <c r="D117" s="9"/>
      <c r="E117" s="9"/>
      <c r="F117" s="9"/>
      <c r="G117" s="9"/>
      <c r="H117" s="9"/>
      <c r="I117" s="9"/>
    </row>
    <row r="118" ht="12.75" customHeight="1">
      <c r="B118" s="9"/>
      <c r="C118" s="9"/>
      <c r="D118" s="9"/>
      <c r="E118" s="9"/>
      <c r="F118" s="9"/>
      <c r="G118" s="9"/>
      <c r="H118" s="9"/>
      <c r="I118" s="9"/>
    </row>
    <row r="119" ht="12.75" customHeight="1">
      <c r="B119" s="9"/>
      <c r="C119" s="9"/>
      <c r="D119" s="9"/>
      <c r="E119" s="9"/>
      <c r="F119" s="9"/>
      <c r="G119" s="9"/>
      <c r="H119" s="9"/>
      <c r="I119" s="9"/>
    </row>
    <row r="120" ht="12.75" customHeight="1">
      <c r="B120" s="9"/>
      <c r="C120" s="9"/>
      <c r="D120" s="9"/>
      <c r="E120" s="9"/>
      <c r="F120" s="9"/>
      <c r="G120" s="9"/>
      <c r="H120" s="9"/>
      <c r="I120" s="9"/>
    </row>
    <row r="121" ht="12.75" customHeight="1">
      <c r="B121" s="9"/>
      <c r="C121" s="9"/>
      <c r="D121" s="9"/>
      <c r="E121" s="9"/>
      <c r="F121" s="9"/>
      <c r="G121" s="9"/>
      <c r="H121" s="9"/>
      <c r="I121" s="9"/>
    </row>
    <row r="122" ht="12.75" customHeight="1">
      <c r="B122" s="9"/>
      <c r="C122" s="9"/>
      <c r="D122" s="9"/>
      <c r="E122" s="9"/>
      <c r="F122" s="9"/>
      <c r="G122" s="9"/>
      <c r="H122" s="9"/>
      <c r="I122" s="9"/>
    </row>
    <row r="123" ht="12.75" customHeight="1">
      <c r="B123" s="9"/>
      <c r="C123" s="9"/>
      <c r="D123" s="9"/>
      <c r="E123" s="9"/>
      <c r="F123" s="9"/>
      <c r="G123" s="9"/>
      <c r="H123" s="9"/>
      <c r="I123" s="9"/>
    </row>
    <row r="124" ht="12.75" customHeight="1">
      <c r="B124" s="9"/>
      <c r="C124" s="9"/>
      <c r="D124" s="9"/>
      <c r="E124" s="9"/>
      <c r="F124" s="9"/>
      <c r="G124" s="9"/>
      <c r="H124" s="9"/>
      <c r="I124" s="9"/>
    </row>
    <row r="125" ht="12.75" customHeight="1">
      <c r="B125" s="9"/>
      <c r="C125" s="9"/>
      <c r="D125" s="9"/>
      <c r="E125" s="9"/>
      <c r="F125" s="9"/>
      <c r="G125" s="9"/>
      <c r="H125" s="9"/>
      <c r="I125" s="9"/>
    </row>
    <row r="126" ht="12.75" customHeight="1">
      <c r="B126" s="9"/>
      <c r="C126" s="9"/>
      <c r="D126" s="9"/>
      <c r="E126" s="9"/>
      <c r="F126" s="9"/>
      <c r="G126" s="9"/>
      <c r="H126" s="9"/>
      <c r="I126" s="9"/>
    </row>
    <row r="127" ht="12.75" customHeight="1">
      <c r="B127" s="9"/>
      <c r="C127" s="9"/>
      <c r="D127" s="9"/>
      <c r="E127" s="9"/>
      <c r="F127" s="9"/>
      <c r="G127" s="9"/>
      <c r="H127" s="9"/>
      <c r="I127" s="9"/>
    </row>
    <row r="128" ht="12.75" customHeight="1">
      <c r="B128" s="9"/>
      <c r="C128" s="9"/>
      <c r="D128" s="9"/>
      <c r="E128" s="9"/>
      <c r="F128" s="9"/>
      <c r="G128" s="9"/>
      <c r="H128" s="9"/>
      <c r="I128" s="9"/>
    </row>
    <row r="129" ht="12.75" customHeight="1">
      <c r="B129" s="9"/>
      <c r="C129" s="9"/>
      <c r="D129" s="9"/>
      <c r="E129" s="9"/>
      <c r="F129" s="9"/>
      <c r="G129" s="9"/>
      <c r="H129" s="9"/>
      <c r="I129" s="9"/>
    </row>
    <row r="130" ht="12.75" customHeight="1">
      <c r="B130" s="9"/>
      <c r="C130" s="9"/>
      <c r="D130" s="9"/>
      <c r="E130" s="9"/>
      <c r="F130" s="9"/>
      <c r="G130" s="9"/>
      <c r="H130" s="9"/>
      <c r="I130" s="9"/>
    </row>
    <row r="131" ht="12.75" customHeight="1">
      <c r="B131" s="9"/>
      <c r="C131" s="9"/>
      <c r="D131" s="9"/>
      <c r="E131" s="9"/>
      <c r="F131" s="9"/>
      <c r="G131" s="9"/>
      <c r="H131" s="9"/>
      <c r="I131" s="9"/>
    </row>
    <row r="132" ht="12.75" customHeight="1">
      <c r="B132" s="9"/>
      <c r="C132" s="9"/>
      <c r="D132" s="9"/>
      <c r="E132" s="9"/>
      <c r="F132" s="9"/>
      <c r="G132" s="9"/>
      <c r="H132" s="9"/>
      <c r="I132" s="9"/>
    </row>
    <row r="133" ht="12.75" customHeight="1">
      <c r="B133" s="9"/>
      <c r="C133" s="9"/>
      <c r="D133" s="9"/>
      <c r="E133" s="9"/>
      <c r="F133" s="9"/>
      <c r="G133" s="9"/>
      <c r="H133" s="9"/>
      <c r="I133" s="9"/>
    </row>
    <row r="134" ht="12.75" customHeight="1">
      <c r="B134" s="9"/>
      <c r="C134" s="9"/>
      <c r="D134" s="9"/>
      <c r="E134" s="9"/>
      <c r="F134" s="9"/>
      <c r="G134" s="9"/>
      <c r="H134" s="9"/>
      <c r="I134" s="9"/>
    </row>
    <row r="135" ht="12.75" customHeight="1">
      <c r="B135" s="9"/>
      <c r="C135" s="9"/>
      <c r="D135" s="9"/>
      <c r="E135" s="9"/>
      <c r="F135" s="9"/>
      <c r="G135" s="9"/>
      <c r="H135" s="9"/>
      <c r="I135" s="9"/>
    </row>
    <row r="136" ht="12.75" customHeight="1">
      <c r="B136" s="9"/>
      <c r="C136" s="9"/>
      <c r="D136" s="9"/>
      <c r="E136" s="9"/>
      <c r="F136" s="9"/>
      <c r="G136" s="9"/>
      <c r="H136" s="9"/>
      <c r="I136" s="9"/>
    </row>
    <row r="137" ht="12.75" customHeight="1">
      <c r="B137" s="9"/>
      <c r="C137" s="9"/>
      <c r="D137" s="9"/>
      <c r="E137" s="9"/>
      <c r="F137" s="9"/>
      <c r="G137" s="9"/>
      <c r="H137" s="9"/>
      <c r="I137" s="9"/>
    </row>
    <row r="138" ht="12.75" customHeight="1">
      <c r="B138" s="9"/>
      <c r="C138" s="9"/>
      <c r="D138" s="9"/>
      <c r="E138" s="9"/>
      <c r="F138" s="9"/>
      <c r="G138" s="9"/>
      <c r="H138" s="9"/>
      <c r="I138" s="9"/>
    </row>
    <row r="139" ht="12.75" customHeight="1">
      <c r="B139" s="9"/>
      <c r="C139" s="9"/>
      <c r="D139" s="9"/>
      <c r="E139" s="9"/>
      <c r="F139" s="9"/>
      <c r="G139" s="9"/>
      <c r="H139" s="9"/>
      <c r="I139" s="9"/>
    </row>
    <row r="140" ht="12.75" customHeight="1">
      <c r="B140" s="9"/>
      <c r="C140" s="9"/>
      <c r="D140" s="9"/>
      <c r="E140" s="9"/>
      <c r="F140" s="9"/>
      <c r="G140" s="9"/>
      <c r="H140" s="9"/>
      <c r="I140" s="9"/>
    </row>
    <row r="141" ht="12.75" customHeight="1">
      <c r="B141" s="9"/>
      <c r="C141" s="9"/>
      <c r="D141" s="9"/>
      <c r="E141" s="9"/>
      <c r="F141" s="9"/>
      <c r="G141" s="9"/>
      <c r="H141" s="9"/>
      <c r="I141" s="9"/>
    </row>
    <row r="142" ht="12.75" customHeight="1">
      <c r="B142" s="9"/>
      <c r="C142" s="9"/>
      <c r="D142" s="9"/>
      <c r="E142" s="9"/>
      <c r="F142" s="9"/>
      <c r="G142" s="9"/>
      <c r="H142" s="9"/>
      <c r="I142" s="9"/>
    </row>
    <row r="143" ht="12.75" customHeight="1">
      <c r="B143" s="9"/>
      <c r="C143" s="9"/>
      <c r="D143" s="9"/>
      <c r="E143" s="9"/>
      <c r="F143" s="9"/>
      <c r="G143" s="9"/>
      <c r="H143" s="9"/>
      <c r="I143" s="9"/>
    </row>
    <row r="144" ht="12.75" customHeight="1">
      <c r="B144" s="9"/>
      <c r="C144" s="9"/>
      <c r="D144" s="9"/>
      <c r="E144" s="9"/>
      <c r="F144" s="9"/>
      <c r="G144" s="9"/>
      <c r="H144" s="9"/>
      <c r="I144" s="9"/>
    </row>
    <row r="145" ht="12.75" customHeight="1">
      <c r="B145" s="9"/>
      <c r="C145" s="9"/>
      <c r="D145" s="9"/>
      <c r="E145" s="9"/>
      <c r="F145" s="9"/>
      <c r="G145" s="9"/>
      <c r="H145" s="9"/>
      <c r="I145" s="9"/>
    </row>
    <row r="146" ht="12.75" customHeight="1">
      <c r="B146" s="9"/>
      <c r="C146" s="9"/>
      <c r="D146" s="9"/>
      <c r="E146" s="9"/>
      <c r="F146" s="9"/>
      <c r="G146" s="9"/>
      <c r="H146" s="9"/>
      <c r="I146" s="9"/>
    </row>
    <row r="147" ht="12.75" customHeight="1">
      <c r="B147" s="9"/>
      <c r="C147" s="9"/>
      <c r="D147" s="9"/>
      <c r="E147" s="9"/>
      <c r="F147" s="9"/>
      <c r="G147" s="9"/>
      <c r="H147" s="9"/>
      <c r="I147" s="9"/>
    </row>
    <row r="148" ht="12.75" customHeight="1">
      <c r="B148" s="9"/>
      <c r="C148" s="9"/>
      <c r="D148" s="9"/>
      <c r="E148" s="9"/>
      <c r="F148" s="9"/>
      <c r="G148" s="9"/>
      <c r="H148" s="9"/>
      <c r="I148" s="9"/>
    </row>
    <row r="149" ht="12.75" customHeight="1">
      <c r="B149" s="9"/>
      <c r="C149" s="9"/>
      <c r="D149" s="9"/>
      <c r="E149" s="9"/>
      <c r="F149" s="9"/>
      <c r="G149" s="9"/>
      <c r="H149" s="9"/>
      <c r="I149" s="9"/>
    </row>
    <row r="150" ht="12.75" customHeight="1">
      <c r="B150" s="9"/>
      <c r="C150" s="9"/>
      <c r="D150" s="9"/>
      <c r="E150" s="9"/>
      <c r="F150" s="9"/>
      <c r="G150" s="9"/>
      <c r="H150" s="9"/>
      <c r="I150" s="9"/>
    </row>
    <row r="151" ht="12.75" customHeight="1">
      <c r="B151" s="9"/>
      <c r="C151" s="9"/>
      <c r="D151" s="9"/>
      <c r="E151" s="9"/>
      <c r="F151" s="9"/>
      <c r="G151" s="9"/>
      <c r="H151" s="9"/>
      <c r="I151" s="9"/>
    </row>
    <row r="152" ht="12.75" customHeight="1">
      <c r="B152" s="9"/>
      <c r="C152" s="9"/>
      <c r="D152" s="9"/>
      <c r="E152" s="9"/>
      <c r="F152" s="9"/>
      <c r="G152" s="9"/>
      <c r="H152" s="9"/>
      <c r="I152" s="9"/>
    </row>
    <row r="153" ht="12.75" customHeight="1">
      <c r="B153" s="9"/>
      <c r="C153" s="9"/>
      <c r="D153" s="9"/>
      <c r="E153" s="9"/>
      <c r="F153" s="9"/>
      <c r="G153" s="9"/>
      <c r="H153" s="9"/>
      <c r="I153" s="9"/>
    </row>
    <row r="154" ht="12.75" customHeight="1">
      <c r="B154" s="9"/>
      <c r="C154" s="9"/>
      <c r="D154" s="9"/>
      <c r="E154" s="9"/>
      <c r="F154" s="9"/>
      <c r="G154" s="9"/>
      <c r="H154" s="9"/>
      <c r="I154" s="9"/>
    </row>
    <row r="155" ht="12.75" customHeight="1">
      <c r="B155" s="9"/>
      <c r="C155" s="9"/>
      <c r="D155" s="9"/>
      <c r="E155" s="9"/>
      <c r="F155" s="9"/>
      <c r="G155" s="9"/>
      <c r="H155" s="9"/>
      <c r="I155" s="9"/>
    </row>
    <row r="156" ht="12.75" customHeight="1">
      <c r="B156" s="9"/>
      <c r="C156" s="9"/>
      <c r="D156" s="9"/>
      <c r="E156" s="9"/>
      <c r="F156" s="9"/>
      <c r="G156" s="9"/>
      <c r="H156" s="9"/>
      <c r="I156" s="9"/>
    </row>
    <row r="157" ht="12.75" customHeight="1">
      <c r="B157" s="9"/>
      <c r="C157" s="9"/>
      <c r="D157" s="9"/>
      <c r="E157" s="9"/>
      <c r="F157" s="9"/>
      <c r="G157" s="9"/>
      <c r="H157" s="9"/>
      <c r="I157" s="9"/>
    </row>
    <row r="158" ht="12.75" customHeight="1">
      <c r="B158" s="9"/>
      <c r="C158" s="9"/>
      <c r="D158" s="9"/>
      <c r="E158" s="9"/>
      <c r="F158" s="9"/>
      <c r="G158" s="9"/>
      <c r="H158" s="9"/>
      <c r="I158" s="9"/>
    </row>
    <row r="159" ht="12.75" customHeight="1">
      <c r="B159" s="9"/>
      <c r="C159" s="9"/>
      <c r="D159" s="9"/>
      <c r="E159" s="9"/>
      <c r="F159" s="9"/>
      <c r="G159" s="9"/>
      <c r="H159" s="9"/>
      <c r="I159" s="9"/>
    </row>
    <row r="160" ht="12.75" customHeight="1">
      <c r="B160" s="9"/>
      <c r="C160" s="9"/>
      <c r="D160" s="9"/>
      <c r="E160" s="9"/>
      <c r="F160" s="9"/>
      <c r="G160" s="9"/>
      <c r="H160" s="9"/>
      <c r="I160" s="9"/>
    </row>
    <row r="161" ht="12.75" customHeight="1">
      <c r="B161" s="9"/>
      <c r="C161" s="9"/>
      <c r="D161" s="9"/>
      <c r="E161" s="9"/>
      <c r="F161" s="9"/>
      <c r="G161" s="9"/>
      <c r="H161" s="9"/>
      <c r="I161" s="9"/>
    </row>
    <row r="162" ht="12.75" customHeight="1">
      <c r="B162" s="9"/>
      <c r="C162" s="9"/>
      <c r="D162" s="9"/>
      <c r="E162" s="9"/>
      <c r="F162" s="9"/>
      <c r="G162" s="9"/>
      <c r="H162" s="9"/>
      <c r="I162" s="9"/>
    </row>
    <row r="163" ht="12.75" customHeight="1">
      <c r="B163" s="9"/>
      <c r="C163" s="9"/>
      <c r="D163" s="9"/>
      <c r="E163" s="9"/>
      <c r="F163" s="9"/>
      <c r="G163" s="9"/>
      <c r="H163" s="9"/>
      <c r="I163" s="9"/>
    </row>
    <row r="164" ht="12.75" customHeight="1">
      <c r="B164" s="9"/>
      <c r="C164" s="9"/>
      <c r="D164" s="9"/>
      <c r="E164" s="9"/>
      <c r="F164" s="9"/>
      <c r="G164" s="9"/>
      <c r="H164" s="9"/>
      <c r="I164" s="9"/>
    </row>
    <row r="165" ht="12.75" customHeight="1">
      <c r="B165" s="9"/>
      <c r="C165" s="9"/>
      <c r="D165" s="9"/>
      <c r="E165" s="9"/>
      <c r="F165" s="9"/>
      <c r="G165" s="9"/>
      <c r="H165" s="9"/>
      <c r="I165" s="9"/>
    </row>
    <row r="166" ht="12.75" customHeight="1">
      <c r="B166" s="9"/>
      <c r="C166" s="9"/>
      <c r="D166" s="9"/>
      <c r="E166" s="9"/>
      <c r="F166" s="9"/>
      <c r="G166" s="9"/>
      <c r="H166" s="9"/>
      <c r="I166" s="9"/>
    </row>
    <row r="167" ht="12.75" customHeight="1">
      <c r="B167" s="9"/>
      <c r="C167" s="9"/>
      <c r="D167" s="9"/>
      <c r="E167" s="9"/>
      <c r="F167" s="9"/>
      <c r="G167" s="9"/>
      <c r="H167" s="9"/>
      <c r="I167" s="9"/>
    </row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M2"/>
    <mergeCell ref="N2:Z2"/>
    <mergeCell ref="AA2:AM2"/>
    <mergeCell ref="AN2:AZ2"/>
    <mergeCell ref="A3:M3"/>
    <mergeCell ref="N3:Z3"/>
    <mergeCell ref="AA3:AM3"/>
    <mergeCell ref="AN3:AZ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50.71"/>
    <col customWidth="1" min="3" max="11" width="8.71"/>
    <col customWidth="1" min="12" max="12" width="20.43"/>
    <col customWidth="1" min="13" max="19" width="8.71"/>
    <col customWidth="1" min="20" max="20" width="12.71"/>
    <col customWidth="1" hidden="1" min="21" max="21" width="12.71"/>
    <col customWidth="1" hidden="1" min="22" max="24" width="14.71"/>
    <col customWidth="1" hidden="1" min="25" max="25" width="18.71"/>
    <col customWidth="1" hidden="1" min="26" max="65" width="14.71"/>
    <col customWidth="1" min="66" max="107" width="14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ht="30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ht="30.0" customHeight="1">
      <c r="A3" s="2" t="s">
        <v>28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9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ht="12.75" customHeight="1"/>
    <row r="6" ht="12.75" customHeight="1">
      <c r="A6" s="30"/>
      <c r="B6" s="31"/>
      <c r="C6" s="31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ht="12.75" customHeight="1"/>
    <row r="8" ht="12.75" customHeight="1">
      <c r="A8" s="32" t="s">
        <v>23</v>
      </c>
      <c r="B8" s="33"/>
      <c r="C8" s="33"/>
      <c r="D8" s="33" t="s">
        <v>29</v>
      </c>
      <c r="E8" s="33" t="s">
        <v>30</v>
      </c>
      <c r="F8" s="33" t="s">
        <v>31</v>
      </c>
      <c r="G8" s="33" t="s">
        <v>32</v>
      </c>
      <c r="H8" s="33" t="s">
        <v>33</v>
      </c>
      <c r="I8" s="33" t="s">
        <v>34</v>
      </c>
      <c r="J8" s="33" t="s">
        <v>35</v>
      </c>
      <c r="K8" s="33" t="s">
        <v>36</v>
      </c>
      <c r="L8" s="33" t="s">
        <v>37</v>
      </c>
      <c r="M8" s="33" t="s">
        <v>38</v>
      </c>
      <c r="N8" s="33" t="s">
        <v>39</v>
      </c>
      <c r="O8" s="33" t="s">
        <v>40</v>
      </c>
      <c r="P8" s="33" t="s">
        <v>29</v>
      </c>
      <c r="Q8" s="33" t="s">
        <v>30</v>
      </c>
      <c r="R8" s="33" t="s">
        <v>31</v>
      </c>
      <c r="S8" s="33" t="s">
        <v>32</v>
      </c>
      <c r="T8" s="34">
        <v>43647.0</v>
      </c>
      <c r="U8" s="35">
        <f>+'P&amp;L Cash Flow Monthly'!B8</f>
        <v>43951</v>
      </c>
      <c r="V8" s="35">
        <f>+'P&amp;L Cash Flow Monthly'!C8</f>
        <v>43982</v>
      </c>
      <c r="W8" s="35">
        <f>+'P&amp;L Cash Flow Monthly'!D8</f>
        <v>44012</v>
      </c>
      <c r="X8" s="35">
        <f>+'P&amp;L Cash Flow Monthly'!E8</f>
        <v>44043</v>
      </c>
      <c r="Y8" s="35">
        <f>+'P&amp;L Cash Flow Monthly'!F8</f>
        <v>44074</v>
      </c>
      <c r="Z8" s="35">
        <f>+'P&amp;L Cash Flow Monthly'!G8</f>
        <v>44104</v>
      </c>
      <c r="AA8" s="35">
        <f>+'P&amp;L Cash Flow Monthly'!H8</f>
        <v>44135</v>
      </c>
      <c r="AB8" s="35">
        <f>+'P&amp;L Cash Flow Monthly'!I8</f>
        <v>44165</v>
      </c>
      <c r="AC8" s="35">
        <f>+'P&amp;L Cash Flow Monthly'!J8</f>
        <v>44196</v>
      </c>
      <c r="AD8" s="35">
        <f>+'P&amp;L Cash Flow Monthly'!K8</f>
        <v>44227</v>
      </c>
      <c r="AE8" s="35">
        <f>+'P&amp;L Cash Flow Monthly'!L8</f>
        <v>44255</v>
      </c>
      <c r="AF8" s="35">
        <f>+'P&amp;L Cash Flow Monthly'!M8</f>
        <v>44286</v>
      </c>
      <c r="AG8" s="35">
        <f>+'P&amp;L Cash Flow Monthly'!N8</f>
        <v>44316</v>
      </c>
      <c r="AH8" s="35">
        <f>+'P&amp;L Cash Flow Monthly'!O8</f>
        <v>44347</v>
      </c>
      <c r="AI8" s="35">
        <f>+'P&amp;L Cash Flow Monthly'!P8</f>
        <v>44377</v>
      </c>
      <c r="AJ8" s="35">
        <f>+'P&amp;L Cash Flow Monthly'!Q8</f>
        <v>44408</v>
      </c>
      <c r="AK8" s="35">
        <f>+'P&amp;L Cash Flow Monthly'!R8</f>
        <v>44439</v>
      </c>
      <c r="AL8" s="35">
        <f>+'P&amp;L Cash Flow Monthly'!S8</f>
        <v>44469</v>
      </c>
      <c r="AM8" s="35">
        <f>+'P&amp;L Cash Flow Monthly'!T8</f>
        <v>44500</v>
      </c>
      <c r="AN8" s="35">
        <f>+'P&amp;L Cash Flow Monthly'!U8</f>
        <v>44530</v>
      </c>
      <c r="AO8" s="35">
        <f>+'P&amp;L Cash Flow Monthly'!V8</f>
        <v>44561</v>
      </c>
      <c r="AP8" s="35">
        <f>+'P&amp;L Cash Flow Monthly'!W8</f>
        <v>44592</v>
      </c>
      <c r="AQ8" s="35">
        <f>+'P&amp;L Cash Flow Monthly'!X8</f>
        <v>44620</v>
      </c>
      <c r="AR8" s="35">
        <f>+'P&amp;L Cash Flow Monthly'!Y8</f>
        <v>44651</v>
      </c>
      <c r="AS8" s="35">
        <f>+'P&amp;L Cash Flow Monthly'!Z8</f>
        <v>44681</v>
      </c>
      <c r="AT8" s="35">
        <f>+'P&amp;L Cash Flow Monthly'!AA8</f>
        <v>44712</v>
      </c>
      <c r="AU8" s="35">
        <f>+'P&amp;L Cash Flow Monthly'!AB8</f>
        <v>44742</v>
      </c>
      <c r="AV8" s="35">
        <f>+'P&amp;L Cash Flow Monthly'!AC8</f>
        <v>44773</v>
      </c>
      <c r="AW8" s="35">
        <f>+'P&amp;L Cash Flow Monthly'!AD8</f>
        <v>44804</v>
      </c>
      <c r="AX8" s="35">
        <f>+'P&amp;L Cash Flow Monthly'!AE8</f>
        <v>44834</v>
      </c>
      <c r="AY8" s="35">
        <f>+'P&amp;L Cash Flow Monthly'!AF8</f>
        <v>44865</v>
      </c>
      <c r="AZ8" s="35">
        <f>+'P&amp;L Cash Flow Monthly'!AG8</f>
        <v>44895</v>
      </c>
      <c r="BA8" s="35">
        <f>+'P&amp;L Cash Flow Monthly'!AH8</f>
        <v>44926</v>
      </c>
      <c r="BB8" s="35">
        <f>+'P&amp;L Cash Flow Monthly'!AI8</f>
        <v>44957</v>
      </c>
      <c r="BC8" s="35">
        <f>+'P&amp;L Cash Flow Monthly'!AJ8</f>
        <v>44985</v>
      </c>
      <c r="BD8" s="35">
        <f>+'P&amp;L Cash Flow Monthly'!AK8</f>
        <v>45016</v>
      </c>
      <c r="BE8" s="35">
        <f>+'P&amp;L Cash Flow Monthly'!AL8</f>
        <v>45046</v>
      </c>
      <c r="BF8" s="35">
        <f>+'P&amp;L Cash Flow Monthly'!AM8</f>
        <v>45077</v>
      </c>
      <c r="BG8" s="36">
        <f>+'P&amp;L Cash Flow Monthly'!AN8</f>
        <v>45107</v>
      </c>
      <c r="BH8" s="36">
        <f>+'P&amp;L Cash Flow Monthly'!AO8</f>
        <v>45138</v>
      </c>
      <c r="BI8" s="36">
        <f>+'P&amp;L Cash Flow Monthly'!AP8</f>
        <v>45169</v>
      </c>
      <c r="BJ8" s="36">
        <f>+'P&amp;L Cash Flow Monthly'!AQ8</f>
        <v>45199</v>
      </c>
      <c r="BK8" s="36">
        <f>+'P&amp;L Cash Flow Monthly'!AR8</f>
        <v>45230</v>
      </c>
      <c r="BL8" s="36">
        <f>+'P&amp;L Cash Flow Monthly'!AS8</f>
        <v>45260</v>
      </c>
      <c r="BM8" s="36">
        <f>+'P&amp;L Cash Flow Monthly'!AT8</f>
        <v>45291</v>
      </c>
      <c r="BN8" s="36">
        <f>+'P&amp;L Cash Flow Monthly'!AU8</f>
        <v>45322</v>
      </c>
      <c r="BO8" s="36">
        <f>+'P&amp;L Cash Flow Monthly'!AV8</f>
        <v>45351</v>
      </c>
      <c r="BP8" s="36">
        <f>+'P&amp;L Cash Flow Monthly'!AW8</f>
        <v>45382</v>
      </c>
      <c r="BQ8" s="36">
        <f>+'P&amp;L Cash Flow Monthly'!AX8</f>
        <v>45412</v>
      </c>
      <c r="BR8" s="36">
        <f>+'P&amp;L Cash Flow Monthly'!AY8</f>
        <v>45443</v>
      </c>
      <c r="BS8" s="36">
        <f>+'P&amp;L Cash Flow Monthly'!AZ8</f>
        <v>45473</v>
      </c>
      <c r="BT8" s="36">
        <f>+'P&amp;L Cash Flow Monthly'!BA8</f>
        <v>45504</v>
      </c>
      <c r="BU8" s="36">
        <f>+'P&amp;L Cash Flow Monthly'!BB8</f>
        <v>45535</v>
      </c>
      <c r="BV8" s="36">
        <f>+'P&amp;L Cash Flow Monthly'!BC8</f>
        <v>45565</v>
      </c>
      <c r="BW8" s="36">
        <f>+'P&amp;L Cash Flow Monthly'!BD8</f>
        <v>45596</v>
      </c>
      <c r="BX8" s="36">
        <f>+'P&amp;L Cash Flow Monthly'!BE8</f>
        <v>45626</v>
      </c>
      <c r="BY8" s="36">
        <f>+'P&amp;L Cash Flow Monthly'!BF8</f>
        <v>45657</v>
      </c>
      <c r="BZ8" s="36">
        <f>+'P&amp;L Cash Flow Monthly'!BG8</f>
        <v>45688</v>
      </c>
      <c r="CA8" s="36">
        <f>+'P&amp;L Cash Flow Monthly'!BH8</f>
        <v>45716</v>
      </c>
      <c r="CB8" s="36">
        <f>+'P&amp;L Cash Flow Monthly'!BI8</f>
        <v>45747</v>
      </c>
      <c r="CC8" s="36">
        <f>+'P&amp;L Cash Flow Monthly'!BJ8</f>
        <v>45777</v>
      </c>
      <c r="CD8" s="36">
        <f>+'P&amp;L Cash Flow Monthly'!BK8</f>
        <v>45808</v>
      </c>
      <c r="CE8" s="36">
        <f>+'P&amp;L Cash Flow Monthly'!BL8</f>
        <v>45838</v>
      </c>
      <c r="CF8" s="36">
        <f>+'P&amp;L Cash Flow Monthly'!BM8</f>
        <v>45869</v>
      </c>
      <c r="CG8" s="36">
        <f>+'P&amp;L Cash Flow Monthly'!BN8</f>
        <v>45900</v>
      </c>
      <c r="CH8" s="36">
        <f>+'P&amp;L Cash Flow Monthly'!BO8</f>
        <v>45930</v>
      </c>
      <c r="CI8" s="36">
        <f>+'P&amp;L Cash Flow Monthly'!BP8</f>
        <v>45961</v>
      </c>
      <c r="CJ8" s="36">
        <f>+'P&amp;L Cash Flow Monthly'!BQ8</f>
        <v>45991</v>
      </c>
      <c r="CK8" s="36">
        <f>+'P&amp;L Cash Flow Monthly'!BR8</f>
        <v>46022</v>
      </c>
      <c r="CL8" s="36">
        <f>+'P&amp;L Cash Flow Monthly'!BS8</f>
        <v>46053</v>
      </c>
      <c r="CM8" s="36">
        <f>+'P&amp;L Cash Flow Monthly'!BT8</f>
        <v>46081</v>
      </c>
      <c r="CN8" s="36">
        <f>+'P&amp;L Cash Flow Monthly'!BU8</f>
        <v>46112</v>
      </c>
      <c r="CO8" s="36">
        <f>+'P&amp;L Cash Flow Monthly'!BV8</f>
        <v>46142</v>
      </c>
      <c r="CP8" s="36">
        <f>+'P&amp;L Cash Flow Monthly'!BW8</f>
        <v>46173</v>
      </c>
      <c r="CQ8" s="36">
        <f>+'P&amp;L Cash Flow Monthly'!BX8</f>
        <v>46203</v>
      </c>
      <c r="CR8" s="36">
        <f>+'P&amp;L Cash Flow Monthly'!BY8</f>
        <v>46234</v>
      </c>
      <c r="CS8" s="36">
        <f>+'P&amp;L Cash Flow Monthly'!BZ8</f>
        <v>46265</v>
      </c>
      <c r="CT8" s="36">
        <f>+'P&amp;L Cash Flow Monthly'!CA8</f>
        <v>46295</v>
      </c>
      <c r="CU8" s="36">
        <f>+'P&amp;L Cash Flow Monthly'!CB8</f>
        <v>46326</v>
      </c>
      <c r="CV8" s="36">
        <f>+'P&amp;L Cash Flow Monthly'!CC8</f>
        <v>46356</v>
      </c>
      <c r="CW8" s="36">
        <f>+'P&amp;L Cash Flow Monthly'!CD8</f>
        <v>46387</v>
      </c>
      <c r="CX8" s="36">
        <f>+'P&amp;L Cash Flow Monthly'!CE8</f>
        <v>46418</v>
      </c>
      <c r="CY8" s="36">
        <f>+'P&amp;L Cash Flow Monthly'!CF8</f>
        <v>46446</v>
      </c>
      <c r="CZ8" s="36">
        <f>+'P&amp;L Cash Flow Monthly'!CG8</f>
        <v>46477</v>
      </c>
      <c r="DA8" s="36">
        <f>+'P&amp;L Cash Flow Monthly'!CH8</f>
        <v>46507</v>
      </c>
      <c r="DB8" s="36">
        <f>+'P&amp;L Cash Flow Monthly'!CI8</f>
        <v>46538</v>
      </c>
      <c r="DC8" s="36">
        <f>+'P&amp;L Cash Flow Monthly'!CJ8</f>
        <v>46568</v>
      </c>
      <c r="DD8" s="36">
        <f>+'P&amp;L Cash Flow Monthly'!CK8</f>
        <v>46599</v>
      </c>
      <c r="DE8" s="36">
        <f>+'P&amp;L Cash Flow Monthly'!CL8</f>
        <v>46630</v>
      </c>
      <c r="DF8" s="36">
        <f>+'P&amp;L Cash Flow Monthly'!CM8</f>
        <v>46660</v>
      </c>
      <c r="DG8" s="36">
        <f>+'P&amp;L Cash Flow Monthly'!CN8</f>
        <v>46691</v>
      </c>
      <c r="DH8" s="36">
        <f>+'P&amp;L Cash Flow Monthly'!CO8</f>
        <v>46721</v>
      </c>
      <c r="DI8" s="36">
        <f>+'P&amp;L Cash Flow Monthly'!CP8</f>
        <v>46752</v>
      </c>
      <c r="DJ8" s="36">
        <v>46783.0</v>
      </c>
      <c r="DK8" s="36">
        <v>46811.0</v>
      </c>
      <c r="DL8" s="36">
        <v>46843.0</v>
      </c>
      <c r="DM8" s="36"/>
      <c r="DN8" s="36"/>
      <c r="DO8" s="36"/>
      <c r="DP8" s="36"/>
    </row>
    <row r="9" ht="12.75" customHeight="1">
      <c r="A9" s="30"/>
      <c r="B9" s="30"/>
      <c r="C9" s="30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</row>
    <row r="10" ht="12.75" customHeight="1">
      <c r="A10" s="39"/>
      <c r="B10" s="30"/>
      <c r="C10" s="30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</row>
    <row r="11" ht="12.75" customHeight="1">
      <c r="A11" s="30"/>
      <c r="B11" s="30"/>
      <c r="C11" s="30"/>
      <c r="D11" s="37"/>
      <c r="E11" s="37"/>
      <c r="F11" s="37"/>
      <c r="G11" s="37"/>
      <c r="H11" s="37"/>
      <c r="I11" s="37"/>
      <c r="J11" s="37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</row>
    <row r="12" ht="12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</row>
    <row r="13" ht="12.75" customHeight="1">
      <c r="A13" s="30" t="s">
        <v>41</v>
      </c>
      <c r="B13" s="30"/>
      <c r="C13" s="30"/>
      <c r="D13" s="37"/>
      <c r="E13" s="37"/>
      <c r="F13" s="37"/>
      <c r="G13" s="37"/>
      <c r="H13" s="37"/>
      <c r="I13" s="37"/>
      <c r="J13" s="37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4"/>
      <c r="V13" s="44">
        <f t="shared" ref="V13:DL13" si="1">+V21*$I25+$J29</f>
        <v>65.08498677</v>
      </c>
      <c r="W13" s="44">
        <f t="shared" si="1"/>
        <v>782.6959509</v>
      </c>
      <c r="X13" s="44">
        <f t="shared" si="1"/>
        <v>1192.759359</v>
      </c>
      <c r="Y13" s="44">
        <f t="shared" si="1"/>
        <v>1545.461656</v>
      </c>
      <c r="Z13" s="44">
        <f t="shared" si="1"/>
        <v>1523.211089</v>
      </c>
      <c r="AA13" s="44">
        <f t="shared" si="1"/>
        <v>2184.172078</v>
      </c>
      <c r="AB13" s="44">
        <f t="shared" si="1"/>
        <v>4280.354996</v>
      </c>
      <c r="AC13" s="44">
        <f t="shared" si="1"/>
        <v>4144.122108</v>
      </c>
      <c r="AD13" s="44">
        <f t="shared" si="1"/>
        <v>6693.538286</v>
      </c>
      <c r="AE13" s="44">
        <f t="shared" si="1"/>
        <v>8429.584441</v>
      </c>
      <c r="AF13" s="44">
        <f t="shared" si="1"/>
        <v>11986.61825</v>
      </c>
      <c r="AG13" s="44">
        <f t="shared" si="1"/>
        <v>11989.17714</v>
      </c>
      <c r="AH13" s="44">
        <f t="shared" si="1"/>
        <v>10556.8553</v>
      </c>
      <c r="AI13" s="44">
        <f t="shared" si="1"/>
        <v>9124.533447</v>
      </c>
      <c r="AJ13" s="44">
        <f t="shared" si="1"/>
        <v>8443.369006</v>
      </c>
      <c r="AK13" s="44">
        <f t="shared" si="1"/>
        <v>9697.856912</v>
      </c>
      <c r="AL13" s="44">
        <f t="shared" si="1"/>
        <v>11977.50334</v>
      </c>
      <c r="AM13" s="44">
        <f t="shared" si="1"/>
        <v>16307.46681</v>
      </c>
      <c r="AN13" s="44">
        <f t="shared" si="1"/>
        <v>15047.78396</v>
      </c>
      <c r="AO13" s="44">
        <f t="shared" si="1"/>
        <v>12832.81882</v>
      </c>
      <c r="AP13" s="44">
        <f t="shared" si="1"/>
        <v>9392.048262</v>
      </c>
      <c r="AQ13" s="44">
        <f t="shared" si="1"/>
        <v>10103.12956</v>
      </c>
      <c r="AR13" s="44">
        <f t="shared" si="1"/>
        <v>10800.14854</v>
      </c>
      <c r="AS13" s="44">
        <f t="shared" si="1"/>
        <v>10959.16634</v>
      </c>
      <c r="AT13" s="44">
        <f t="shared" si="1"/>
        <v>11019.74793</v>
      </c>
      <c r="AU13" s="44">
        <f t="shared" si="1"/>
        <v>10195.79417</v>
      </c>
      <c r="AV13" s="44">
        <f t="shared" si="1"/>
        <v>9162.663446</v>
      </c>
      <c r="AW13" s="44">
        <f t="shared" si="1"/>
        <v>8712.987625</v>
      </c>
      <c r="AX13" s="44">
        <f t="shared" si="1"/>
        <v>10609.02756</v>
      </c>
      <c r="AY13" s="44">
        <f t="shared" si="1"/>
        <v>12563.07455</v>
      </c>
      <c r="AZ13" s="44">
        <f t="shared" si="1"/>
        <v>12545.24413</v>
      </c>
      <c r="BA13" s="44">
        <f t="shared" si="1"/>
        <v>11231.58732</v>
      </c>
      <c r="BB13" s="44">
        <f t="shared" si="1"/>
        <v>9730.175075</v>
      </c>
      <c r="BC13" s="44">
        <f t="shared" si="1"/>
        <v>8793.188823</v>
      </c>
      <c r="BD13" s="44">
        <f t="shared" si="1"/>
        <v>7779.255186</v>
      </c>
      <c r="BE13" s="44">
        <f t="shared" si="1"/>
        <v>6787.022019</v>
      </c>
      <c r="BF13" s="44">
        <f t="shared" si="1"/>
        <v>6960.335181</v>
      </c>
      <c r="BG13" s="44">
        <f t="shared" si="1"/>
        <v>7200.006367</v>
      </c>
      <c r="BH13" s="44">
        <f t="shared" si="1"/>
        <v>7439.991906</v>
      </c>
      <c r="BI13" s="44">
        <f t="shared" si="1"/>
        <v>7419.213556</v>
      </c>
      <c r="BJ13" s="44">
        <f t="shared" si="1"/>
        <v>7398.435206</v>
      </c>
      <c r="BK13" s="44">
        <f t="shared" si="1"/>
        <v>7282.112875</v>
      </c>
      <c r="BL13" s="44">
        <f t="shared" si="1"/>
        <v>7059.869187</v>
      </c>
      <c r="BM13" s="44">
        <f t="shared" si="1"/>
        <v>6624.026379</v>
      </c>
      <c r="BN13" s="44">
        <f t="shared" si="1"/>
        <v>6606.725002</v>
      </c>
      <c r="BO13" s="44">
        <f t="shared" si="1"/>
        <v>7190.559931</v>
      </c>
      <c r="BP13" s="44">
        <f t="shared" si="1"/>
        <v>8993.549349</v>
      </c>
      <c r="BQ13" s="44">
        <f t="shared" si="1"/>
        <v>10356.9611</v>
      </c>
      <c r="BR13" s="44">
        <f t="shared" si="1"/>
        <v>11774.36032</v>
      </c>
      <c r="BS13" s="44">
        <f t="shared" si="1"/>
        <v>12230.77441</v>
      </c>
      <c r="BT13" s="44">
        <f t="shared" si="1"/>
        <v>13033.35983</v>
      </c>
      <c r="BU13" s="44">
        <f t="shared" si="1"/>
        <v>14099.50194</v>
      </c>
      <c r="BV13" s="44">
        <f t="shared" si="1"/>
        <v>13583.97091</v>
      </c>
      <c r="BW13" s="44">
        <f t="shared" si="1"/>
        <v>12736.22332</v>
      </c>
      <c r="BX13" s="44">
        <f t="shared" si="1"/>
        <v>11145.11389</v>
      </c>
      <c r="BY13" s="44">
        <f t="shared" si="1"/>
        <v>10991.94538</v>
      </c>
      <c r="BZ13" s="44">
        <f t="shared" si="1"/>
        <v>12707.52167</v>
      </c>
      <c r="CA13" s="44">
        <f t="shared" si="1"/>
        <v>12282.89959</v>
      </c>
      <c r="CB13" s="44">
        <f t="shared" si="1"/>
        <v>11800.6528</v>
      </c>
      <c r="CC13" s="44">
        <f t="shared" si="1"/>
        <v>9627.903039</v>
      </c>
      <c r="CD13" s="44">
        <f t="shared" si="1"/>
        <v>9671.088656</v>
      </c>
      <c r="CE13" s="44">
        <f t="shared" si="1"/>
        <v>9733.2584</v>
      </c>
      <c r="CF13" s="44">
        <f t="shared" si="1"/>
        <v>9767.093267</v>
      </c>
      <c r="CG13" s="44">
        <f t="shared" si="1"/>
        <v>9785.355714</v>
      </c>
      <c r="CH13" s="44">
        <f t="shared" si="1"/>
        <v>9727.681653</v>
      </c>
      <c r="CI13" s="44">
        <f t="shared" si="1"/>
        <v>10460.84417</v>
      </c>
      <c r="CJ13" s="44">
        <f t="shared" si="1"/>
        <v>11163.95487</v>
      </c>
      <c r="CK13" s="44">
        <f t="shared" si="1"/>
        <v>11878.23967</v>
      </c>
      <c r="CL13" s="44">
        <f t="shared" si="1"/>
        <v>11859.29751</v>
      </c>
      <c r="CM13" s="44">
        <f t="shared" si="1"/>
        <v>11799.75067</v>
      </c>
      <c r="CN13" s="44">
        <f t="shared" si="1"/>
        <v>12623.87738</v>
      </c>
      <c r="CO13" s="44">
        <f t="shared" si="1"/>
        <v>14238.84067</v>
      </c>
      <c r="CP13" s="44">
        <f t="shared" si="1"/>
        <v>15894.90552</v>
      </c>
      <c r="CQ13" s="44">
        <f t="shared" si="1"/>
        <v>16857.54775</v>
      </c>
      <c r="CR13" s="44">
        <f t="shared" si="1"/>
        <v>17768.54224</v>
      </c>
      <c r="CS13" s="44">
        <f t="shared" si="1"/>
        <v>18831.88367</v>
      </c>
      <c r="CT13" s="44">
        <f t="shared" si="1"/>
        <v>19859.39177</v>
      </c>
      <c r="CU13" s="44">
        <f t="shared" si="1"/>
        <v>20184.51892</v>
      </c>
      <c r="CV13" s="44">
        <f t="shared" si="1"/>
        <v>20496.67535</v>
      </c>
      <c r="CW13" s="44">
        <f t="shared" si="1"/>
        <v>20808.83179</v>
      </c>
      <c r="CX13" s="44">
        <f t="shared" si="1"/>
        <v>21205.89216</v>
      </c>
      <c r="CY13" s="44">
        <f t="shared" si="1"/>
        <v>21586.95551</v>
      </c>
      <c r="CZ13" s="44">
        <f t="shared" si="1"/>
        <v>22711.19134</v>
      </c>
      <c r="DA13" s="44">
        <f t="shared" si="1"/>
        <v>23693.38919</v>
      </c>
      <c r="DB13" s="44">
        <f t="shared" si="1"/>
        <v>24686.69375</v>
      </c>
      <c r="DC13" s="44">
        <f t="shared" si="1"/>
        <v>25760.41399</v>
      </c>
      <c r="DD13" s="44">
        <f t="shared" si="1"/>
        <v>26768.82002</v>
      </c>
      <c r="DE13" s="44">
        <f t="shared" si="1"/>
        <v>28539.95976</v>
      </c>
      <c r="DF13" s="44">
        <f t="shared" si="1"/>
        <v>29630.20778</v>
      </c>
      <c r="DG13" s="44">
        <f t="shared" si="1"/>
        <v>30666.21543</v>
      </c>
      <c r="DH13" s="44">
        <f t="shared" si="1"/>
        <v>31084.28752</v>
      </c>
      <c r="DI13" s="44">
        <f t="shared" si="1"/>
        <v>31502.35961</v>
      </c>
      <c r="DJ13" s="44">
        <f t="shared" si="1"/>
        <v>0.5</v>
      </c>
      <c r="DK13" s="44">
        <f t="shared" si="1"/>
        <v>0.5</v>
      </c>
      <c r="DL13" s="44">
        <f t="shared" si="1"/>
        <v>0.5</v>
      </c>
    </row>
    <row r="14" ht="12.75" customHeight="1">
      <c r="A14" s="30"/>
      <c r="B14" s="30"/>
      <c r="C14" s="30"/>
      <c r="D14" s="37"/>
      <c r="E14" s="37"/>
      <c r="F14" s="37"/>
      <c r="G14" s="37"/>
      <c r="H14" s="37"/>
      <c r="I14" s="37"/>
      <c r="J14" s="37"/>
      <c r="K14" s="43"/>
      <c r="L14" s="43"/>
      <c r="M14" s="43"/>
      <c r="N14" s="43"/>
      <c r="O14" s="43"/>
      <c r="P14" s="43"/>
      <c r="Q14" s="43"/>
      <c r="R14" s="43"/>
      <c r="S14" s="43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</row>
    <row r="15" ht="12.75" customHeight="1">
      <c r="A15" s="30"/>
      <c r="B15" s="30"/>
      <c r="C15" s="30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</row>
    <row r="16" ht="12.75" customHeight="1">
      <c r="A16" s="39" t="s">
        <v>42</v>
      </c>
      <c r="B16" s="30"/>
      <c r="C16" s="30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</row>
    <row r="17">
      <c r="A17" s="30" t="s">
        <v>43</v>
      </c>
      <c r="B17" s="30"/>
      <c r="C17" s="30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>
        <v>80.0</v>
      </c>
      <c r="U17" s="38"/>
      <c r="V17" s="38">
        <f>'Expenses 2'!C89/V42</f>
        <v>11.66666667</v>
      </c>
      <c r="W17" s="38">
        <f>'Expenses 2'!D89/W42</f>
        <v>129.6296296</v>
      </c>
      <c r="X17" s="38">
        <f>'Expenses 2'!E89/X42</f>
        <v>74.07407407</v>
      </c>
      <c r="Y17" s="38">
        <f>'Expenses 2'!F89/Y42</f>
        <v>74.07407407</v>
      </c>
      <c r="Z17" s="38">
        <f>'Expenses 2'!G89/Z42</f>
        <v>111.1111111</v>
      </c>
      <c r="AA17" s="38">
        <f>'Expenses 2'!H89/AA42</f>
        <v>185.1851852</v>
      </c>
      <c r="AB17" s="38">
        <f>'Expenses 2'!I89/AB42</f>
        <v>444.4444444</v>
      </c>
      <c r="AC17" s="38">
        <f>'Expenses 2'!J89/AC42</f>
        <v>74.07407407</v>
      </c>
      <c r="AD17" s="38">
        <f>'Expenses 2'!K89/AD42</f>
        <v>625</v>
      </c>
      <c r="AE17" s="38">
        <f>'Expenses 2'!L89/AE42</f>
        <v>708.3333333</v>
      </c>
      <c r="AF17" s="38">
        <f>'Expenses 2'!M89/AF42</f>
        <v>708.3333333</v>
      </c>
      <c r="AG17" s="38">
        <f>'Expenses 2'!N89/AG42</f>
        <v>555.5555556</v>
      </c>
      <c r="AH17" s="38">
        <f>'Expenses 2'!O89/AH42</f>
        <v>370.3703704</v>
      </c>
      <c r="AI17" s="38">
        <f>'Expenses 2'!P89/AI42</f>
        <v>370.3703704</v>
      </c>
      <c r="AJ17" s="38">
        <f>'Expenses 2'!Q89/AJ42</f>
        <v>370.3703704</v>
      </c>
      <c r="AK17" s="38">
        <f>'Expenses 2'!R89/AK42</f>
        <v>555.5555556</v>
      </c>
      <c r="AL17" s="38">
        <f>'Expenses 2'!S89/AL42</f>
        <v>740.7407407</v>
      </c>
      <c r="AM17" s="38">
        <f>'Expenses 2'!T89/AM42</f>
        <v>1111.111111</v>
      </c>
      <c r="AN17" s="38">
        <f>'Expenses 2'!U89/AN42</f>
        <v>266.6666667</v>
      </c>
      <c r="AO17" s="38">
        <f>'Expenses 2'!V89/AO42</f>
        <v>266.6666667</v>
      </c>
      <c r="AP17" s="38">
        <f>'Expenses 2'!W89/AP42</f>
        <v>370.3703704</v>
      </c>
      <c r="AQ17" s="38">
        <f>'Expenses 2'!X89/AQ42</f>
        <v>370.3703704</v>
      </c>
      <c r="AR17" s="38">
        <f>'Expenses 2'!Y89/AR42</f>
        <v>370.3703704</v>
      </c>
      <c r="AS17" s="38">
        <f>'Expenses 2'!Z89/AS42</f>
        <v>370.3703704</v>
      </c>
      <c r="AT17" s="38">
        <f>'Expenses 2'!AA89/AT42</f>
        <v>370.3703704</v>
      </c>
      <c r="AU17" s="38">
        <f>'Expenses 2'!AB89/AU42</f>
        <v>185.1851852</v>
      </c>
      <c r="AV17" s="38">
        <f>'Expenses 2'!AC89/AV42</f>
        <v>185.1851852</v>
      </c>
      <c r="AW17" s="38">
        <f>'Expenses 2'!AD89/AW42</f>
        <v>296.2962963</v>
      </c>
      <c r="AX17" s="38">
        <f>'Expenses 2'!AE89/AX42</f>
        <v>555.5555556</v>
      </c>
      <c r="AY17" s="38">
        <f>'Expenses 2'!AF89/AY42</f>
        <v>555.5555556</v>
      </c>
      <c r="AZ17" s="38">
        <f>'Expenses 2'!AG89/AZ42</f>
        <v>285.7142857</v>
      </c>
      <c r="BA17" s="38">
        <f>'Expenses 2'!AH28/BA42</f>
        <v>285.7142857</v>
      </c>
      <c r="BB17" s="38">
        <f>'Expenses 2'!AI28/BB42</f>
        <v>250</v>
      </c>
      <c r="BC17" s="38">
        <f>'Expenses 2'!AJ28/BC42</f>
        <v>125</v>
      </c>
      <c r="BD17" s="38">
        <f>'Expenses 2'!AK28/BD42</f>
        <v>125</v>
      </c>
      <c r="BE17" s="38">
        <f>'Expenses 2'!AL28/BE42</f>
        <v>125</v>
      </c>
      <c r="BF17" s="38">
        <f>'Expenses 2'!AM28/BF42</f>
        <v>175</v>
      </c>
      <c r="BG17" s="38">
        <f>'Expenses 2'!AN28/BG42</f>
        <v>175</v>
      </c>
      <c r="BH17" s="38">
        <f>'Expenses 2'!AO28/BH42</f>
        <v>200</v>
      </c>
      <c r="BI17" s="38">
        <f>'Expenses 2'!AP28/BI42</f>
        <v>200</v>
      </c>
      <c r="BJ17" s="38">
        <f>'Expenses 2'!AQ28/BJ42</f>
        <v>200</v>
      </c>
      <c r="BK17" s="38">
        <f>'Expenses 2'!AR28/BK42</f>
        <v>200</v>
      </c>
      <c r="BL17" s="38">
        <f>'Expenses 2'!AS28/BL42</f>
        <v>175</v>
      </c>
      <c r="BM17" s="38">
        <f>'Expenses 2'!AT28/BM42</f>
        <v>125</v>
      </c>
      <c r="BN17" s="38">
        <f>'Expenses 2'!AU28/BN42</f>
        <v>200</v>
      </c>
      <c r="BO17" s="38">
        <f>'Expenses 2'!AV28/BO42</f>
        <v>300</v>
      </c>
      <c r="BP17" s="38">
        <f>'Expenses 2'!AW28/BP42</f>
        <v>500</v>
      </c>
      <c r="BQ17" s="38">
        <f>'Expenses 2'!AX28/BQ42</f>
        <v>500</v>
      </c>
      <c r="BR17" s="38">
        <f>'Expenses 2'!AY28/BR42</f>
        <v>555.5555556</v>
      </c>
      <c r="BS17" s="38">
        <f>'Expenses 2'!AZ28/BS42</f>
        <v>555.5555556</v>
      </c>
      <c r="BT17" s="38">
        <f>'Expenses 2'!BA28/BT42</f>
        <v>625</v>
      </c>
      <c r="BU17" s="38">
        <f>'Expenses 2'!BB28/BU42</f>
        <v>714.2857143</v>
      </c>
      <c r="BV17" s="38">
        <f>'Expenses 2'!BC28/BV42</f>
        <v>428.5714286</v>
      </c>
      <c r="BW17" s="38">
        <f>'Expenses 2'!BD28/BW42</f>
        <v>428.5714286</v>
      </c>
      <c r="BX17" s="38">
        <f>'Expenses 2'!BE28/BX42</f>
        <v>375</v>
      </c>
      <c r="BY17" s="38">
        <f>'Expenses 2'!BF28/BY42</f>
        <v>375</v>
      </c>
      <c r="BZ17" s="38">
        <f>'Expenses 2'!BG28/BZ42</f>
        <v>714.2857143</v>
      </c>
      <c r="CA17" s="38">
        <f>'Expenses 2'!BH28/CA42</f>
        <v>285.7142857</v>
      </c>
      <c r="CB17" s="38">
        <f>'Expenses 2'!BI28/CB42</f>
        <v>285.7142857</v>
      </c>
      <c r="CC17" s="38">
        <f>'Expenses 2'!BJ28/CC42</f>
        <v>285.7142857</v>
      </c>
      <c r="CD17" s="38">
        <f>'Expenses 2'!BK28/CD42</f>
        <v>285.7142857</v>
      </c>
      <c r="CE17" s="38">
        <f>'Expenses 2'!BL28/CE42</f>
        <v>285.7142857</v>
      </c>
      <c r="CF17" s="38">
        <f>'Expenses 2'!BM28/CF42</f>
        <v>285.7142857</v>
      </c>
      <c r="CG17" s="38">
        <f>'Expenses 2'!BN28/CG42</f>
        <v>285.7142857</v>
      </c>
      <c r="CH17" s="38">
        <f>'Expenses 2'!BO28/CH42</f>
        <v>285.7142857</v>
      </c>
      <c r="CI17" s="38">
        <f>'Expenses 2'!BP28/CI42</f>
        <v>428.5714286</v>
      </c>
      <c r="CJ17" s="38">
        <f>'Expenses 2'!BQ28/CJ42</f>
        <v>428.5714286</v>
      </c>
      <c r="CK17" s="38">
        <f>'Expenses 2'!BR28/CK42</f>
        <v>428.5714286</v>
      </c>
      <c r="CL17" s="38">
        <f>'Expenses 2'!BS28/CL42</f>
        <v>428.5714286</v>
      </c>
      <c r="CM17" s="38">
        <f>'Expenses 2'!BT28/CM42</f>
        <v>428.5714286</v>
      </c>
      <c r="CN17" s="38">
        <f>'Expenses 2'!BU28/CN42</f>
        <v>571.4285714</v>
      </c>
      <c r="CO17" s="38">
        <f>'Expenses 2'!BV28/CO42</f>
        <v>714.2857143</v>
      </c>
      <c r="CP17" s="38">
        <f>'Expenses 2'!BW28/CP42</f>
        <v>714.2857143</v>
      </c>
      <c r="CQ17" s="38">
        <f>'Expenses 2'!BX28/CQ42</f>
        <v>714.2857143</v>
      </c>
      <c r="CR17" s="38">
        <f>'Expenses 2'!BY28/CR42</f>
        <v>857.1428571</v>
      </c>
      <c r="CS17" s="38">
        <f>'Expenses 2'!BZ28/CS42</f>
        <v>857.1428571</v>
      </c>
      <c r="CT17" s="38">
        <f>'Expenses 2'!CA28/CT42</f>
        <v>857.1428571</v>
      </c>
      <c r="CU17" s="38">
        <f>'Expenses 2'!CB28/CU42</f>
        <v>857.1428571</v>
      </c>
      <c r="CV17" s="38">
        <f>'Expenses 2'!CC28/CV42</f>
        <v>857.1428571</v>
      </c>
      <c r="CW17" s="38">
        <f>'Expenses 2'!CD28/CW42</f>
        <v>857.1428571</v>
      </c>
      <c r="CX17" s="38">
        <f>'Expenses 2'!CE28/CX42</f>
        <v>875</v>
      </c>
      <c r="CY17" s="38">
        <f>'Expenses 2'!CF28/CY42</f>
        <v>875</v>
      </c>
      <c r="CZ17" s="38">
        <f>'Expenses 2'!CG28/CZ42</f>
        <v>1000</v>
      </c>
      <c r="DA17" s="38">
        <f>'Expenses 2'!CH28/DA42</f>
        <v>1000</v>
      </c>
      <c r="DB17" s="38">
        <f>'Expenses 2'!CI28/DB42</f>
        <v>1000</v>
      </c>
      <c r="DC17" s="38">
        <f>'Expenses 2'!CJ28/DC42</f>
        <v>1125</v>
      </c>
      <c r="DD17" s="38">
        <f>'Expenses 2'!CK28/DD42</f>
        <v>1125</v>
      </c>
      <c r="DE17" s="38">
        <f>'Expenses 2'!CL28/DE42</f>
        <v>1250</v>
      </c>
      <c r="DF17" s="38">
        <f>'Expenses 2'!CM28/DF42</f>
        <v>1250</v>
      </c>
      <c r="DG17" s="38">
        <f>'Expenses 2'!CN28/DG42</f>
        <v>1250</v>
      </c>
      <c r="DH17" s="38">
        <f>'Expenses 2'!CO28/DH42</f>
        <v>1250</v>
      </c>
      <c r="DI17" s="38">
        <f>'Expenses 2'!CP28/DI42</f>
        <v>1250</v>
      </c>
    </row>
    <row r="18" ht="12.75" customHeight="1">
      <c r="A18" s="30" t="s">
        <v>44</v>
      </c>
      <c r="B18" s="47"/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4"/>
      <c r="V18" s="44">
        <f t="shared" ref="V18:DI18" si="2">+V530</f>
        <v>452.0949074</v>
      </c>
      <c r="W18" s="44">
        <f t="shared" si="2"/>
        <v>5475.371656</v>
      </c>
      <c r="X18" s="44">
        <f t="shared" si="2"/>
        <v>8345.815513</v>
      </c>
      <c r="Y18" s="44">
        <f t="shared" si="2"/>
        <v>10814.73159</v>
      </c>
      <c r="Z18" s="44">
        <f t="shared" si="2"/>
        <v>10658.97762</v>
      </c>
      <c r="AA18" s="44">
        <f t="shared" si="2"/>
        <v>15285.70455</v>
      </c>
      <c r="AB18" s="44">
        <f t="shared" si="2"/>
        <v>29958.98497</v>
      </c>
      <c r="AC18" s="44">
        <f t="shared" si="2"/>
        <v>29005.35475</v>
      </c>
      <c r="AD18" s="44">
        <f t="shared" si="2"/>
        <v>46851.268</v>
      </c>
      <c r="AE18" s="44">
        <f t="shared" si="2"/>
        <v>59003.59109</v>
      </c>
      <c r="AF18" s="44">
        <f t="shared" si="2"/>
        <v>83902.82775</v>
      </c>
      <c r="AG18" s="44">
        <f t="shared" si="2"/>
        <v>83920.74001</v>
      </c>
      <c r="AH18" s="44">
        <f t="shared" si="2"/>
        <v>73894.48707</v>
      </c>
      <c r="AI18" s="44">
        <f t="shared" si="2"/>
        <v>63868.23413</v>
      </c>
      <c r="AJ18" s="44">
        <f t="shared" si="2"/>
        <v>59100.08304</v>
      </c>
      <c r="AK18" s="44">
        <f t="shared" si="2"/>
        <v>67881.49838</v>
      </c>
      <c r="AL18" s="44">
        <f t="shared" si="2"/>
        <v>83839.02337</v>
      </c>
      <c r="AM18" s="44">
        <f t="shared" si="2"/>
        <v>114148.7676</v>
      </c>
      <c r="AN18" s="44">
        <f t="shared" si="2"/>
        <v>105330.9877</v>
      </c>
      <c r="AO18" s="44">
        <f t="shared" si="2"/>
        <v>89826.23172</v>
      </c>
      <c r="AP18" s="44">
        <f t="shared" si="2"/>
        <v>65740.83783</v>
      </c>
      <c r="AQ18" s="44">
        <f t="shared" si="2"/>
        <v>70718.40691</v>
      </c>
      <c r="AR18" s="44">
        <f t="shared" si="2"/>
        <v>75597.53977</v>
      </c>
      <c r="AS18" s="44">
        <f t="shared" si="2"/>
        <v>76710.6644</v>
      </c>
      <c r="AT18" s="44">
        <f t="shared" si="2"/>
        <v>77134.73554</v>
      </c>
      <c r="AU18" s="44">
        <f t="shared" si="2"/>
        <v>71367.05917</v>
      </c>
      <c r="AV18" s="44">
        <f t="shared" si="2"/>
        <v>64135.14412</v>
      </c>
      <c r="AW18" s="44">
        <f t="shared" si="2"/>
        <v>60987.41337</v>
      </c>
      <c r="AX18" s="44">
        <f t="shared" si="2"/>
        <v>74259.69292</v>
      </c>
      <c r="AY18" s="44">
        <f t="shared" si="2"/>
        <v>87938.02184</v>
      </c>
      <c r="AZ18" s="44">
        <f t="shared" si="2"/>
        <v>87813.20891</v>
      </c>
      <c r="BA18" s="44">
        <f t="shared" si="2"/>
        <v>78617.61126</v>
      </c>
      <c r="BB18" s="44">
        <f t="shared" si="2"/>
        <v>68107.72553</v>
      </c>
      <c r="BC18" s="44">
        <f t="shared" si="2"/>
        <v>61548.82176</v>
      </c>
      <c r="BD18" s="44">
        <f t="shared" si="2"/>
        <v>54451.2863</v>
      </c>
      <c r="BE18" s="44">
        <f t="shared" si="2"/>
        <v>47505.65414</v>
      </c>
      <c r="BF18" s="44">
        <f t="shared" si="2"/>
        <v>48718.84627</v>
      </c>
      <c r="BG18" s="44">
        <f t="shared" si="2"/>
        <v>50396.54457</v>
      </c>
      <c r="BH18" s="44">
        <f t="shared" si="2"/>
        <v>52076.44334</v>
      </c>
      <c r="BI18" s="44">
        <f t="shared" si="2"/>
        <v>51930.99489</v>
      </c>
      <c r="BJ18" s="44">
        <f t="shared" si="2"/>
        <v>51785.54644</v>
      </c>
      <c r="BK18" s="44">
        <f t="shared" si="2"/>
        <v>50971.29012</v>
      </c>
      <c r="BL18" s="44">
        <f t="shared" si="2"/>
        <v>49415.58431</v>
      </c>
      <c r="BM18" s="44">
        <f t="shared" si="2"/>
        <v>46364.68466</v>
      </c>
      <c r="BN18" s="44">
        <f t="shared" si="2"/>
        <v>46243.57501</v>
      </c>
      <c r="BO18" s="44">
        <f t="shared" si="2"/>
        <v>50330.41952</v>
      </c>
      <c r="BP18" s="44">
        <f t="shared" si="2"/>
        <v>62951.34544</v>
      </c>
      <c r="BQ18" s="44">
        <f t="shared" si="2"/>
        <v>72495.22772</v>
      </c>
      <c r="BR18" s="44">
        <f t="shared" si="2"/>
        <v>82417.02225</v>
      </c>
      <c r="BS18" s="44">
        <f t="shared" si="2"/>
        <v>85611.92084</v>
      </c>
      <c r="BT18" s="44">
        <f t="shared" si="2"/>
        <v>91230.01883</v>
      </c>
      <c r="BU18" s="44">
        <f t="shared" si="2"/>
        <v>98693.01361</v>
      </c>
      <c r="BV18" s="44">
        <f t="shared" si="2"/>
        <v>95084.29636</v>
      </c>
      <c r="BW18" s="44">
        <f t="shared" si="2"/>
        <v>89150.06324</v>
      </c>
      <c r="BX18" s="44">
        <f t="shared" si="2"/>
        <v>78012.29726</v>
      </c>
      <c r="BY18" s="44">
        <f t="shared" si="2"/>
        <v>76940.11769</v>
      </c>
      <c r="BZ18" s="44">
        <f t="shared" si="2"/>
        <v>88949.15171</v>
      </c>
      <c r="CA18" s="44">
        <f t="shared" si="2"/>
        <v>85976.79715</v>
      </c>
      <c r="CB18" s="44">
        <f t="shared" si="2"/>
        <v>82601.06957</v>
      </c>
      <c r="CC18" s="44">
        <f t="shared" si="2"/>
        <v>67391.82127</v>
      </c>
      <c r="CD18" s="44">
        <f t="shared" si="2"/>
        <v>67694.12059</v>
      </c>
      <c r="CE18" s="44">
        <f t="shared" si="2"/>
        <v>68129.3088</v>
      </c>
      <c r="CF18" s="44">
        <f t="shared" si="2"/>
        <v>68366.15287</v>
      </c>
      <c r="CG18" s="44">
        <f t="shared" si="2"/>
        <v>68493.99</v>
      </c>
      <c r="CH18" s="44">
        <f t="shared" si="2"/>
        <v>68090.27157</v>
      </c>
      <c r="CI18" s="44">
        <f t="shared" si="2"/>
        <v>73222.40916</v>
      </c>
      <c r="CJ18" s="44">
        <f t="shared" si="2"/>
        <v>78144.18408</v>
      </c>
      <c r="CK18" s="44">
        <f t="shared" si="2"/>
        <v>83144.17771</v>
      </c>
      <c r="CL18" s="44">
        <f t="shared" si="2"/>
        <v>83011.58259</v>
      </c>
      <c r="CM18" s="44">
        <f t="shared" si="2"/>
        <v>82594.75468</v>
      </c>
      <c r="CN18" s="44">
        <f t="shared" si="2"/>
        <v>88363.64168</v>
      </c>
      <c r="CO18" s="44">
        <f t="shared" si="2"/>
        <v>99668.38468</v>
      </c>
      <c r="CP18" s="44">
        <f t="shared" si="2"/>
        <v>111260.8386</v>
      </c>
      <c r="CQ18" s="44">
        <f t="shared" si="2"/>
        <v>117999.3342</v>
      </c>
      <c r="CR18" s="44">
        <f t="shared" si="2"/>
        <v>124376.2957</v>
      </c>
      <c r="CS18" s="44">
        <f t="shared" si="2"/>
        <v>131819.6857</v>
      </c>
      <c r="CT18" s="44">
        <f t="shared" si="2"/>
        <v>139012.2424</v>
      </c>
      <c r="CU18" s="44">
        <f t="shared" si="2"/>
        <v>141288.1324</v>
      </c>
      <c r="CV18" s="44">
        <f t="shared" si="2"/>
        <v>143473.2275</v>
      </c>
      <c r="CW18" s="44">
        <f t="shared" si="2"/>
        <v>145658.3225</v>
      </c>
      <c r="CX18" s="44">
        <f t="shared" si="2"/>
        <v>148437.7451</v>
      </c>
      <c r="CY18" s="44">
        <f t="shared" si="2"/>
        <v>151105.1886</v>
      </c>
      <c r="CZ18" s="44">
        <f t="shared" si="2"/>
        <v>158974.8394</v>
      </c>
      <c r="DA18" s="44">
        <f t="shared" si="2"/>
        <v>165850.2243</v>
      </c>
      <c r="DB18" s="44">
        <f t="shared" si="2"/>
        <v>172803.3562</v>
      </c>
      <c r="DC18" s="44">
        <f t="shared" si="2"/>
        <v>180319.3979</v>
      </c>
      <c r="DD18" s="44">
        <f t="shared" si="2"/>
        <v>187378.2402</v>
      </c>
      <c r="DE18" s="44">
        <f t="shared" si="2"/>
        <v>199776.2183</v>
      </c>
      <c r="DF18" s="44">
        <f t="shared" si="2"/>
        <v>207407.9545</v>
      </c>
      <c r="DG18" s="44">
        <f t="shared" si="2"/>
        <v>214660.008</v>
      </c>
      <c r="DH18" s="44">
        <f t="shared" si="2"/>
        <v>217586.5127</v>
      </c>
      <c r="DI18" s="44">
        <f t="shared" si="2"/>
        <v>220513.0173</v>
      </c>
    </row>
    <row r="19" ht="12.75" customHeight="1">
      <c r="A19" s="49" t="s">
        <v>45</v>
      </c>
      <c r="B19" s="47"/>
      <c r="C19" s="47"/>
      <c r="D19" s="48"/>
      <c r="E19" s="4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>
        <f>SUM(T17*10)</f>
        <v>800</v>
      </c>
      <c r="U19" s="45"/>
      <c r="V19" s="45">
        <f t="shared" ref="V19:DI19" si="3">+V18*$B32</f>
        <v>129.1699735</v>
      </c>
      <c r="W19" s="45">
        <f t="shared" si="3"/>
        <v>1564.391902</v>
      </c>
      <c r="X19" s="45">
        <f t="shared" si="3"/>
        <v>2384.518718</v>
      </c>
      <c r="Y19" s="45">
        <f t="shared" si="3"/>
        <v>3089.923312</v>
      </c>
      <c r="Z19" s="45">
        <f t="shared" si="3"/>
        <v>3045.422178</v>
      </c>
      <c r="AA19" s="45">
        <f t="shared" si="3"/>
        <v>4367.344157</v>
      </c>
      <c r="AB19" s="45">
        <f t="shared" si="3"/>
        <v>8559.709992</v>
      </c>
      <c r="AC19" s="45">
        <f t="shared" si="3"/>
        <v>8287.244216</v>
      </c>
      <c r="AD19" s="45">
        <f t="shared" si="3"/>
        <v>13386.07657</v>
      </c>
      <c r="AE19" s="45">
        <f t="shared" si="3"/>
        <v>16858.16888</v>
      </c>
      <c r="AF19" s="45">
        <f t="shared" si="3"/>
        <v>23972.2365</v>
      </c>
      <c r="AG19" s="45">
        <f t="shared" si="3"/>
        <v>23977.35429</v>
      </c>
      <c r="AH19" s="45">
        <f t="shared" si="3"/>
        <v>21112.71059</v>
      </c>
      <c r="AI19" s="45">
        <f t="shared" si="3"/>
        <v>18248.06689</v>
      </c>
      <c r="AJ19" s="45">
        <f t="shared" si="3"/>
        <v>16885.73801</v>
      </c>
      <c r="AK19" s="45">
        <f t="shared" si="3"/>
        <v>19394.71382</v>
      </c>
      <c r="AL19" s="45">
        <f t="shared" si="3"/>
        <v>23954.00668</v>
      </c>
      <c r="AM19" s="45">
        <f t="shared" si="3"/>
        <v>32613.93361</v>
      </c>
      <c r="AN19" s="45">
        <f t="shared" si="3"/>
        <v>30094.56793</v>
      </c>
      <c r="AO19" s="45">
        <f t="shared" si="3"/>
        <v>25664.63763</v>
      </c>
      <c r="AP19" s="45">
        <f t="shared" si="3"/>
        <v>18783.09652</v>
      </c>
      <c r="AQ19" s="45">
        <f t="shared" si="3"/>
        <v>20205.25912</v>
      </c>
      <c r="AR19" s="45">
        <f t="shared" si="3"/>
        <v>21599.29708</v>
      </c>
      <c r="AS19" s="45">
        <f t="shared" si="3"/>
        <v>21917.33269</v>
      </c>
      <c r="AT19" s="45">
        <f t="shared" si="3"/>
        <v>22038.49587</v>
      </c>
      <c r="AU19" s="45">
        <f t="shared" si="3"/>
        <v>20390.58833</v>
      </c>
      <c r="AV19" s="45">
        <f t="shared" si="3"/>
        <v>18324.32689</v>
      </c>
      <c r="AW19" s="45">
        <f t="shared" si="3"/>
        <v>17424.97525</v>
      </c>
      <c r="AX19" s="45">
        <f t="shared" si="3"/>
        <v>21217.05512</v>
      </c>
      <c r="AY19" s="45">
        <f t="shared" si="3"/>
        <v>25125.1491</v>
      </c>
      <c r="AZ19" s="45">
        <f t="shared" si="3"/>
        <v>25089.48826</v>
      </c>
      <c r="BA19" s="45">
        <f t="shared" si="3"/>
        <v>22462.17464</v>
      </c>
      <c r="BB19" s="45">
        <f t="shared" si="3"/>
        <v>19459.35015</v>
      </c>
      <c r="BC19" s="45">
        <f t="shared" si="3"/>
        <v>17585.37765</v>
      </c>
      <c r="BD19" s="45">
        <f t="shared" si="3"/>
        <v>15557.51037</v>
      </c>
      <c r="BE19" s="45">
        <f t="shared" si="3"/>
        <v>13573.04404</v>
      </c>
      <c r="BF19" s="45">
        <f t="shared" si="3"/>
        <v>13919.67036</v>
      </c>
      <c r="BG19" s="45">
        <f t="shared" si="3"/>
        <v>14399.01273</v>
      </c>
      <c r="BH19" s="45">
        <f t="shared" si="3"/>
        <v>14878.98381</v>
      </c>
      <c r="BI19" s="45">
        <f t="shared" si="3"/>
        <v>14837.42711</v>
      </c>
      <c r="BJ19" s="45">
        <f t="shared" si="3"/>
        <v>14795.87041</v>
      </c>
      <c r="BK19" s="45">
        <f t="shared" si="3"/>
        <v>14563.22575</v>
      </c>
      <c r="BL19" s="45">
        <f t="shared" si="3"/>
        <v>14118.73837</v>
      </c>
      <c r="BM19" s="45">
        <f t="shared" si="3"/>
        <v>13247.05276</v>
      </c>
      <c r="BN19" s="45">
        <f t="shared" si="3"/>
        <v>13212.45</v>
      </c>
      <c r="BO19" s="45">
        <f t="shared" si="3"/>
        <v>14380.11986</v>
      </c>
      <c r="BP19" s="45">
        <f t="shared" si="3"/>
        <v>17986.0987</v>
      </c>
      <c r="BQ19" s="45">
        <f t="shared" si="3"/>
        <v>20712.92221</v>
      </c>
      <c r="BR19" s="45">
        <f t="shared" si="3"/>
        <v>23547.72064</v>
      </c>
      <c r="BS19" s="45">
        <f t="shared" si="3"/>
        <v>24460.54881</v>
      </c>
      <c r="BT19" s="45">
        <f t="shared" si="3"/>
        <v>26065.71967</v>
      </c>
      <c r="BU19" s="45">
        <f t="shared" si="3"/>
        <v>28198.00389</v>
      </c>
      <c r="BV19" s="45">
        <f t="shared" si="3"/>
        <v>27166.94182</v>
      </c>
      <c r="BW19" s="45">
        <f t="shared" si="3"/>
        <v>25471.44664</v>
      </c>
      <c r="BX19" s="45">
        <f t="shared" si="3"/>
        <v>22289.22779</v>
      </c>
      <c r="BY19" s="45">
        <f t="shared" si="3"/>
        <v>21982.89077</v>
      </c>
      <c r="BZ19" s="45">
        <f t="shared" si="3"/>
        <v>25414.04334</v>
      </c>
      <c r="CA19" s="45">
        <f t="shared" si="3"/>
        <v>24564.79918</v>
      </c>
      <c r="CB19" s="45">
        <f t="shared" si="3"/>
        <v>23600.30559</v>
      </c>
      <c r="CC19" s="45">
        <f t="shared" si="3"/>
        <v>19254.80608</v>
      </c>
      <c r="CD19" s="45">
        <f t="shared" si="3"/>
        <v>19341.17731</v>
      </c>
      <c r="CE19" s="45">
        <f t="shared" si="3"/>
        <v>19465.5168</v>
      </c>
      <c r="CF19" s="45">
        <f t="shared" si="3"/>
        <v>19533.18653</v>
      </c>
      <c r="CG19" s="45">
        <f t="shared" si="3"/>
        <v>19569.71143</v>
      </c>
      <c r="CH19" s="45">
        <f t="shared" si="3"/>
        <v>19454.36331</v>
      </c>
      <c r="CI19" s="45">
        <f t="shared" si="3"/>
        <v>20920.68833</v>
      </c>
      <c r="CJ19" s="45">
        <f t="shared" si="3"/>
        <v>22326.90974</v>
      </c>
      <c r="CK19" s="45">
        <f t="shared" si="3"/>
        <v>23755.47934</v>
      </c>
      <c r="CL19" s="45">
        <f t="shared" si="3"/>
        <v>23717.59503</v>
      </c>
      <c r="CM19" s="45">
        <f t="shared" si="3"/>
        <v>23598.50134</v>
      </c>
      <c r="CN19" s="45">
        <f t="shared" si="3"/>
        <v>25246.75476</v>
      </c>
      <c r="CO19" s="45">
        <f t="shared" si="3"/>
        <v>28476.68134</v>
      </c>
      <c r="CP19" s="45">
        <f t="shared" si="3"/>
        <v>31788.81104</v>
      </c>
      <c r="CQ19" s="45">
        <f t="shared" si="3"/>
        <v>33714.09549</v>
      </c>
      <c r="CR19" s="45">
        <f t="shared" si="3"/>
        <v>35536.08448</v>
      </c>
      <c r="CS19" s="45">
        <f t="shared" si="3"/>
        <v>37662.76734</v>
      </c>
      <c r="CT19" s="45">
        <f t="shared" si="3"/>
        <v>39717.78354</v>
      </c>
      <c r="CU19" s="45">
        <f t="shared" si="3"/>
        <v>40368.03783</v>
      </c>
      <c r="CV19" s="45">
        <f t="shared" si="3"/>
        <v>40992.3507</v>
      </c>
      <c r="CW19" s="45">
        <f t="shared" si="3"/>
        <v>41616.66358</v>
      </c>
      <c r="CX19" s="45">
        <f t="shared" si="3"/>
        <v>42410.78432</v>
      </c>
      <c r="CY19" s="45">
        <f t="shared" si="3"/>
        <v>43172.91102</v>
      </c>
      <c r="CZ19" s="45">
        <f t="shared" si="3"/>
        <v>45421.38268</v>
      </c>
      <c r="DA19" s="45">
        <f t="shared" si="3"/>
        <v>47385.77837</v>
      </c>
      <c r="DB19" s="45">
        <f t="shared" si="3"/>
        <v>49372.3875</v>
      </c>
      <c r="DC19" s="45">
        <f t="shared" si="3"/>
        <v>51519.82797</v>
      </c>
      <c r="DD19" s="45">
        <f t="shared" si="3"/>
        <v>53536.64005</v>
      </c>
      <c r="DE19" s="45">
        <f t="shared" si="3"/>
        <v>57078.91953</v>
      </c>
      <c r="DF19" s="45">
        <f t="shared" si="3"/>
        <v>59259.41556</v>
      </c>
      <c r="DG19" s="45">
        <f t="shared" si="3"/>
        <v>61331.43087</v>
      </c>
      <c r="DH19" s="45">
        <f t="shared" si="3"/>
        <v>62167.57505</v>
      </c>
      <c r="DI19" s="45">
        <f t="shared" si="3"/>
        <v>63003.71923</v>
      </c>
      <c r="DJ19" s="50">
        <f t="shared" ref="DJ19:DL19" si="4">DI19</f>
        <v>63003.71923</v>
      </c>
      <c r="DK19" s="50">
        <f t="shared" si="4"/>
        <v>63003.71923</v>
      </c>
      <c r="DL19" s="50">
        <f t="shared" si="4"/>
        <v>63003.71923</v>
      </c>
    </row>
    <row r="20" ht="12.75" customHeight="1">
      <c r="A20" s="49"/>
      <c r="B20" s="47"/>
      <c r="C20" s="47"/>
      <c r="D20" s="48"/>
      <c r="E20" s="4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45"/>
      <c r="V20" s="45"/>
      <c r="W20" s="45"/>
      <c r="X20" s="45"/>
      <c r="Y20" s="45"/>
      <c r="Z20" s="45"/>
      <c r="AA20" s="12"/>
      <c r="AB20" s="12"/>
      <c r="AC20" s="30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</row>
    <row r="21" ht="12.75" customHeight="1">
      <c r="A21" s="30" t="s">
        <v>46</v>
      </c>
      <c r="B21" s="30"/>
      <c r="C21" s="30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8"/>
      <c r="U21" s="38"/>
      <c r="V21" s="38">
        <f t="shared" ref="V21:DI21" si="5">+V19+V14</f>
        <v>129.1699735</v>
      </c>
      <c r="W21" s="38">
        <f t="shared" si="5"/>
        <v>1564.391902</v>
      </c>
      <c r="X21" s="38">
        <f t="shared" si="5"/>
        <v>2384.518718</v>
      </c>
      <c r="Y21" s="38">
        <f t="shared" si="5"/>
        <v>3089.923312</v>
      </c>
      <c r="Z21" s="38">
        <f t="shared" si="5"/>
        <v>3045.422178</v>
      </c>
      <c r="AA21" s="38">
        <f t="shared" si="5"/>
        <v>4367.344157</v>
      </c>
      <c r="AB21" s="38">
        <f t="shared" si="5"/>
        <v>8559.709992</v>
      </c>
      <c r="AC21" s="38">
        <f t="shared" si="5"/>
        <v>8287.244216</v>
      </c>
      <c r="AD21" s="38">
        <f t="shared" si="5"/>
        <v>13386.07657</v>
      </c>
      <c r="AE21" s="38">
        <f t="shared" si="5"/>
        <v>16858.16888</v>
      </c>
      <c r="AF21" s="38">
        <f t="shared" si="5"/>
        <v>23972.2365</v>
      </c>
      <c r="AG21" s="38">
        <f t="shared" si="5"/>
        <v>23977.35429</v>
      </c>
      <c r="AH21" s="38">
        <f t="shared" si="5"/>
        <v>21112.71059</v>
      </c>
      <c r="AI21" s="38">
        <f t="shared" si="5"/>
        <v>18248.06689</v>
      </c>
      <c r="AJ21" s="38">
        <f t="shared" si="5"/>
        <v>16885.73801</v>
      </c>
      <c r="AK21" s="38">
        <f t="shared" si="5"/>
        <v>19394.71382</v>
      </c>
      <c r="AL21" s="38">
        <f t="shared" si="5"/>
        <v>23954.00668</v>
      </c>
      <c r="AM21" s="38">
        <f t="shared" si="5"/>
        <v>32613.93361</v>
      </c>
      <c r="AN21" s="38">
        <f t="shared" si="5"/>
        <v>30094.56793</v>
      </c>
      <c r="AO21" s="38">
        <f t="shared" si="5"/>
        <v>25664.63763</v>
      </c>
      <c r="AP21" s="38">
        <f t="shared" si="5"/>
        <v>18783.09652</v>
      </c>
      <c r="AQ21" s="38">
        <f t="shared" si="5"/>
        <v>20205.25912</v>
      </c>
      <c r="AR21" s="38">
        <f t="shared" si="5"/>
        <v>21599.29708</v>
      </c>
      <c r="AS21" s="38">
        <f t="shared" si="5"/>
        <v>21917.33269</v>
      </c>
      <c r="AT21" s="38">
        <f t="shared" si="5"/>
        <v>22038.49587</v>
      </c>
      <c r="AU21" s="38">
        <f t="shared" si="5"/>
        <v>20390.58833</v>
      </c>
      <c r="AV21" s="38">
        <f t="shared" si="5"/>
        <v>18324.32689</v>
      </c>
      <c r="AW21" s="38">
        <f t="shared" si="5"/>
        <v>17424.97525</v>
      </c>
      <c r="AX21" s="38">
        <f t="shared" si="5"/>
        <v>21217.05512</v>
      </c>
      <c r="AY21" s="38">
        <f t="shared" si="5"/>
        <v>25125.1491</v>
      </c>
      <c r="AZ21" s="38">
        <f t="shared" si="5"/>
        <v>25089.48826</v>
      </c>
      <c r="BA21" s="38">
        <f t="shared" si="5"/>
        <v>22462.17464</v>
      </c>
      <c r="BB21" s="38">
        <f t="shared" si="5"/>
        <v>19459.35015</v>
      </c>
      <c r="BC21" s="38">
        <f t="shared" si="5"/>
        <v>17585.37765</v>
      </c>
      <c r="BD21" s="38">
        <f t="shared" si="5"/>
        <v>15557.51037</v>
      </c>
      <c r="BE21" s="38">
        <f t="shared" si="5"/>
        <v>13573.04404</v>
      </c>
      <c r="BF21" s="38">
        <f t="shared" si="5"/>
        <v>13919.67036</v>
      </c>
      <c r="BG21" s="38">
        <f t="shared" si="5"/>
        <v>14399.01273</v>
      </c>
      <c r="BH21" s="38">
        <f t="shared" si="5"/>
        <v>14878.98381</v>
      </c>
      <c r="BI21" s="38">
        <f t="shared" si="5"/>
        <v>14837.42711</v>
      </c>
      <c r="BJ21" s="38">
        <f t="shared" si="5"/>
        <v>14795.87041</v>
      </c>
      <c r="BK21" s="38">
        <f t="shared" si="5"/>
        <v>14563.22575</v>
      </c>
      <c r="BL21" s="38">
        <f t="shared" si="5"/>
        <v>14118.73837</v>
      </c>
      <c r="BM21" s="38">
        <f t="shared" si="5"/>
        <v>13247.05276</v>
      </c>
      <c r="BN21" s="38">
        <f t="shared" si="5"/>
        <v>13212.45</v>
      </c>
      <c r="BO21" s="38">
        <f t="shared" si="5"/>
        <v>14380.11986</v>
      </c>
      <c r="BP21" s="38">
        <f t="shared" si="5"/>
        <v>17986.0987</v>
      </c>
      <c r="BQ21" s="38">
        <f t="shared" si="5"/>
        <v>20712.92221</v>
      </c>
      <c r="BR21" s="38">
        <f t="shared" si="5"/>
        <v>23547.72064</v>
      </c>
      <c r="BS21" s="38">
        <f t="shared" si="5"/>
        <v>24460.54881</v>
      </c>
      <c r="BT21" s="38">
        <f t="shared" si="5"/>
        <v>26065.71967</v>
      </c>
      <c r="BU21" s="38">
        <f t="shared" si="5"/>
        <v>28198.00389</v>
      </c>
      <c r="BV21" s="38">
        <f t="shared" si="5"/>
        <v>27166.94182</v>
      </c>
      <c r="BW21" s="38">
        <f t="shared" si="5"/>
        <v>25471.44664</v>
      </c>
      <c r="BX21" s="38">
        <f t="shared" si="5"/>
        <v>22289.22779</v>
      </c>
      <c r="BY21" s="38">
        <f t="shared" si="5"/>
        <v>21982.89077</v>
      </c>
      <c r="BZ21" s="38">
        <f t="shared" si="5"/>
        <v>25414.04334</v>
      </c>
      <c r="CA21" s="38">
        <f t="shared" si="5"/>
        <v>24564.79918</v>
      </c>
      <c r="CB21" s="38">
        <f t="shared" si="5"/>
        <v>23600.30559</v>
      </c>
      <c r="CC21" s="38">
        <f t="shared" si="5"/>
        <v>19254.80608</v>
      </c>
      <c r="CD21" s="38">
        <f t="shared" si="5"/>
        <v>19341.17731</v>
      </c>
      <c r="CE21" s="38">
        <f t="shared" si="5"/>
        <v>19465.5168</v>
      </c>
      <c r="CF21" s="38">
        <f t="shared" si="5"/>
        <v>19533.18653</v>
      </c>
      <c r="CG21" s="38">
        <f t="shared" si="5"/>
        <v>19569.71143</v>
      </c>
      <c r="CH21" s="38">
        <f t="shared" si="5"/>
        <v>19454.36331</v>
      </c>
      <c r="CI21" s="38">
        <f t="shared" si="5"/>
        <v>20920.68833</v>
      </c>
      <c r="CJ21" s="38">
        <f t="shared" si="5"/>
        <v>22326.90974</v>
      </c>
      <c r="CK21" s="38">
        <f t="shared" si="5"/>
        <v>23755.47934</v>
      </c>
      <c r="CL21" s="38">
        <f t="shared" si="5"/>
        <v>23717.59503</v>
      </c>
      <c r="CM21" s="38">
        <f t="shared" si="5"/>
        <v>23598.50134</v>
      </c>
      <c r="CN21" s="38">
        <f t="shared" si="5"/>
        <v>25246.75476</v>
      </c>
      <c r="CO21" s="38">
        <f t="shared" si="5"/>
        <v>28476.68134</v>
      </c>
      <c r="CP21" s="38">
        <f t="shared" si="5"/>
        <v>31788.81104</v>
      </c>
      <c r="CQ21" s="38">
        <f t="shared" si="5"/>
        <v>33714.09549</v>
      </c>
      <c r="CR21" s="38">
        <f t="shared" si="5"/>
        <v>35536.08448</v>
      </c>
      <c r="CS21" s="38">
        <f t="shared" si="5"/>
        <v>37662.76734</v>
      </c>
      <c r="CT21" s="38">
        <f t="shared" si="5"/>
        <v>39717.78354</v>
      </c>
      <c r="CU21" s="38">
        <f t="shared" si="5"/>
        <v>40368.03783</v>
      </c>
      <c r="CV21" s="38">
        <f t="shared" si="5"/>
        <v>40992.3507</v>
      </c>
      <c r="CW21" s="38">
        <f t="shared" si="5"/>
        <v>41616.66358</v>
      </c>
      <c r="CX21" s="38">
        <f t="shared" si="5"/>
        <v>42410.78432</v>
      </c>
      <c r="CY21" s="38">
        <f t="shared" si="5"/>
        <v>43172.91102</v>
      </c>
      <c r="CZ21" s="38">
        <f t="shared" si="5"/>
        <v>45421.38268</v>
      </c>
      <c r="DA21" s="38">
        <f t="shared" si="5"/>
        <v>47385.77837</v>
      </c>
      <c r="DB21" s="38">
        <f t="shared" si="5"/>
        <v>49372.3875</v>
      </c>
      <c r="DC21" s="38">
        <f t="shared" si="5"/>
        <v>51519.82797</v>
      </c>
      <c r="DD21" s="38">
        <f t="shared" si="5"/>
        <v>53536.64005</v>
      </c>
      <c r="DE21" s="38">
        <f t="shared" si="5"/>
        <v>57078.91953</v>
      </c>
      <c r="DF21" s="38">
        <f t="shared" si="5"/>
        <v>59259.41556</v>
      </c>
      <c r="DG21" s="38">
        <f t="shared" si="5"/>
        <v>61331.43087</v>
      </c>
      <c r="DH21" s="38">
        <f t="shared" si="5"/>
        <v>62167.57505</v>
      </c>
      <c r="DI21" s="38">
        <f t="shared" si="5"/>
        <v>63003.71923</v>
      </c>
    </row>
    <row r="22" ht="12.75" customHeight="1">
      <c r="A22" s="30"/>
      <c r="B22" s="47"/>
      <c r="C22" s="47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30"/>
      <c r="O22" s="30"/>
      <c r="P22" s="30"/>
      <c r="Q22" s="30"/>
      <c r="R22" s="30"/>
      <c r="S22" s="30"/>
      <c r="T22" s="30"/>
      <c r="U22" s="12"/>
      <c r="V22" s="12"/>
      <c r="W22" s="12"/>
      <c r="X22" s="12"/>
      <c r="Y22" s="12"/>
      <c r="Z22" s="12"/>
      <c r="AA22" s="12"/>
      <c r="AB22" s="12"/>
      <c r="AC22" s="30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</row>
    <row r="23" ht="12.75" customHeight="1">
      <c r="A23" s="30" t="s">
        <v>47</v>
      </c>
      <c r="B23" s="47"/>
      <c r="C23" s="47"/>
      <c r="D23" s="48"/>
      <c r="E23" s="48"/>
      <c r="F23" s="48"/>
      <c r="G23" s="48"/>
      <c r="H23" s="48"/>
      <c r="I23" s="48" t="s">
        <v>48</v>
      </c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4"/>
      <c r="V23" s="44">
        <f t="shared" ref="V23:DI23" si="6">+V13+V18</f>
        <v>517.1798942</v>
      </c>
      <c r="W23" s="44">
        <f t="shared" si="6"/>
        <v>6258.067607</v>
      </c>
      <c r="X23" s="44">
        <f t="shared" si="6"/>
        <v>9538.574872</v>
      </c>
      <c r="Y23" s="44">
        <f t="shared" si="6"/>
        <v>12360.19325</v>
      </c>
      <c r="Z23" s="44">
        <f t="shared" si="6"/>
        <v>12182.18871</v>
      </c>
      <c r="AA23" s="44">
        <f t="shared" si="6"/>
        <v>17469.87663</v>
      </c>
      <c r="AB23" s="44">
        <f t="shared" si="6"/>
        <v>34239.33997</v>
      </c>
      <c r="AC23" s="44">
        <f t="shared" si="6"/>
        <v>33149.47686</v>
      </c>
      <c r="AD23" s="44">
        <f t="shared" si="6"/>
        <v>53544.80629</v>
      </c>
      <c r="AE23" s="44">
        <f t="shared" si="6"/>
        <v>67433.17553</v>
      </c>
      <c r="AF23" s="44">
        <f t="shared" si="6"/>
        <v>95889.446</v>
      </c>
      <c r="AG23" s="44">
        <f t="shared" si="6"/>
        <v>95909.91715</v>
      </c>
      <c r="AH23" s="44">
        <f t="shared" si="6"/>
        <v>84451.34236</v>
      </c>
      <c r="AI23" s="44">
        <f t="shared" si="6"/>
        <v>72992.76757</v>
      </c>
      <c r="AJ23" s="44">
        <f t="shared" si="6"/>
        <v>67543.45205</v>
      </c>
      <c r="AK23" s="44">
        <f t="shared" si="6"/>
        <v>77579.3553</v>
      </c>
      <c r="AL23" s="44">
        <f t="shared" si="6"/>
        <v>95816.52671</v>
      </c>
      <c r="AM23" s="44">
        <f t="shared" si="6"/>
        <v>130456.2344</v>
      </c>
      <c r="AN23" s="44">
        <f t="shared" si="6"/>
        <v>120378.7717</v>
      </c>
      <c r="AO23" s="44">
        <f t="shared" si="6"/>
        <v>102659.0505</v>
      </c>
      <c r="AP23" s="44">
        <f t="shared" si="6"/>
        <v>75132.88609</v>
      </c>
      <c r="AQ23" s="44">
        <f t="shared" si="6"/>
        <v>80821.53647</v>
      </c>
      <c r="AR23" s="44">
        <f t="shared" si="6"/>
        <v>86397.68831</v>
      </c>
      <c r="AS23" s="44">
        <f t="shared" si="6"/>
        <v>87669.83075</v>
      </c>
      <c r="AT23" s="44">
        <f t="shared" si="6"/>
        <v>88154.48347</v>
      </c>
      <c r="AU23" s="44">
        <f t="shared" si="6"/>
        <v>81562.85334</v>
      </c>
      <c r="AV23" s="44">
        <f t="shared" si="6"/>
        <v>73297.80757</v>
      </c>
      <c r="AW23" s="44">
        <f t="shared" si="6"/>
        <v>69700.401</v>
      </c>
      <c r="AX23" s="44">
        <f t="shared" si="6"/>
        <v>84868.72048</v>
      </c>
      <c r="AY23" s="44">
        <f t="shared" si="6"/>
        <v>100501.0964</v>
      </c>
      <c r="AZ23" s="44">
        <f t="shared" si="6"/>
        <v>100358.453</v>
      </c>
      <c r="BA23" s="44">
        <f t="shared" si="6"/>
        <v>89849.19858</v>
      </c>
      <c r="BB23" s="44">
        <f t="shared" si="6"/>
        <v>77837.9006</v>
      </c>
      <c r="BC23" s="44">
        <f t="shared" si="6"/>
        <v>70342.01058</v>
      </c>
      <c r="BD23" s="44">
        <f t="shared" si="6"/>
        <v>62230.54149</v>
      </c>
      <c r="BE23" s="44">
        <f t="shared" si="6"/>
        <v>54292.67616</v>
      </c>
      <c r="BF23" s="44">
        <f t="shared" si="6"/>
        <v>55679.18145</v>
      </c>
      <c r="BG23" s="44">
        <f t="shared" si="6"/>
        <v>57596.55094</v>
      </c>
      <c r="BH23" s="44">
        <f t="shared" si="6"/>
        <v>59516.43525</v>
      </c>
      <c r="BI23" s="44">
        <f t="shared" si="6"/>
        <v>59350.20845</v>
      </c>
      <c r="BJ23" s="44">
        <f t="shared" si="6"/>
        <v>59183.98165</v>
      </c>
      <c r="BK23" s="44">
        <f t="shared" si="6"/>
        <v>58253.403</v>
      </c>
      <c r="BL23" s="44">
        <f t="shared" si="6"/>
        <v>56475.4535</v>
      </c>
      <c r="BM23" s="44">
        <f t="shared" si="6"/>
        <v>52988.71103</v>
      </c>
      <c r="BN23" s="44">
        <f t="shared" si="6"/>
        <v>52850.30002</v>
      </c>
      <c r="BO23" s="44">
        <f t="shared" si="6"/>
        <v>57520.97945</v>
      </c>
      <c r="BP23" s="44">
        <f t="shared" si="6"/>
        <v>71944.89479</v>
      </c>
      <c r="BQ23" s="44">
        <f t="shared" si="6"/>
        <v>82852.18882</v>
      </c>
      <c r="BR23" s="44">
        <f t="shared" si="6"/>
        <v>94191.38257</v>
      </c>
      <c r="BS23" s="44">
        <f t="shared" si="6"/>
        <v>97842.69525</v>
      </c>
      <c r="BT23" s="44">
        <f t="shared" si="6"/>
        <v>104263.3787</v>
      </c>
      <c r="BU23" s="44">
        <f t="shared" si="6"/>
        <v>112792.5155</v>
      </c>
      <c r="BV23" s="44">
        <f t="shared" si="6"/>
        <v>108668.2673</v>
      </c>
      <c r="BW23" s="44">
        <f t="shared" si="6"/>
        <v>101886.2866</v>
      </c>
      <c r="BX23" s="44">
        <f t="shared" si="6"/>
        <v>89157.41115</v>
      </c>
      <c r="BY23" s="44">
        <f t="shared" si="6"/>
        <v>87932.06308</v>
      </c>
      <c r="BZ23" s="44">
        <f t="shared" si="6"/>
        <v>101656.6734</v>
      </c>
      <c r="CA23" s="44">
        <f t="shared" si="6"/>
        <v>98259.69674</v>
      </c>
      <c r="CB23" s="44">
        <f t="shared" si="6"/>
        <v>94401.72237</v>
      </c>
      <c r="CC23" s="44">
        <f t="shared" si="6"/>
        <v>77019.72431</v>
      </c>
      <c r="CD23" s="44">
        <f t="shared" si="6"/>
        <v>77365.20925</v>
      </c>
      <c r="CE23" s="44">
        <f t="shared" si="6"/>
        <v>77862.5672</v>
      </c>
      <c r="CF23" s="44">
        <f t="shared" si="6"/>
        <v>78133.24614</v>
      </c>
      <c r="CG23" s="44">
        <f t="shared" si="6"/>
        <v>78279.34572</v>
      </c>
      <c r="CH23" s="44">
        <f t="shared" si="6"/>
        <v>77817.95323</v>
      </c>
      <c r="CI23" s="44">
        <f t="shared" si="6"/>
        <v>83683.25332</v>
      </c>
      <c r="CJ23" s="44">
        <f t="shared" si="6"/>
        <v>89308.13895</v>
      </c>
      <c r="CK23" s="44">
        <f t="shared" si="6"/>
        <v>95022.41738</v>
      </c>
      <c r="CL23" s="44">
        <f t="shared" si="6"/>
        <v>94870.88011</v>
      </c>
      <c r="CM23" s="44">
        <f t="shared" si="6"/>
        <v>94394.50534</v>
      </c>
      <c r="CN23" s="44">
        <f t="shared" si="6"/>
        <v>100987.5191</v>
      </c>
      <c r="CO23" s="44">
        <f t="shared" si="6"/>
        <v>113907.2254</v>
      </c>
      <c r="CP23" s="44">
        <f t="shared" si="6"/>
        <v>127155.7441</v>
      </c>
      <c r="CQ23" s="44">
        <f t="shared" si="6"/>
        <v>134856.882</v>
      </c>
      <c r="CR23" s="44">
        <f t="shared" si="6"/>
        <v>142144.8379</v>
      </c>
      <c r="CS23" s="44">
        <f t="shared" si="6"/>
        <v>150651.5694</v>
      </c>
      <c r="CT23" s="44">
        <f t="shared" si="6"/>
        <v>158871.6342</v>
      </c>
      <c r="CU23" s="44">
        <f t="shared" si="6"/>
        <v>161472.6513</v>
      </c>
      <c r="CV23" s="44">
        <f t="shared" si="6"/>
        <v>163969.9028</v>
      </c>
      <c r="CW23" s="44">
        <f t="shared" si="6"/>
        <v>166467.1543</v>
      </c>
      <c r="CX23" s="44">
        <f t="shared" si="6"/>
        <v>169643.6373</v>
      </c>
      <c r="CY23" s="44">
        <f t="shared" si="6"/>
        <v>172692.1441</v>
      </c>
      <c r="CZ23" s="44">
        <f t="shared" si="6"/>
        <v>181686.0307</v>
      </c>
      <c r="DA23" s="44">
        <f t="shared" si="6"/>
        <v>189543.6135</v>
      </c>
      <c r="DB23" s="44">
        <f t="shared" si="6"/>
        <v>197490.05</v>
      </c>
      <c r="DC23" s="44">
        <f t="shared" si="6"/>
        <v>206079.8119</v>
      </c>
      <c r="DD23" s="44">
        <f t="shared" si="6"/>
        <v>214147.0602</v>
      </c>
      <c r="DE23" s="44">
        <f t="shared" si="6"/>
        <v>228316.1781</v>
      </c>
      <c r="DF23" s="44">
        <f t="shared" si="6"/>
        <v>237038.1622</v>
      </c>
      <c r="DG23" s="44">
        <f t="shared" si="6"/>
        <v>245326.2235</v>
      </c>
      <c r="DH23" s="44">
        <f t="shared" si="6"/>
        <v>248670.8002</v>
      </c>
      <c r="DI23" s="44">
        <f t="shared" si="6"/>
        <v>252015.3769</v>
      </c>
      <c r="DJ23" s="51">
        <f t="shared" ref="DJ23:DL23" si="7">DI23</f>
        <v>252015.3769</v>
      </c>
      <c r="DK23" s="51">
        <f t="shared" si="7"/>
        <v>252015.3769</v>
      </c>
      <c r="DL23" s="51">
        <f t="shared" si="7"/>
        <v>252015.3769</v>
      </c>
    </row>
    <row r="24" ht="12.75" customHeight="1">
      <c r="A24" s="30"/>
      <c r="B24" s="47"/>
      <c r="C24" s="47"/>
      <c r="D24" s="47" t="s">
        <v>49</v>
      </c>
      <c r="E24" s="47"/>
      <c r="F24" s="47"/>
      <c r="G24" s="47"/>
      <c r="H24" s="52">
        <f>+B31</f>
        <v>3.5</v>
      </c>
      <c r="I24" s="53">
        <v>0.5</v>
      </c>
      <c r="J24" s="31">
        <f t="shared" ref="J24:J25" si="8">+H24*I24</f>
        <v>1.75</v>
      </c>
      <c r="K24" s="47"/>
      <c r="L24" s="47"/>
      <c r="M24" s="47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2.75" customHeight="1">
      <c r="A25" s="30"/>
      <c r="B25" s="47"/>
      <c r="C25" s="47"/>
      <c r="D25" s="47" t="s">
        <v>50</v>
      </c>
      <c r="E25" s="47"/>
      <c r="F25" s="47"/>
      <c r="G25" s="47"/>
      <c r="H25" s="52">
        <v>4.5</v>
      </c>
      <c r="I25" s="53">
        <v>0.5</v>
      </c>
      <c r="J25" s="31">
        <f t="shared" si="8"/>
        <v>2.25</v>
      </c>
      <c r="K25" s="47"/>
      <c r="L25" s="47"/>
      <c r="M25" s="47"/>
      <c r="N25" s="30"/>
      <c r="O25" s="30"/>
      <c r="P25" s="30"/>
      <c r="Q25" s="30"/>
      <c r="R25" s="30"/>
      <c r="S25" s="30"/>
      <c r="T25" s="30"/>
      <c r="U25" s="31"/>
      <c r="V25" s="54"/>
      <c r="W25" s="54"/>
      <c r="X25" s="54"/>
      <c r="Y25" s="54"/>
      <c r="Z25" s="54"/>
      <c r="AA25" s="54"/>
      <c r="AB25" s="54"/>
      <c r="AC25" s="55"/>
    </row>
    <row r="26" ht="12.75" customHeight="1">
      <c r="A26" s="30"/>
      <c r="B26" s="30"/>
      <c r="C26" s="30"/>
      <c r="D26" s="30"/>
      <c r="E26" s="30"/>
      <c r="F26" s="30"/>
      <c r="G26" s="30"/>
      <c r="H26" s="30">
        <v>0.0</v>
      </c>
      <c r="I26" s="30"/>
      <c r="J26" s="31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56"/>
      <c r="Y26" s="57"/>
      <c r="Z26" s="30"/>
      <c r="AA26" s="30"/>
      <c r="AB26" s="30"/>
      <c r="AC26" s="30"/>
    </row>
    <row r="27" ht="28.5" customHeight="1">
      <c r="A27" s="58"/>
      <c r="B27" s="59"/>
      <c r="C27" s="59"/>
      <c r="D27" s="59"/>
      <c r="E27" s="59"/>
      <c r="F27" s="59"/>
      <c r="G27" s="59"/>
      <c r="H27" s="59"/>
      <c r="I27" s="59"/>
      <c r="J27" s="60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61"/>
      <c r="AD27" s="61"/>
      <c r="AE27" s="61"/>
      <c r="AF27" s="61"/>
      <c r="AG27" s="58"/>
      <c r="AH27" s="58"/>
      <c r="AI27" s="58"/>
      <c r="AJ27" s="58"/>
      <c r="AK27" s="58"/>
      <c r="AL27" s="58"/>
      <c r="AM27" s="58"/>
      <c r="AN27" s="58"/>
      <c r="AO27" s="58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</row>
    <row r="28" ht="12.75" customHeight="1">
      <c r="A28" s="30"/>
      <c r="B28" s="30"/>
      <c r="C28" s="30"/>
      <c r="D28" s="30" t="s">
        <v>51</v>
      </c>
      <c r="E28" s="30"/>
      <c r="F28" s="30"/>
      <c r="G28" s="30"/>
      <c r="H28" s="31"/>
      <c r="I28" s="30"/>
      <c r="J28" s="31">
        <f>+J24+J25</f>
        <v>4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63"/>
      <c r="AD28" s="64"/>
      <c r="AE28" s="64"/>
      <c r="AF28" s="64"/>
    </row>
    <row r="29" ht="12.75" customHeight="1">
      <c r="A29" s="30"/>
      <c r="B29" s="30"/>
      <c r="C29" s="30"/>
      <c r="D29" s="30" t="s">
        <v>52</v>
      </c>
      <c r="E29" s="30"/>
      <c r="F29" s="30"/>
      <c r="G29" s="30"/>
      <c r="H29" s="30"/>
      <c r="I29" s="30"/>
      <c r="J29" s="31">
        <f>+J28-B31</f>
        <v>0.5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2.75" customHeight="1">
      <c r="A30" s="39" t="s">
        <v>53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2.75" customHeight="1">
      <c r="A31" s="30" t="s">
        <v>54</v>
      </c>
      <c r="B31" s="52">
        <v>3.5</v>
      </c>
      <c r="C31" s="65">
        <v>3.7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66"/>
      <c r="W31" s="30"/>
      <c r="X31" s="30"/>
      <c r="Y31" s="30"/>
      <c r="Z31" s="30"/>
      <c r="AA31" s="30"/>
      <c r="AB31" s="30"/>
      <c r="AC31" s="30"/>
    </row>
    <row r="32" ht="12.75" customHeight="1">
      <c r="A32" s="30" t="s">
        <v>55</v>
      </c>
      <c r="B32" s="67">
        <f>1/B31</f>
        <v>0.2857142857</v>
      </c>
      <c r="C32" s="68"/>
      <c r="D32" s="68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W32" s="30"/>
      <c r="X32" s="30"/>
      <c r="Y32" s="30"/>
      <c r="Z32" s="30"/>
      <c r="AA32" s="30"/>
      <c r="AB32" s="30"/>
      <c r="AC32" s="30"/>
    </row>
    <row r="33" ht="12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2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2.75" customHeight="1">
      <c r="A35" s="30" t="s">
        <v>56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2.75" customHeight="1">
      <c r="A36" s="30" t="s">
        <v>57</v>
      </c>
      <c r="B36" s="69">
        <v>2.5</v>
      </c>
      <c r="C36" s="30"/>
      <c r="D36" s="30"/>
      <c r="E36" s="30"/>
      <c r="F36" s="30"/>
      <c r="G36" s="30"/>
      <c r="H36" s="30"/>
      <c r="I36" s="30"/>
      <c r="J36" s="30"/>
      <c r="K36" s="70"/>
      <c r="L36" s="70"/>
      <c r="M36" s="71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2.75" customHeight="1">
      <c r="A37" s="30" t="s">
        <v>58</v>
      </c>
      <c r="B37" s="72">
        <v>60.0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2.75" customHeight="1">
      <c r="A38" s="30" t="s">
        <v>59</v>
      </c>
      <c r="B38" s="44">
        <f>SUM(B36*B37)</f>
        <v>150</v>
      </c>
      <c r="C38" s="30"/>
      <c r="D38" s="30"/>
      <c r="E38" s="30"/>
      <c r="F38" s="30"/>
      <c r="G38" s="30"/>
      <c r="H38" s="30"/>
      <c r="I38" s="30"/>
      <c r="J38" s="30"/>
      <c r="K38" s="30"/>
      <c r="L38" s="73"/>
      <c r="M38" s="74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2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48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2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4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2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48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2.75" customHeight="1">
      <c r="A42" s="30" t="s">
        <v>60</v>
      </c>
      <c r="B42" s="75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7"/>
      <c r="N42" s="76"/>
      <c r="O42" s="76"/>
      <c r="P42" s="76"/>
      <c r="Q42" s="76"/>
      <c r="R42" s="76"/>
      <c r="S42" s="76"/>
      <c r="T42" s="76"/>
      <c r="U42" s="78">
        <v>30.0</v>
      </c>
      <c r="V42" s="79">
        <v>300.0</v>
      </c>
      <c r="W42" s="79">
        <v>27.0</v>
      </c>
      <c r="X42" s="79">
        <v>27.0</v>
      </c>
      <c r="Y42" s="79">
        <v>27.0</v>
      </c>
      <c r="Z42" s="79">
        <v>27.0</v>
      </c>
      <c r="AA42" s="79">
        <v>27.0</v>
      </c>
      <c r="AB42" s="79">
        <v>27.0</v>
      </c>
      <c r="AC42" s="79">
        <v>27.0</v>
      </c>
      <c r="AD42" s="79">
        <v>24.0</v>
      </c>
      <c r="AE42" s="79">
        <v>24.0</v>
      </c>
      <c r="AF42" s="79">
        <v>24.0</v>
      </c>
      <c r="AG42" s="79">
        <v>27.0</v>
      </c>
      <c r="AH42" s="79">
        <v>27.0</v>
      </c>
      <c r="AI42" s="79">
        <v>27.0</v>
      </c>
      <c r="AJ42" s="79">
        <v>27.0</v>
      </c>
      <c r="AK42" s="79">
        <v>27.0</v>
      </c>
      <c r="AL42" s="79">
        <v>27.0</v>
      </c>
      <c r="AM42" s="79">
        <v>27.0</v>
      </c>
      <c r="AN42" s="79">
        <v>30.0</v>
      </c>
      <c r="AO42" s="79">
        <v>30.0</v>
      </c>
      <c r="AP42" s="79">
        <v>27.0</v>
      </c>
      <c r="AQ42" s="79">
        <v>27.0</v>
      </c>
      <c r="AR42" s="79">
        <v>27.0</v>
      </c>
      <c r="AS42" s="79">
        <v>27.0</v>
      </c>
      <c r="AT42" s="79">
        <v>27.0</v>
      </c>
      <c r="AU42" s="79">
        <v>27.0</v>
      </c>
      <c r="AV42" s="79">
        <v>27.0</v>
      </c>
      <c r="AW42" s="79">
        <v>27.0</v>
      </c>
      <c r="AX42" s="79">
        <v>27.0</v>
      </c>
      <c r="AY42" s="79">
        <v>27.0</v>
      </c>
      <c r="AZ42" s="79">
        <v>35.0</v>
      </c>
      <c r="BA42" s="79">
        <v>35.0</v>
      </c>
      <c r="BB42" s="79">
        <v>40.0</v>
      </c>
      <c r="BC42" s="79">
        <v>40.0</v>
      </c>
      <c r="BD42" s="79">
        <v>40.0</v>
      </c>
      <c r="BE42" s="79">
        <v>40.0</v>
      </c>
      <c r="BF42" s="79">
        <v>40.0</v>
      </c>
      <c r="BG42" s="79">
        <v>40.0</v>
      </c>
      <c r="BH42" s="79">
        <v>35.0</v>
      </c>
      <c r="BI42" s="79">
        <v>35.0</v>
      </c>
      <c r="BJ42" s="79">
        <v>35.0</v>
      </c>
      <c r="BK42" s="79">
        <v>35.0</v>
      </c>
      <c r="BL42" s="79">
        <v>40.0</v>
      </c>
      <c r="BM42" s="79">
        <v>40.0</v>
      </c>
      <c r="BN42" s="79">
        <v>40.0</v>
      </c>
      <c r="BO42" s="79">
        <v>50.0</v>
      </c>
      <c r="BP42" s="79">
        <v>50.0</v>
      </c>
      <c r="BQ42" s="79">
        <v>50.0</v>
      </c>
      <c r="BR42" s="79">
        <v>45.0</v>
      </c>
      <c r="BS42" s="79">
        <v>45.0</v>
      </c>
      <c r="BT42" s="79">
        <v>40.0</v>
      </c>
      <c r="BU42" s="79">
        <v>35.0</v>
      </c>
      <c r="BV42" s="79">
        <v>35.0</v>
      </c>
      <c r="BW42" s="79">
        <v>35.0</v>
      </c>
      <c r="BX42" s="79">
        <v>40.0</v>
      </c>
      <c r="BY42" s="79">
        <v>40.0</v>
      </c>
      <c r="BZ42" s="79">
        <v>35.0</v>
      </c>
      <c r="CA42" s="79">
        <v>35.0</v>
      </c>
      <c r="CB42" s="79">
        <v>35.0</v>
      </c>
      <c r="CC42" s="79">
        <v>35.0</v>
      </c>
      <c r="CD42" s="79">
        <v>35.0</v>
      </c>
      <c r="CE42" s="79">
        <v>35.0</v>
      </c>
      <c r="CF42" s="79">
        <v>35.0</v>
      </c>
      <c r="CG42" s="79">
        <v>35.0</v>
      </c>
      <c r="CH42" s="79">
        <v>35.0</v>
      </c>
      <c r="CI42" s="79">
        <v>35.0</v>
      </c>
      <c r="CJ42" s="79">
        <v>35.0</v>
      </c>
      <c r="CK42" s="79">
        <v>35.0</v>
      </c>
      <c r="CL42" s="79">
        <v>35.0</v>
      </c>
      <c r="CM42" s="79">
        <v>35.0</v>
      </c>
      <c r="CN42" s="79">
        <v>35.0</v>
      </c>
      <c r="CO42" s="79">
        <v>35.0</v>
      </c>
      <c r="CP42" s="79">
        <v>35.0</v>
      </c>
      <c r="CQ42" s="79">
        <v>35.0</v>
      </c>
      <c r="CR42" s="79">
        <v>35.0</v>
      </c>
      <c r="CS42" s="79">
        <v>35.0</v>
      </c>
      <c r="CT42" s="79">
        <v>35.0</v>
      </c>
      <c r="CU42" s="79">
        <v>35.0</v>
      </c>
      <c r="CV42" s="79">
        <v>35.0</v>
      </c>
      <c r="CW42" s="79">
        <v>35.0</v>
      </c>
      <c r="CX42" s="79">
        <v>40.0</v>
      </c>
      <c r="CY42" s="79">
        <v>40.0</v>
      </c>
      <c r="CZ42" s="79">
        <v>40.0</v>
      </c>
      <c r="DA42" s="79">
        <v>40.0</v>
      </c>
      <c r="DB42" s="79">
        <v>40.0</v>
      </c>
      <c r="DC42" s="79">
        <v>40.0</v>
      </c>
      <c r="DD42" s="79">
        <v>40.0</v>
      </c>
      <c r="DE42" s="79">
        <v>40.0</v>
      </c>
      <c r="DF42" s="79">
        <v>40.0</v>
      </c>
      <c r="DG42" s="79">
        <v>40.0</v>
      </c>
      <c r="DH42" s="79">
        <v>40.0</v>
      </c>
      <c r="DI42" s="79">
        <v>40.0</v>
      </c>
    </row>
    <row r="43" ht="12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41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2.75" customHeight="1">
      <c r="A44" s="30" t="s">
        <v>61</v>
      </c>
      <c r="B44" s="80">
        <f>SUM(CAC!B10)</f>
        <v>20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81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2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2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2.75" customHeight="1">
      <c r="A47" s="30" t="s">
        <v>62</v>
      </c>
      <c r="B47" s="1">
        <f>SUM(D10:M10)</f>
        <v>0</v>
      </c>
    </row>
    <row r="48" ht="12.75" customHeight="1">
      <c r="A48" s="3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ht="12.75" customHeight="1">
      <c r="A49" s="30" t="s">
        <v>63</v>
      </c>
      <c r="B49" s="82">
        <v>0.1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ht="12.75" customHeight="1">
      <c r="A50" s="3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ht="12.75" customHeight="1">
      <c r="A51" s="3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ht="12.75" customHeight="1">
      <c r="A52" s="3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ht="12.75" customHeight="1">
      <c r="A53" s="30" t="s">
        <v>64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8">
        <f>'Expenses 2'!B89/U42</f>
        <v>50</v>
      </c>
      <c r="V53" s="38">
        <f>'Expenses 2'!C89/V42</f>
        <v>11.66666667</v>
      </c>
      <c r="W53" s="38">
        <f>'Expenses 2'!D89/W42</f>
        <v>129.6296296</v>
      </c>
      <c r="X53" s="38">
        <f>'Expenses 2'!E89/X42</f>
        <v>74.07407407</v>
      </c>
      <c r="Y53" s="38">
        <f>'Expenses 2'!F89/Y42</f>
        <v>74.07407407</v>
      </c>
      <c r="Z53" s="38">
        <f>'Expenses 2'!G89/Z42</f>
        <v>111.1111111</v>
      </c>
      <c r="AA53" s="38">
        <f>'Expenses 2'!H89/AA42</f>
        <v>185.1851852</v>
      </c>
      <c r="AB53" s="38">
        <f>'Expenses 2'!I89/AB42</f>
        <v>444.4444444</v>
      </c>
      <c r="AC53" s="38">
        <f>'Expenses 2'!J89/AC42</f>
        <v>74.07407407</v>
      </c>
      <c r="AD53" s="38">
        <f>'Expenses 2'!K89/AD42</f>
        <v>625</v>
      </c>
      <c r="AE53" s="38">
        <f>'Expenses 2'!L89/AE42</f>
        <v>708.3333333</v>
      </c>
      <c r="AF53" s="38">
        <f>'Expenses 2'!M89/AF42</f>
        <v>708.3333333</v>
      </c>
      <c r="AG53" s="38">
        <f>'Expenses 2'!N89/AG42</f>
        <v>555.5555556</v>
      </c>
      <c r="AH53" s="38">
        <f>'Expenses 2'!O89/AH42</f>
        <v>370.3703704</v>
      </c>
      <c r="AI53" s="38">
        <f>'Expenses 2'!P89/AI42</f>
        <v>370.3703704</v>
      </c>
      <c r="AJ53" s="38">
        <f>'Expenses 2'!Q89/AJ42</f>
        <v>370.3703704</v>
      </c>
      <c r="AK53" s="38">
        <f>'Expenses 2'!R89/AK42</f>
        <v>555.5555556</v>
      </c>
      <c r="AL53" s="38">
        <f>'Expenses 2'!S89/AL42</f>
        <v>740.7407407</v>
      </c>
      <c r="AM53" s="38">
        <f>'Expenses 2'!T89/AM42</f>
        <v>1111.111111</v>
      </c>
      <c r="AN53" s="38">
        <f>'Expenses 2'!U89/AN42</f>
        <v>266.6666667</v>
      </c>
      <c r="AO53" s="38">
        <f>'Expenses 2'!V89/AO42</f>
        <v>266.6666667</v>
      </c>
      <c r="AP53" s="38">
        <f>'Expenses 2'!W89/AP42</f>
        <v>370.3703704</v>
      </c>
      <c r="AQ53" s="38">
        <f>'Expenses 2'!X89/AQ42</f>
        <v>370.3703704</v>
      </c>
      <c r="AR53" s="38">
        <f>'Expenses 2'!Y89/AR42</f>
        <v>370.3703704</v>
      </c>
      <c r="AS53" s="38">
        <f>'Expenses 2'!Z89/AS42</f>
        <v>370.3703704</v>
      </c>
      <c r="AT53" s="38">
        <f>'Expenses 2'!AA89/AT42</f>
        <v>370.3703704</v>
      </c>
      <c r="AU53" s="38">
        <f>'Expenses 2'!AB89/AU42</f>
        <v>185.1851852</v>
      </c>
      <c r="AV53" s="38">
        <f>'Expenses 2'!AC89/AV42</f>
        <v>185.1851852</v>
      </c>
      <c r="AW53" s="38">
        <f>'Expenses 2'!AD89/AW42</f>
        <v>296.2962963</v>
      </c>
      <c r="AX53" s="38">
        <f>'Expenses 2'!AE89/AX42</f>
        <v>555.5555556</v>
      </c>
      <c r="AY53" s="38">
        <f>'Expenses 2'!AF89/AY42</f>
        <v>555.5555556</v>
      </c>
      <c r="AZ53" s="38">
        <f>'Expenses 2'!AG89/AZ42</f>
        <v>285.7142857</v>
      </c>
      <c r="BA53" s="38">
        <f>'Expenses 2'!AH28/BA42</f>
        <v>285.7142857</v>
      </c>
      <c r="BB53" s="38">
        <f>'Expenses 2'!AI28/BB42</f>
        <v>250</v>
      </c>
      <c r="BC53" s="38">
        <f>'Expenses 2'!AJ28/BC42</f>
        <v>125</v>
      </c>
      <c r="BD53" s="38">
        <f>'Expenses 2'!AK28/BD42</f>
        <v>125</v>
      </c>
      <c r="BE53" s="38">
        <f>'Expenses 2'!AL28/BE42</f>
        <v>125</v>
      </c>
      <c r="BF53" s="38">
        <f>'Expenses 2'!AM28/BF42</f>
        <v>175</v>
      </c>
      <c r="BG53" s="38">
        <f>'Expenses 2'!AN28/BG42</f>
        <v>175</v>
      </c>
      <c r="BH53" s="38">
        <f>'Expenses 2'!AO28/BH42</f>
        <v>200</v>
      </c>
      <c r="BI53" s="38">
        <f>'Expenses 2'!AP28/BI42</f>
        <v>200</v>
      </c>
      <c r="BJ53" s="38">
        <f>'Expenses 2'!AQ28/BJ42</f>
        <v>200</v>
      </c>
      <c r="BK53" s="38">
        <f>'Expenses 2'!AR28/BK42</f>
        <v>200</v>
      </c>
      <c r="BL53" s="38">
        <f>'Expenses 2'!AS28/BL42</f>
        <v>175</v>
      </c>
      <c r="BM53" s="38">
        <f>'Expenses 2'!AT28/BM42</f>
        <v>125</v>
      </c>
      <c r="BN53" s="38">
        <f>'Expenses 2'!AU28/BN42</f>
        <v>200</v>
      </c>
      <c r="BO53" s="38">
        <f>'Expenses 2'!AV28/BO42</f>
        <v>300</v>
      </c>
      <c r="BP53" s="38">
        <f>'Expenses 2'!AW28/BP42</f>
        <v>500</v>
      </c>
      <c r="BQ53" s="38">
        <f>'Expenses 2'!AX28/BQ42</f>
        <v>500</v>
      </c>
      <c r="BR53" s="38">
        <f>'Expenses 2'!AY28/BR42</f>
        <v>555.5555556</v>
      </c>
      <c r="BS53" s="38">
        <f>'Expenses 2'!AZ28/BS42</f>
        <v>555.5555556</v>
      </c>
      <c r="BT53" s="38">
        <f>'Expenses 2'!BA28/BT42</f>
        <v>625</v>
      </c>
      <c r="BU53" s="38">
        <f>'Expenses 2'!BB28/BU42</f>
        <v>714.2857143</v>
      </c>
      <c r="BV53" s="38">
        <f>'Expenses 2'!BC28/BV42</f>
        <v>428.5714286</v>
      </c>
      <c r="BW53" s="38">
        <f>'Expenses 2'!BD28/BW42</f>
        <v>428.5714286</v>
      </c>
      <c r="BX53" s="38">
        <f>'Expenses 2'!BE28/BX42</f>
        <v>375</v>
      </c>
      <c r="BY53" s="38">
        <f>'Expenses 2'!BF28/BY42</f>
        <v>375</v>
      </c>
      <c r="BZ53" s="38">
        <f>'Expenses 2'!BG28/BZ42</f>
        <v>714.2857143</v>
      </c>
      <c r="CA53" s="38">
        <f>'Expenses 2'!BH28/CA42</f>
        <v>285.7142857</v>
      </c>
      <c r="CB53" s="38">
        <f>'Expenses 2'!BI28/CB42</f>
        <v>285.7142857</v>
      </c>
      <c r="CC53" s="38">
        <f>'Expenses 2'!BJ28/CC42</f>
        <v>285.7142857</v>
      </c>
      <c r="CD53" s="38">
        <f>'Expenses 2'!BK28/CD42</f>
        <v>285.7142857</v>
      </c>
      <c r="CE53" s="38">
        <f>'Expenses 2'!BL28/CE42</f>
        <v>285.7142857</v>
      </c>
      <c r="CF53" s="38">
        <f>'Expenses 2'!BM28/CF42</f>
        <v>285.7142857</v>
      </c>
      <c r="CG53" s="38">
        <f>'Expenses 2'!BN28/CG42</f>
        <v>285.7142857</v>
      </c>
      <c r="CH53" s="38">
        <f>'Expenses 2'!BO28/CH42</f>
        <v>285.7142857</v>
      </c>
      <c r="CI53" s="38">
        <f>'Expenses 2'!BP28/CI42</f>
        <v>428.5714286</v>
      </c>
      <c r="CJ53" s="38">
        <f>'Expenses 2'!BQ28/CJ42</f>
        <v>428.5714286</v>
      </c>
      <c r="CK53" s="38">
        <f>'Expenses 2'!BR28/CK42</f>
        <v>428.5714286</v>
      </c>
      <c r="CL53" s="38">
        <f>'Expenses 2'!BS28/CL42</f>
        <v>428.5714286</v>
      </c>
      <c r="CM53" s="38">
        <f>'Expenses 2'!BT28/CM42</f>
        <v>428.5714286</v>
      </c>
      <c r="CN53" s="38">
        <f>'Expenses 2'!BU28/CN42</f>
        <v>571.4285714</v>
      </c>
      <c r="CO53" s="38">
        <f>'Expenses 2'!BV28/CO42</f>
        <v>714.2857143</v>
      </c>
      <c r="CP53" s="38">
        <f>'Expenses 2'!BW28/CP42</f>
        <v>714.2857143</v>
      </c>
      <c r="CQ53" s="38">
        <f>'Expenses 2'!BX28/CQ42</f>
        <v>714.2857143</v>
      </c>
      <c r="CR53" s="38">
        <f>'Expenses 2'!BY28/CR42</f>
        <v>857.1428571</v>
      </c>
      <c r="CS53" s="38">
        <f>'Expenses 2'!BZ28/CS42</f>
        <v>857.1428571</v>
      </c>
      <c r="CT53" s="38">
        <f>'Expenses 2'!CA28/CT42</f>
        <v>857.1428571</v>
      </c>
      <c r="CU53" s="38">
        <f>'Expenses 2'!CB28/CU42</f>
        <v>857.1428571</v>
      </c>
      <c r="CV53" s="38">
        <f>'Expenses 2'!CC28/CV42</f>
        <v>857.1428571</v>
      </c>
      <c r="CW53" s="38">
        <f>'Expenses 2'!CD28/CW42</f>
        <v>857.1428571</v>
      </c>
      <c r="CX53" s="38">
        <f>'Expenses 2'!CE28/CX42</f>
        <v>875</v>
      </c>
      <c r="CY53" s="38">
        <f>'Expenses 2'!CF28/CY42</f>
        <v>875</v>
      </c>
      <c r="CZ53" s="38">
        <f>'Expenses 2'!CG28/CZ42</f>
        <v>1000</v>
      </c>
      <c r="DA53" s="38">
        <f>'Expenses 2'!CH28/DA42</f>
        <v>1000</v>
      </c>
      <c r="DB53" s="38">
        <f>'Expenses 2'!CI28/DB42</f>
        <v>1000</v>
      </c>
      <c r="DC53" s="38">
        <f>'Expenses 2'!CJ28/DC42</f>
        <v>1125</v>
      </c>
      <c r="DD53" s="38">
        <f>'Expenses 2'!CK28/DD42</f>
        <v>1125</v>
      </c>
      <c r="DE53" s="38">
        <f>'Expenses 2'!CL28/DE42</f>
        <v>1250</v>
      </c>
      <c r="DF53" s="38">
        <f>'Expenses 2'!CM28/DF42</f>
        <v>1250</v>
      </c>
      <c r="DG53" s="38">
        <f>'Expenses 2'!CN28/DG42</f>
        <v>1250</v>
      </c>
      <c r="DH53" s="38">
        <f>'Expenses 2'!CO28/DH42</f>
        <v>1250</v>
      </c>
      <c r="DI53" s="38">
        <f>'Expenses 2'!CP28/DI42</f>
        <v>1250</v>
      </c>
    </row>
    <row r="54" ht="12.75" customHeight="1">
      <c r="A54" s="30" t="s">
        <v>65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8">
        <f>U53</f>
        <v>50</v>
      </c>
      <c r="V54" s="83">
        <f t="shared" ref="V54:DI54" si="9">U54+V53</f>
        <v>61.66666667</v>
      </c>
      <c r="W54" s="83">
        <f t="shared" si="9"/>
        <v>191.2962963</v>
      </c>
      <c r="X54" s="83">
        <f t="shared" si="9"/>
        <v>265.3703704</v>
      </c>
      <c r="Y54" s="83">
        <f t="shared" si="9"/>
        <v>339.4444444</v>
      </c>
      <c r="Z54" s="83">
        <f t="shared" si="9"/>
        <v>450.5555556</v>
      </c>
      <c r="AA54" s="83">
        <f t="shared" si="9"/>
        <v>635.7407407</v>
      </c>
      <c r="AB54" s="83">
        <f t="shared" si="9"/>
        <v>1080.185185</v>
      </c>
      <c r="AC54" s="83">
        <f t="shared" si="9"/>
        <v>1154.259259</v>
      </c>
      <c r="AD54" s="83">
        <f t="shared" si="9"/>
        <v>1779.259259</v>
      </c>
      <c r="AE54" s="83">
        <f t="shared" si="9"/>
        <v>2487.592593</v>
      </c>
      <c r="AF54" s="83">
        <f t="shared" si="9"/>
        <v>3195.925926</v>
      </c>
      <c r="AG54" s="83">
        <f t="shared" si="9"/>
        <v>3751.481481</v>
      </c>
      <c r="AH54" s="83">
        <f t="shared" si="9"/>
        <v>4121.851852</v>
      </c>
      <c r="AI54" s="83">
        <f t="shared" si="9"/>
        <v>4492.222222</v>
      </c>
      <c r="AJ54" s="83">
        <f t="shared" si="9"/>
        <v>4862.592593</v>
      </c>
      <c r="AK54" s="83">
        <f t="shared" si="9"/>
        <v>5418.148148</v>
      </c>
      <c r="AL54" s="83">
        <f t="shared" si="9"/>
        <v>6158.888889</v>
      </c>
      <c r="AM54" s="83">
        <f t="shared" si="9"/>
        <v>7270</v>
      </c>
      <c r="AN54" s="83">
        <f t="shared" si="9"/>
        <v>7536.666667</v>
      </c>
      <c r="AO54" s="83">
        <f t="shared" si="9"/>
        <v>7803.333333</v>
      </c>
      <c r="AP54" s="83">
        <f t="shared" si="9"/>
        <v>8173.703704</v>
      </c>
      <c r="AQ54" s="83">
        <f t="shared" si="9"/>
        <v>8544.074074</v>
      </c>
      <c r="AR54" s="83">
        <f t="shared" si="9"/>
        <v>8914.444444</v>
      </c>
      <c r="AS54" s="83">
        <f t="shared" si="9"/>
        <v>9284.814815</v>
      </c>
      <c r="AT54" s="83">
        <f t="shared" si="9"/>
        <v>9655.185185</v>
      </c>
      <c r="AU54" s="83">
        <f t="shared" si="9"/>
        <v>9840.37037</v>
      </c>
      <c r="AV54" s="83">
        <f t="shared" si="9"/>
        <v>10025.55556</v>
      </c>
      <c r="AW54" s="83">
        <f t="shared" si="9"/>
        <v>10321.85185</v>
      </c>
      <c r="AX54" s="83">
        <f t="shared" si="9"/>
        <v>10877.40741</v>
      </c>
      <c r="AY54" s="83">
        <f t="shared" si="9"/>
        <v>11432.96296</v>
      </c>
      <c r="AZ54" s="83">
        <f t="shared" si="9"/>
        <v>11718.67725</v>
      </c>
      <c r="BA54" s="83">
        <f t="shared" si="9"/>
        <v>12004.39153</v>
      </c>
      <c r="BB54" s="83">
        <f t="shared" si="9"/>
        <v>12254.39153</v>
      </c>
      <c r="BC54" s="83">
        <f t="shared" si="9"/>
        <v>12379.39153</v>
      </c>
      <c r="BD54" s="83">
        <f t="shared" si="9"/>
        <v>12504.39153</v>
      </c>
      <c r="BE54" s="83">
        <f t="shared" si="9"/>
        <v>12629.39153</v>
      </c>
      <c r="BF54" s="83">
        <f t="shared" si="9"/>
        <v>12804.39153</v>
      </c>
      <c r="BG54" s="83">
        <f t="shared" si="9"/>
        <v>12979.39153</v>
      </c>
      <c r="BH54" s="83">
        <f t="shared" si="9"/>
        <v>13179.39153</v>
      </c>
      <c r="BI54" s="83">
        <f t="shared" si="9"/>
        <v>13379.39153</v>
      </c>
      <c r="BJ54" s="83">
        <f t="shared" si="9"/>
        <v>13579.39153</v>
      </c>
      <c r="BK54" s="83">
        <f t="shared" si="9"/>
        <v>13779.39153</v>
      </c>
      <c r="BL54" s="83">
        <f t="shared" si="9"/>
        <v>13954.39153</v>
      </c>
      <c r="BM54" s="83">
        <f t="shared" si="9"/>
        <v>14079.39153</v>
      </c>
      <c r="BN54" s="83">
        <f t="shared" si="9"/>
        <v>14279.39153</v>
      </c>
      <c r="BO54" s="83">
        <f t="shared" si="9"/>
        <v>14579.39153</v>
      </c>
      <c r="BP54" s="83">
        <f t="shared" si="9"/>
        <v>15079.39153</v>
      </c>
      <c r="BQ54" s="83">
        <f t="shared" si="9"/>
        <v>15579.39153</v>
      </c>
      <c r="BR54" s="83">
        <f t="shared" si="9"/>
        <v>16134.94709</v>
      </c>
      <c r="BS54" s="83">
        <f t="shared" si="9"/>
        <v>16690.50265</v>
      </c>
      <c r="BT54" s="83">
        <f t="shared" si="9"/>
        <v>17315.50265</v>
      </c>
      <c r="BU54" s="83">
        <f t="shared" si="9"/>
        <v>18029.78836</v>
      </c>
      <c r="BV54" s="83">
        <f t="shared" si="9"/>
        <v>18458.35979</v>
      </c>
      <c r="BW54" s="83">
        <f t="shared" si="9"/>
        <v>18886.93122</v>
      </c>
      <c r="BX54" s="83">
        <f t="shared" si="9"/>
        <v>19261.93122</v>
      </c>
      <c r="BY54" s="83">
        <f t="shared" si="9"/>
        <v>19636.93122</v>
      </c>
      <c r="BZ54" s="83">
        <f t="shared" si="9"/>
        <v>20351.21693</v>
      </c>
      <c r="CA54" s="83">
        <f t="shared" si="9"/>
        <v>20636.93122</v>
      </c>
      <c r="CB54" s="83">
        <f t="shared" si="9"/>
        <v>20922.6455</v>
      </c>
      <c r="CC54" s="83">
        <f t="shared" si="9"/>
        <v>21208.35979</v>
      </c>
      <c r="CD54" s="83">
        <f t="shared" si="9"/>
        <v>21494.07407</v>
      </c>
      <c r="CE54" s="83">
        <f t="shared" si="9"/>
        <v>21779.78836</v>
      </c>
      <c r="CF54" s="83">
        <f t="shared" si="9"/>
        <v>22065.50265</v>
      </c>
      <c r="CG54" s="83">
        <f t="shared" si="9"/>
        <v>22351.21693</v>
      </c>
      <c r="CH54" s="83">
        <f t="shared" si="9"/>
        <v>22636.93122</v>
      </c>
      <c r="CI54" s="83">
        <f t="shared" si="9"/>
        <v>23065.50265</v>
      </c>
      <c r="CJ54" s="83">
        <f t="shared" si="9"/>
        <v>23494.07407</v>
      </c>
      <c r="CK54" s="83">
        <f t="shared" si="9"/>
        <v>23922.6455</v>
      </c>
      <c r="CL54" s="83">
        <f t="shared" si="9"/>
        <v>24351.21693</v>
      </c>
      <c r="CM54" s="83">
        <f t="shared" si="9"/>
        <v>24779.78836</v>
      </c>
      <c r="CN54" s="83">
        <f t="shared" si="9"/>
        <v>25351.21693</v>
      </c>
      <c r="CO54" s="83">
        <f t="shared" si="9"/>
        <v>26065.50265</v>
      </c>
      <c r="CP54" s="83">
        <f t="shared" si="9"/>
        <v>26779.78836</v>
      </c>
      <c r="CQ54" s="83">
        <f t="shared" si="9"/>
        <v>27494.07407</v>
      </c>
      <c r="CR54" s="83">
        <f t="shared" si="9"/>
        <v>28351.21693</v>
      </c>
      <c r="CS54" s="83">
        <f t="shared" si="9"/>
        <v>29208.35979</v>
      </c>
      <c r="CT54" s="83">
        <f t="shared" si="9"/>
        <v>30065.50265</v>
      </c>
      <c r="CU54" s="83">
        <f t="shared" si="9"/>
        <v>30922.6455</v>
      </c>
      <c r="CV54" s="83">
        <f t="shared" si="9"/>
        <v>31779.78836</v>
      </c>
      <c r="CW54" s="83">
        <f t="shared" si="9"/>
        <v>32636.93122</v>
      </c>
      <c r="CX54" s="83">
        <f t="shared" si="9"/>
        <v>33511.93122</v>
      </c>
      <c r="CY54" s="83">
        <f t="shared" si="9"/>
        <v>34386.93122</v>
      </c>
      <c r="CZ54" s="83">
        <f t="shared" si="9"/>
        <v>35386.93122</v>
      </c>
      <c r="DA54" s="83">
        <f t="shared" si="9"/>
        <v>36386.93122</v>
      </c>
      <c r="DB54" s="83">
        <f t="shared" si="9"/>
        <v>37386.93122</v>
      </c>
      <c r="DC54" s="83">
        <f t="shared" si="9"/>
        <v>38511.93122</v>
      </c>
      <c r="DD54" s="83">
        <f t="shared" si="9"/>
        <v>39636.93122</v>
      </c>
      <c r="DE54" s="83">
        <f t="shared" si="9"/>
        <v>40886.93122</v>
      </c>
      <c r="DF54" s="83">
        <f t="shared" si="9"/>
        <v>42136.93122</v>
      </c>
      <c r="DG54" s="83">
        <f t="shared" si="9"/>
        <v>43386.93122</v>
      </c>
      <c r="DH54" s="83">
        <f t="shared" si="9"/>
        <v>44636.93122</v>
      </c>
      <c r="DI54" s="83">
        <f t="shared" si="9"/>
        <v>45886.93122</v>
      </c>
    </row>
    <row r="55" ht="12.75" customHeight="1">
      <c r="A55" s="3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8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</row>
    <row r="56" ht="25.5" customHeight="1">
      <c r="A56" s="30"/>
      <c r="B56" s="84" t="s">
        <v>66</v>
      </c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5" t="s">
        <v>67</v>
      </c>
      <c r="V56" s="84" t="s">
        <v>68</v>
      </c>
      <c r="W56" s="84" t="s">
        <v>69</v>
      </c>
      <c r="X56" s="84" t="s">
        <v>70</v>
      </c>
      <c r="Y56" s="1" t="s">
        <v>71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</row>
    <row r="57" ht="12.75" customHeight="1">
      <c r="A57" s="30" t="s">
        <v>72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 t="s">
        <v>73</v>
      </c>
      <c r="AD57" s="83">
        <f t="shared" ref="AD57:DI57" si="10">($U58*$X58+$U59*$X59+$U60*$X60+$U61*$X61)*AD53</f>
        <v>24219.37004</v>
      </c>
      <c r="AE57" s="83">
        <f t="shared" si="10"/>
        <v>27448.61938</v>
      </c>
      <c r="AF57" s="83">
        <f t="shared" si="10"/>
        <v>27448.61938</v>
      </c>
      <c r="AG57" s="83">
        <f t="shared" si="10"/>
        <v>21528.32892</v>
      </c>
      <c r="AH57" s="83">
        <f t="shared" si="10"/>
        <v>14352.21928</v>
      </c>
      <c r="AI57" s="83">
        <f t="shared" si="10"/>
        <v>14352.21928</v>
      </c>
      <c r="AJ57" s="83">
        <f t="shared" si="10"/>
        <v>14352.21928</v>
      </c>
      <c r="AK57" s="83">
        <f t="shared" si="10"/>
        <v>21528.32892</v>
      </c>
      <c r="AL57" s="83">
        <f t="shared" si="10"/>
        <v>28704.43857</v>
      </c>
      <c r="AM57" s="83">
        <f t="shared" si="10"/>
        <v>43056.65785</v>
      </c>
      <c r="AN57" s="83">
        <f t="shared" si="10"/>
        <v>10333.59788</v>
      </c>
      <c r="AO57" s="83">
        <f t="shared" si="10"/>
        <v>10333.59788</v>
      </c>
      <c r="AP57" s="83">
        <f t="shared" si="10"/>
        <v>14352.21928</v>
      </c>
      <c r="AQ57" s="83">
        <f t="shared" si="10"/>
        <v>14352.21928</v>
      </c>
      <c r="AR57" s="83">
        <f t="shared" si="10"/>
        <v>14352.21928</v>
      </c>
      <c r="AS57" s="83">
        <f t="shared" si="10"/>
        <v>14352.21928</v>
      </c>
      <c r="AT57" s="83">
        <f t="shared" si="10"/>
        <v>14352.21928</v>
      </c>
      <c r="AU57" s="83">
        <f t="shared" si="10"/>
        <v>7176.109641</v>
      </c>
      <c r="AV57" s="83">
        <f t="shared" si="10"/>
        <v>7176.109641</v>
      </c>
      <c r="AW57" s="83">
        <f t="shared" si="10"/>
        <v>11481.77543</v>
      </c>
      <c r="AX57" s="83">
        <f t="shared" si="10"/>
        <v>21528.32892</v>
      </c>
      <c r="AY57" s="83">
        <f t="shared" si="10"/>
        <v>21528.32892</v>
      </c>
      <c r="AZ57" s="83">
        <f t="shared" si="10"/>
        <v>11071.71202</v>
      </c>
      <c r="BA57" s="83">
        <f t="shared" si="10"/>
        <v>11071.71202</v>
      </c>
      <c r="BB57" s="83">
        <f t="shared" si="10"/>
        <v>9687.748016</v>
      </c>
      <c r="BC57" s="83">
        <f t="shared" si="10"/>
        <v>4843.874008</v>
      </c>
      <c r="BD57" s="83">
        <f t="shared" si="10"/>
        <v>4843.874008</v>
      </c>
      <c r="BE57" s="83">
        <f t="shared" si="10"/>
        <v>4843.874008</v>
      </c>
      <c r="BF57" s="83">
        <f t="shared" si="10"/>
        <v>6781.423611</v>
      </c>
      <c r="BG57" s="83">
        <f t="shared" si="10"/>
        <v>6781.423611</v>
      </c>
      <c r="BH57" s="83">
        <f t="shared" si="10"/>
        <v>7750.198413</v>
      </c>
      <c r="BI57" s="83">
        <f t="shared" si="10"/>
        <v>7750.198413</v>
      </c>
      <c r="BJ57" s="83">
        <f t="shared" si="10"/>
        <v>7750.198413</v>
      </c>
      <c r="BK57" s="83">
        <f t="shared" si="10"/>
        <v>7750.198413</v>
      </c>
      <c r="BL57" s="83">
        <f t="shared" si="10"/>
        <v>6781.423611</v>
      </c>
      <c r="BM57" s="83">
        <f t="shared" si="10"/>
        <v>4843.874008</v>
      </c>
      <c r="BN57" s="83">
        <f t="shared" si="10"/>
        <v>7750.198413</v>
      </c>
      <c r="BO57" s="83">
        <f t="shared" si="10"/>
        <v>11625.29762</v>
      </c>
      <c r="BP57" s="83">
        <f t="shared" si="10"/>
        <v>19375.49603</v>
      </c>
      <c r="BQ57" s="83">
        <f t="shared" si="10"/>
        <v>19375.49603</v>
      </c>
      <c r="BR57" s="83">
        <f t="shared" si="10"/>
        <v>21528.32892</v>
      </c>
      <c r="BS57" s="83">
        <f t="shared" si="10"/>
        <v>21528.32892</v>
      </c>
      <c r="BT57" s="83">
        <f t="shared" si="10"/>
        <v>24219.37004</v>
      </c>
      <c r="BU57" s="83">
        <f t="shared" si="10"/>
        <v>27679.28005</v>
      </c>
      <c r="BV57" s="83">
        <f t="shared" si="10"/>
        <v>16607.56803</v>
      </c>
      <c r="BW57" s="83">
        <f t="shared" si="10"/>
        <v>16607.56803</v>
      </c>
      <c r="BX57" s="83">
        <f t="shared" si="10"/>
        <v>14531.62202</v>
      </c>
      <c r="BY57" s="83">
        <f t="shared" si="10"/>
        <v>14531.62202</v>
      </c>
      <c r="BZ57" s="83">
        <f t="shared" si="10"/>
        <v>27679.28005</v>
      </c>
      <c r="CA57" s="83">
        <f t="shared" si="10"/>
        <v>11071.71202</v>
      </c>
      <c r="CB57" s="83">
        <f t="shared" si="10"/>
        <v>11071.71202</v>
      </c>
      <c r="CC57" s="83">
        <f t="shared" si="10"/>
        <v>11071.71202</v>
      </c>
      <c r="CD57" s="83">
        <f t="shared" si="10"/>
        <v>11071.71202</v>
      </c>
      <c r="CE57" s="83">
        <f t="shared" si="10"/>
        <v>11071.71202</v>
      </c>
      <c r="CF57" s="83">
        <f t="shared" si="10"/>
        <v>11071.71202</v>
      </c>
      <c r="CG57" s="83">
        <f t="shared" si="10"/>
        <v>11071.71202</v>
      </c>
      <c r="CH57" s="83">
        <f t="shared" si="10"/>
        <v>11071.71202</v>
      </c>
      <c r="CI57" s="83">
        <f t="shared" si="10"/>
        <v>16607.56803</v>
      </c>
      <c r="CJ57" s="83">
        <f t="shared" si="10"/>
        <v>16607.56803</v>
      </c>
      <c r="CK57" s="83">
        <f t="shared" si="10"/>
        <v>16607.56803</v>
      </c>
      <c r="CL57" s="83">
        <f t="shared" si="10"/>
        <v>16607.56803</v>
      </c>
      <c r="CM57" s="83">
        <f t="shared" si="10"/>
        <v>16607.56803</v>
      </c>
      <c r="CN57" s="83">
        <f t="shared" si="10"/>
        <v>22143.42404</v>
      </c>
      <c r="CO57" s="83">
        <f t="shared" si="10"/>
        <v>27679.28005</v>
      </c>
      <c r="CP57" s="83">
        <f t="shared" si="10"/>
        <v>27679.28005</v>
      </c>
      <c r="CQ57" s="83">
        <f t="shared" si="10"/>
        <v>27679.28005</v>
      </c>
      <c r="CR57" s="83">
        <f t="shared" si="10"/>
        <v>33215.13605</v>
      </c>
      <c r="CS57" s="83">
        <f t="shared" si="10"/>
        <v>33215.13605</v>
      </c>
      <c r="CT57" s="83">
        <f t="shared" si="10"/>
        <v>33215.13605</v>
      </c>
      <c r="CU57" s="83">
        <f t="shared" si="10"/>
        <v>33215.13605</v>
      </c>
      <c r="CV57" s="83">
        <f t="shared" si="10"/>
        <v>33215.13605</v>
      </c>
      <c r="CW57" s="83">
        <f t="shared" si="10"/>
        <v>33215.13605</v>
      </c>
      <c r="CX57" s="83">
        <f t="shared" si="10"/>
        <v>33907.11806</v>
      </c>
      <c r="CY57" s="83">
        <f t="shared" si="10"/>
        <v>33907.11806</v>
      </c>
      <c r="CZ57" s="83">
        <f t="shared" si="10"/>
        <v>38750.99206</v>
      </c>
      <c r="DA57" s="83">
        <f t="shared" si="10"/>
        <v>38750.99206</v>
      </c>
      <c r="DB57" s="83">
        <f t="shared" si="10"/>
        <v>38750.99206</v>
      </c>
      <c r="DC57" s="83">
        <f t="shared" si="10"/>
        <v>43594.86607</v>
      </c>
      <c r="DD57" s="83">
        <f t="shared" si="10"/>
        <v>43594.86607</v>
      </c>
      <c r="DE57" s="83">
        <f t="shared" si="10"/>
        <v>48438.74008</v>
      </c>
      <c r="DF57" s="83">
        <f t="shared" si="10"/>
        <v>48438.74008</v>
      </c>
      <c r="DG57" s="83">
        <f t="shared" si="10"/>
        <v>48438.74008</v>
      </c>
      <c r="DH57" s="83">
        <f t="shared" si="10"/>
        <v>48438.74008</v>
      </c>
      <c r="DI57" s="83">
        <f t="shared" si="10"/>
        <v>48438.74008</v>
      </c>
    </row>
    <row r="58" ht="12.75" customHeight="1">
      <c r="A58" s="30"/>
      <c r="B58" s="86">
        <v>3.5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5">
        <v>0.01</v>
      </c>
      <c r="V58" s="1">
        <f t="shared" ref="V58:V61" si="11">+B58*12</f>
        <v>42</v>
      </c>
      <c r="W58" s="87">
        <v>1774.0</v>
      </c>
      <c r="X58" s="65">
        <f t="shared" ref="X58:X61" si="12">+W58/V58</f>
        <v>42.23809524</v>
      </c>
      <c r="Y58" s="65">
        <f t="shared" ref="Y58:Y61" si="13">W58*U58</f>
        <v>17.74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ht="12.75" customHeight="1">
      <c r="A59" s="30"/>
      <c r="B59" s="86">
        <v>2.5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5">
        <v>0.035</v>
      </c>
      <c r="V59" s="1">
        <f t="shared" si="11"/>
        <v>30</v>
      </c>
      <c r="W59" s="87">
        <v>1075.0</v>
      </c>
      <c r="X59" s="65">
        <f t="shared" si="12"/>
        <v>35.83333333</v>
      </c>
      <c r="Y59" s="65">
        <f t="shared" si="13"/>
        <v>37.625</v>
      </c>
      <c r="Z59" s="1"/>
      <c r="AA59" s="1"/>
      <c r="AB59" s="1" t="s">
        <v>74</v>
      </c>
      <c r="AC59" s="1"/>
      <c r="AD59" s="88">
        <v>2000.0</v>
      </c>
      <c r="AE59" s="88">
        <v>2000.0</v>
      </c>
      <c r="AF59" s="88">
        <v>2000.0</v>
      </c>
      <c r="AG59" s="83">
        <f t="shared" ref="AG59:DI59" si="14">IF(AG57&lt;83333,AG57*0.1,100000/12)</f>
        <v>2152.832892</v>
      </c>
      <c r="AH59" s="83">
        <f t="shared" si="14"/>
        <v>1435.221928</v>
      </c>
      <c r="AI59" s="83">
        <f t="shared" si="14"/>
        <v>1435.221928</v>
      </c>
      <c r="AJ59" s="83">
        <f t="shared" si="14"/>
        <v>1435.221928</v>
      </c>
      <c r="AK59" s="83">
        <f t="shared" si="14"/>
        <v>2152.832892</v>
      </c>
      <c r="AL59" s="83">
        <f t="shared" si="14"/>
        <v>2870.443857</v>
      </c>
      <c r="AM59" s="83">
        <f t="shared" si="14"/>
        <v>4305.665785</v>
      </c>
      <c r="AN59" s="83">
        <f t="shared" si="14"/>
        <v>1033.359788</v>
      </c>
      <c r="AO59" s="83">
        <f t="shared" si="14"/>
        <v>1033.359788</v>
      </c>
      <c r="AP59" s="83">
        <f t="shared" si="14"/>
        <v>1435.221928</v>
      </c>
      <c r="AQ59" s="83">
        <f t="shared" si="14"/>
        <v>1435.221928</v>
      </c>
      <c r="AR59" s="83">
        <f t="shared" si="14"/>
        <v>1435.221928</v>
      </c>
      <c r="AS59" s="83">
        <f t="shared" si="14"/>
        <v>1435.221928</v>
      </c>
      <c r="AT59" s="83">
        <f t="shared" si="14"/>
        <v>1435.221928</v>
      </c>
      <c r="AU59" s="83">
        <f t="shared" si="14"/>
        <v>717.6109641</v>
      </c>
      <c r="AV59" s="83">
        <f t="shared" si="14"/>
        <v>717.6109641</v>
      </c>
      <c r="AW59" s="83">
        <f t="shared" si="14"/>
        <v>1148.177543</v>
      </c>
      <c r="AX59" s="83">
        <f t="shared" si="14"/>
        <v>2152.832892</v>
      </c>
      <c r="AY59" s="83">
        <f t="shared" si="14"/>
        <v>2152.832892</v>
      </c>
      <c r="AZ59" s="83">
        <f t="shared" si="14"/>
        <v>1107.171202</v>
      </c>
      <c r="BA59" s="83">
        <f t="shared" si="14"/>
        <v>1107.171202</v>
      </c>
      <c r="BB59" s="83">
        <f t="shared" si="14"/>
        <v>968.7748016</v>
      </c>
      <c r="BC59" s="83">
        <f t="shared" si="14"/>
        <v>484.3874008</v>
      </c>
      <c r="BD59" s="83">
        <f t="shared" si="14"/>
        <v>484.3874008</v>
      </c>
      <c r="BE59" s="83">
        <f t="shared" si="14"/>
        <v>484.3874008</v>
      </c>
      <c r="BF59" s="83">
        <f t="shared" si="14"/>
        <v>678.1423611</v>
      </c>
      <c r="BG59" s="83">
        <f t="shared" si="14"/>
        <v>678.1423611</v>
      </c>
      <c r="BH59" s="83">
        <f t="shared" si="14"/>
        <v>775.0198413</v>
      </c>
      <c r="BI59" s="83">
        <f t="shared" si="14"/>
        <v>775.0198413</v>
      </c>
      <c r="BJ59" s="83">
        <f t="shared" si="14"/>
        <v>775.0198413</v>
      </c>
      <c r="BK59" s="83">
        <f t="shared" si="14"/>
        <v>775.0198413</v>
      </c>
      <c r="BL59" s="83">
        <f t="shared" si="14"/>
        <v>678.1423611</v>
      </c>
      <c r="BM59" s="83">
        <f t="shared" si="14"/>
        <v>484.3874008</v>
      </c>
      <c r="BN59" s="83">
        <f t="shared" si="14"/>
        <v>775.0198413</v>
      </c>
      <c r="BO59" s="83">
        <f t="shared" si="14"/>
        <v>1162.529762</v>
      </c>
      <c r="BP59" s="83">
        <f t="shared" si="14"/>
        <v>1937.549603</v>
      </c>
      <c r="BQ59" s="83">
        <f t="shared" si="14"/>
        <v>1937.549603</v>
      </c>
      <c r="BR59" s="83">
        <f t="shared" si="14"/>
        <v>2152.832892</v>
      </c>
      <c r="BS59" s="83">
        <f t="shared" si="14"/>
        <v>2152.832892</v>
      </c>
      <c r="BT59" s="83">
        <f t="shared" si="14"/>
        <v>2421.937004</v>
      </c>
      <c r="BU59" s="83">
        <f t="shared" si="14"/>
        <v>2767.928005</v>
      </c>
      <c r="BV59" s="83">
        <f t="shared" si="14"/>
        <v>1660.756803</v>
      </c>
      <c r="BW59" s="83">
        <f t="shared" si="14"/>
        <v>1660.756803</v>
      </c>
      <c r="BX59" s="83">
        <f t="shared" si="14"/>
        <v>1453.162202</v>
      </c>
      <c r="BY59" s="83">
        <f t="shared" si="14"/>
        <v>1453.162202</v>
      </c>
      <c r="BZ59" s="83">
        <f t="shared" si="14"/>
        <v>2767.928005</v>
      </c>
      <c r="CA59" s="83">
        <f t="shared" si="14"/>
        <v>1107.171202</v>
      </c>
      <c r="CB59" s="83">
        <f t="shared" si="14"/>
        <v>1107.171202</v>
      </c>
      <c r="CC59" s="83">
        <f t="shared" si="14"/>
        <v>1107.171202</v>
      </c>
      <c r="CD59" s="83">
        <f t="shared" si="14"/>
        <v>1107.171202</v>
      </c>
      <c r="CE59" s="83">
        <f t="shared" si="14"/>
        <v>1107.171202</v>
      </c>
      <c r="CF59" s="83">
        <f t="shared" si="14"/>
        <v>1107.171202</v>
      </c>
      <c r="CG59" s="83">
        <f t="shared" si="14"/>
        <v>1107.171202</v>
      </c>
      <c r="CH59" s="83">
        <f t="shared" si="14"/>
        <v>1107.171202</v>
      </c>
      <c r="CI59" s="83">
        <f t="shared" si="14"/>
        <v>1660.756803</v>
      </c>
      <c r="CJ59" s="83">
        <f t="shared" si="14"/>
        <v>1660.756803</v>
      </c>
      <c r="CK59" s="83">
        <f t="shared" si="14"/>
        <v>1660.756803</v>
      </c>
      <c r="CL59" s="83">
        <f t="shared" si="14"/>
        <v>1660.756803</v>
      </c>
      <c r="CM59" s="83">
        <f t="shared" si="14"/>
        <v>1660.756803</v>
      </c>
      <c r="CN59" s="83">
        <f t="shared" si="14"/>
        <v>2214.342404</v>
      </c>
      <c r="CO59" s="83">
        <f t="shared" si="14"/>
        <v>2767.928005</v>
      </c>
      <c r="CP59" s="83">
        <f t="shared" si="14"/>
        <v>2767.928005</v>
      </c>
      <c r="CQ59" s="83">
        <f t="shared" si="14"/>
        <v>2767.928005</v>
      </c>
      <c r="CR59" s="83">
        <f t="shared" si="14"/>
        <v>3321.513605</v>
      </c>
      <c r="CS59" s="83">
        <f t="shared" si="14"/>
        <v>3321.513605</v>
      </c>
      <c r="CT59" s="83">
        <f t="shared" si="14"/>
        <v>3321.513605</v>
      </c>
      <c r="CU59" s="83">
        <f t="shared" si="14"/>
        <v>3321.513605</v>
      </c>
      <c r="CV59" s="83">
        <f t="shared" si="14"/>
        <v>3321.513605</v>
      </c>
      <c r="CW59" s="83">
        <f t="shared" si="14"/>
        <v>3321.513605</v>
      </c>
      <c r="CX59" s="83">
        <f t="shared" si="14"/>
        <v>3390.711806</v>
      </c>
      <c r="CY59" s="83">
        <f t="shared" si="14"/>
        <v>3390.711806</v>
      </c>
      <c r="CZ59" s="83">
        <f t="shared" si="14"/>
        <v>3875.099206</v>
      </c>
      <c r="DA59" s="83">
        <f t="shared" si="14"/>
        <v>3875.099206</v>
      </c>
      <c r="DB59" s="83">
        <f t="shared" si="14"/>
        <v>3875.099206</v>
      </c>
      <c r="DC59" s="83">
        <f t="shared" si="14"/>
        <v>4359.486607</v>
      </c>
      <c r="DD59" s="83">
        <f t="shared" si="14"/>
        <v>4359.486607</v>
      </c>
      <c r="DE59" s="83">
        <f t="shared" si="14"/>
        <v>4843.874008</v>
      </c>
      <c r="DF59" s="83">
        <f t="shared" si="14"/>
        <v>4843.874008</v>
      </c>
      <c r="DG59" s="83">
        <f t="shared" si="14"/>
        <v>4843.874008</v>
      </c>
      <c r="DH59" s="83">
        <f t="shared" si="14"/>
        <v>4843.874008</v>
      </c>
      <c r="DI59" s="83">
        <f t="shared" si="14"/>
        <v>4843.874008</v>
      </c>
    </row>
    <row r="60" ht="12.75" customHeight="1">
      <c r="A60" s="30"/>
      <c r="B60" s="86">
        <v>1.5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5">
        <v>0.08</v>
      </c>
      <c r="V60" s="1">
        <f t="shared" si="11"/>
        <v>18</v>
      </c>
      <c r="W60" s="87">
        <v>598.0</v>
      </c>
      <c r="X60" s="65">
        <f t="shared" si="12"/>
        <v>33.22222222</v>
      </c>
      <c r="Y60" s="65">
        <f t="shared" si="13"/>
        <v>47.84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</row>
    <row r="61" ht="12.75" customHeight="1">
      <c r="A61" s="30"/>
      <c r="B61" s="1">
        <v>0.25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5">
        <v>0.875</v>
      </c>
      <c r="V61" s="1">
        <f t="shared" si="11"/>
        <v>3</v>
      </c>
      <c r="W61" s="87">
        <v>118.0</v>
      </c>
      <c r="X61" s="65">
        <f t="shared" si="12"/>
        <v>39.33333333</v>
      </c>
      <c r="Y61" s="65">
        <f t="shared" si="13"/>
        <v>103.25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ht="12.75" customHeight="1">
      <c r="A62" s="3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ht="12.75" customHeight="1">
      <c r="A63" s="3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89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ht="12.75" customHeight="1">
      <c r="A64" s="30"/>
      <c r="B64" s="1"/>
      <c r="U64" s="15">
        <f>SUM(U58:U63)</f>
        <v>1</v>
      </c>
      <c r="Y64" s="90">
        <f>SUM(Y58:Y61)</f>
        <v>206.455</v>
      </c>
    </row>
    <row r="65" ht="12.75" customHeight="1">
      <c r="A65" s="30"/>
      <c r="B65" s="1"/>
    </row>
    <row r="66" ht="12.75" customHeight="1">
      <c r="A66" s="30"/>
      <c r="B66" s="1"/>
    </row>
    <row r="67" ht="12.75" customHeight="1">
      <c r="A67" s="30"/>
      <c r="B67" s="1"/>
    </row>
    <row r="68" ht="12.75" hidden="1" customHeight="1">
      <c r="A68" s="30"/>
      <c r="U68" s="84" t="s">
        <v>75</v>
      </c>
    </row>
    <row r="69" ht="12.75" hidden="1" customHeight="1">
      <c r="A69" s="91" t="s">
        <v>76</v>
      </c>
      <c r="B69" s="1"/>
      <c r="U69" s="6">
        <f>+U8</f>
        <v>43951</v>
      </c>
      <c r="V69" s="9" t="str">
        <f>+#REF!-#REF!*#REF!/12</f>
        <v>#REF!</v>
      </c>
      <c r="W69" s="9" t="str">
        <f t="shared" ref="W69:CB69" si="15">IF(V69&gt;0.005,(V69-#REF!*#REF!/12),0)</f>
        <v>#REF!</v>
      </c>
      <c r="X69" s="9" t="str">
        <f t="shared" si="15"/>
        <v>#REF!</v>
      </c>
      <c r="Y69" s="9" t="str">
        <f t="shared" si="15"/>
        <v>#REF!</v>
      </c>
      <c r="Z69" s="9" t="str">
        <f t="shared" si="15"/>
        <v>#REF!</v>
      </c>
      <c r="AA69" s="9" t="str">
        <f t="shared" si="15"/>
        <v>#REF!</v>
      </c>
      <c r="AB69" s="9" t="str">
        <f t="shared" si="15"/>
        <v>#REF!</v>
      </c>
      <c r="AC69" s="9" t="str">
        <f t="shared" si="15"/>
        <v>#REF!</v>
      </c>
      <c r="AD69" s="9" t="str">
        <f t="shared" si="15"/>
        <v>#REF!</v>
      </c>
      <c r="AE69" s="9" t="str">
        <f t="shared" si="15"/>
        <v>#REF!</v>
      </c>
      <c r="AF69" s="9" t="str">
        <f t="shared" si="15"/>
        <v>#REF!</v>
      </c>
      <c r="AG69" s="9" t="str">
        <f t="shared" si="15"/>
        <v>#REF!</v>
      </c>
      <c r="AH69" s="9" t="str">
        <f t="shared" si="15"/>
        <v>#REF!</v>
      </c>
      <c r="AI69" s="9" t="str">
        <f t="shared" si="15"/>
        <v>#REF!</v>
      </c>
      <c r="AJ69" s="9" t="str">
        <f t="shared" si="15"/>
        <v>#REF!</v>
      </c>
      <c r="AK69" s="9" t="str">
        <f t="shared" si="15"/>
        <v>#REF!</v>
      </c>
      <c r="AL69" s="9" t="str">
        <f t="shared" si="15"/>
        <v>#REF!</v>
      </c>
      <c r="AM69" s="9" t="str">
        <f t="shared" si="15"/>
        <v>#REF!</v>
      </c>
      <c r="AN69" s="9" t="str">
        <f t="shared" si="15"/>
        <v>#REF!</v>
      </c>
      <c r="AO69" s="9" t="str">
        <f t="shared" si="15"/>
        <v>#REF!</v>
      </c>
      <c r="AP69" s="9" t="str">
        <f t="shared" si="15"/>
        <v>#REF!</v>
      </c>
      <c r="AQ69" s="9" t="str">
        <f t="shared" si="15"/>
        <v>#REF!</v>
      </c>
      <c r="AR69" s="9" t="str">
        <f t="shared" si="15"/>
        <v>#REF!</v>
      </c>
      <c r="AS69" s="9" t="str">
        <f t="shared" si="15"/>
        <v>#REF!</v>
      </c>
      <c r="AT69" s="9" t="str">
        <f t="shared" si="15"/>
        <v>#REF!</v>
      </c>
      <c r="AU69" s="9" t="str">
        <f t="shared" si="15"/>
        <v>#REF!</v>
      </c>
      <c r="AV69" s="9" t="str">
        <f t="shared" si="15"/>
        <v>#REF!</v>
      </c>
      <c r="AW69" s="9" t="str">
        <f t="shared" si="15"/>
        <v>#REF!</v>
      </c>
      <c r="AX69" s="9" t="str">
        <f t="shared" si="15"/>
        <v>#REF!</v>
      </c>
      <c r="AY69" s="9" t="str">
        <f t="shared" si="15"/>
        <v>#REF!</v>
      </c>
      <c r="AZ69" s="9" t="str">
        <f t="shared" si="15"/>
        <v>#REF!</v>
      </c>
      <c r="BA69" s="9" t="str">
        <f t="shared" si="15"/>
        <v>#REF!</v>
      </c>
      <c r="BB69" s="9" t="str">
        <f t="shared" si="15"/>
        <v>#REF!</v>
      </c>
      <c r="BC69" s="9" t="str">
        <f t="shared" si="15"/>
        <v>#REF!</v>
      </c>
      <c r="BD69" s="9" t="str">
        <f t="shared" si="15"/>
        <v>#REF!</v>
      </c>
      <c r="BE69" s="9" t="str">
        <f t="shared" si="15"/>
        <v>#REF!</v>
      </c>
      <c r="BF69" s="9" t="str">
        <f t="shared" si="15"/>
        <v>#REF!</v>
      </c>
      <c r="BG69" s="9" t="str">
        <f t="shared" si="15"/>
        <v>#REF!</v>
      </c>
      <c r="BH69" s="9" t="str">
        <f t="shared" si="15"/>
        <v>#REF!</v>
      </c>
      <c r="BI69" s="9" t="str">
        <f t="shared" si="15"/>
        <v>#REF!</v>
      </c>
      <c r="BJ69" s="9" t="str">
        <f t="shared" si="15"/>
        <v>#REF!</v>
      </c>
      <c r="BK69" s="9" t="str">
        <f t="shared" si="15"/>
        <v>#REF!</v>
      </c>
      <c r="BL69" s="9" t="str">
        <f t="shared" si="15"/>
        <v>#REF!</v>
      </c>
      <c r="BM69" s="9" t="str">
        <f t="shared" si="15"/>
        <v>#REF!</v>
      </c>
      <c r="BN69" s="9" t="str">
        <f t="shared" si="15"/>
        <v>#REF!</v>
      </c>
      <c r="BO69" s="9" t="str">
        <f t="shared" si="15"/>
        <v>#REF!</v>
      </c>
      <c r="BP69" s="9" t="str">
        <f t="shared" si="15"/>
        <v>#REF!</v>
      </c>
      <c r="BQ69" s="9" t="str">
        <f t="shared" si="15"/>
        <v>#REF!</v>
      </c>
      <c r="BR69" s="9" t="str">
        <f t="shared" si="15"/>
        <v>#REF!</v>
      </c>
      <c r="BS69" s="9" t="str">
        <f t="shared" si="15"/>
        <v>#REF!</v>
      </c>
      <c r="BT69" s="9" t="str">
        <f t="shared" si="15"/>
        <v>#REF!</v>
      </c>
      <c r="BU69" s="9" t="str">
        <f t="shared" si="15"/>
        <v>#REF!</v>
      </c>
      <c r="BV69" s="9" t="str">
        <f t="shared" si="15"/>
        <v>#REF!</v>
      </c>
      <c r="BW69" s="9" t="str">
        <f t="shared" si="15"/>
        <v>#REF!</v>
      </c>
      <c r="BX69" s="9" t="str">
        <f t="shared" si="15"/>
        <v>#REF!</v>
      </c>
      <c r="BY69" s="9" t="str">
        <f t="shared" si="15"/>
        <v>#REF!</v>
      </c>
      <c r="BZ69" s="9" t="str">
        <f t="shared" si="15"/>
        <v>#REF!</v>
      </c>
      <c r="CA69" s="9" t="str">
        <f t="shared" si="15"/>
        <v>#REF!</v>
      </c>
      <c r="CB69" s="9" t="str">
        <f t="shared" si="15"/>
        <v>#REF!</v>
      </c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</row>
    <row r="70" ht="12.75" hidden="1" customHeight="1">
      <c r="B70" s="6"/>
      <c r="U70" s="6">
        <v>43982.0</v>
      </c>
      <c r="V70" s="9" t="str">
        <f>+U17*#REF!</f>
        <v>#REF!</v>
      </c>
      <c r="W70" s="9" t="str">
        <f t="shared" ref="W70:CB70" si="16">IF(V70&gt;0.005,(V70-$V70*#REF!/12),0)</f>
        <v>#REF!</v>
      </c>
      <c r="X70" s="9" t="str">
        <f t="shared" si="16"/>
        <v>#REF!</v>
      </c>
      <c r="Y70" s="9" t="str">
        <f t="shared" si="16"/>
        <v>#REF!</v>
      </c>
      <c r="Z70" s="9" t="str">
        <f t="shared" si="16"/>
        <v>#REF!</v>
      </c>
      <c r="AA70" s="9" t="str">
        <f t="shared" si="16"/>
        <v>#REF!</v>
      </c>
      <c r="AB70" s="9" t="str">
        <f t="shared" si="16"/>
        <v>#REF!</v>
      </c>
      <c r="AC70" s="9" t="str">
        <f t="shared" si="16"/>
        <v>#REF!</v>
      </c>
      <c r="AD70" s="9" t="str">
        <f t="shared" si="16"/>
        <v>#REF!</v>
      </c>
      <c r="AE70" s="9" t="str">
        <f t="shared" si="16"/>
        <v>#REF!</v>
      </c>
      <c r="AF70" s="9" t="str">
        <f t="shared" si="16"/>
        <v>#REF!</v>
      </c>
      <c r="AG70" s="9" t="str">
        <f t="shared" si="16"/>
        <v>#REF!</v>
      </c>
      <c r="AH70" s="9" t="str">
        <f t="shared" si="16"/>
        <v>#REF!</v>
      </c>
      <c r="AI70" s="9" t="str">
        <f t="shared" si="16"/>
        <v>#REF!</v>
      </c>
      <c r="AJ70" s="9" t="str">
        <f t="shared" si="16"/>
        <v>#REF!</v>
      </c>
      <c r="AK70" s="9" t="str">
        <f t="shared" si="16"/>
        <v>#REF!</v>
      </c>
      <c r="AL70" s="9" t="str">
        <f t="shared" si="16"/>
        <v>#REF!</v>
      </c>
      <c r="AM70" s="9" t="str">
        <f t="shared" si="16"/>
        <v>#REF!</v>
      </c>
      <c r="AN70" s="9" t="str">
        <f t="shared" si="16"/>
        <v>#REF!</v>
      </c>
      <c r="AO70" s="9" t="str">
        <f t="shared" si="16"/>
        <v>#REF!</v>
      </c>
      <c r="AP70" s="9" t="str">
        <f t="shared" si="16"/>
        <v>#REF!</v>
      </c>
      <c r="AQ70" s="9" t="str">
        <f t="shared" si="16"/>
        <v>#REF!</v>
      </c>
      <c r="AR70" s="9" t="str">
        <f t="shared" si="16"/>
        <v>#REF!</v>
      </c>
      <c r="AS70" s="9" t="str">
        <f t="shared" si="16"/>
        <v>#REF!</v>
      </c>
      <c r="AT70" s="9" t="str">
        <f t="shared" si="16"/>
        <v>#REF!</v>
      </c>
      <c r="AU70" s="9" t="str">
        <f t="shared" si="16"/>
        <v>#REF!</v>
      </c>
      <c r="AV70" s="9" t="str">
        <f t="shared" si="16"/>
        <v>#REF!</v>
      </c>
      <c r="AW70" s="9" t="str">
        <f t="shared" si="16"/>
        <v>#REF!</v>
      </c>
      <c r="AX70" s="9" t="str">
        <f t="shared" si="16"/>
        <v>#REF!</v>
      </c>
      <c r="AY70" s="9" t="str">
        <f t="shared" si="16"/>
        <v>#REF!</v>
      </c>
      <c r="AZ70" s="9" t="str">
        <f t="shared" si="16"/>
        <v>#REF!</v>
      </c>
      <c r="BA70" s="9" t="str">
        <f t="shared" si="16"/>
        <v>#REF!</v>
      </c>
      <c r="BB70" s="9" t="str">
        <f t="shared" si="16"/>
        <v>#REF!</v>
      </c>
      <c r="BC70" s="9" t="str">
        <f t="shared" si="16"/>
        <v>#REF!</v>
      </c>
      <c r="BD70" s="9" t="str">
        <f t="shared" si="16"/>
        <v>#REF!</v>
      </c>
      <c r="BE70" s="9" t="str">
        <f t="shared" si="16"/>
        <v>#REF!</v>
      </c>
      <c r="BF70" s="9" t="str">
        <f t="shared" si="16"/>
        <v>#REF!</v>
      </c>
      <c r="BG70" s="9" t="str">
        <f t="shared" si="16"/>
        <v>#REF!</v>
      </c>
      <c r="BH70" s="9" t="str">
        <f t="shared" si="16"/>
        <v>#REF!</v>
      </c>
      <c r="BI70" s="9" t="str">
        <f t="shared" si="16"/>
        <v>#REF!</v>
      </c>
      <c r="BJ70" s="9" t="str">
        <f t="shared" si="16"/>
        <v>#REF!</v>
      </c>
      <c r="BK70" s="9" t="str">
        <f t="shared" si="16"/>
        <v>#REF!</v>
      </c>
      <c r="BL70" s="9" t="str">
        <f t="shared" si="16"/>
        <v>#REF!</v>
      </c>
      <c r="BM70" s="9" t="str">
        <f t="shared" si="16"/>
        <v>#REF!</v>
      </c>
      <c r="BN70" s="9" t="str">
        <f t="shared" si="16"/>
        <v>#REF!</v>
      </c>
      <c r="BO70" s="9" t="str">
        <f t="shared" si="16"/>
        <v>#REF!</v>
      </c>
      <c r="BP70" s="9" t="str">
        <f t="shared" si="16"/>
        <v>#REF!</v>
      </c>
      <c r="BQ70" s="9" t="str">
        <f t="shared" si="16"/>
        <v>#REF!</v>
      </c>
      <c r="BR70" s="9" t="str">
        <f t="shared" si="16"/>
        <v>#REF!</v>
      </c>
      <c r="BS70" s="9" t="str">
        <f t="shared" si="16"/>
        <v>#REF!</v>
      </c>
      <c r="BT70" s="9" t="str">
        <f t="shared" si="16"/>
        <v>#REF!</v>
      </c>
      <c r="BU70" s="9" t="str">
        <f t="shared" si="16"/>
        <v>#REF!</v>
      </c>
      <c r="BV70" s="9" t="str">
        <f t="shared" si="16"/>
        <v>#REF!</v>
      </c>
      <c r="BW70" s="9" t="str">
        <f t="shared" si="16"/>
        <v>#REF!</v>
      </c>
      <c r="BX70" s="9" t="str">
        <f t="shared" si="16"/>
        <v>#REF!</v>
      </c>
      <c r="BY70" s="9" t="str">
        <f t="shared" si="16"/>
        <v>#REF!</v>
      </c>
      <c r="BZ70" s="9" t="str">
        <f t="shared" si="16"/>
        <v>#REF!</v>
      </c>
      <c r="CA70" s="9" t="str">
        <f t="shared" si="16"/>
        <v>#REF!</v>
      </c>
      <c r="CB70" s="9" t="str">
        <f t="shared" si="16"/>
        <v>#REF!</v>
      </c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</row>
    <row r="71" ht="12.75" hidden="1" customHeight="1">
      <c r="U71" s="6">
        <v>44012.0</v>
      </c>
      <c r="V71" s="9"/>
      <c r="W71" s="9" t="str">
        <f>+V$17*#REF!</f>
        <v>#REF!</v>
      </c>
      <c r="X71" s="9" t="str">
        <f t="shared" ref="X71:CB71" si="17">IF(W71&gt;0.005,(W71-$W71*#REF!/12),0)</f>
        <v>#REF!</v>
      </c>
      <c r="Y71" s="9" t="str">
        <f t="shared" si="17"/>
        <v>#REF!</v>
      </c>
      <c r="Z71" s="9" t="str">
        <f t="shared" si="17"/>
        <v>#REF!</v>
      </c>
      <c r="AA71" s="9" t="str">
        <f t="shared" si="17"/>
        <v>#REF!</v>
      </c>
      <c r="AB71" s="9" t="str">
        <f t="shared" si="17"/>
        <v>#REF!</v>
      </c>
      <c r="AC71" s="9" t="str">
        <f t="shared" si="17"/>
        <v>#REF!</v>
      </c>
      <c r="AD71" s="9" t="str">
        <f t="shared" si="17"/>
        <v>#REF!</v>
      </c>
      <c r="AE71" s="9" t="str">
        <f t="shared" si="17"/>
        <v>#REF!</v>
      </c>
      <c r="AF71" s="9" t="str">
        <f t="shared" si="17"/>
        <v>#REF!</v>
      </c>
      <c r="AG71" s="9" t="str">
        <f t="shared" si="17"/>
        <v>#REF!</v>
      </c>
      <c r="AH71" s="9" t="str">
        <f t="shared" si="17"/>
        <v>#REF!</v>
      </c>
      <c r="AI71" s="9" t="str">
        <f t="shared" si="17"/>
        <v>#REF!</v>
      </c>
      <c r="AJ71" s="9" t="str">
        <f t="shared" si="17"/>
        <v>#REF!</v>
      </c>
      <c r="AK71" s="9" t="str">
        <f t="shared" si="17"/>
        <v>#REF!</v>
      </c>
      <c r="AL71" s="9" t="str">
        <f t="shared" si="17"/>
        <v>#REF!</v>
      </c>
      <c r="AM71" s="9" t="str">
        <f t="shared" si="17"/>
        <v>#REF!</v>
      </c>
      <c r="AN71" s="9" t="str">
        <f t="shared" si="17"/>
        <v>#REF!</v>
      </c>
      <c r="AO71" s="9" t="str">
        <f t="shared" si="17"/>
        <v>#REF!</v>
      </c>
      <c r="AP71" s="9" t="str">
        <f t="shared" si="17"/>
        <v>#REF!</v>
      </c>
      <c r="AQ71" s="9" t="str">
        <f t="shared" si="17"/>
        <v>#REF!</v>
      </c>
      <c r="AR71" s="9" t="str">
        <f t="shared" si="17"/>
        <v>#REF!</v>
      </c>
      <c r="AS71" s="9" t="str">
        <f t="shared" si="17"/>
        <v>#REF!</v>
      </c>
      <c r="AT71" s="9" t="str">
        <f t="shared" si="17"/>
        <v>#REF!</v>
      </c>
      <c r="AU71" s="9" t="str">
        <f t="shared" si="17"/>
        <v>#REF!</v>
      </c>
      <c r="AV71" s="9" t="str">
        <f t="shared" si="17"/>
        <v>#REF!</v>
      </c>
      <c r="AW71" s="9" t="str">
        <f t="shared" si="17"/>
        <v>#REF!</v>
      </c>
      <c r="AX71" s="9" t="str">
        <f t="shared" si="17"/>
        <v>#REF!</v>
      </c>
      <c r="AY71" s="9" t="str">
        <f t="shared" si="17"/>
        <v>#REF!</v>
      </c>
      <c r="AZ71" s="9" t="str">
        <f t="shared" si="17"/>
        <v>#REF!</v>
      </c>
      <c r="BA71" s="9" t="str">
        <f t="shared" si="17"/>
        <v>#REF!</v>
      </c>
      <c r="BB71" s="9" t="str">
        <f t="shared" si="17"/>
        <v>#REF!</v>
      </c>
      <c r="BC71" s="9" t="str">
        <f t="shared" si="17"/>
        <v>#REF!</v>
      </c>
      <c r="BD71" s="9" t="str">
        <f t="shared" si="17"/>
        <v>#REF!</v>
      </c>
      <c r="BE71" s="9" t="str">
        <f t="shared" si="17"/>
        <v>#REF!</v>
      </c>
      <c r="BF71" s="9" t="str">
        <f t="shared" si="17"/>
        <v>#REF!</v>
      </c>
      <c r="BG71" s="9" t="str">
        <f t="shared" si="17"/>
        <v>#REF!</v>
      </c>
      <c r="BH71" s="9" t="str">
        <f t="shared" si="17"/>
        <v>#REF!</v>
      </c>
      <c r="BI71" s="9" t="str">
        <f t="shared" si="17"/>
        <v>#REF!</v>
      </c>
      <c r="BJ71" s="9" t="str">
        <f t="shared" si="17"/>
        <v>#REF!</v>
      </c>
      <c r="BK71" s="9" t="str">
        <f t="shared" si="17"/>
        <v>#REF!</v>
      </c>
      <c r="BL71" s="9" t="str">
        <f t="shared" si="17"/>
        <v>#REF!</v>
      </c>
      <c r="BM71" s="9" t="str">
        <f t="shared" si="17"/>
        <v>#REF!</v>
      </c>
      <c r="BN71" s="9" t="str">
        <f t="shared" si="17"/>
        <v>#REF!</v>
      </c>
      <c r="BO71" s="9" t="str">
        <f t="shared" si="17"/>
        <v>#REF!</v>
      </c>
      <c r="BP71" s="9" t="str">
        <f t="shared" si="17"/>
        <v>#REF!</v>
      </c>
      <c r="BQ71" s="9" t="str">
        <f t="shared" si="17"/>
        <v>#REF!</v>
      </c>
      <c r="BR71" s="9" t="str">
        <f t="shared" si="17"/>
        <v>#REF!</v>
      </c>
      <c r="BS71" s="9" t="str">
        <f t="shared" si="17"/>
        <v>#REF!</v>
      </c>
      <c r="BT71" s="9" t="str">
        <f t="shared" si="17"/>
        <v>#REF!</v>
      </c>
      <c r="BU71" s="9" t="str">
        <f t="shared" si="17"/>
        <v>#REF!</v>
      </c>
      <c r="BV71" s="9" t="str">
        <f t="shared" si="17"/>
        <v>#REF!</v>
      </c>
      <c r="BW71" s="9" t="str">
        <f t="shared" si="17"/>
        <v>#REF!</v>
      </c>
      <c r="BX71" s="9" t="str">
        <f t="shared" si="17"/>
        <v>#REF!</v>
      </c>
      <c r="BY71" s="9" t="str">
        <f t="shared" si="17"/>
        <v>#REF!</v>
      </c>
      <c r="BZ71" s="9" t="str">
        <f t="shared" si="17"/>
        <v>#REF!</v>
      </c>
      <c r="CA71" s="9" t="str">
        <f t="shared" si="17"/>
        <v>#REF!</v>
      </c>
      <c r="CB71" s="9" t="str">
        <f t="shared" si="17"/>
        <v>#REF!</v>
      </c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</row>
    <row r="72" ht="12.75" hidden="1" customHeight="1">
      <c r="U72" s="6">
        <v>44043.0</v>
      </c>
      <c r="V72" s="9"/>
      <c r="W72" s="9"/>
      <c r="X72" s="9" t="str">
        <f>+W$17*#REF!</f>
        <v>#REF!</v>
      </c>
      <c r="Y72" s="9" t="str">
        <f t="shared" ref="Y72:CB72" si="18">IF(X72&gt;0.005,(X72-$X72*#REF!/12),0)</f>
        <v>#REF!</v>
      </c>
      <c r="Z72" s="9" t="str">
        <f t="shared" si="18"/>
        <v>#REF!</v>
      </c>
      <c r="AA72" s="9" t="str">
        <f t="shared" si="18"/>
        <v>#REF!</v>
      </c>
      <c r="AB72" s="9" t="str">
        <f t="shared" si="18"/>
        <v>#REF!</v>
      </c>
      <c r="AC72" s="9" t="str">
        <f t="shared" si="18"/>
        <v>#REF!</v>
      </c>
      <c r="AD72" s="9" t="str">
        <f t="shared" si="18"/>
        <v>#REF!</v>
      </c>
      <c r="AE72" s="9" t="str">
        <f t="shared" si="18"/>
        <v>#REF!</v>
      </c>
      <c r="AF72" s="9" t="str">
        <f t="shared" si="18"/>
        <v>#REF!</v>
      </c>
      <c r="AG72" s="9" t="str">
        <f t="shared" si="18"/>
        <v>#REF!</v>
      </c>
      <c r="AH72" s="9" t="str">
        <f t="shared" si="18"/>
        <v>#REF!</v>
      </c>
      <c r="AI72" s="9" t="str">
        <f t="shared" si="18"/>
        <v>#REF!</v>
      </c>
      <c r="AJ72" s="9" t="str">
        <f t="shared" si="18"/>
        <v>#REF!</v>
      </c>
      <c r="AK72" s="9" t="str">
        <f t="shared" si="18"/>
        <v>#REF!</v>
      </c>
      <c r="AL72" s="9" t="str">
        <f t="shared" si="18"/>
        <v>#REF!</v>
      </c>
      <c r="AM72" s="9" t="str">
        <f t="shared" si="18"/>
        <v>#REF!</v>
      </c>
      <c r="AN72" s="9" t="str">
        <f t="shared" si="18"/>
        <v>#REF!</v>
      </c>
      <c r="AO72" s="9" t="str">
        <f t="shared" si="18"/>
        <v>#REF!</v>
      </c>
      <c r="AP72" s="9" t="str">
        <f t="shared" si="18"/>
        <v>#REF!</v>
      </c>
      <c r="AQ72" s="9" t="str">
        <f t="shared" si="18"/>
        <v>#REF!</v>
      </c>
      <c r="AR72" s="9" t="str">
        <f t="shared" si="18"/>
        <v>#REF!</v>
      </c>
      <c r="AS72" s="9" t="str">
        <f t="shared" si="18"/>
        <v>#REF!</v>
      </c>
      <c r="AT72" s="9" t="str">
        <f t="shared" si="18"/>
        <v>#REF!</v>
      </c>
      <c r="AU72" s="9" t="str">
        <f t="shared" si="18"/>
        <v>#REF!</v>
      </c>
      <c r="AV72" s="9" t="str">
        <f t="shared" si="18"/>
        <v>#REF!</v>
      </c>
      <c r="AW72" s="9" t="str">
        <f t="shared" si="18"/>
        <v>#REF!</v>
      </c>
      <c r="AX72" s="9" t="str">
        <f t="shared" si="18"/>
        <v>#REF!</v>
      </c>
      <c r="AY72" s="9" t="str">
        <f t="shared" si="18"/>
        <v>#REF!</v>
      </c>
      <c r="AZ72" s="9" t="str">
        <f t="shared" si="18"/>
        <v>#REF!</v>
      </c>
      <c r="BA72" s="9" t="str">
        <f t="shared" si="18"/>
        <v>#REF!</v>
      </c>
      <c r="BB72" s="9" t="str">
        <f t="shared" si="18"/>
        <v>#REF!</v>
      </c>
      <c r="BC72" s="9" t="str">
        <f t="shared" si="18"/>
        <v>#REF!</v>
      </c>
      <c r="BD72" s="9" t="str">
        <f t="shared" si="18"/>
        <v>#REF!</v>
      </c>
      <c r="BE72" s="9" t="str">
        <f t="shared" si="18"/>
        <v>#REF!</v>
      </c>
      <c r="BF72" s="9" t="str">
        <f t="shared" si="18"/>
        <v>#REF!</v>
      </c>
      <c r="BG72" s="9" t="str">
        <f t="shared" si="18"/>
        <v>#REF!</v>
      </c>
      <c r="BH72" s="9" t="str">
        <f t="shared" si="18"/>
        <v>#REF!</v>
      </c>
      <c r="BI72" s="9" t="str">
        <f t="shared" si="18"/>
        <v>#REF!</v>
      </c>
      <c r="BJ72" s="9" t="str">
        <f t="shared" si="18"/>
        <v>#REF!</v>
      </c>
      <c r="BK72" s="9" t="str">
        <f t="shared" si="18"/>
        <v>#REF!</v>
      </c>
      <c r="BL72" s="9" t="str">
        <f t="shared" si="18"/>
        <v>#REF!</v>
      </c>
      <c r="BM72" s="9" t="str">
        <f t="shared" si="18"/>
        <v>#REF!</v>
      </c>
      <c r="BN72" s="9" t="str">
        <f t="shared" si="18"/>
        <v>#REF!</v>
      </c>
      <c r="BO72" s="9" t="str">
        <f t="shared" si="18"/>
        <v>#REF!</v>
      </c>
      <c r="BP72" s="9" t="str">
        <f t="shared" si="18"/>
        <v>#REF!</v>
      </c>
      <c r="BQ72" s="9" t="str">
        <f t="shared" si="18"/>
        <v>#REF!</v>
      </c>
      <c r="BR72" s="9" t="str">
        <f t="shared" si="18"/>
        <v>#REF!</v>
      </c>
      <c r="BS72" s="9" t="str">
        <f t="shared" si="18"/>
        <v>#REF!</v>
      </c>
      <c r="BT72" s="9" t="str">
        <f t="shared" si="18"/>
        <v>#REF!</v>
      </c>
      <c r="BU72" s="9" t="str">
        <f t="shared" si="18"/>
        <v>#REF!</v>
      </c>
      <c r="BV72" s="9" t="str">
        <f t="shared" si="18"/>
        <v>#REF!</v>
      </c>
      <c r="BW72" s="9" t="str">
        <f t="shared" si="18"/>
        <v>#REF!</v>
      </c>
      <c r="BX72" s="9" t="str">
        <f t="shared" si="18"/>
        <v>#REF!</v>
      </c>
      <c r="BY72" s="9" t="str">
        <f t="shared" si="18"/>
        <v>#REF!</v>
      </c>
      <c r="BZ72" s="9" t="str">
        <f t="shared" si="18"/>
        <v>#REF!</v>
      </c>
      <c r="CA72" s="9" t="str">
        <f t="shared" si="18"/>
        <v>#REF!</v>
      </c>
      <c r="CB72" s="9" t="str">
        <f t="shared" si="18"/>
        <v>#REF!</v>
      </c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</row>
    <row r="73" ht="12.75" hidden="1" customHeight="1">
      <c r="U73" s="6">
        <v>44074.0</v>
      </c>
      <c r="V73" s="9"/>
      <c r="W73" s="9"/>
      <c r="X73" s="9"/>
      <c r="Y73" s="9" t="str">
        <f>+X$17*#REF!</f>
        <v>#REF!</v>
      </c>
      <c r="Z73" s="9" t="str">
        <f t="shared" ref="Z73:CB73" si="19">IF(Y73&gt;0.005,(Y73-$Y73*#REF!/12),0)</f>
        <v>#REF!</v>
      </c>
      <c r="AA73" s="9" t="str">
        <f t="shared" si="19"/>
        <v>#REF!</v>
      </c>
      <c r="AB73" s="9" t="str">
        <f t="shared" si="19"/>
        <v>#REF!</v>
      </c>
      <c r="AC73" s="9" t="str">
        <f t="shared" si="19"/>
        <v>#REF!</v>
      </c>
      <c r="AD73" s="9" t="str">
        <f t="shared" si="19"/>
        <v>#REF!</v>
      </c>
      <c r="AE73" s="9" t="str">
        <f t="shared" si="19"/>
        <v>#REF!</v>
      </c>
      <c r="AF73" s="9" t="str">
        <f t="shared" si="19"/>
        <v>#REF!</v>
      </c>
      <c r="AG73" s="9" t="str">
        <f t="shared" si="19"/>
        <v>#REF!</v>
      </c>
      <c r="AH73" s="9" t="str">
        <f t="shared" si="19"/>
        <v>#REF!</v>
      </c>
      <c r="AI73" s="9" t="str">
        <f t="shared" si="19"/>
        <v>#REF!</v>
      </c>
      <c r="AJ73" s="9" t="str">
        <f t="shared" si="19"/>
        <v>#REF!</v>
      </c>
      <c r="AK73" s="9" t="str">
        <f t="shared" si="19"/>
        <v>#REF!</v>
      </c>
      <c r="AL73" s="9" t="str">
        <f t="shared" si="19"/>
        <v>#REF!</v>
      </c>
      <c r="AM73" s="9" t="str">
        <f t="shared" si="19"/>
        <v>#REF!</v>
      </c>
      <c r="AN73" s="9" t="str">
        <f t="shared" si="19"/>
        <v>#REF!</v>
      </c>
      <c r="AO73" s="9" t="str">
        <f t="shared" si="19"/>
        <v>#REF!</v>
      </c>
      <c r="AP73" s="9" t="str">
        <f t="shared" si="19"/>
        <v>#REF!</v>
      </c>
      <c r="AQ73" s="9" t="str">
        <f t="shared" si="19"/>
        <v>#REF!</v>
      </c>
      <c r="AR73" s="9" t="str">
        <f t="shared" si="19"/>
        <v>#REF!</v>
      </c>
      <c r="AS73" s="9" t="str">
        <f t="shared" si="19"/>
        <v>#REF!</v>
      </c>
      <c r="AT73" s="9" t="str">
        <f t="shared" si="19"/>
        <v>#REF!</v>
      </c>
      <c r="AU73" s="9" t="str">
        <f t="shared" si="19"/>
        <v>#REF!</v>
      </c>
      <c r="AV73" s="9" t="str">
        <f t="shared" si="19"/>
        <v>#REF!</v>
      </c>
      <c r="AW73" s="9" t="str">
        <f t="shared" si="19"/>
        <v>#REF!</v>
      </c>
      <c r="AX73" s="9" t="str">
        <f t="shared" si="19"/>
        <v>#REF!</v>
      </c>
      <c r="AY73" s="9" t="str">
        <f t="shared" si="19"/>
        <v>#REF!</v>
      </c>
      <c r="AZ73" s="9" t="str">
        <f t="shared" si="19"/>
        <v>#REF!</v>
      </c>
      <c r="BA73" s="9" t="str">
        <f t="shared" si="19"/>
        <v>#REF!</v>
      </c>
      <c r="BB73" s="9" t="str">
        <f t="shared" si="19"/>
        <v>#REF!</v>
      </c>
      <c r="BC73" s="9" t="str">
        <f t="shared" si="19"/>
        <v>#REF!</v>
      </c>
      <c r="BD73" s="9" t="str">
        <f t="shared" si="19"/>
        <v>#REF!</v>
      </c>
      <c r="BE73" s="9" t="str">
        <f t="shared" si="19"/>
        <v>#REF!</v>
      </c>
      <c r="BF73" s="9" t="str">
        <f t="shared" si="19"/>
        <v>#REF!</v>
      </c>
      <c r="BG73" s="9" t="str">
        <f t="shared" si="19"/>
        <v>#REF!</v>
      </c>
      <c r="BH73" s="9" t="str">
        <f t="shared" si="19"/>
        <v>#REF!</v>
      </c>
      <c r="BI73" s="9" t="str">
        <f t="shared" si="19"/>
        <v>#REF!</v>
      </c>
      <c r="BJ73" s="9" t="str">
        <f t="shared" si="19"/>
        <v>#REF!</v>
      </c>
      <c r="BK73" s="9" t="str">
        <f t="shared" si="19"/>
        <v>#REF!</v>
      </c>
      <c r="BL73" s="9" t="str">
        <f t="shared" si="19"/>
        <v>#REF!</v>
      </c>
      <c r="BM73" s="9" t="str">
        <f t="shared" si="19"/>
        <v>#REF!</v>
      </c>
      <c r="BN73" s="9" t="str">
        <f t="shared" si="19"/>
        <v>#REF!</v>
      </c>
      <c r="BO73" s="9" t="str">
        <f t="shared" si="19"/>
        <v>#REF!</v>
      </c>
      <c r="BP73" s="9" t="str">
        <f t="shared" si="19"/>
        <v>#REF!</v>
      </c>
      <c r="BQ73" s="9" t="str">
        <f t="shared" si="19"/>
        <v>#REF!</v>
      </c>
      <c r="BR73" s="9" t="str">
        <f t="shared" si="19"/>
        <v>#REF!</v>
      </c>
      <c r="BS73" s="9" t="str">
        <f t="shared" si="19"/>
        <v>#REF!</v>
      </c>
      <c r="BT73" s="9" t="str">
        <f t="shared" si="19"/>
        <v>#REF!</v>
      </c>
      <c r="BU73" s="9" t="str">
        <f t="shared" si="19"/>
        <v>#REF!</v>
      </c>
      <c r="BV73" s="9" t="str">
        <f t="shared" si="19"/>
        <v>#REF!</v>
      </c>
      <c r="BW73" s="9" t="str">
        <f t="shared" si="19"/>
        <v>#REF!</v>
      </c>
      <c r="BX73" s="9" t="str">
        <f t="shared" si="19"/>
        <v>#REF!</v>
      </c>
      <c r="BY73" s="9" t="str">
        <f t="shared" si="19"/>
        <v>#REF!</v>
      </c>
      <c r="BZ73" s="9" t="str">
        <f t="shared" si="19"/>
        <v>#REF!</v>
      </c>
      <c r="CA73" s="9" t="str">
        <f t="shared" si="19"/>
        <v>#REF!</v>
      </c>
      <c r="CB73" s="9" t="str">
        <f t="shared" si="19"/>
        <v>#REF!</v>
      </c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</row>
    <row r="74" ht="12.75" hidden="1" customHeight="1">
      <c r="U74" s="6">
        <v>44104.0</v>
      </c>
      <c r="V74" s="9"/>
      <c r="W74" s="9"/>
      <c r="X74" s="9"/>
      <c r="Y74" s="9"/>
      <c r="Z74" s="9" t="str">
        <f>+Y$17*#REF!</f>
        <v>#REF!</v>
      </c>
      <c r="AA74" s="9" t="str">
        <f t="shared" ref="AA74:CB74" si="20">IF(Z74&gt;0.005,(Z74-$Z74*#REF!/12),0)</f>
        <v>#REF!</v>
      </c>
      <c r="AB74" s="9" t="str">
        <f t="shared" si="20"/>
        <v>#REF!</v>
      </c>
      <c r="AC74" s="9" t="str">
        <f t="shared" si="20"/>
        <v>#REF!</v>
      </c>
      <c r="AD74" s="9" t="str">
        <f t="shared" si="20"/>
        <v>#REF!</v>
      </c>
      <c r="AE74" s="9" t="str">
        <f t="shared" si="20"/>
        <v>#REF!</v>
      </c>
      <c r="AF74" s="9" t="str">
        <f t="shared" si="20"/>
        <v>#REF!</v>
      </c>
      <c r="AG74" s="9" t="str">
        <f t="shared" si="20"/>
        <v>#REF!</v>
      </c>
      <c r="AH74" s="9" t="str">
        <f t="shared" si="20"/>
        <v>#REF!</v>
      </c>
      <c r="AI74" s="9" t="str">
        <f t="shared" si="20"/>
        <v>#REF!</v>
      </c>
      <c r="AJ74" s="9" t="str">
        <f t="shared" si="20"/>
        <v>#REF!</v>
      </c>
      <c r="AK74" s="9" t="str">
        <f t="shared" si="20"/>
        <v>#REF!</v>
      </c>
      <c r="AL74" s="9" t="str">
        <f t="shared" si="20"/>
        <v>#REF!</v>
      </c>
      <c r="AM74" s="9" t="str">
        <f t="shared" si="20"/>
        <v>#REF!</v>
      </c>
      <c r="AN74" s="9" t="str">
        <f t="shared" si="20"/>
        <v>#REF!</v>
      </c>
      <c r="AO74" s="9" t="str">
        <f t="shared" si="20"/>
        <v>#REF!</v>
      </c>
      <c r="AP74" s="9" t="str">
        <f t="shared" si="20"/>
        <v>#REF!</v>
      </c>
      <c r="AQ74" s="9" t="str">
        <f t="shared" si="20"/>
        <v>#REF!</v>
      </c>
      <c r="AR74" s="9" t="str">
        <f t="shared" si="20"/>
        <v>#REF!</v>
      </c>
      <c r="AS74" s="9" t="str">
        <f t="shared" si="20"/>
        <v>#REF!</v>
      </c>
      <c r="AT74" s="9" t="str">
        <f t="shared" si="20"/>
        <v>#REF!</v>
      </c>
      <c r="AU74" s="9" t="str">
        <f t="shared" si="20"/>
        <v>#REF!</v>
      </c>
      <c r="AV74" s="9" t="str">
        <f t="shared" si="20"/>
        <v>#REF!</v>
      </c>
      <c r="AW74" s="9" t="str">
        <f t="shared" si="20"/>
        <v>#REF!</v>
      </c>
      <c r="AX74" s="9" t="str">
        <f t="shared" si="20"/>
        <v>#REF!</v>
      </c>
      <c r="AY74" s="9" t="str">
        <f t="shared" si="20"/>
        <v>#REF!</v>
      </c>
      <c r="AZ74" s="9" t="str">
        <f t="shared" si="20"/>
        <v>#REF!</v>
      </c>
      <c r="BA74" s="9" t="str">
        <f t="shared" si="20"/>
        <v>#REF!</v>
      </c>
      <c r="BB74" s="9" t="str">
        <f t="shared" si="20"/>
        <v>#REF!</v>
      </c>
      <c r="BC74" s="9" t="str">
        <f t="shared" si="20"/>
        <v>#REF!</v>
      </c>
      <c r="BD74" s="9" t="str">
        <f t="shared" si="20"/>
        <v>#REF!</v>
      </c>
      <c r="BE74" s="9" t="str">
        <f t="shared" si="20"/>
        <v>#REF!</v>
      </c>
      <c r="BF74" s="9" t="str">
        <f t="shared" si="20"/>
        <v>#REF!</v>
      </c>
      <c r="BG74" s="9" t="str">
        <f t="shared" si="20"/>
        <v>#REF!</v>
      </c>
      <c r="BH74" s="9" t="str">
        <f t="shared" si="20"/>
        <v>#REF!</v>
      </c>
      <c r="BI74" s="9" t="str">
        <f t="shared" si="20"/>
        <v>#REF!</v>
      </c>
      <c r="BJ74" s="9" t="str">
        <f t="shared" si="20"/>
        <v>#REF!</v>
      </c>
      <c r="BK74" s="9" t="str">
        <f t="shared" si="20"/>
        <v>#REF!</v>
      </c>
      <c r="BL74" s="9" t="str">
        <f t="shared" si="20"/>
        <v>#REF!</v>
      </c>
      <c r="BM74" s="9" t="str">
        <f t="shared" si="20"/>
        <v>#REF!</v>
      </c>
      <c r="BN74" s="9" t="str">
        <f t="shared" si="20"/>
        <v>#REF!</v>
      </c>
      <c r="BO74" s="9" t="str">
        <f t="shared" si="20"/>
        <v>#REF!</v>
      </c>
      <c r="BP74" s="9" t="str">
        <f t="shared" si="20"/>
        <v>#REF!</v>
      </c>
      <c r="BQ74" s="9" t="str">
        <f t="shared" si="20"/>
        <v>#REF!</v>
      </c>
      <c r="BR74" s="9" t="str">
        <f t="shared" si="20"/>
        <v>#REF!</v>
      </c>
      <c r="BS74" s="9" t="str">
        <f t="shared" si="20"/>
        <v>#REF!</v>
      </c>
      <c r="BT74" s="9" t="str">
        <f t="shared" si="20"/>
        <v>#REF!</v>
      </c>
      <c r="BU74" s="9" t="str">
        <f t="shared" si="20"/>
        <v>#REF!</v>
      </c>
      <c r="BV74" s="9" t="str">
        <f t="shared" si="20"/>
        <v>#REF!</v>
      </c>
      <c r="BW74" s="9" t="str">
        <f t="shared" si="20"/>
        <v>#REF!</v>
      </c>
      <c r="BX74" s="9" t="str">
        <f t="shared" si="20"/>
        <v>#REF!</v>
      </c>
      <c r="BY74" s="9" t="str">
        <f t="shared" si="20"/>
        <v>#REF!</v>
      </c>
      <c r="BZ74" s="9" t="str">
        <f t="shared" si="20"/>
        <v>#REF!</v>
      </c>
      <c r="CA74" s="9" t="str">
        <f t="shared" si="20"/>
        <v>#REF!</v>
      </c>
      <c r="CB74" s="9" t="str">
        <f t="shared" si="20"/>
        <v>#REF!</v>
      </c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</row>
    <row r="75" ht="12.75" hidden="1" customHeight="1">
      <c r="U75" s="6">
        <v>44135.0</v>
      </c>
      <c r="V75" s="9"/>
      <c r="W75" s="9"/>
      <c r="X75" s="9"/>
      <c r="Y75" s="9"/>
      <c r="Z75" s="9"/>
      <c r="AA75" s="9" t="str">
        <f>+Z$17*#REF!</f>
        <v>#REF!</v>
      </c>
      <c r="AB75" s="9" t="str">
        <f t="shared" ref="AB75:CB75" si="21">IF(AA75&gt;0.005,(AA75-$AA75*#REF!/12),0)</f>
        <v>#REF!</v>
      </c>
      <c r="AC75" s="9" t="str">
        <f t="shared" si="21"/>
        <v>#REF!</v>
      </c>
      <c r="AD75" s="9" t="str">
        <f t="shared" si="21"/>
        <v>#REF!</v>
      </c>
      <c r="AE75" s="9" t="str">
        <f t="shared" si="21"/>
        <v>#REF!</v>
      </c>
      <c r="AF75" s="9" t="str">
        <f t="shared" si="21"/>
        <v>#REF!</v>
      </c>
      <c r="AG75" s="9" t="str">
        <f t="shared" si="21"/>
        <v>#REF!</v>
      </c>
      <c r="AH75" s="9" t="str">
        <f t="shared" si="21"/>
        <v>#REF!</v>
      </c>
      <c r="AI75" s="9" t="str">
        <f t="shared" si="21"/>
        <v>#REF!</v>
      </c>
      <c r="AJ75" s="9" t="str">
        <f t="shared" si="21"/>
        <v>#REF!</v>
      </c>
      <c r="AK75" s="9" t="str">
        <f t="shared" si="21"/>
        <v>#REF!</v>
      </c>
      <c r="AL75" s="9" t="str">
        <f t="shared" si="21"/>
        <v>#REF!</v>
      </c>
      <c r="AM75" s="9" t="str">
        <f t="shared" si="21"/>
        <v>#REF!</v>
      </c>
      <c r="AN75" s="9" t="str">
        <f t="shared" si="21"/>
        <v>#REF!</v>
      </c>
      <c r="AO75" s="9" t="str">
        <f t="shared" si="21"/>
        <v>#REF!</v>
      </c>
      <c r="AP75" s="9" t="str">
        <f t="shared" si="21"/>
        <v>#REF!</v>
      </c>
      <c r="AQ75" s="9" t="str">
        <f t="shared" si="21"/>
        <v>#REF!</v>
      </c>
      <c r="AR75" s="9" t="str">
        <f t="shared" si="21"/>
        <v>#REF!</v>
      </c>
      <c r="AS75" s="9" t="str">
        <f t="shared" si="21"/>
        <v>#REF!</v>
      </c>
      <c r="AT75" s="9" t="str">
        <f t="shared" si="21"/>
        <v>#REF!</v>
      </c>
      <c r="AU75" s="9" t="str">
        <f t="shared" si="21"/>
        <v>#REF!</v>
      </c>
      <c r="AV75" s="9" t="str">
        <f t="shared" si="21"/>
        <v>#REF!</v>
      </c>
      <c r="AW75" s="9" t="str">
        <f t="shared" si="21"/>
        <v>#REF!</v>
      </c>
      <c r="AX75" s="9" t="str">
        <f t="shared" si="21"/>
        <v>#REF!</v>
      </c>
      <c r="AY75" s="9" t="str">
        <f t="shared" si="21"/>
        <v>#REF!</v>
      </c>
      <c r="AZ75" s="9" t="str">
        <f t="shared" si="21"/>
        <v>#REF!</v>
      </c>
      <c r="BA75" s="9" t="str">
        <f t="shared" si="21"/>
        <v>#REF!</v>
      </c>
      <c r="BB75" s="9" t="str">
        <f t="shared" si="21"/>
        <v>#REF!</v>
      </c>
      <c r="BC75" s="9" t="str">
        <f t="shared" si="21"/>
        <v>#REF!</v>
      </c>
      <c r="BD75" s="9" t="str">
        <f t="shared" si="21"/>
        <v>#REF!</v>
      </c>
      <c r="BE75" s="9" t="str">
        <f t="shared" si="21"/>
        <v>#REF!</v>
      </c>
      <c r="BF75" s="9" t="str">
        <f t="shared" si="21"/>
        <v>#REF!</v>
      </c>
      <c r="BG75" s="9" t="str">
        <f t="shared" si="21"/>
        <v>#REF!</v>
      </c>
      <c r="BH75" s="9" t="str">
        <f t="shared" si="21"/>
        <v>#REF!</v>
      </c>
      <c r="BI75" s="9" t="str">
        <f t="shared" si="21"/>
        <v>#REF!</v>
      </c>
      <c r="BJ75" s="9" t="str">
        <f t="shared" si="21"/>
        <v>#REF!</v>
      </c>
      <c r="BK75" s="9" t="str">
        <f t="shared" si="21"/>
        <v>#REF!</v>
      </c>
      <c r="BL75" s="9" t="str">
        <f t="shared" si="21"/>
        <v>#REF!</v>
      </c>
      <c r="BM75" s="9" t="str">
        <f t="shared" si="21"/>
        <v>#REF!</v>
      </c>
      <c r="BN75" s="9" t="str">
        <f t="shared" si="21"/>
        <v>#REF!</v>
      </c>
      <c r="BO75" s="9" t="str">
        <f t="shared" si="21"/>
        <v>#REF!</v>
      </c>
      <c r="BP75" s="9" t="str">
        <f t="shared" si="21"/>
        <v>#REF!</v>
      </c>
      <c r="BQ75" s="9" t="str">
        <f t="shared" si="21"/>
        <v>#REF!</v>
      </c>
      <c r="BR75" s="9" t="str">
        <f t="shared" si="21"/>
        <v>#REF!</v>
      </c>
      <c r="BS75" s="9" t="str">
        <f t="shared" si="21"/>
        <v>#REF!</v>
      </c>
      <c r="BT75" s="9" t="str">
        <f t="shared" si="21"/>
        <v>#REF!</v>
      </c>
      <c r="BU75" s="9" t="str">
        <f t="shared" si="21"/>
        <v>#REF!</v>
      </c>
      <c r="BV75" s="9" t="str">
        <f t="shared" si="21"/>
        <v>#REF!</v>
      </c>
      <c r="BW75" s="9" t="str">
        <f t="shared" si="21"/>
        <v>#REF!</v>
      </c>
      <c r="BX75" s="9" t="str">
        <f t="shared" si="21"/>
        <v>#REF!</v>
      </c>
      <c r="BY75" s="9" t="str">
        <f t="shared" si="21"/>
        <v>#REF!</v>
      </c>
      <c r="BZ75" s="9" t="str">
        <f t="shared" si="21"/>
        <v>#REF!</v>
      </c>
      <c r="CA75" s="9" t="str">
        <f t="shared" si="21"/>
        <v>#REF!</v>
      </c>
      <c r="CB75" s="9" t="str">
        <f t="shared" si="21"/>
        <v>#REF!</v>
      </c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</row>
    <row r="76" ht="12.75" hidden="1" customHeight="1">
      <c r="U76" s="6">
        <v>44165.0</v>
      </c>
      <c r="V76" s="9"/>
      <c r="W76" s="9"/>
      <c r="X76" s="9"/>
      <c r="Y76" s="9"/>
      <c r="Z76" s="9"/>
      <c r="AA76" s="9"/>
      <c r="AB76" s="9" t="str">
        <f>+AA$17*#REF!</f>
        <v>#REF!</v>
      </c>
      <c r="AC76" s="9" t="str">
        <f t="shared" ref="AC76:CB76" si="22">IF(AB76&gt;0.005,(AB76-$AB76*#REF!/12),0)</f>
        <v>#REF!</v>
      </c>
      <c r="AD76" s="9" t="str">
        <f t="shared" si="22"/>
        <v>#REF!</v>
      </c>
      <c r="AE76" s="9" t="str">
        <f t="shared" si="22"/>
        <v>#REF!</v>
      </c>
      <c r="AF76" s="9" t="str">
        <f t="shared" si="22"/>
        <v>#REF!</v>
      </c>
      <c r="AG76" s="9" t="str">
        <f t="shared" si="22"/>
        <v>#REF!</v>
      </c>
      <c r="AH76" s="9" t="str">
        <f t="shared" si="22"/>
        <v>#REF!</v>
      </c>
      <c r="AI76" s="9" t="str">
        <f t="shared" si="22"/>
        <v>#REF!</v>
      </c>
      <c r="AJ76" s="9" t="str">
        <f t="shared" si="22"/>
        <v>#REF!</v>
      </c>
      <c r="AK76" s="9" t="str">
        <f t="shared" si="22"/>
        <v>#REF!</v>
      </c>
      <c r="AL76" s="9" t="str">
        <f t="shared" si="22"/>
        <v>#REF!</v>
      </c>
      <c r="AM76" s="9" t="str">
        <f t="shared" si="22"/>
        <v>#REF!</v>
      </c>
      <c r="AN76" s="9" t="str">
        <f t="shared" si="22"/>
        <v>#REF!</v>
      </c>
      <c r="AO76" s="9" t="str">
        <f t="shared" si="22"/>
        <v>#REF!</v>
      </c>
      <c r="AP76" s="9" t="str">
        <f t="shared" si="22"/>
        <v>#REF!</v>
      </c>
      <c r="AQ76" s="9" t="str">
        <f t="shared" si="22"/>
        <v>#REF!</v>
      </c>
      <c r="AR76" s="9" t="str">
        <f t="shared" si="22"/>
        <v>#REF!</v>
      </c>
      <c r="AS76" s="9" t="str">
        <f t="shared" si="22"/>
        <v>#REF!</v>
      </c>
      <c r="AT76" s="9" t="str">
        <f t="shared" si="22"/>
        <v>#REF!</v>
      </c>
      <c r="AU76" s="9" t="str">
        <f t="shared" si="22"/>
        <v>#REF!</v>
      </c>
      <c r="AV76" s="9" t="str">
        <f t="shared" si="22"/>
        <v>#REF!</v>
      </c>
      <c r="AW76" s="9" t="str">
        <f t="shared" si="22"/>
        <v>#REF!</v>
      </c>
      <c r="AX76" s="9" t="str">
        <f t="shared" si="22"/>
        <v>#REF!</v>
      </c>
      <c r="AY76" s="9" t="str">
        <f t="shared" si="22"/>
        <v>#REF!</v>
      </c>
      <c r="AZ76" s="9" t="str">
        <f t="shared" si="22"/>
        <v>#REF!</v>
      </c>
      <c r="BA76" s="9" t="str">
        <f t="shared" si="22"/>
        <v>#REF!</v>
      </c>
      <c r="BB76" s="9" t="str">
        <f t="shared" si="22"/>
        <v>#REF!</v>
      </c>
      <c r="BC76" s="9" t="str">
        <f t="shared" si="22"/>
        <v>#REF!</v>
      </c>
      <c r="BD76" s="9" t="str">
        <f t="shared" si="22"/>
        <v>#REF!</v>
      </c>
      <c r="BE76" s="9" t="str">
        <f t="shared" si="22"/>
        <v>#REF!</v>
      </c>
      <c r="BF76" s="9" t="str">
        <f t="shared" si="22"/>
        <v>#REF!</v>
      </c>
      <c r="BG76" s="9" t="str">
        <f t="shared" si="22"/>
        <v>#REF!</v>
      </c>
      <c r="BH76" s="9" t="str">
        <f t="shared" si="22"/>
        <v>#REF!</v>
      </c>
      <c r="BI76" s="9" t="str">
        <f t="shared" si="22"/>
        <v>#REF!</v>
      </c>
      <c r="BJ76" s="9" t="str">
        <f t="shared" si="22"/>
        <v>#REF!</v>
      </c>
      <c r="BK76" s="9" t="str">
        <f t="shared" si="22"/>
        <v>#REF!</v>
      </c>
      <c r="BL76" s="9" t="str">
        <f t="shared" si="22"/>
        <v>#REF!</v>
      </c>
      <c r="BM76" s="9" t="str">
        <f t="shared" si="22"/>
        <v>#REF!</v>
      </c>
      <c r="BN76" s="9" t="str">
        <f t="shared" si="22"/>
        <v>#REF!</v>
      </c>
      <c r="BO76" s="9" t="str">
        <f t="shared" si="22"/>
        <v>#REF!</v>
      </c>
      <c r="BP76" s="9" t="str">
        <f t="shared" si="22"/>
        <v>#REF!</v>
      </c>
      <c r="BQ76" s="9" t="str">
        <f t="shared" si="22"/>
        <v>#REF!</v>
      </c>
      <c r="BR76" s="9" t="str">
        <f t="shared" si="22"/>
        <v>#REF!</v>
      </c>
      <c r="BS76" s="9" t="str">
        <f t="shared" si="22"/>
        <v>#REF!</v>
      </c>
      <c r="BT76" s="9" t="str">
        <f t="shared" si="22"/>
        <v>#REF!</v>
      </c>
      <c r="BU76" s="9" t="str">
        <f t="shared" si="22"/>
        <v>#REF!</v>
      </c>
      <c r="BV76" s="9" t="str">
        <f t="shared" si="22"/>
        <v>#REF!</v>
      </c>
      <c r="BW76" s="9" t="str">
        <f t="shared" si="22"/>
        <v>#REF!</v>
      </c>
      <c r="BX76" s="9" t="str">
        <f t="shared" si="22"/>
        <v>#REF!</v>
      </c>
      <c r="BY76" s="9" t="str">
        <f t="shared" si="22"/>
        <v>#REF!</v>
      </c>
      <c r="BZ76" s="9" t="str">
        <f t="shared" si="22"/>
        <v>#REF!</v>
      </c>
      <c r="CA76" s="9" t="str">
        <f t="shared" si="22"/>
        <v>#REF!</v>
      </c>
      <c r="CB76" s="9" t="str">
        <f t="shared" si="22"/>
        <v>#REF!</v>
      </c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ht="12.75" hidden="1" customHeight="1">
      <c r="U77" s="6">
        <v>44196.0</v>
      </c>
      <c r="V77" s="9"/>
      <c r="W77" s="9"/>
      <c r="X77" s="9"/>
      <c r="Y77" s="9"/>
      <c r="Z77" s="9"/>
      <c r="AA77" s="9"/>
      <c r="AB77" s="9"/>
      <c r="AC77" s="9" t="str">
        <f>+AB$17*#REF!</f>
        <v>#REF!</v>
      </c>
      <c r="AD77" s="9" t="str">
        <f t="shared" ref="AD77:CB77" si="23">IF(AC77&gt;0.005,(AC77-$AC77*#REF!/12),0)</f>
        <v>#REF!</v>
      </c>
      <c r="AE77" s="9" t="str">
        <f t="shared" si="23"/>
        <v>#REF!</v>
      </c>
      <c r="AF77" s="9" t="str">
        <f t="shared" si="23"/>
        <v>#REF!</v>
      </c>
      <c r="AG77" s="9" t="str">
        <f t="shared" si="23"/>
        <v>#REF!</v>
      </c>
      <c r="AH77" s="9" t="str">
        <f t="shared" si="23"/>
        <v>#REF!</v>
      </c>
      <c r="AI77" s="9" t="str">
        <f t="shared" si="23"/>
        <v>#REF!</v>
      </c>
      <c r="AJ77" s="9" t="str">
        <f t="shared" si="23"/>
        <v>#REF!</v>
      </c>
      <c r="AK77" s="9" t="str">
        <f t="shared" si="23"/>
        <v>#REF!</v>
      </c>
      <c r="AL77" s="9" t="str">
        <f t="shared" si="23"/>
        <v>#REF!</v>
      </c>
      <c r="AM77" s="9" t="str">
        <f t="shared" si="23"/>
        <v>#REF!</v>
      </c>
      <c r="AN77" s="9" t="str">
        <f t="shared" si="23"/>
        <v>#REF!</v>
      </c>
      <c r="AO77" s="9" t="str">
        <f t="shared" si="23"/>
        <v>#REF!</v>
      </c>
      <c r="AP77" s="9" t="str">
        <f t="shared" si="23"/>
        <v>#REF!</v>
      </c>
      <c r="AQ77" s="9" t="str">
        <f t="shared" si="23"/>
        <v>#REF!</v>
      </c>
      <c r="AR77" s="9" t="str">
        <f t="shared" si="23"/>
        <v>#REF!</v>
      </c>
      <c r="AS77" s="9" t="str">
        <f t="shared" si="23"/>
        <v>#REF!</v>
      </c>
      <c r="AT77" s="9" t="str">
        <f t="shared" si="23"/>
        <v>#REF!</v>
      </c>
      <c r="AU77" s="9" t="str">
        <f t="shared" si="23"/>
        <v>#REF!</v>
      </c>
      <c r="AV77" s="9" t="str">
        <f t="shared" si="23"/>
        <v>#REF!</v>
      </c>
      <c r="AW77" s="9" t="str">
        <f t="shared" si="23"/>
        <v>#REF!</v>
      </c>
      <c r="AX77" s="9" t="str">
        <f t="shared" si="23"/>
        <v>#REF!</v>
      </c>
      <c r="AY77" s="9" t="str">
        <f t="shared" si="23"/>
        <v>#REF!</v>
      </c>
      <c r="AZ77" s="9" t="str">
        <f t="shared" si="23"/>
        <v>#REF!</v>
      </c>
      <c r="BA77" s="9" t="str">
        <f t="shared" si="23"/>
        <v>#REF!</v>
      </c>
      <c r="BB77" s="9" t="str">
        <f t="shared" si="23"/>
        <v>#REF!</v>
      </c>
      <c r="BC77" s="9" t="str">
        <f t="shared" si="23"/>
        <v>#REF!</v>
      </c>
      <c r="BD77" s="9" t="str">
        <f t="shared" si="23"/>
        <v>#REF!</v>
      </c>
      <c r="BE77" s="9" t="str">
        <f t="shared" si="23"/>
        <v>#REF!</v>
      </c>
      <c r="BF77" s="9" t="str">
        <f t="shared" si="23"/>
        <v>#REF!</v>
      </c>
      <c r="BG77" s="9" t="str">
        <f t="shared" si="23"/>
        <v>#REF!</v>
      </c>
      <c r="BH77" s="9" t="str">
        <f t="shared" si="23"/>
        <v>#REF!</v>
      </c>
      <c r="BI77" s="9" t="str">
        <f t="shared" si="23"/>
        <v>#REF!</v>
      </c>
      <c r="BJ77" s="9" t="str">
        <f t="shared" si="23"/>
        <v>#REF!</v>
      </c>
      <c r="BK77" s="9" t="str">
        <f t="shared" si="23"/>
        <v>#REF!</v>
      </c>
      <c r="BL77" s="9" t="str">
        <f t="shared" si="23"/>
        <v>#REF!</v>
      </c>
      <c r="BM77" s="9" t="str">
        <f t="shared" si="23"/>
        <v>#REF!</v>
      </c>
      <c r="BN77" s="9" t="str">
        <f t="shared" si="23"/>
        <v>#REF!</v>
      </c>
      <c r="BO77" s="9" t="str">
        <f t="shared" si="23"/>
        <v>#REF!</v>
      </c>
      <c r="BP77" s="9" t="str">
        <f t="shared" si="23"/>
        <v>#REF!</v>
      </c>
      <c r="BQ77" s="9" t="str">
        <f t="shared" si="23"/>
        <v>#REF!</v>
      </c>
      <c r="BR77" s="9" t="str">
        <f t="shared" si="23"/>
        <v>#REF!</v>
      </c>
      <c r="BS77" s="9" t="str">
        <f t="shared" si="23"/>
        <v>#REF!</v>
      </c>
      <c r="BT77" s="9" t="str">
        <f t="shared" si="23"/>
        <v>#REF!</v>
      </c>
      <c r="BU77" s="9" t="str">
        <f t="shared" si="23"/>
        <v>#REF!</v>
      </c>
      <c r="BV77" s="9" t="str">
        <f t="shared" si="23"/>
        <v>#REF!</v>
      </c>
      <c r="BW77" s="9" t="str">
        <f t="shared" si="23"/>
        <v>#REF!</v>
      </c>
      <c r="BX77" s="9" t="str">
        <f t="shared" si="23"/>
        <v>#REF!</v>
      </c>
      <c r="BY77" s="9" t="str">
        <f t="shared" si="23"/>
        <v>#REF!</v>
      </c>
      <c r="BZ77" s="9" t="str">
        <f t="shared" si="23"/>
        <v>#REF!</v>
      </c>
      <c r="CA77" s="9" t="str">
        <f t="shared" si="23"/>
        <v>#REF!</v>
      </c>
      <c r="CB77" s="9" t="str">
        <f t="shared" si="23"/>
        <v>#REF!</v>
      </c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ht="12.75" hidden="1" customHeight="1">
      <c r="U78" s="6">
        <v>44227.0</v>
      </c>
      <c r="V78" s="9"/>
      <c r="W78" s="9"/>
      <c r="X78" s="9"/>
      <c r="Y78" s="9"/>
      <c r="Z78" s="9"/>
      <c r="AA78" s="9"/>
      <c r="AB78" s="9"/>
      <c r="AC78" s="9"/>
      <c r="AD78" s="9" t="str">
        <f>+AC$17*#REF!</f>
        <v>#REF!</v>
      </c>
      <c r="AE78" s="9" t="str">
        <f t="shared" ref="AE78:CB78" si="24">IF(AD78&gt;0.005,(AD78-$AD78*#REF!/12),0)</f>
        <v>#REF!</v>
      </c>
      <c r="AF78" s="9" t="str">
        <f t="shared" si="24"/>
        <v>#REF!</v>
      </c>
      <c r="AG78" s="9" t="str">
        <f t="shared" si="24"/>
        <v>#REF!</v>
      </c>
      <c r="AH78" s="9" t="str">
        <f t="shared" si="24"/>
        <v>#REF!</v>
      </c>
      <c r="AI78" s="9" t="str">
        <f t="shared" si="24"/>
        <v>#REF!</v>
      </c>
      <c r="AJ78" s="9" t="str">
        <f t="shared" si="24"/>
        <v>#REF!</v>
      </c>
      <c r="AK78" s="9" t="str">
        <f t="shared" si="24"/>
        <v>#REF!</v>
      </c>
      <c r="AL78" s="9" t="str">
        <f t="shared" si="24"/>
        <v>#REF!</v>
      </c>
      <c r="AM78" s="9" t="str">
        <f t="shared" si="24"/>
        <v>#REF!</v>
      </c>
      <c r="AN78" s="9" t="str">
        <f t="shared" si="24"/>
        <v>#REF!</v>
      </c>
      <c r="AO78" s="9" t="str">
        <f t="shared" si="24"/>
        <v>#REF!</v>
      </c>
      <c r="AP78" s="9" t="str">
        <f t="shared" si="24"/>
        <v>#REF!</v>
      </c>
      <c r="AQ78" s="9" t="str">
        <f t="shared" si="24"/>
        <v>#REF!</v>
      </c>
      <c r="AR78" s="9" t="str">
        <f t="shared" si="24"/>
        <v>#REF!</v>
      </c>
      <c r="AS78" s="9" t="str">
        <f t="shared" si="24"/>
        <v>#REF!</v>
      </c>
      <c r="AT78" s="9" t="str">
        <f t="shared" si="24"/>
        <v>#REF!</v>
      </c>
      <c r="AU78" s="9" t="str">
        <f t="shared" si="24"/>
        <v>#REF!</v>
      </c>
      <c r="AV78" s="9" t="str">
        <f t="shared" si="24"/>
        <v>#REF!</v>
      </c>
      <c r="AW78" s="9" t="str">
        <f t="shared" si="24"/>
        <v>#REF!</v>
      </c>
      <c r="AX78" s="9" t="str">
        <f t="shared" si="24"/>
        <v>#REF!</v>
      </c>
      <c r="AY78" s="9" t="str">
        <f t="shared" si="24"/>
        <v>#REF!</v>
      </c>
      <c r="AZ78" s="9" t="str">
        <f t="shared" si="24"/>
        <v>#REF!</v>
      </c>
      <c r="BA78" s="9" t="str">
        <f t="shared" si="24"/>
        <v>#REF!</v>
      </c>
      <c r="BB78" s="9" t="str">
        <f t="shared" si="24"/>
        <v>#REF!</v>
      </c>
      <c r="BC78" s="9" t="str">
        <f t="shared" si="24"/>
        <v>#REF!</v>
      </c>
      <c r="BD78" s="9" t="str">
        <f t="shared" si="24"/>
        <v>#REF!</v>
      </c>
      <c r="BE78" s="9" t="str">
        <f t="shared" si="24"/>
        <v>#REF!</v>
      </c>
      <c r="BF78" s="9" t="str">
        <f t="shared" si="24"/>
        <v>#REF!</v>
      </c>
      <c r="BG78" s="9" t="str">
        <f t="shared" si="24"/>
        <v>#REF!</v>
      </c>
      <c r="BH78" s="9" t="str">
        <f t="shared" si="24"/>
        <v>#REF!</v>
      </c>
      <c r="BI78" s="9" t="str">
        <f t="shared" si="24"/>
        <v>#REF!</v>
      </c>
      <c r="BJ78" s="9" t="str">
        <f t="shared" si="24"/>
        <v>#REF!</v>
      </c>
      <c r="BK78" s="9" t="str">
        <f t="shared" si="24"/>
        <v>#REF!</v>
      </c>
      <c r="BL78" s="9" t="str">
        <f t="shared" si="24"/>
        <v>#REF!</v>
      </c>
      <c r="BM78" s="9" t="str">
        <f t="shared" si="24"/>
        <v>#REF!</v>
      </c>
      <c r="BN78" s="9" t="str">
        <f t="shared" si="24"/>
        <v>#REF!</v>
      </c>
      <c r="BO78" s="9" t="str">
        <f t="shared" si="24"/>
        <v>#REF!</v>
      </c>
      <c r="BP78" s="9" t="str">
        <f t="shared" si="24"/>
        <v>#REF!</v>
      </c>
      <c r="BQ78" s="9" t="str">
        <f t="shared" si="24"/>
        <v>#REF!</v>
      </c>
      <c r="BR78" s="9" t="str">
        <f t="shared" si="24"/>
        <v>#REF!</v>
      </c>
      <c r="BS78" s="9" t="str">
        <f t="shared" si="24"/>
        <v>#REF!</v>
      </c>
      <c r="BT78" s="9" t="str">
        <f t="shared" si="24"/>
        <v>#REF!</v>
      </c>
      <c r="BU78" s="9" t="str">
        <f t="shared" si="24"/>
        <v>#REF!</v>
      </c>
      <c r="BV78" s="9" t="str">
        <f t="shared" si="24"/>
        <v>#REF!</v>
      </c>
      <c r="BW78" s="9" t="str">
        <f t="shared" si="24"/>
        <v>#REF!</v>
      </c>
      <c r="BX78" s="9" t="str">
        <f t="shared" si="24"/>
        <v>#REF!</v>
      </c>
      <c r="BY78" s="9" t="str">
        <f t="shared" si="24"/>
        <v>#REF!</v>
      </c>
      <c r="BZ78" s="9" t="str">
        <f t="shared" si="24"/>
        <v>#REF!</v>
      </c>
      <c r="CA78" s="9" t="str">
        <f t="shared" si="24"/>
        <v>#REF!</v>
      </c>
      <c r="CB78" s="9" t="str">
        <f t="shared" si="24"/>
        <v>#REF!</v>
      </c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ht="12.75" hidden="1" customHeight="1">
      <c r="U79" s="6">
        <v>44255.0</v>
      </c>
      <c r="V79" s="9"/>
      <c r="W79" s="9"/>
      <c r="X79" s="9"/>
      <c r="Y79" s="9"/>
      <c r="Z79" s="9"/>
      <c r="AA79" s="9"/>
      <c r="AB79" s="9"/>
      <c r="AC79" s="9"/>
      <c r="AD79" s="9"/>
      <c r="AE79" s="9" t="str">
        <f>+AD$17*#REF!</f>
        <v>#REF!</v>
      </c>
      <c r="AF79" s="9" t="str">
        <f t="shared" ref="AF79:CB79" si="25">IF(AE79&gt;0.005,(AE79-$AE79*#REF!/12),0)</f>
        <v>#REF!</v>
      </c>
      <c r="AG79" s="9" t="str">
        <f t="shared" si="25"/>
        <v>#REF!</v>
      </c>
      <c r="AH79" s="9" t="str">
        <f t="shared" si="25"/>
        <v>#REF!</v>
      </c>
      <c r="AI79" s="9" t="str">
        <f t="shared" si="25"/>
        <v>#REF!</v>
      </c>
      <c r="AJ79" s="9" t="str">
        <f t="shared" si="25"/>
        <v>#REF!</v>
      </c>
      <c r="AK79" s="9" t="str">
        <f t="shared" si="25"/>
        <v>#REF!</v>
      </c>
      <c r="AL79" s="9" t="str">
        <f t="shared" si="25"/>
        <v>#REF!</v>
      </c>
      <c r="AM79" s="9" t="str">
        <f t="shared" si="25"/>
        <v>#REF!</v>
      </c>
      <c r="AN79" s="9" t="str">
        <f t="shared" si="25"/>
        <v>#REF!</v>
      </c>
      <c r="AO79" s="9" t="str">
        <f t="shared" si="25"/>
        <v>#REF!</v>
      </c>
      <c r="AP79" s="9" t="str">
        <f t="shared" si="25"/>
        <v>#REF!</v>
      </c>
      <c r="AQ79" s="9" t="str">
        <f t="shared" si="25"/>
        <v>#REF!</v>
      </c>
      <c r="AR79" s="9" t="str">
        <f t="shared" si="25"/>
        <v>#REF!</v>
      </c>
      <c r="AS79" s="9" t="str">
        <f t="shared" si="25"/>
        <v>#REF!</v>
      </c>
      <c r="AT79" s="9" t="str">
        <f t="shared" si="25"/>
        <v>#REF!</v>
      </c>
      <c r="AU79" s="9" t="str">
        <f t="shared" si="25"/>
        <v>#REF!</v>
      </c>
      <c r="AV79" s="9" t="str">
        <f t="shared" si="25"/>
        <v>#REF!</v>
      </c>
      <c r="AW79" s="9" t="str">
        <f t="shared" si="25"/>
        <v>#REF!</v>
      </c>
      <c r="AX79" s="9" t="str">
        <f t="shared" si="25"/>
        <v>#REF!</v>
      </c>
      <c r="AY79" s="9" t="str">
        <f t="shared" si="25"/>
        <v>#REF!</v>
      </c>
      <c r="AZ79" s="9" t="str">
        <f t="shared" si="25"/>
        <v>#REF!</v>
      </c>
      <c r="BA79" s="9" t="str">
        <f t="shared" si="25"/>
        <v>#REF!</v>
      </c>
      <c r="BB79" s="9" t="str">
        <f t="shared" si="25"/>
        <v>#REF!</v>
      </c>
      <c r="BC79" s="9" t="str">
        <f t="shared" si="25"/>
        <v>#REF!</v>
      </c>
      <c r="BD79" s="9" t="str">
        <f t="shared" si="25"/>
        <v>#REF!</v>
      </c>
      <c r="BE79" s="9" t="str">
        <f t="shared" si="25"/>
        <v>#REF!</v>
      </c>
      <c r="BF79" s="9" t="str">
        <f t="shared" si="25"/>
        <v>#REF!</v>
      </c>
      <c r="BG79" s="9" t="str">
        <f t="shared" si="25"/>
        <v>#REF!</v>
      </c>
      <c r="BH79" s="9" t="str">
        <f t="shared" si="25"/>
        <v>#REF!</v>
      </c>
      <c r="BI79" s="9" t="str">
        <f t="shared" si="25"/>
        <v>#REF!</v>
      </c>
      <c r="BJ79" s="9" t="str">
        <f t="shared" si="25"/>
        <v>#REF!</v>
      </c>
      <c r="BK79" s="9" t="str">
        <f t="shared" si="25"/>
        <v>#REF!</v>
      </c>
      <c r="BL79" s="9" t="str">
        <f t="shared" si="25"/>
        <v>#REF!</v>
      </c>
      <c r="BM79" s="9" t="str">
        <f t="shared" si="25"/>
        <v>#REF!</v>
      </c>
      <c r="BN79" s="9" t="str">
        <f t="shared" si="25"/>
        <v>#REF!</v>
      </c>
      <c r="BO79" s="9" t="str">
        <f t="shared" si="25"/>
        <v>#REF!</v>
      </c>
      <c r="BP79" s="9" t="str">
        <f t="shared" si="25"/>
        <v>#REF!</v>
      </c>
      <c r="BQ79" s="9" t="str">
        <f t="shared" si="25"/>
        <v>#REF!</v>
      </c>
      <c r="BR79" s="9" t="str">
        <f t="shared" si="25"/>
        <v>#REF!</v>
      </c>
      <c r="BS79" s="9" t="str">
        <f t="shared" si="25"/>
        <v>#REF!</v>
      </c>
      <c r="BT79" s="9" t="str">
        <f t="shared" si="25"/>
        <v>#REF!</v>
      </c>
      <c r="BU79" s="9" t="str">
        <f t="shared" si="25"/>
        <v>#REF!</v>
      </c>
      <c r="BV79" s="9" t="str">
        <f t="shared" si="25"/>
        <v>#REF!</v>
      </c>
      <c r="BW79" s="9" t="str">
        <f t="shared" si="25"/>
        <v>#REF!</v>
      </c>
      <c r="BX79" s="9" t="str">
        <f t="shared" si="25"/>
        <v>#REF!</v>
      </c>
      <c r="BY79" s="9" t="str">
        <f t="shared" si="25"/>
        <v>#REF!</v>
      </c>
      <c r="BZ79" s="9" t="str">
        <f t="shared" si="25"/>
        <v>#REF!</v>
      </c>
      <c r="CA79" s="9" t="str">
        <f t="shared" si="25"/>
        <v>#REF!</v>
      </c>
      <c r="CB79" s="9" t="str">
        <f t="shared" si="25"/>
        <v>#REF!</v>
      </c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ht="12.75" hidden="1" customHeight="1">
      <c r="U80" s="6">
        <v>44286.0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 t="str">
        <f>+AE$17*#REF!</f>
        <v>#REF!</v>
      </c>
      <c r="AG80" s="9" t="str">
        <f t="shared" ref="AG80:CB80" si="26">IF(AF80&gt;0.005,(AF80-$AF80*#REF!/12),0)</f>
        <v>#REF!</v>
      </c>
      <c r="AH80" s="9" t="str">
        <f t="shared" si="26"/>
        <v>#REF!</v>
      </c>
      <c r="AI80" s="9" t="str">
        <f t="shared" si="26"/>
        <v>#REF!</v>
      </c>
      <c r="AJ80" s="9" t="str">
        <f t="shared" si="26"/>
        <v>#REF!</v>
      </c>
      <c r="AK80" s="9" t="str">
        <f t="shared" si="26"/>
        <v>#REF!</v>
      </c>
      <c r="AL80" s="9" t="str">
        <f t="shared" si="26"/>
        <v>#REF!</v>
      </c>
      <c r="AM80" s="9" t="str">
        <f t="shared" si="26"/>
        <v>#REF!</v>
      </c>
      <c r="AN80" s="9" t="str">
        <f t="shared" si="26"/>
        <v>#REF!</v>
      </c>
      <c r="AO80" s="9" t="str">
        <f t="shared" si="26"/>
        <v>#REF!</v>
      </c>
      <c r="AP80" s="9" t="str">
        <f t="shared" si="26"/>
        <v>#REF!</v>
      </c>
      <c r="AQ80" s="9" t="str">
        <f t="shared" si="26"/>
        <v>#REF!</v>
      </c>
      <c r="AR80" s="9" t="str">
        <f t="shared" si="26"/>
        <v>#REF!</v>
      </c>
      <c r="AS80" s="9" t="str">
        <f t="shared" si="26"/>
        <v>#REF!</v>
      </c>
      <c r="AT80" s="9" t="str">
        <f t="shared" si="26"/>
        <v>#REF!</v>
      </c>
      <c r="AU80" s="9" t="str">
        <f t="shared" si="26"/>
        <v>#REF!</v>
      </c>
      <c r="AV80" s="9" t="str">
        <f t="shared" si="26"/>
        <v>#REF!</v>
      </c>
      <c r="AW80" s="9" t="str">
        <f t="shared" si="26"/>
        <v>#REF!</v>
      </c>
      <c r="AX80" s="9" t="str">
        <f t="shared" si="26"/>
        <v>#REF!</v>
      </c>
      <c r="AY80" s="9" t="str">
        <f t="shared" si="26"/>
        <v>#REF!</v>
      </c>
      <c r="AZ80" s="9" t="str">
        <f t="shared" si="26"/>
        <v>#REF!</v>
      </c>
      <c r="BA80" s="9" t="str">
        <f t="shared" si="26"/>
        <v>#REF!</v>
      </c>
      <c r="BB80" s="9" t="str">
        <f t="shared" si="26"/>
        <v>#REF!</v>
      </c>
      <c r="BC80" s="9" t="str">
        <f t="shared" si="26"/>
        <v>#REF!</v>
      </c>
      <c r="BD80" s="9" t="str">
        <f t="shared" si="26"/>
        <v>#REF!</v>
      </c>
      <c r="BE80" s="9" t="str">
        <f t="shared" si="26"/>
        <v>#REF!</v>
      </c>
      <c r="BF80" s="9" t="str">
        <f t="shared" si="26"/>
        <v>#REF!</v>
      </c>
      <c r="BG80" s="9" t="str">
        <f t="shared" si="26"/>
        <v>#REF!</v>
      </c>
      <c r="BH80" s="9" t="str">
        <f t="shared" si="26"/>
        <v>#REF!</v>
      </c>
      <c r="BI80" s="9" t="str">
        <f t="shared" si="26"/>
        <v>#REF!</v>
      </c>
      <c r="BJ80" s="9" t="str">
        <f t="shared" si="26"/>
        <v>#REF!</v>
      </c>
      <c r="BK80" s="9" t="str">
        <f t="shared" si="26"/>
        <v>#REF!</v>
      </c>
      <c r="BL80" s="9" t="str">
        <f t="shared" si="26"/>
        <v>#REF!</v>
      </c>
      <c r="BM80" s="9" t="str">
        <f t="shared" si="26"/>
        <v>#REF!</v>
      </c>
      <c r="BN80" s="9" t="str">
        <f t="shared" si="26"/>
        <v>#REF!</v>
      </c>
      <c r="BO80" s="9" t="str">
        <f t="shared" si="26"/>
        <v>#REF!</v>
      </c>
      <c r="BP80" s="9" t="str">
        <f t="shared" si="26"/>
        <v>#REF!</v>
      </c>
      <c r="BQ80" s="9" t="str">
        <f t="shared" si="26"/>
        <v>#REF!</v>
      </c>
      <c r="BR80" s="9" t="str">
        <f t="shared" si="26"/>
        <v>#REF!</v>
      </c>
      <c r="BS80" s="9" t="str">
        <f t="shared" si="26"/>
        <v>#REF!</v>
      </c>
      <c r="BT80" s="9" t="str">
        <f t="shared" si="26"/>
        <v>#REF!</v>
      </c>
      <c r="BU80" s="9" t="str">
        <f t="shared" si="26"/>
        <v>#REF!</v>
      </c>
      <c r="BV80" s="9" t="str">
        <f t="shared" si="26"/>
        <v>#REF!</v>
      </c>
      <c r="BW80" s="9" t="str">
        <f t="shared" si="26"/>
        <v>#REF!</v>
      </c>
      <c r="BX80" s="9" t="str">
        <f t="shared" si="26"/>
        <v>#REF!</v>
      </c>
      <c r="BY80" s="9" t="str">
        <f t="shared" si="26"/>
        <v>#REF!</v>
      </c>
      <c r="BZ80" s="9" t="str">
        <f t="shared" si="26"/>
        <v>#REF!</v>
      </c>
      <c r="CA80" s="9" t="str">
        <f t="shared" si="26"/>
        <v>#REF!</v>
      </c>
      <c r="CB80" s="9" t="str">
        <f t="shared" si="26"/>
        <v>#REF!</v>
      </c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ht="12.75" hidden="1" customHeight="1">
      <c r="U81" s="6">
        <v>44316.0</v>
      </c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 t="str">
        <f>+AF$17*#REF!</f>
        <v>#REF!</v>
      </c>
      <c r="AH81" s="9" t="str">
        <f t="shared" ref="AH81:CC81" si="27">IF(AG81&gt;0.005,(AG81-$AG81*#REF!/12),0)</f>
        <v>#REF!</v>
      </c>
      <c r="AI81" s="9" t="str">
        <f t="shared" si="27"/>
        <v>#REF!</v>
      </c>
      <c r="AJ81" s="9" t="str">
        <f t="shared" si="27"/>
        <v>#REF!</v>
      </c>
      <c r="AK81" s="9" t="str">
        <f t="shared" si="27"/>
        <v>#REF!</v>
      </c>
      <c r="AL81" s="9" t="str">
        <f t="shared" si="27"/>
        <v>#REF!</v>
      </c>
      <c r="AM81" s="9" t="str">
        <f t="shared" si="27"/>
        <v>#REF!</v>
      </c>
      <c r="AN81" s="9" t="str">
        <f t="shared" si="27"/>
        <v>#REF!</v>
      </c>
      <c r="AO81" s="9" t="str">
        <f t="shared" si="27"/>
        <v>#REF!</v>
      </c>
      <c r="AP81" s="9" t="str">
        <f t="shared" si="27"/>
        <v>#REF!</v>
      </c>
      <c r="AQ81" s="9" t="str">
        <f t="shared" si="27"/>
        <v>#REF!</v>
      </c>
      <c r="AR81" s="9" t="str">
        <f t="shared" si="27"/>
        <v>#REF!</v>
      </c>
      <c r="AS81" s="9" t="str">
        <f t="shared" si="27"/>
        <v>#REF!</v>
      </c>
      <c r="AT81" s="9" t="str">
        <f t="shared" si="27"/>
        <v>#REF!</v>
      </c>
      <c r="AU81" s="9" t="str">
        <f t="shared" si="27"/>
        <v>#REF!</v>
      </c>
      <c r="AV81" s="9" t="str">
        <f t="shared" si="27"/>
        <v>#REF!</v>
      </c>
      <c r="AW81" s="9" t="str">
        <f t="shared" si="27"/>
        <v>#REF!</v>
      </c>
      <c r="AX81" s="9" t="str">
        <f t="shared" si="27"/>
        <v>#REF!</v>
      </c>
      <c r="AY81" s="9" t="str">
        <f t="shared" si="27"/>
        <v>#REF!</v>
      </c>
      <c r="AZ81" s="9" t="str">
        <f t="shared" si="27"/>
        <v>#REF!</v>
      </c>
      <c r="BA81" s="9" t="str">
        <f t="shared" si="27"/>
        <v>#REF!</v>
      </c>
      <c r="BB81" s="9" t="str">
        <f t="shared" si="27"/>
        <v>#REF!</v>
      </c>
      <c r="BC81" s="9" t="str">
        <f t="shared" si="27"/>
        <v>#REF!</v>
      </c>
      <c r="BD81" s="9" t="str">
        <f t="shared" si="27"/>
        <v>#REF!</v>
      </c>
      <c r="BE81" s="9" t="str">
        <f t="shared" si="27"/>
        <v>#REF!</v>
      </c>
      <c r="BF81" s="9" t="str">
        <f t="shared" si="27"/>
        <v>#REF!</v>
      </c>
      <c r="BG81" s="9" t="str">
        <f t="shared" si="27"/>
        <v>#REF!</v>
      </c>
      <c r="BH81" s="9" t="str">
        <f t="shared" si="27"/>
        <v>#REF!</v>
      </c>
      <c r="BI81" s="9" t="str">
        <f t="shared" si="27"/>
        <v>#REF!</v>
      </c>
      <c r="BJ81" s="9" t="str">
        <f t="shared" si="27"/>
        <v>#REF!</v>
      </c>
      <c r="BK81" s="9" t="str">
        <f t="shared" si="27"/>
        <v>#REF!</v>
      </c>
      <c r="BL81" s="9" t="str">
        <f t="shared" si="27"/>
        <v>#REF!</v>
      </c>
      <c r="BM81" s="9" t="str">
        <f t="shared" si="27"/>
        <v>#REF!</v>
      </c>
      <c r="BN81" s="9" t="str">
        <f t="shared" si="27"/>
        <v>#REF!</v>
      </c>
      <c r="BO81" s="9" t="str">
        <f t="shared" si="27"/>
        <v>#REF!</v>
      </c>
      <c r="BP81" s="9" t="str">
        <f t="shared" si="27"/>
        <v>#REF!</v>
      </c>
      <c r="BQ81" s="9" t="str">
        <f t="shared" si="27"/>
        <v>#REF!</v>
      </c>
      <c r="BR81" s="9" t="str">
        <f t="shared" si="27"/>
        <v>#REF!</v>
      </c>
      <c r="BS81" s="9" t="str">
        <f t="shared" si="27"/>
        <v>#REF!</v>
      </c>
      <c r="BT81" s="9" t="str">
        <f t="shared" si="27"/>
        <v>#REF!</v>
      </c>
      <c r="BU81" s="9" t="str">
        <f t="shared" si="27"/>
        <v>#REF!</v>
      </c>
      <c r="BV81" s="9" t="str">
        <f t="shared" si="27"/>
        <v>#REF!</v>
      </c>
      <c r="BW81" s="9" t="str">
        <f t="shared" si="27"/>
        <v>#REF!</v>
      </c>
      <c r="BX81" s="9" t="str">
        <f t="shared" si="27"/>
        <v>#REF!</v>
      </c>
      <c r="BY81" s="9" t="str">
        <f t="shared" si="27"/>
        <v>#REF!</v>
      </c>
      <c r="BZ81" s="9" t="str">
        <f t="shared" si="27"/>
        <v>#REF!</v>
      </c>
      <c r="CA81" s="9" t="str">
        <f t="shared" si="27"/>
        <v>#REF!</v>
      </c>
      <c r="CB81" s="9" t="str">
        <f t="shared" si="27"/>
        <v>#REF!</v>
      </c>
      <c r="CC81" s="9" t="str">
        <f t="shared" si="27"/>
        <v>#REF!</v>
      </c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ht="12.75" hidden="1" customHeight="1">
      <c r="U82" s="6">
        <v>44347.0</v>
      </c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 t="str">
        <f>+AG$17*#REF!</f>
        <v>#REF!</v>
      </c>
      <c r="AI82" s="9" t="str">
        <f t="shared" ref="AI82:CD82" si="28">IF(AH82&gt;0.005,(AH82-$AH82*#REF!/12),0)</f>
        <v>#REF!</v>
      </c>
      <c r="AJ82" s="9" t="str">
        <f t="shared" si="28"/>
        <v>#REF!</v>
      </c>
      <c r="AK82" s="9" t="str">
        <f t="shared" si="28"/>
        <v>#REF!</v>
      </c>
      <c r="AL82" s="9" t="str">
        <f t="shared" si="28"/>
        <v>#REF!</v>
      </c>
      <c r="AM82" s="9" t="str">
        <f t="shared" si="28"/>
        <v>#REF!</v>
      </c>
      <c r="AN82" s="9" t="str">
        <f t="shared" si="28"/>
        <v>#REF!</v>
      </c>
      <c r="AO82" s="9" t="str">
        <f t="shared" si="28"/>
        <v>#REF!</v>
      </c>
      <c r="AP82" s="9" t="str">
        <f t="shared" si="28"/>
        <v>#REF!</v>
      </c>
      <c r="AQ82" s="9" t="str">
        <f t="shared" si="28"/>
        <v>#REF!</v>
      </c>
      <c r="AR82" s="9" t="str">
        <f t="shared" si="28"/>
        <v>#REF!</v>
      </c>
      <c r="AS82" s="9" t="str">
        <f t="shared" si="28"/>
        <v>#REF!</v>
      </c>
      <c r="AT82" s="9" t="str">
        <f t="shared" si="28"/>
        <v>#REF!</v>
      </c>
      <c r="AU82" s="9" t="str">
        <f t="shared" si="28"/>
        <v>#REF!</v>
      </c>
      <c r="AV82" s="9" t="str">
        <f t="shared" si="28"/>
        <v>#REF!</v>
      </c>
      <c r="AW82" s="9" t="str">
        <f t="shared" si="28"/>
        <v>#REF!</v>
      </c>
      <c r="AX82" s="9" t="str">
        <f t="shared" si="28"/>
        <v>#REF!</v>
      </c>
      <c r="AY82" s="9" t="str">
        <f t="shared" si="28"/>
        <v>#REF!</v>
      </c>
      <c r="AZ82" s="9" t="str">
        <f t="shared" si="28"/>
        <v>#REF!</v>
      </c>
      <c r="BA82" s="9" t="str">
        <f t="shared" si="28"/>
        <v>#REF!</v>
      </c>
      <c r="BB82" s="9" t="str">
        <f t="shared" si="28"/>
        <v>#REF!</v>
      </c>
      <c r="BC82" s="9" t="str">
        <f t="shared" si="28"/>
        <v>#REF!</v>
      </c>
      <c r="BD82" s="9" t="str">
        <f t="shared" si="28"/>
        <v>#REF!</v>
      </c>
      <c r="BE82" s="9" t="str">
        <f t="shared" si="28"/>
        <v>#REF!</v>
      </c>
      <c r="BF82" s="9" t="str">
        <f t="shared" si="28"/>
        <v>#REF!</v>
      </c>
      <c r="BG82" s="9" t="str">
        <f t="shared" si="28"/>
        <v>#REF!</v>
      </c>
      <c r="BH82" s="9" t="str">
        <f t="shared" si="28"/>
        <v>#REF!</v>
      </c>
      <c r="BI82" s="9" t="str">
        <f t="shared" si="28"/>
        <v>#REF!</v>
      </c>
      <c r="BJ82" s="9" t="str">
        <f t="shared" si="28"/>
        <v>#REF!</v>
      </c>
      <c r="BK82" s="9" t="str">
        <f t="shared" si="28"/>
        <v>#REF!</v>
      </c>
      <c r="BL82" s="9" t="str">
        <f t="shared" si="28"/>
        <v>#REF!</v>
      </c>
      <c r="BM82" s="9" t="str">
        <f t="shared" si="28"/>
        <v>#REF!</v>
      </c>
      <c r="BN82" s="9" t="str">
        <f t="shared" si="28"/>
        <v>#REF!</v>
      </c>
      <c r="BO82" s="9" t="str">
        <f t="shared" si="28"/>
        <v>#REF!</v>
      </c>
      <c r="BP82" s="9" t="str">
        <f t="shared" si="28"/>
        <v>#REF!</v>
      </c>
      <c r="BQ82" s="9" t="str">
        <f t="shared" si="28"/>
        <v>#REF!</v>
      </c>
      <c r="BR82" s="9" t="str">
        <f t="shared" si="28"/>
        <v>#REF!</v>
      </c>
      <c r="BS82" s="9" t="str">
        <f t="shared" si="28"/>
        <v>#REF!</v>
      </c>
      <c r="BT82" s="9" t="str">
        <f t="shared" si="28"/>
        <v>#REF!</v>
      </c>
      <c r="BU82" s="9" t="str">
        <f t="shared" si="28"/>
        <v>#REF!</v>
      </c>
      <c r="BV82" s="9" t="str">
        <f t="shared" si="28"/>
        <v>#REF!</v>
      </c>
      <c r="BW82" s="9" t="str">
        <f t="shared" si="28"/>
        <v>#REF!</v>
      </c>
      <c r="BX82" s="9" t="str">
        <f t="shared" si="28"/>
        <v>#REF!</v>
      </c>
      <c r="BY82" s="9" t="str">
        <f t="shared" si="28"/>
        <v>#REF!</v>
      </c>
      <c r="BZ82" s="9" t="str">
        <f t="shared" si="28"/>
        <v>#REF!</v>
      </c>
      <c r="CA82" s="9" t="str">
        <f t="shared" si="28"/>
        <v>#REF!</v>
      </c>
      <c r="CB82" s="9" t="str">
        <f t="shared" si="28"/>
        <v>#REF!</v>
      </c>
      <c r="CC82" s="9" t="str">
        <f t="shared" si="28"/>
        <v>#REF!</v>
      </c>
      <c r="CD82" s="9" t="str">
        <f t="shared" si="28"/>
        <v>#REF!</v>
      </c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ht="12.75" hidden="1" customHeight="1">
      <c r="U83" s="6">
        <v>44377.0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 t="str">
        <f>+AH$17*#REF!</f>
        <v>#REF!</v>
      </c>
      <c r="AJ83" s="9" t="str">
        <f t="shared" ref="AJ83:CE83" si="29">IF(AI83&gt;0.005,(AI83-$AI83*#REF!/12),0)</f>
        <v>#REF!</v>
      </c>
      <c r="AK83" s="9" t="str">
        <f t="shared" si="29"/>
        <v>#REF!</v>
      </c>
      <c r="AL83" s="9" t="str">
        <f t="shared" si="29"/>
        <v>#REF!</v>
      </c>
      <c r="AM83" s="9" t="str">
        <f t="shared" si="29"/>
        <v>#REF!</v>
      </c>
      <c r="AN83" s="9" t="str">
        <f t="shared" si="29"/>
        <v>#REF!</v>
      </c>
      <c r="AO83" s="9" t="str">
        <f t="shared" si="29"/>
        <v>#REF!</v>
      </c>
      <c r="AP83" s="9" t="str">
        <f t="shared" si="29"/>
        <v>#REF!</v>
      </c>
      <c r="AQ83" s="9" t="str">
        <f t="shared" si="29"/>
        <v>#REF!</v>
      </c>
      <c r="AR83" s="9" t="str">
        <f t="shared" si="29"/>
        <v>#REF!</v>
      </c>
      <c r="AS83" s="9" t="str">
        <f t="shared" si="29"/>
        <v>#REF!</v>
      </c>
      <c r="AT83" s="9" t="str">
        <f t="shared" si="29"/>
        <v>#REF!</v>
      </c>
      <c r="AU83" s="9" t="str">
        <f t="shared" si="29"/>
        <v>#REF!</v>
      </c>
      <c r="AV83" s="9" t="str">
        <f t="shared" si="29"/>
        <v>#REF!</v>
      </c>
      <c r="AW83" s="9" t="str">
        <f t="shared" si="29"/>
        <v>#REF!</v>
      </c>
      <c r="AX83" s="9" t="str">
        <f t="shared" si="29"/>
        <v>#REF!</v>
      </c>
      <c r="AY83" s="9" t="str">
        <f t="shared" si="29"/>
        <v>#REF!</v>
      </c>
      <c r="AZ83" s="9" t="str">
        <f t="shared" si="29"/>
        <v>#REF!</v>
      </c>
      <c r="BA83" s="9" t="str">
        <f t="shared" si="29"/>
        <v>#REF!</v>
      </c>
      <c r="BB83" s="9" t="str">
        <f t="shared" si="29"/>
        <v>#REF!</v>
      </c>
      <c r="BC83" s="9" t="str">
        <f t="shared" si="29"/>
        <v>#REF!</v>
      </c>
      <c r="BD83" s="9" t="str">
        <f t="shared" si="29"/>
        <v>#REF!</v>
      </c>
      <c r="BE83" s="9" t="str">
        <f t="shared" si="29"/>
        <v>#REF!</v>
      </c>
      <c r="BF83" s="9" t="str">
        <f t="shared" si="29"/>
        <v>#REF!</v>
      </c>
      <c r="BG83" s="9" t="str">
        <f t="shared" si="29"/>
        <v>#REF!</v>
      </c>
      <c r="BH83" s="9" t="str">
        <f t="shared" si="29"/>
        <v>#REF!</v>
      </c>
      <c r="BI83" s="9" t="str">
        <f t="shared" si="29"/>
        <v>#REF!</v>
      </c>
      <c r="BJ83" s="9" t="str">
        <f t="shared" si="29"/>
        <v>#REF!</v>
      </c>
      <c r="BK83" s="9" t="str">
        <f t="shared" si="29"/>
        <v>#REF!</v>
      </c>
      <c r="BL83" s="9" t="str">
        <f t="shared" si="29"/>
        <v>#REF!</v>
      </c>
      <c r="BM83" s="9" t="str">
        <f t="shared" si="29"/>
        <v>#REF!</v>
      </c>
      <c r="BN83" s="9" t="str">
        <f t="shared" si="29"/>
        <v>#REF!</v>
      </c>
      <c r="BO83" s="9" t="str">
        <f t="shared" si="29"/>
        <v>#REF!</v>
      </c>
      <c r="BP83" s="9" t="str">
        <f t="shared" si="29"/>
        <v>#REF!</v>
      </c>
      <c r="BQ83" s="9" t="str">
        <f t="shared" si="29"/>
        <v>#REF!</v>
      </c>
      <c r="BR83" s="9" t="str">
        <f t="shared" si="29"/>
        <v>#REF!</v>
      </c>
      <c r="BS83" s="9" t="str">
        <f t="shared" si="29"/>
        <v>#REF!</v>
      </c>
      <c r="BT83" s="9" t="str">
        <f t="shared" si="29"/>
        <v>#REF!</v>
      </c>
      <c r="BU83" s="9" t="str">
        <f t="shared" si="29"/>
        <v>#REF!</v>
      </c>
      <c r="BV83" s="9" t="str">
        <f t="shared" si="29"/>
        <v>#REF!</v>
      </c>
      <c r="BW83" s="9" t="str">
        <f t="shared" si="29"/>
        <v>#REF!</v>
      </c>
      <c r="BX83" s="9" t="str">
        <f t="shared" si="29"/>
        <v>#REF!</v>
      </c>
      <c r="BY83" s="9" t="str">
        <f t="shared" si="29"/>
        <v>#REF!</v>
      </c>
      <c r="BZ83" s="9" t="str">
        <f t="shared" si="29"/>
        <v>#REF!</v>
      </c>
      <c r="CA83" s="9" t="str">
        <f t="shared" si="29"/>
        <v>#REF!</v>
      </c>
      <c r="CB83" s="9" t="str">
        <f t="shared" si="29"/>
        <v>#REF!</v>
      </c>
      <c r="CC83" s="9" t="str">
        <f t="shared" si="29"/>
        <v>#REF!</v>
      </c>
      <c r="CD83" s="9" t="str">
        <f t="shared" si="29"/>
        <v>#REF!</v>
      </c>
      <c r="CE83" s="9" t="str">
        <f t="shared" si="29"/>
        <v>#REF!</v>
      </c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ht="12.75" hidden="1" customHeight="1">
      <c r="U84" s="6">
        <v>44408.0</v>
      </c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 t="str">
        <f>+AI$17*#REF!</f>
        <v>#REF!</v>
      </c>
      <c r="AK84" s="9" t="str">
        <f t="shared" ref="AK84:CF84" si="30">IF(AJ84&gt;0.005,(AJ84-$AJ84*#REF!/12),0)</f>
        <v>#REF!</v>
      </c>
      <c r="AL84" s="9" t="str">
        <f t="shared" si="30"/>
        <v>#REF!</v>
      </c>
      <c r="AM84" s="9" t="str">
        <f t="shared" si="30"/>
        <v>#REF!</v>
      </c>
      <c r="AN84" s="9" t="str">
        <f t="shared" si="30"/>
        <v>#REF!</v>
      </c>
      <c r="AO84" s="9" t="str">
        <f t="shared" si="30"/>
        <v>#REF!</v>
      </c>
      <c r="AP84" s="9" t="str">
        <f t="shared" si="30"/>
        <v>#REF!</v>
      </c>
      <c r="AQ84" s="9" t="str">
        <f t="shared" si="30"/>
        <v>#REF!</v>
      </c>
      <c r="AR84" s="9" t="str">
        <f t="shared" si="30"/>
        <v>#REF!</v>
      </c>
      <c r="AS84" s="9" t="str">
        <f t="shared" si="30"/>
        <v>#REF!</v>
      </c>
      <c r="AT84" s="9" t="str">
        <f t="shared" si="30"/>
        <v>#REF!</v>
      </c>
      <c r="AU84" s="9" t="str">
        <f t="shared" si="30"/>
        <v>#REF!</v>
      </c>
      <c r="AV84" s="9" t="str">
        <f t="shared" si="30"/>
        <v>#REF!</v>
      </c>
      <c r="AW84" s="9" t="str">
        <f t="shared" si="30"/>
        <v>#REF!</v>
      </c>
      <c r="AX84" s="9" t="str">
        <f t="shared" si="30"/>
        <v>#REF!</v>
      </c>
      <c r="AY84" s="9" t="str">
        <f t="shared" si="30"/>
        <v>#REF!</v>
      </c>
      <c r="AZ84" s="9" t="str">
        <f t="shared" si="30"/>
        <v>#REF!</v>
      </c>
      <c r="BA84" s="9" t="str">
        <f t="shared" si="30"/>
        <v>#REF!</v>
      </c>
      <c r="BB84" s="9" t="str">
        <f t="shared" si="30"/>
        <v>#REF!</v>
      </c>
      <c r="BC84" s="9" t="str">
        <f t="shared" si="30"/>
        <v>#REF!</v>
      </c>
      <c r="BD84" s="9" t="str">
        <f t="shared" si="30"/>
        <v>#REF!</v>
      </c>
      <c r="BE84" s="9" t="str">
        <f t="shared" si="30"/>
        <v>#REF!</v>
      </c>
      <c r="BF84" s="9" t="str">
        <f t="shared" si="30"/>
        <v>#REF!</v>
      </c>
      <c r="BG84" s="9" t="str">
        <f t="shared" si="30"/>
        <v>#REF!</v>
      </c>
      <c r="BH84" s="9" t="str">
        <f t="shared" si="30"/>
        <v>#REF!</v>
      </c>
      <c r="BI84" s="9" t="str">
        <f t="shared" si="30"/>
        <v>#REF!</v>
      </c>
      <c r="BJ84" s="9" t="str">
        <f t="shared" si="30"/>
        <v>#REF!</v>
      </c>
      <c r="BK84" s="9" t="str">
        <f t="shared" si="30"/>
        <v>#REF!</v>
      </c>
      <c r="BL84" s="9" t="str">
        <f t="shared" si="30"/>
        <v>#REF!</v>
      </c>
      <c r="BM84" s="9" t="str">
        <f t="shared" si="30"/>
        <v>#REF!</v>
      </c>
      <c r="BN84" s="9" t="str">
        <f t="shared" si="30"/>
        <v>#REF!</v>
      </c>
      <c r="BO84" s="9" t="str">
        <f t="shared" si="30"/>
        <v>#REF!</v>
      </c>
      <c r="BP84" s="9" t="str">
        <f t="shared" si="30"/>
        <v>#REF!</v>
      </c>
      <c r="BQ84" s="9" t="str">
        <f t="shared" si="30"/>
        <v>#REF!</v>
      </c>
      <c r="BR84" s="9" t="str">
        <f t="shared" si="30"/>
        <v>#REF!</v>
      </c>
      <c r="BS84" s="9" t="str">
        <f t="shared" si="30"/>
        <v>#REF!</v>
      </c>
      <c r="BT84" s="9" t="str">
        <f t="shared" si="30"/>
        <v>#REF!</v>
      </c>
      <c r="BU84" s="9" t="str">
        <f t="shared" si="30"/>
        <v>#REF!</v>
      </c>
      <c r="BV84" s="9" t="str">
        <f t="shared" si="30"/>
        <v>#REF!</v>
      </c>
      <c r="BW84" s="9" t="str">
        <f t="shared" si="30"/>
        <v>#REF!</v>
      </c>
      <c r="BX84" s="9" t="str">
        <f t="shared" si="30"/>
        <v>#REF!</v>
      </c>
      <c r="BY84" s="9" t="str">
        <f t="shared" si="30"/>
        <v>#REF!</v>
      </c>
      <c r="BZ84" s="9" t="str">
        <f t="shared" si="30"/>
        <v>#REF!</v>
      </c>
      <c r="CA84" s="9" t="str">
        <f t="shared" si="30"/>
        <v>#REF!</v>
      </c>
      <c r="CB84" s="9" t="str">
        <f t="shared" si="30"/>
        <v>#REF!</v>
      </c>
      <c r="CC84" s="9" t="str">
        <f t="shared" si="30"/>
        <v>#REF!</v>
      </c>
      <c r="CD84" s="9" t="str">
        <f t="shared" si="30"/>
        <v>#REF!</v>
      </c>
      <c r="CE84" s="9" t="str">
        <f t="shared" si="30"/>
        <v>#REF!</v>
      </c>
      <c r="CF84" s="9" t="str">
        <f t="shared" si="30"/>
        <v>#REF!</v>
      </c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ht="12.75" hidden="1" customHeight="1">
      <c r="U85" s="6">
        <v>44439.0</v>
      </c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 t="str">
        <f>+AJ$17*#REF!</f>
        <v>#REF!</v>
      </c>
      <c r="AL85" s="9" t="str">
        <f t="shared" ref="AL85:CG85" si="31">IF(AK85&gt;0.005,(AK85-$AK85*#REF!/12),0)</f>
        <v>#REF!</v>
      </c>
      <c r="AM85" s="9" t="str">
        <f t="shared" si="31"/>
        <v>#REF!</v>
      </c>
      <c r="AN85" s="9" t="str">
        <f t="shared" si="31"/>
        <v>#REF!</v>
      </c>
      <c r="AO85" s="9" t="str">
        <f t="shared" si="31"/>
        <v>#REF!</v>
      </c>
      <c r="AP85" s="9" t="str">
        <f t="shared" si="31"/>
        <v>#REF!</v>
      </c>
      <c r="AQ85" s="9" t="str">
        <f t="shared" si="31"/>
        <v>#REF!</v>
      </c>
      <c r="AR85" s="9" t="str">
        <f t="shared" si="31"/>
        <v>#REF!</v>
      </c>
      <c r="AS85" s="9" t="str">
        <f t="shared" si="31"/>
        <v>#REF!</v>
      </c>
      <c r="AT85" s="9" t="str">
        <f t="shared" si="31"/>
        <v>#REF!</v>
      </c>
      <c r="AU85" s="9" t="str">
        <f t="shared" si="31"/>
        <v>#REF!</v>
      </c>
      <c r="AV85" s="9" t="str">
        <f t="shared" si="31"/>
        <v>#REF!</v>
      </c>
      <c r="AW85" s="9" t="str">
        <f t="shared" si="31"/>
        <v>#REF!</v>
      </c>
      <c r="AX85" s="9" t="str">
        <f t="shared" si="31"/>
        <v>#REF!</v>
      </c>
      <c r="AY85" s="9" t="str">
        <f t="shared" si="31"/>
        <v>#REF!</v>
      </c>
      <c r="AZ85" s="9" t="str">
        <f t="shared" si="31"/>
        <v>#REF!</v>
      </c>
      <c r="BA85" s="9" t="str">
        <f t="shared" si="31"/>
        <v>#REF!</v>
      </c>
      <c r="BB85" s="9" t="str">
        <f t="shared" si="31"/>
        <v>#REF!</v>
      </c>
      <c r="BC85" s="9" t="str">
        <f t="shared" si="31"/>
        <v>#REF!</v>
      </c>
      <c r="BD85" s="9" t="str">
        <f t="shared" si="31"/>
        <v>#REF!</v>
      </c>
      <c r="BE85" s="9" t="str">
        <f t="shared" si="31"/>
        <v>#REF!</v>
      </c>
      <c r="BF85" s="9" t="str">
        <f t="shared" si="31"/>
        <v>#REF!</v>
      </c>
      <c r="BG85" s="9" t="str">
        <f t="shared" si="31"/>
        <v>#REF!</v>
      </c>
      <c r="BH85" s="9" t="str">
        <f t="shared" si="31"/>
        <v>#REF!</v>
      </c>
      <c r="BI85" s="9" t="str">
        <f t="shared" si="31"/>
        <v>#REF!</v>
      </c>
      <c r="BJ85" s="9" t="str">
        <f t="shared" si="31"/>
        <v>#REF!</v>
      </c>
      <c r="BK85" s="9" t="str">
        <f t="shared" si="31"/>
        <v>#REF!</v>
      </c>
      <c r="BL85" s="9" t="str">
        <f t="shared" si="31"/>
        <v>#REF!</v>
      </c>
      <c r="BM85" s="9" t="str">
        <f t="shared" si="31"/>
        <v>#REF!</v>
      </c>
      <c r="BN85" s="9" t="str">
        <f t="shared" si="31"/>
        <v>#REF!</v>
      </c>
      <c r="BO85" s="9" t="str">
        <f t="shared" si="31"/>
        <v>#REF!</v>
      </c>
      <c r="BP85" s="9" t="str">
        <f t="shared" si="31"/>
        <v>#REF!</v>
      </c>
      <c r="BQ85" s="9" t="str">
        <f t="shared" si="31"/>
        <v>#REF!</v>
      </c>
      <c r="BR85" s="9" t="str">
        <f t="shared" si="31"/>
        <v>#REF!</v>
      </c>
      <c r="BS85" s="9" t="str">
        <f t="shared" si="31"/>
        <v>#REF!</v>
      </c>
      <c r="BT85" s="9" t="str">
        <f t="shared" si="31"/>
        <v>#REF!</v>
      </c>
      <c r="BU85" s="9" t="str">
        <f t="shared" si="31"/>
        <v>#REF!</v>
      </c>
      <c r="BV85" s="9" t="str">
        <f t="shared" si="31"/>
        <v>#REF!</v>
      </c>
      <c r="BW85" s="9" t="str">
        <f t="shared" si="31"/>
        <v>#REF!</v>
      </c>
      <c r="BX85" s="9" t="str">
        <f t="shared" si="31"/>
        <v>#REF!</v>
      </c>
      <c r="BY85" s="9" t="str">
        <f t="shared" si="31"/>
        <v>#REF!</v>
      </c>
      <c r="BZ85" s="9" t="str">
        <f t="shared" si="31"/>
        <v>#REF!</v>
      </c>
      <c r="CA85" s="9" t="str">
        <f t="shared" si="31"/>
        <v>#REF!</v>
      </c>
      <c r="CB85" s="9" t="str">
        <f t="shared" si="31"/>
        <v>#REF!</v>
      </c>
      <c r="CC85" s="9" t="str">
        <f t="shared" si="31"/>
        <v>#REF!</v>
      </c>
      <c r="CD85" s="9" t="str">
        <f t="shared" si="31"/>
        <v>#REF!</v>
      </c>
      <c r="CE85" s="9" t="str">
        <f t="shared" si="31"/>
        <v>#REF!</v>
      </c>
      <c r="CF85" s="9" t="str">
        <f t="shared" si="31"/>
        <v>#REF!</v>
      </c>
      <c r="CG85" s="9" t="str">
        <f t="shared" si="31"/>
        <v>#REF!</v>
      </c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ht="12.75" hidden="1" customHeight="1">
      <c r="U86" s="6">
        <v>44469.0</v>
      </c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 t="str">
        <f>+AK$17*#REF!</f>
        <v>#REF!</v>
      </c>
      <c r="AM86" s="9" t="str">
        <f t="shared" ref="AM86:CH86" si="32">IF(AL86&gt;0.005,(AL86-$AL86*#REF!/12),0)</f>
        <v>#REF!</v>
      </c>
      <c r="AN86" s="9" t="str">
        <f t="shared" si="32"/>
        <v>#REF!</v>
      </c>
      <c r="AO86" s="9" t="str">
        <f t="shared" si="32"/>
        <v>#REF!</v>
      </c>
      <c r="AP86" s="9" t="str">
        <f t="shared" si="32"/>
        <v>#REF!</v>
      </c>
      <c r="AQ86" s="9" t="str">
        <f t="shared" si="32"/>
        <v>#REF!</v>
      </c>
      <c r="AR86" s="9" t="str">
        <f t="shared" si="32"/>
        <v>#REF!</v>
      </c>
      <c r="AS86" s="9" t="str">
        <f t="shared" si="32"/>
        <v>#REF!</v>
      </c>
      <c r="AT86" s="9" t="str">
        <f t="shared" si="32"/>
        <v>#REF!</v>
      </c>
      <c r="AU86" s="9" t="str">
        <f t="shared" si="32"/>
        <v>#REF!</v>
      </c>
      <c r="AV86" s="9" t="str">
        <f t="shared" si="32"/>
        <v>#REF!</v>
      </c>
      <c r="AW86" s="9" t="str">
        <f t="shared" si="32"/>
        <v>#REF!</v>
      </c>
      <c r="AX86" s="9" t="str">
        <f t="shared" si="32"/>
        <v>#REF!</v>
      </c>
      <c r="AY86" s="9" t="str">
        <f t="shared" si="32"/>
        <v>#REF!</v>
      </c>
      <c r="AZ86" s="9" t="str">
        <f t="shared" si="32"/>
        <v>#REF!</v>
      </c>
      <c r="BA86" s="9" t="str">
        <f t="shared" si="32"/>
        <v>#REF!</v>
      </c>
      <c r="BB86" s="9" t="str">
        <f t="shared" si="32"/>
        <v>#REF!</v>
      </c>
      <c r="BC86" s="9" t="str">
        <f t="shared" si="32"/>
        <v>#REF!</v>
      </c>
      <c r="BD86" s="9" t="str">
        <f t="shared" si="32"/>
        <v>#REF!</v>
      </c>
      <c r="BE86" s="9" t="str">
        <f t="shared" si="32"/>
        <v>#REF!</v>
      </c>
      <c r="BF86" s="9" t="str">
        <f t="shared" si="32"/>
        <v>#REF!</v>
      </c>
      <c r="BG86" s="9" t="str">
        <f t="shared" si="32"/>
        <v>#REF!</v>
      </c>
      <c r="BH86" s="9" t="str">
        <f t="shared" si="32"/>
        <v>#REF!</v>
      </c>
      <c r="BI86" s="9" t="str">
        <f t="shared" si="32"/>
        <v>#REF!</v>
      </c>
      <c r="BJ86" s="9" t="str">
        <f t="shared" si="32"/>
        <v>#REF!</v>
      </c>
      <c r="BK86" s="9" t="str">
        <f t="shared" si="32"/>
        <v>#REF!</v>
      </c>
      <c r="BL86" s="9" t="str">
        <f t="shared" si="32"/>
        <v>#REF!</v>
      </c>
      <c r="BM86" s="9" t="str">
        <f t="shared" si="32"/>
        <v>#REF!</v>
      </c>
      <c r="BN86" s="9" t="str">
        <f t="shared" si="32"/>
        <v>#REF!</v>
      </c>
      <c r="BO86" s="9" t="str">
        <f t="shared" si="32"/>
        <v>#REF!</v>
      </c>
      <c r="BP86" s="9" t="str">
        <f t="shared" si="32"/>
        <v>#REF!</v>
      </c>
      <c r="BQ86" s="9" t="str">
        <f t="shared" si="32"/>
        <v>#REF!</v>
      </c>
      <c r="BR86" s="9" t="str">
        <f t="shared" si="32"/>
        <v>#REF!</v>
      </c>
      <c r="BS86" s="9" t="str">
        <f t="shared" si="32"/>
        <v>#REF!</v>
      </c>
      <c r="BT86" s="9" t="str">
        <f t="shared" si="32"/>
        <v>#REF!</v>
      </c>
      <c r="BU86" s="9" t="str">
        <f t="shared" si="32"/>
        <v>#REF!</v>
      </c>
      <c r="BV86" s="9" t="str">
        <f t="shared" si="32"/>
        <v>#REF!</v>
      </c>
      <c r="BW86" s="9" t="str">
        <f t="shared" si="32"/>
        <v>#REF!</v>
      </c>
      <c r="BX86" s="9" t="str">
        <f t="shared" si="32"/>
        <v>#REF!</v>
      </c>
      <c r="BY86" s="9" t="str">
        <f t="shared" si="32"/>
        <v>#REF!</v>
      </c>
      <c r="BZ86" s="9" t="str">
        <f t="shared" si="32"/>
        <v>#REF!</v>
      </c>
      <c r="CA86" s="9" t="str">
        <f t="shared" si="32"/>
        <v>#REF!</v>
      </c>
      <c r="CB86" s="9" t="str">
        <f t="shared" si="32"/>
        <v>#REF!</v>
      </c>
      <c r="CC86" s="9" t="str">
        <f t="shared" si="32"/>
        <v>#REF!</v>
      </c>
      <c r="CD86" s="9" t="str">
        <f t="shared" si="32"/>
        <v>#REF!</v>
      </c>
      <c r="CE86" s="9" t="str">
        <f t="shared" si="32"/>
        <v>#REF!</v>
      </c>
      <c r="CF86" s="9" t="str">
        <f t="shared" si="32"/>
        <v>#REF!</v>
      </c>
      <c r="CG86" s="9" t="str">
        <f t="shared" si="32"/>
        <v>#REF!</v>
      </c>
      <c r="CH86" s="9" t="str">
        <f t="shared" si="32"/>
        <v>#REF!</v>
      </c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ht="12.75" hidden="1" customHeight="1">
      <c r="U87" s="6">
        <v>44500.0</v>
      </c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 t="str">
        <f>+AL$17*#REF!</f>
        <v>#REF!</v>
      </c>
      <c r="AN87" s="9" t="str">
        <f t="shared" ref="AN87:CI87" si="33">IF(AM87&gt;0.005,(AM87-$AM87*#REF!/12),0)</f>
        <v>#REF!</v>
      </c>
      <c r="AO87" s="9" t="str">
        <f t="shared" si="33"/>
        <v>#REF!</v>
      </c>
      <c r="AP87" s="9" t="str">
        <f t="shared" si="33"/>
        <v>#REF!</v>
      </c>
      <c r="AQ87" s="9" t="str">
        <f t="shared" si="33"/>
        <v>#REF!</v>
      </c>
      <c r="AR87" s="9" t="str">
        <f t="shared" si="33"/>
        <v>#REF!</v>
      </c>
      <c r="AS87" s="9" t="str">
        <f t="shared" si="33"/>
        <v>#REF!</v>
      </c>
      <c r="AT87" s="9" t="str">
        <f t="shared" si="33"/>
        <v>#REF!</v>
      </c>
      <c r="AU87" s="9" t="str">
        <f t="shared" si="33"/>
        <v>#REF!</v>
      </c>
      <c r="AV87" s="9" t="str">
        <f t="shared" si="33"/>
        <v>#REF!</v>
      </c>
      <c r="AW87" s="9" t="str">
        <f t="shared" si="33"/>
        <v>#REF!</v>
      </c>
      <c r="AX87" s="9" t="str">
        <f t="shared" si="33"/>
        <v>#REF!</v>
      </c>
      <c r="AY87" s="9" t="str">
        <f t="shared" si="33"/>
        <v>#REF!</v>
      </c>
      <c r="AZ87" s="9" t="str">
        <f t="shared" si="33"/>
        <v>#REF!</v>
      </c>
      <c r="BA87" s="9" t="str">
        <f t="shared" si="33"/>
        <v>#REF!</v>
      </c>
      <c r="BB87" s="9" t="str">
        <f t="shared" si="33"/>
        <v>#REF!</v>
      </c>
      <c r="BC87" s="9" t="str">
        <f t="shared" si="33"/>
        <v>#REF!</v>
      </c>
      <c r="BD87" s="9" t="str">
        <f t="shared" si="33"/>
        <v>#REF!</v>
      </c>
      <c r="BE87" s="9" t="str">
        <f t="shared" si="33"/>
        <v>#REF!</v>
      </c>
      <c r="BF87" s="9" t="str">
        <f t="shared" si="33"/>
        <v>#REF!</v>
      </c>
      <c r="BG87" s="9" t="str">
        <f t="shared" si="33"/>
        <v>#REF!</v>
      </c>
      <c r="BH87" s="9" t="str">
        <f t="shared" si="33"/>
        <v>#REF!</v>
      </c>
      <c r="BI87" s="9" t="str">
        <f t="shared" si="33"/>
        <v>#REF!</v>
      </c>
      <c r="BJ87" s="9" t="str">
        <f t="shared" si="33"/>
        <v>#REF!</v>
      </c>
      <c r="BK87" s="9" t="str">
        <f t="shared" si="33"/>
        <v>#REF!</v>
      </c>
      <c r="BL87" s="9" t="str">
        <f t="shared" si="33"/>
        <v>#REF!</v>
      </c>
      <c r="BM87" s="9" t="str">
        <f t="shared" si="33"/>
        <v>#REF!</v>
      </c>
      <c r="BN87" s="9" t="str">
        <f t="shared" si="33"/>
        <v>#REF!</v>
      </c>
      <c r="BO87" s="9" t="str">
        <f t="shared" si="33"/>
        <v>#REF!</v>
      </c>
      <c r="BP87" s="9" t="str">
        <f t="shared" si="33"/>
        <v>#REF!</v>
      </c>
      <c r="BQ87" s="9" t="str">
        <f t="shared" si="33"/>
        <v>#REF!</v>
      </c>
      <c r="BR87" s="9" t="str">
        <f t="shared" si="33"/>
        <v>#REF!</v>
      </c>
      <c r="BS87" s="9" t="str">
        <f t="shared" si="33"/>
        <v>#REF!</v>
      </c>
      <c r="BT87" s="9" t="str">
        <f t="shared" si="33"/>
        <v>#REF!</v>
      </c>
      <c r="BU87" s="9" t="str">
        <f t="shared" si="33"/>
        <v>#REF!</v>
      </c>
      <c r="BV87" s="9" t="str">
        <f t="shared" si="33"/>
        <v>#REF!</v>
      </c>
      <c r="BW87" s="9" t="str">
        <f t="shared" si="33"/>
        <v>#REF!</v>
      </c>
      <c r="BX87" s="9" t="str">
        <f t="shared" si="33"/>
        <v>#REF!</v>
      </c>
      <c r="BY87" s="9" t="str">
        <f t="shared" si="33"/>
        <v>#REF!</v>
      </c>
      <c r="BZ87" s="9" t="str">
        <f t="shared" si="33"/>
        <v>#REF!</v>
      </c>
      <c r="CA87" s="9" t="str">
        <f t="shared" si="33"/>
        <v>#REF!</v>
      </c>
      <c r="CB87" s="9" t="str">
        <f t="shared" si="33"/>
        <v>#REF!</v>
      </c>
      <c r="CC87" s="9" t="str">
        <f t="shared" si="33"/>
        <v>#REF!</v>
      </c>
      <c r="CD87" s="9" t="str">
        <f t="shared" si="33"/>
        <v>#REF!</v>
      </c>
      <c r="CE87" s="9" t="str">
        <f t="shared" si="33"/>
        <v>#REF!</v>
      </c>
      <c r="CF87" s="9" t="str">
        <f t="shared" si="33"/>
        <v>#REF!</v>
      </c>
      <c r="CG87" s="9" t="str">
        <f t="shared" si="33"/>
        <v>#REF!</v>
      </c>
      <c r="CH87" s="9" t="str">
        <f t="shared" si="33"/>
        <v>#REF!</v>
      </c>
      <c r="CI87" s="9" t="str">
        <f t="shared" si="33"/>
        <v>#REF!</v>
      </c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ht="12.75" hidden="1" customHeight="1">
      <c r="U88" s="6">
        <v>44530.0</v>
      </c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 t="str">
        <f>+AM$17*#REF!</f>
        <v>#REF!</v>
      </c>
      <c r="AO88" s="9" t="str">
        <f t="shared" ref="AO88:CJ88" si="34">IF(AN88&gt;0.005,(AN88-$AN88*#REF!/12),0)</f>
        <v>#REF!</v>
      </c>
      <c r="AP88" s="9" t="str">
        <f t="shared" si="34"/>
        <v>#REF!</v>
      </c>
      <c r="AQ88" s="9" t="str">
        <f t="shared" si="34"/>
        <v>#REF!</v>
      </c>
      <c r="AR88" s="9" t="str">
        <f t="shared" si="34"/>
        <v>#REF!</v>
      </c>
      <c r="AS88" s="9" t="str">
        <f t="shared" si="34"/>
        <v>#REF!</v>
      </c>
      <c r="AT88" s="9" t="str">
        <f t="shared" si="34"/>
        <v>#REF!</v>
      </c>
      <c r="AU88" s="9" t="str">
        <f t="shared" si="34"/>
        <v>#REF!</v>
      </c>
      <c r="AV88" s="9" t="str">
        <f t="shared" si="34"/>
        <v>#REF!</v>
      </c>
      <c r="AW88" s="9" t="str">
        <f t="shared" si="34"/>
        <v>#REF!</v>
      </c>
      <c r="AX88" s="9" t="str">
        <f t="shared" si="34"/>
        <v>#REF!</v>
      </c>
      <c r="AY88" s="9" t="str">
        <f t="shared" si="34"/>
        <v>#REF!</v>
      </c>
      <c r="AZ88" s="9" t="str">
        <f t="shared" si="34"/>
        <v>#REF!</v>
      </c>
      <c r="BA88" s="9" t="str">
        <f t="shared" si="34"/>
        <v>#REF!</v>
      </c>
      <c r="BB88" s="9" t="str">
        <f t="shared" si="34"/>
        <v>#REF!</v>
      </c>
      <c r="BC88" s="9" t="str">
        <f t="shared" si="34"/>
        <v>#REF!</v>
      </c>
      <c r="BD88" s="9" t="str">
        <f t="shared" si="34"/>
        <v>#REF!</v>
      </c>
      <c r="BE88" s="9" t="str">
        <f t="shared" si="34"/>
        <v>#REF!</v>
      </c>
      <c r="BF88" s="9" t="str">
        <f t="shared" si="34"/>
        <v>#REF!</v>
      </c>
      <c r="BG88" s="9" t="str">
        <f t="shared" si="34"/>
        <v>#REF!</v>
      </c>
      <c r="BH88" s="9" t="str">
        <f t="shared" si="34"/>
        <v>#REF!</v>
      </c>
      <c r="BI88" s="9" t="str">
        <f t="shared" si="34"/>
        <v>#REF!</v>
      </c>
      <c r="BJ88" s="9" t="str">
        <f t="shared" si="34"/>
        <v>#REF!</v>
      </c>
      <c r="BK88" s="9" t="str">
        <f t="shared" si="34"/>
        <v>#REF!</v>
      </c>
      <c r="BL88" s="9" t="str">
        <f t="shared" si="34"/>
        <v>#REF!</v>
      </c>
      <c r="BM88" s="9" t="str">
        <f t="shared" si="34"/>
        <v>#REF!</v>
      </c>
      <c r="BN88" s="9" t="str">
        <f t="shared" si="34"/>
        <v>#REF!</v>
      </c>
      <c r="BO88" s="9" t="str">
        <f t="shared" si="34"/>
        <v>#REF!</v>
      </c>
      <c r="BP88" s="9" t="str">
        <f t="shared" si="34"/>
        <v>#REF!</v>
      </c>
      <c r="BQ88" s="9" t="str">
        <f t="shared" si="34"/>
        <v>#REF!</v>
      </c>
      <c r="BR88" s="9" t="str">
        <f t="shared" si="34"/>
        <v>#REF!</v>
      </c>
      <c r="BS88" s="9" t="str">
        <f t="shared" si="34"/>
        <v>#REF!</v>
      </c>
      <c r="BT88" s="9" t="str">
        <f t="shared" si="34"/>
        <v>#REF!</v>
      </c>
      <c r="BU88" s="9" t="str">
        <f t="shared" si="34"/>
        <v>#REF!</v>
      </c>
      <c r="BV88" s="9" t="str">
        <f t="shared" si="34"/>
        <v>#REF!</v>
      </c>
      <c r="BW88" s="9" t="str">
        <f t="shared" si="34"/>
        <v>#REF!</v>
      </c>
      <c r="BX88" s="9" t="str">
        <f t="shared" si="34"/>
        <v>#REF!</v>
      </c>
      <c r="BY88" s="9" t="str">
        <f t="shared" si="34"/>
        <v>#REF!</v>
      </c>
      <c r="BZ88" s="9" t="str">
        <f t="shared" si="34"/>
        <v>#REF!</v>
      </c>
      <c r="CA88" s="9" t="str">
        <f t="shared" si="34"/>
        <v>#REF!</v>
      </c>
      <c r="CB88" s="9" t="str">
        <f t="shared" si="34"/>
        <v>#REF!</v>
      </c>
      <c r="CC88" s="9" t="str">
        <f t="shared" si="34"/>
        <v>#REF!</v>
      </c>
      <c r="CD88" s="9" t="str">
        <f t="shared" si="34"/>
        <v>#REF!</v>
      </c>
      <c r="CE88" s="9" t="str">
        <f t="shared" si="34"/>
        <v>#REF!</v>
      </c>
      <c r="CF88" s="9" t="str">
        <f t="shared" si="34"/>
        <v>#REF!</v>
      </c>
      <c r="CG88" s="9" t="str">
        <f t="shared" si="34"/>
        <v>#REF!</v>
      </c>
      <c r="CH88" s="9" t="str">
        <f t="shared" si="34"/>
        <v>#REF!</v>
      </c>
      <c r="CI88" s="9" t="str">
        <f t="shared" si="34"/>
        <v>#REF!</v>
      </c>
      <c r="CJ88" s="9" t="str">
        <f t="shared" si="34"/>
        <v>#REF!</v>
      </c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ht="12.75" hidden="1" customHeight="1">
      <c r="U89" s="6">
        <v>44561.0</v>
      </c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 t="str">
        <f>+AN$17*#REF!</f>
        <v>#REF!</v>
      </c>
      <c r="AP89" s="9" t="str">
        <f t="shared" ref="AP89:CK89" si="35">IF(AO89&gt;0.005,(AO89-$AO89*#REF!/12),0)</f>
        <v>#REF!</v>
      </c>
      <c r="AQ89" s="9" t="str">
        <f t="shared" si="35"/>
        <v>#REF!</v>
      </c>
      <c r="AR89" s="9" t="str">
        <f t="shared" si="35"/>
        <v>#REF!</v>
      </c>
      <c r="AS89" s="9" t="str">
        <f t="shared" si="35"/>
        <v>#REF!</v>
      </c>
      <c r="AT89" s="9" t="str">
        <f t="shared" si="35"/>
        <v>#REF!</v>
      </c>
      <c r="AU89" s="9" t="str">
        <f t="shared" si="35"/>
        <v>#REF!</v>
      </c>
      <c r="AV89" s="9" t="str">
        <f t="shared" si="35"/>
        <v>#REF!</v>
      </c>
      <c r="AW89" s="9" t="str">
        <f t="shared" si="35"/>
        <v>#REF!</v>
      </c>
      <c r="AX89" s="9" t="str">
        <f t="shared" si="35"/>
        <v>#REF!</v>
      </c>
      <c r="AY89" s="9" t="str">
        <f t="shared" si="35"/>
        <v>#REF!</v>
      </c>
      <c r="AZ89" s="9" t="str">
        <f t="shared" si="35"/>
        <v>#REF!</v>
      </c>
      <c r="BA89" s="9" t="str">
        <f t="shared" si="35"/>
        <v>#REF!</v>
      </c>
      <c r="BB89" s="9" t="str">
        <f t="shared" si="35"/>
        <v>#REF!</v>
      </c>
      <c r="BC89" s="9" t="str">
        <f t="shared" si="35"/>
        <v>#REF!</v>
      </c>
      <c r="BD89" s="9" t="str">
        <f t="shared" si="35"/>
        <v>#REF!</v>
      </c>
      <c r="BE89" s="9" t="str">
        <f t="shared" si="35"/>
        <v>#REF!</v>
      </c>
      <c r="BF89" s="9" t="str">
        <f t="shared" si="35"/>
        <v>#REF!</v>
      </c>
      <c r="BG89" s="9" t="str">
        <f t="shared" si="35"/>
        <v>#REF!</v>
      </c>
      <c r="BH89" s="9" t="str">
        <f t="shared" si="35"/>
        <v>#REF!</v>
      </c>
      <c r="BI89" s="9" t="str">
        <f t="shared" si="35"/>
        <v>#REF!</v>
      </c>
      <c r="BJ89" s="9" t="str">
        <f t="shared" si="35"/>
        <v>#REF!</v>
      </c>
      <c r="BK89" s="9" t="str">
        <f t="shared" si="35"/>
        <v>#REF!</v>
      </c>
      <c r="BL89" s="9" t="str">
        <f t="shared" si="35"/>
        <v>#REF!</v>
      </c>
      <c r="BM89" s="9" t="str">
        <f t="shared" si="35"/>
        <v>#REF!</v>
      </c>
      <c r="BN89" s="9" t="str">
        <f t="shared" si="35"/>
        <v>#REF!</v>
      </c>
      <c r="BO89" s="9" t="str">
        <f t="shared" si="35"/>
        <v>#REF!</v>
      </c>
      <c r="BP89" s="9" t="str">
        <f t="shared" si="35"/>
        <v>#REF!</v>
      </c>
      <c r="BQ89" s="9" t="str">
        <f t="shared" si="35"/>
        <v>#REF!</v>
      </c>
      <c r="BR89" s="9" t="str">
        <f t="shared" si="35"/>
        <v>#REF!</v>
      </c>
      <c r="BS89" s="9" t="str">
        <f t="shared" si="35"/>
        <v>#REF!</v>
      </c>
      <c r="BT89" s="9" t="str">
        <f t="shared" si="35"/>
        <v>#REF!</v>
      </c>
      <c r="BU89" s="9" t="str">
        <f t="shared" si="35"/>
        <v>#REF!</v>
      </c>
      <c r="BV89" s="9" t="str">
        <f t="shared" si="35"/>
        <v>#REF!</v>
      </c>
      <c r="BW89" s="9" t="str">
        <f t="shared" si="35"/>
        <v>#REF!</v>
      </c>
      <c r="BX89" s="9" t="str">
        <f t="shared" si="35"/>
        <v>#REF!</v>
      </c>
      <c r="BY89" s="9" t="str">
        <f t="shared" si="35"/>
        <v>#REF!</v>
      </c>
      <c r="BZ89" s="9" t="str">
        <f t="shared" si="35"/>
        <v>#REF!</v>
      </c>
      <c r="CA89" s="9" t="str">
        <f t="shared" si="35"/>
        <v>#REF!</v>
      </c>
      <c r="CB89" s="9" t="str">
        <f t="shared" si="35"/>
        <v>#REF!</v>
      </c>
      <c r="CC89" s="9" t="str">
        <f t="shared" si="35"/>
        <v>#REF!</v>
      </c>
      <c r="CD89" s="9" t="str">
        <f t="shared" si="35"/>
        <v>#REF!</v>
      </c>
      <c r="CE89" s="9" t="str">
        <f t="shared" si="35"/>
        <v>#REF!</v>
      </c>
      <c r="CF89" s="9" t="str">
        <f t="shared" si="35"/>
        <v>#REF!</v>
      </c>
      <c r="CG89" s="9" t="str">
        <f t="shared" si="35"/>
        <v>#REF!</v>
      </c>
      <c r="CH89" s="9" t="str">
        <f t="shared" si="35"/>
        <v>#REF!</v>
      </c>
      <c r="CI89" s="9" t="str">
        <f t="shared" si="35"/>
        <v>#REF!</v>
      </c>
      <c r="CJ89" s="9" t="str">
        <f t="shared" si="35"/>
        <v>#REF!</v>
      </c>
      <c r="CK89" s="9" t="str">
        <f t="shared" si="35"/>
        <v>#REF!</v>
      </c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ht="12.75" hidden="1" customHeight="1">
      <c r="U90" s="6">
        <v>44592.0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 t="str">
        <f>+AO$17*#REF!</f>
        <v>#REF!</v>
      </c>
      <c r="AQ90" s="9" t="str">
        <f t="shared" ref="AQ90:CL90" si="36">IF(AP90&gt;0.005,(AP90-$AP90*#REF!/12),0)</f>
        <v>#REF!</v>
      </c>
      <c r="AR90" s="9" t="str">
        <f t="shared" si="36"/>
        <v>#REF!</v>
      </c>
      <c r="AS90" s="9" t="str">
        <f t="shared" si="36"/>
        <v>#REF!</v>
      </c>
      <c r="AT90" s="9" t="str">
        <f t="shared" si="36"/>
        <v>#REF!</v>
      </c>
      <c r="AU90" s="9" t="str">
        <f t="shared" si="36"/>
        <v>#REF!</v>
      </c>
      <c r="AV90" s="9" t="str">
        <f t="shared" si="36"/>
        <v>#REF!</v>
      </c>
      <c r="AW90" s="9" t="str">
        <f t="shared" si="36"/>
        <v>#REF!</v>
      </c>
      <c r="AX90" s="9" t="str">
        <f t="shared" si="36"/>
        <v>#REF!</v>
      </c>
      <c r="AY90" s="9" t="str">
        <f t="shared" si="36"/>
        <v>#REF!</v>
      </c>
      <c r="AZ90" s="9" t="str">
        <f t="shared" si="36"/>
        <v>#REF!</v>
      </c>
      <c r="BA90" s="9" t="str">
        <f t="shared" si="36"/>
        <v>#REF!</v>
      </c>
      <c r="BB90" s="9" t="str">
        <f t="shared" si="36"/>
        <v>#REF!</v>
      </c>
      <c r="BC90" s="9" t="str">
        <f t="shared" si="36"/>
        <v>#REF!</v>
      </c>
      <c r="BD90" s="9" t="str">
        <f t="shared" si="36"/>
        <v>#REF!</v>
      </c>
      <c r="BE90" s="9" t="str">
        <f t="shared" si="36"/>
        <v>#REF!</v>
      </c>
      <c r="BF90" s="9" t="str">
        <f t="shared" si="36"/>
        <v>#REF!</v>
      </c>
      <c r="BG90" s="9" t="str">
        <f t="shared" si="36"/>
        <v>#REF!</v>
      </c>
      <c r="BH90" s="9" t="str">
        <f t="shared" si="36"/>
        <v>#REF!</v>
      </c>
      <c r="BI90" s="9" t="str">
        <f t="shared" si="36"/>
        <v>#REF!</v>
      </c>
      <c r="BJ90" s="9" t="str">
        <f t="shared" si="36"/>
        <v>#REF!</v>
      </c>
      <c r="BK90" s="9" t="str">
        <f t="shared" si="36"/>
        <v>#REF!</v>
      </c>
      <c r="BL90" s="9" t="str">
        <f t="shared" si="36"/>
        <v>#REF!</v>
      </c>
      <c r="BM90" s="9" t="str">
        <f t="shared" si="36"/>
        <v>#REF!</v>
      </c>
      <c r="BN90" s="9" t="str">
        <f t="shared" si="36"/>
        <v>#REF!</v>
      </c>
      <c r="BO90" s="9" t="str">
        <f t="shared" si="36"/>
        <v>#REF!</v>
      </c>
      <c r="BP90" s="9" t="str">
        <f t="shared" si="36"/>
        <v>#REF!</v>
      </c>
      <c r="BQ90" s="9" t="str">
        <f t="shared" si="36"/>
        <v>#REF!</v>
      </c>
      <c r="BR90" s="9" t="str">
        <f t="shared" si="36"/>
        <v>#REF!</v>
      </c>
      <c r="BS90" s="9" t="str">
        <f t="shared" si="36"/>
        <v>#REF!</v>
      </c>
      <c r="BT90" s="9" t="str">
        <f t="shared" si="36"/>
        <v>#REF!</v>
      </c>
      <c r="BU90" s="9" t="str">
        <f t="shared" si="36"/>
        <v>#REF!</v>
      </c>
      <c r="BV90" s="9" t="str">
        <f t="shared" si="36"/>
        <v>#REF!</v>
      </c>
      <c r="BW90" s="9" t="str">
        <f t="shared" si="36"/>
        <v>#REF!</v>
      </c>
      <c r="BX90" s="9" t="str">
        <f t="shared" si="36"/>
        <v>#REF!</v>
      </c>
      <c r="BY90" s="9" t="str">
        <f t="shared" si="36"/>
        <v>#REF!</v>
      </c>
      <c r="BZ90" s="9" t="str">
        <f t="shared" si="36"/>
        <v>#REF!</v>
      </c>
      <c r="CA90" s="9" t="str">
        <f t="shared" si="36"/>
        <v>#REF!</v>
      </c>
      <c r="CB90" s="9" t="str">
        <f t="shared" si="36"/>
        <v>#REF!</v>
      </c>
      <c r="CC90" s="9" t="str">
        <f t="shared" si="36"/>
        <v>#REF!</v>
      </c>
      <c r="CD90" s="9" t="str">
        <f t="shared" si="36"/>
        <v>#REF!</v>
      </c>
      <c r="CE90" s="9" t="str">
        <f t="shared" si="36"/>
        <v>#REF!</v>
      </c>
      <c r="CF90" s="9" t="str">
        <f t="shared" si="36"/>
        <v>#REF!</v>
      </c>
      <c r="CG90" s="9" t="str">
        <f t="shared" si="36"/>
        <v>#REF!</v>
      </c>
      <c r="CH90" s="9" t="str">
        <f t="shared" si="36"/>
        <v>#REF!</v>
      </c>
      <c r="CI90" s="9" t="str">
        <f t="shared" si="36"/>
        <v>#REF!</v>
      </c>
      <c r="CJ90" s="9" t="str">
        <f t="shared" si="36"/>
        <v>#REF!</v>
      </c>
      <c r="CK90" s="9" t="str">
        <f t="shared" si="36"/>
        <v>#REF!</v>
      </c>
      <c r="CL90" s="9" t="str">
        <f t="shared" si="36"/>
        <v>#REF!</v>
      </c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ht="12.75" hidden="1" customHeight="1">
      <c r="U91" s="6">
        <v>44620.0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 t="str">
        <f>+AP$17*#REF!</f>
        <v>#REF!</v>
      </c>
      <c r="AR91" s="9" t="str">
        <f t="shared" ref="AR91:CM91" si="37">IF(AQ91&gt;0.005,(AQ91-$AQ91*#REF!/12),0)</f>
        <v>#REF!</v>
      </c>
      <c r="AS91" s="9" t="str">
        <f t="shared" si="37"/>
        <v>#REF!</v>
      </c>
      <c r="AT91" s="9" t="str">
        <f t="shared" si="37"/>
        <v>#REF!</v>
      </c>
      <c r="AU91" s="9" t="str">
        <f t="shared" si="37"/>
        <v>#REF!</v>
      </c>
      <c r="AV91" s="9" t="str">
        <f t="shared" si="37"/>
        <v>#REF!</v>
      </c>
      <c r="AW91" s="9" t="str">
        <f t="shared" si="37"/>
        <v>#REF!</v>
      </c>
      <c r="AX91" s="9" t="str">
        <f t="shared" si="37"/>
        <v>#REF!</v>
      </c>
      <c r="AY91" s="9" t="str">
        <f t="shared" si="37"/>
        <v>#REF!</v>
      </c>
      <c r="AZ91" s="9" t="str">
        <f t="shared" si="37"/>
        <v>#REF!</v>
      </c>
      <c r="BA91" s="9" t="str">
        <f t="shared" si="37"/>
        <v>#REF!</v>
      </c>
      <c r="BB91" s="9" t="str">
        <f t="shared" si="37"/>
        <v>#REF!</v>
      </c>
      <c r="BC91" s="9" t="str">
        <f t="shared" si="37"/>
        <v>#REF!</v>
      </c>
      <c r="BD91" s="9" t="str">
        <f t="shared" si="37"/>
        <v>#REF!</v>
      </c>
      <c r="BE91" s="9" t="str">
        <f t="shared" si="37"/>
        <v>#REF!</v>
      </c>
      <c r="BF91" s="9" t="str">
        <f t="shared" si="37"/>
        <v>#REF!</v>
      </c>
      <c r="BG91" s="9" t="str">
        <f t="shared" si="37"/>
        <v>#REF!</v>
      </c>
      <c r="BH91" s="9" t="str">
        <f t="shared" si="37"/>
        <v>#REF!</v>
      </c>
      <c r="BI91" s="9" t="str">
        <f t="shared" si="37"/>
        <v>#REF!</v>
      </c>
      <c r="BJ91" s="9" t="str">
        <f t="shared" si="37"/>
        <v>#REF!</v>
      </c>
      <c r="BK91" s="9" t="str">
        <f t="shared" si="37"/>
        <v>#REF!</v>
      </c>
      <c r="BL91" s="9" t="str">
        <f t="shared" si="37"/>
        <v>#REF!</v>
      </c>
      <c r="BM91" s="9" t="str">
        <f t="shared" si="37"/>
        <v>#REF!</v>
      </c>
      <c r="BN91" s="9" t="str">
        <f t="shared" si="37"/>
        <v>#REF!</v>
      </c>
      <c r="BO91" s="9" t="str">
        <f t="shared" si="37"/>
        <v>#REF!</v>
      </c>
      <c r="BP91" s="9" t="str">
        <f t="shared" si="37"/>
        <v>#REF!</v>
      </c>
      <c r="BQ91" s="9" t="str">
        <f t="shared" si="37"/>
        <v>#REF!</v>
      </c>
      <c r="BR91" s="9" t="str">
        <f t="shared" si="37"/>
        <v>#REF!</v>
      </c>
      <c r="BS91" s="9" t="str">
        <f t="shared" si="37"/>
        <v>#REF!</v>
      </c>
      <c r="BT91" s="9" t="str">
        <f t="shared" si="37"/>
        <v>#REF!</v>
      </c>
      <c r="BU91" s="9" t="str">
        <f t="shared" si="37"/>
        <v>#REF!</v>
      </c>
      <c r="BV91" s="9" t="str">
        <f t="shared" si="37"/>
        <v>#REF!</v>
      </c>
      <c r="BW91" s="9" t="str">
        <f t="shared" si="37"/>
        <v>#REF!</v>
      </c>
      <c r="BX91" s="9" t="str">
        <f t="shared" si="37"/>
        <v>#REF!</v>
      </c>
      <c r="BY91" s="9" t="str">
        <f t="shared" si="37"/>
        <v>#REF!</v>
      </c>
      <c r="BZ91" s="9" t="str">
        <f t="shared" si="37"/>
        <v>#REF!</v>
      </c>
      <c r="CA91" s="9" t="str">
        <f t="shared" si="37"/>
        <v>#REF!</v>
      </c>
      <c r="CB91" s="9" t="str">
        <f t="shared" si="37"/>
        <v>#REF!</v>
      </c>
      <c r="CC91" s="9" t="str">
        <f t="shared" si="37"/>
        <v>#REF!</v>
      </c>
      <c r="CD91" s="9" t="str">
        <f t="shared" si="37"/>
        <v>#REF!</v>
      </c>
      <c r="CE91" s="9" t="str">
        <f t="shared" si="37"/>
        <v>#REF!</v>
      </c>
      <c r="CF91" s="9" t="str">
        <f t="shared" si="37"/>
        <v>#REF!</v>
      </c>
      <c r="CG91" s="9" t="str">
        <f t="shared" si="37"/>
        <v>#REF!</v>
      </c>
      <c r="CH91" s="9" t="str">
        <f t="shared" si="37"/>
        <v>#REF!</v>
      </c>
      <c r="CI91" s="9" t="str">
        <f t="shared" si="37"/>
        <v>#REF!</v>
      </c>
      <c r="CJ91" s="9" t="str">
        <f t="shared" si="37"/>
        <v>#REF!</v>
      </c>
      <c r="CK91" s="9" t="str">
        <f t="shared" si="37"/>
        <v>#REF!</v>
      </c>
      <c r="CL91" s="9" t="str">
        <f t="shared" si="37"/>
        <v>#REF!</v>
      </c>
      <c r="CM91" s="9" t="str">
        <f t="shared" si="37"/>
        <v>#REF!</v>
      </c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ht="12.75" hidden="1" customHeight="1">
      <c r="U92" s="6">
        <v>44651.0</v>
      </c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 t="str">
        <f>+AQ$17*#REF!</f>
        <v>#REF!</v>
      </c>
      <c r="AS92" s="9" t="str">
        <f t="shared" ref="AS92:CN92" si="38">IF(AR92&gt;0.005,(AR92-$AR92*#REF!/12),0)</f>
        <v>#REF!</v>
      </c>
      <c r="AT92" s="9" t="str">
        <f t="shared" si="38"/>
        <v>#REF!</v>
      </c>
      <c r="AU92" s="9" t="str">
        <f t="shared" si="38"/>
        <v>#REF!</v>
      </c>
      <c r="AV92" s="9" t="str">
        <f t="shared" si="38"/>
        <v>#REF!</v>
      </c>
      <c r="AW92" s="9" t="str">
        <f t="shared" si="38"/>
        <v>#REF!</v>
      </c>
      <c r="AX92" s="9" t="str">
        <f t="shared" si="38"/>
        <v>#REF!</v>
      </c>
      <c r="AY92" s="9" t="str">
        <f t="shared" si="38"/>
        <v>#REF!</v>
      </c>
      <c r="AZ92" s="9" t="str">
        <f t="shared" si="38"/>
        <v>#REF!</v>
      </c>
      <c r="BA92" s="9" t="str">
        <f t="shared" si="38"/>
        <v>#REF!</v>
      </c>
      <c r="BB92" s="9" t="str">
        <f t="shared" si="38"/>
        <v>#REF!</v>
      </c>
      <c r="BC92" s="9" t="str">
        <f t="shared" si="38"/>
        <v>#REF!</v>
      </c>
      <c r="BD92" s="9" t="str">
        <f t="shared" si="38"/>
        <v>#REF!</v>
      </c>
      <c r="BE92" s="9" t="str">
        <f t="shared" si="38"/>
        <v>#REF!</v>
      </c>
      <c r="BF92" s="9" t="str">
        <f t="shared" si="38"/>
        <v>#REF!</v>
      </c>
      <c r="BG92" s="9" t="str">
        <f t="shared" si="38"/>
        <v>#REF!</v>
      </c>
      <c r="BH92" s="9" t="str">
        <f t="shared" si="38"/>
        <v>#REF!</v>
      </c>
      <c r="BI92" s="9" t="str">
        <f t="shared" si="38"/>
        <v>#REF!</v>
      </c>
      <c r="BJ92" s="9" t="str">
        <f t="shared" si="38"/>
        <v>#REF!</v>
      </c>
      <c r="BK92" s="9" t="str">
        <f t="shared" si="38"/>
        <v>#REF!</v>
      </c>
      <c r="BL92" s="9" t="str">
        <f t="shared" si="38"/>
        <v>#REF!</v>
      </c>
      <c r="BM92" s="9" t="str">
        <f t="shared" si="38"/>
        <v>#REF!</v>
      </c>
      <c r="BN92" s="9" t="str">
        <f t="shared" si="38"/>
        <v>#REF!</v>
      </c>
      <c r="BO92" s="9" t="str">
        <f t="shared" si="38"/>
        <v>#REF!</v>
      </c>
      <c r="BP92" s="9" t="str">
        <f t="shared" si="38"/>
        <v>#REF!</v>
      </c>
      <c r="BQ92" s="9" t="str">
        <f t="shared" si="38"/>
        <v>#REF!</v>
      </c>
      <c r="BR92" s="9" t="str">
        <f t="shared" si="38"/>
        <v>#REF!</v>
      </c>
      <c r="BS92" s="9" t="str">
        <f t="shared" si="38"/>
        <v>#REF!</v>
      </c>
      <c r="BT92" s="9" t="str">
        <f t="shared" si="38"/>
        <v>#REF!</v>
      </c>
      <c r="BU92" s="9" t="str">
        <f t="shared" si="38"/>
        <v>#REF!</v>
      </c>
      <c r="BV92" s="9" t="str">
        <f t="shared" si="38"/>
        <v>#REF!</v>
      </c>
      <c r="BW92" s="9" t="str">
        <f t="shared" si="38"/>
        <v>#REF!</v>
      </c>
      <c r="BX92" s="9" t="str">
        <f t="shared" si="38"/>
        <v>#REF!</v>
      </c>
      <c r="BY92" s="9" t="str">
        <f t="shared" si="38"/>
        <v>#REF!</v>
      </c>
      <c r="BZ92" s="9" t="str">
        <f t="shared" si="38"/>
        <v>#REF!</v>
      </c>
      <c r="CA92" s="9" t="str">
        <f t="shared" si="38"/>
        <v>#REF!</v>
      </c>
      <c r="CB92" s="9" t="str">
        <f t="shared" si="38"/>
        <v>#REF!</v>
      </c>
      <c r="CC92" s="9" t="str">
        <f t="shared" si="38"/>
        <v>#REF!</v>
      </c>
      <c r="CD92" s="9" t="str">
        <f t="shared" si="38"/>
        <v>#REF!</v>
      </c>
      <c r="CE92" s="9" t="str">
        <f t="shared" si="38"/>
        <v>#REF!</v>
      </c>
      <c r="CF92" s="9" t="str">
        <f t="shared" si="38"/>
        <v>#REF!</v>
      </c>
      <c r="CG92" s="9" t="str">
        <f t="shared" si="38"/>
        <v>#REF!</v>
      </c>
      <c r="CH92" s="9" t="str">
        <f t="shared" si="38"/>
        <v>#REF!</v>
      </c>
      <c r="CI92" s="9" t="str">
        <f t="shared" si="38"/>
        <v>#REF!</v>
      </c>
      <c r="CJ92" s="9" t="str">
        <f t="shared" si="38"/>
        <v>#REF!</v>
      </c>
      <c r="CK92" s="9" t="str">
        <f t="shared" si="38"/>
        <v>#REF!</v>
      </c>
      <c r="CL92" s="9" t="str">
        <f t="shared" si="38"/>
        <v>#REF!</v>
      </c>
      <c r="CM92" s="9" t="str">
        <f t="shared" si="38"/>
        <v>#REF!</v>
      </c>
      <c r="CN92" s="9" t="str">
        <f t="shared" si="38"/>
        <v>#REF!</v>
      </c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ht="12.75" hidden="1" customHeight="1">
      <c r="U93" s="6">
        <v>44681.0</v>
      </c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 t="str">
        <f>+AR$17*#REF!</f>
        <v>#REF!</v>
      </c>
      <c r="AT93" s="9" t="str">
        <f t="shared" ref="AT93:CO93" si="39">IF(AS93&gt;0.005,(AS93-$AS93*#REF!/12),0)</f>
        <v>#REF!</v>
      </c>
      <c r="AU93" s="9" t="str">
        <f t="shared" si="39"/>
        <v>#REF!</v>
      </c>
      <c r="AV93" s="9" t="str">
        <f t="shared" si="39"/>
        <v>#REF!</v>
      </c>
      <c r="AW93" s="9" t="str">
        <f t="shared" si="39"/>
        <v>#REF!</v>
      </c>
      <c r="AX93" s="9" t="str">
        <f t="shared" si="39"/>
        <v>#REF!</v>
      </c>
      <c r="AY93" s="9" t="str">
        <f t="shared" si="39"/>
        <v>#REF!</v>
      </c>
      <c r="AZ93" s="9" t="str">
        <f t="shared" si="39"/>
        <v>#REF!</v>
      </c>
      <c r="BA93" s="9" t="str">
        <f t="shared" si="39"/>
        <v>#REF!</v>
      </c>
      <c r="BB93" s="9" t="str">
        <f t="shared" si="39"/>
        <v>#REF!</v>
      </c>
      <c r="BC93" s="9" t="str">
        <f t="shared" si="39"/>
        <v>#REF!</v>
      </c>
      <c r="BD93" s="9" t="str">
        <f t="shared" si="39"/>
        <v>#REF!</v>
      </c>
      <c r="BE93" s="9" t="str">
        <f t="shared" si="39"/>
        <v>#REF!</v>
      </c>
      <c r="BF93" s="9" t="str">
        <f t="shared" si="39"/>
        <v>#REF!</v>
      </c>
      <c r="BG93" s="9" t="str">
        <f t="shared" si="39"/>
        <v>#REF!</v>
      </c>
      <c r="BH93" s="9" t="str">
        <f t="shared" si="39"/>
        <v>#REF!</v>
      </c>
      <c r="BI93" s="9" t="str">
        <f t="shared" si="39"/>
        <v>#REF!</v>
      </c>
      <c r="BJ93" s="9" t="str">
        <f t="shared" si="39"/>
        <v>#REF!</v>
      </c>
      <c r="BK93" s="9" t="str">
        <f t="shared" si="39"/>
        <v>#REF!</v>
      </c>
      <c r="BL93" s="9" t="str">
        <f t="shared" si="39"/>
        <v>#REF!</v>
      </c>
      <c r="BM93" s="9" t="str">
        <f t="shared" si="39"/>
        <v>#REF!</v>
      </c>
      <c r="BN93" s="9" t="str">
        <f t="shared" si="39"/>
        <v>#REF!</v>
      </c>
      <c r="BO93" s="9" t="str">
        <f t="shared" si="39"/>
        <v>#REF!</v>
      </c>
      <c r="BP93" s="9" t="str">
        <f t="shared" si="39"/>
        <v>#REF!</v>
      </c>
      <c r="BQ93" s="9" t="str">
        <f t="shared" si="39"/>
        <v>#REF!</v>
      </c>
      <c r="BR93" s="9" t="str">
        <f t="shared" si="39"/>
        <v>#REF!</v>
      </c>
      <c r="BS93" s="9" t="str">
        <f t="shared" si="39"/>
        <v>#REF!</v>
      </c>
      <c r="BT93" s="9" t="str">
        <f t="shared" si="39"/>
        <v>#REF!</v>
      </c>
      <c r="BU93" s="9" t="str">
        <f t="shared" si="39"/>
        <v>#REF!</v>
      </c>
      <c r="BV93" s="9" t="str">
        <f t="shared" si="39"/>
        <v>#REF!</v>
      </c>
      <c r="BW93" s="9" t="str">
        <f t="shared" si="39"/>
        <v>#REF!</v>
      </c>
      <c r="BX93" s="9" t="str">
        <f t="shared" si="39"/>
        <v>#REF!</v>
      </c>
      <c r="BY93" s="9" t="str">
        <f t="shared" si="39"/>
        <v>#REF!</v>
      </c>
      <c r="BZ93" s="9" t="str">
        <f t="shared" si="39"/>
        <v>#REF!</v>
      </c>
      <c r="CA93" s="9" t="str">
        <f t="shared" si="39"/>
        <v>#REF!</v>
      </c>
      <c r="CB93" s="9" t="str">
        <f t="shared" si="39"/>
        <v>#REF!</v>
      </c>
      <c r="CC93" s="9" t="str">
        <f t="shared" si="39"/>
        <v>#REF!</v>
      </c>
      <c r="CD93" s="9" t="str">
        <f t="shared" si="39"/>
        <v>#REF!</v>
      </c>
      <c r="CE93" s="9" t="str">
        <f t="shared" si="39"/>
        <v>#REF!</v>
      </c>
      <c r="CF93" s="9" t="str">
        <f t="shared" si="39"/>
        <v>#REF!</v>
      </c>
      <c r="CG93" s="9" t="str">
        <f t="shared" si="39"/>
        <v>#REF!</v>
      </c>
      <c r="CH93" s="9" t="str">
        <f t="shared" si="39"/>
        <v>#REF!</v>
      </c>
      <c r="CI93" s="9" t="str">
        <f t="shared" si="39"/>
        <v>#REF!</v>
      </c>
      <c r="CJ93" s="9" t="str">
        <f t="shared" si="39"/>
        <v>#REF!</v>
      </c>
      <c r="CK93" s="9" t="str">
        <f t="shared" si="39"/>
        <v>#REF!</v>
      </c>
      <c r="CL93" s="9" t="str">
        <f t="shared" si="39"/>
        <v>#REF!</v>
      </c>
      <c r="CM93" s="9" t="str">
        <f t="shared" si="39"/>
        <v>#REF!</v>
      </c>
      <c r="CN93" s="9" t="str">
        <f t="shared" si="39"/>
        <v>#REF!</v>
      </c>
      <c r="CO93" s="9" t="str">
        <f t="shared" si="39"/>
        <v>#REF!</v>
      </c>
      <c r="CP93" s="9"/>
      <c r="CQ93" s="9"/>
      <c r="CR93" s="9"/>
      <c r="CS93" s="9"/>
      <c r="CT93" s="9"/>
      <c r="CU93" s="9"/>
      <c r="CV93" s="9"/>
      <c r="CW93" s="9"/>
      <c r="CX93" s="9"/>
    </row>
    <row r="94" ht="12.75" hidden="1" customHeight="1">
      <c r="U94" s="6">
        <v>44712.0</v>
      </c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 t="str">
        <f>+AS$17*#REF!</f>
        <v>#REF!</v>
      </c>
      <c r="AU94" s="9" t="str">
        <f t="shared" ref="AU94:CP94" si="40">IF(AT94&gt;0.005,(AT94-$AT94*#REF!/12),0)</f>
        <v>#REF!</v>
      </c>
      <c r="AV94" s="9" t="str">
        <f t="shared" si="40"/>
        <v>#REF!</v>
      </c>
      <c r="AW94" s="9" t="str">
        <f t="shared" si="40"/>
        <v>#REF!</v>
      </c>
      <c r="AX94" s="9" t="str">
        <f t="shared" si="40"/>
        <v>#REF!</v>
      </c>
      <c r="AY94" s="9" t="str">
        <f t="shared" si="40"/>
        <v>#REF!</v>
      </c>
      <c r="AZ94" s="9" t="str">
        <f t="shared" si="40"/>
        <v>#REF!</v>
      </c>
      <c r="BA94" s="9" t="str">
        <f t="shared" si="40"/>
        <v>#REF!</v>
      </c>
      <c r="BB94" s="9" t="str">
        <f t="shared" si="40"/>
        <v>#REF!</v>
      </c>
      <c r="BC94" s="9" t="str">
        <f t="shared" si="40"/>
        <v>#REF!</v>
      </c>
      <c r="BD94" s="9" t="str">
        <f t="shared" si="40"/>
        <v>#REF!</v>
      </c>
      <c r="BE94" s="9" t="str">
        <f t="shared" si="40"/>
        <v>#REF!</v>
      </c>
      <c r="BF94" s="9" t="str">
        <f t="shared" si="40"/>
        <v>#REF!</v>
      </c>
      <c r="BG94" s="9" t="str">
        <f t="shared" si="40"/>
        <v>#REF!</v>
      </c>
      <c r="BH94" s="9" t="str">
        <f t="shared" si="40"/>
        <v>#REF!</v>
      </c>
      <c r="BI94" s="9" t="str">
        <f t="shared" si="40"/>
        <v>#REF!</v>
      </c>
      <c r="BJ94" s="9" t="str">
        <f t="shared" si="40"/>
        <v>#REF!</v>
      </c>
      <c r="BK94" s="9" t="str">
        <f t="shared" si="40"/>
        <v>#REF!</v>
      </c>
      <c r="BL94" s="9" t="str">
        <f t="shared" si="40"/>
        <v>#REF!</v>
      </c>
      <c r="BM94" s="9" t="str">
        <f t="shared" si="40"/>
        <v>#REF!</v>
      </c>
      <c r="BN94" s="9" t="str">
        <f t="shared" si="40"/>
        <v>#REF!</v>
      </c>
      <c r="BO94" s="9" t="str">
        <f t="shared" si="40"/>
        <v>#REF!</v>
      </c>
      <c r="BP94" s="9" t="str">
        <f t="shared" si="40"/>
        <v>#REF!</v>
      </c>
      <c r="BQ94" s="9" t="str">
        <f t="shared" si="40"/>
        <v>#REF!</v>
      </c>
      <c r="BR94" s="9" t="str">
        <f t="shared" si="40"/>
        <v>#REF!</v>
      </c>
      <c r="BS94" s="9" t="str">
        <f t="shared" si="40"/>
        <v>#REF!</v>
      </c>
      <c r="BT94" s="9" t="str">
        <f t="shared" si="40"/>
        <v>#REF!</v>
      </c>
      <c r="BU94" s="9" t="str">
        <f t="shared" si="40"/>
        <v>#REF!</v>
      </c>
      <c r="BV94" s="9" t="str">
        <f t="shared" si="40"/>
        <v>#REF!</v>
      </c>
      <c r="BW94" s="9" t="str">
        <f t="shared" si="40"/>
        <v>#REF!</v>
      </c>
      <c r="BX94" s="9" t="str">
        <f t="shared" si="40"/>
        <v>#REF!</v>
      </c>
      <c r="BY94" s="9" t="str">
        <f t="shared" si="40"/>
        <v>#REF!</v>
      </c>
      <c r="BZ94" s="9" t="str">
        <f t="shared" si="40"/>
        <v>#REF!</v>
      </c>
      <c r="CA94" s="9" t="str">
        <f t="shared" si="40"/>
        <v>#REF!</v>
      </c>
      <c r="CB94" s="9" t="str">
        <f t="shared" si="40"/>
        <v>#REF!</v>
      </c>
      <c r="CC94" s="9" t="str">
        <f t="shared" si="40"/>
        <v>#REF!</v>
      </c>
      <c r="CD94" s="9" t="str">
        <f t="shared" si="40"/>
        <v>#REF!</v>
      </c>
      <c r="CE94" s="9" t="str">
        <f t="shared" si="40"/>
        <v>#REF!</v>
      </c>
      <c r="CF94" s="9" t="str">
        <f t="shared" si="40"/>
        <v>#REF!</v>
      </c>
      <c r="CG94" s="9" t="str">
        <f t="shared" si="40"/>
        <v>#REF!</v>
      </c>
      <c r="CH94" s="9" t="str">
        <f t="shared" si="40"/>
        <v>#REF!</v>
      </c>
      <c r="CI94" s="9" t="str">
        <f t="shared" si="40"/>
        <v>#REF!</v>
      </c>
      <c r="CJ94" s="9" t="str">
        <f t="shared" si="40"/>
        <v>#REF!</v>
      </c>
      <c r="CK94" s="9" t="str">
        <f t="shared" si="40"/>
        <v>#REF!</v>
      </c>
      <c r="CL94" s="9" t="str">
        <f t="shared" si="40"/>
        <v>#REF!</v>
      </c>
      <c r="CM94" s="9" t="str">
        <f t="shared" si="40"/>
        <v>#REF!</v>
      </c>
      <c r="CN94" s="9" t="str">
        <f t="shared" si="40"/>
        <v>#REF!</v>
      </c>
      <c r="CO94" s="9" t="str">
        <f t="shared" si="40"/>
        <v>#REF!</v>
      </c>
      <c r="CP94" s="9" t="str">
        <f t="shared" si="40"/>
        <v>#REF!</v>
      </c>
      <c r="CQ94" s="9"/>
      <c r="CR94" s="9"/>
      <c r="CS94" s="9"/>
      <c r="CT94" s="9"/>
      <c r="CU94" s="9"/>
      <c r="CV94" s="9"/>
      <c r="CW94" s="9"/>
      <c r="CX94" s="9"/>
    </row>
    <row r="95" ht="12.75" hidden="1" customHeight="1">
      <c r="U95" s="6">
        <v>44742.0</v>
      </c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 t="str">
        <f>+AT$17*#REF!</f>
        <v>#REF!</v>
      </c>
      <c r="AV95" s="9" t="str">
        <f t="shared" ref="AV95:CQ95" si="41">IF(AU95&gt;0.005,(AU95-$AU95*#REF!/12),0)</f>
        <v>#REF!</v>
      </c>
      <c r="AW95" s="9" t="str">
        <f t="shared" si="41"/>
        <v>#REF!</v>
      </c>
      <c r="AX95" s="9" t="str">
        <f t="shared" si="41"/>
        <v>#REF!</v>
      </c>
      <c r="AY95" s="9" t="str">
        <f t="shared" si="41"/>
        <v>#REF!</v>
      </c>
      <c r="AZ95" s="9" t="str">
        <f t="shared" si="41"/>
        <v>#REF!</v>
      </c>
      <c r="BA95" s="9" t="str">
        <f t="shared" si="41"/>
        <v>#REF!</v>
      </c>
      <c r="BB95" s="9" t="str">
        <f t="shared" si="41"/>
        <v>#REF!</v>
      </c>
      <c r="BC95" s="9" t="str">
        <f t="shared" si="41"/>
        <v>#REF!</v>
      </c>
      <c r="BD95" s="9" t="str">
        <f t="shared" si="41"/>
        <v>#REF!</v>
      </c>
      <c r="BE95" s="9" t="str">
        <f t="shared" si="41"/>
        <v>#REF!</v>
      </c>
      <c r="BF95" s="9" t="str">
        <f t="shared" si="41"/>
        <v>#REF!</v>
      </c>
      <c r="BG95" s="9" t="str">
        <f t="shared" si="41"/>
        <v>#REF!</v>
      </c>
      <c r="BH95" s="9" t="str">
        <f t="shared" si="41"/>
        <v>#REF!</v>
      </c>
      <c r="BI95" s="9" t="str">
        <f t="shared" si="41"/>
        <v>#REF!</v>
      </c>
      <c r="BJ95" s="9" t="str">
        <f t="shared" si="41"/>
        <v>#REF!</v>
      </c>
      <c r="BK95" s="9" t="str">
        <f t="shared" si="41"/>
        <v>#REF!</v>
      </c>
      <c r="BL95" s="9" t="str">
        <f t="shared" si="41"/>
        <v>#REF!</v>
      </c>
      <c r="BM95" s="9" t="str">
        <f t="shared" si="41"/>
        <v>#REF!</v>
      </c>
      <c r="BN95" s="9" t="str">
        <f t="shared" si="41"/>
        <v>#REF!</v>
      </c>
      <c r="BO95" s="9" t="str">
        <f t="shared" si="41"/>
        <v>#REF!</v>
      </c>
      <c r="BP95" s="9" t="str">
        <f t="shared" si="41"/>
        <v>#REF!</v>
      </c>
      <c r="BQ95" s="9" t="str">
        <f t="shared" si="41"/>
        <v>#REF!</v>
      </c>
      <c r="BR95" s="9" t="str">
        <f t="shared" si="41"/>
        <v>#REF!</v>
      </c>
      <c r="BS95" s="9" t="str">
        <f t="shared" si="41"/>
        <v>#REF!</v>
      </c>
      <c r="BT95" s="9" t="str">
        <f t="shared" si="41"/>
        <v>#REF!</v>
      </c>
      <c r="BU95" s="9" t="str">
        <f t="shared" si="41"/>
        <v>#REF!</v>
      </c>
      <c r="BV95" s="9" t="str">
        <f t="shared" si="41"/>
        <v>#REF!</v>
      </c>
      <c r="BW95" s="9" t="str">
        <f t="shared" si="41"/>
        <v>#REF!</v>
      </c>
      <c r="BX95" s="9" t="str">
        <f t="shared" si="41"/>
        <v>#REF!</v>
      </c>
      <c r="BY95" s="9" t="str">
        <f t="shared" si="41"/>
        <v>#REF!</v>
      </c>
      <c r="BZ95" s="9" t="str">
        <f t="shared" si="41"/>
        <v>#REF!</v>
      </c>
      <c r="CA95" s="9" t="str">
        <f t="shared" si="41"/>
        <v>#REF!</v>
      </c>
      <c r="CB95" s="9" t="str">
        <f t="shared" si="41"/>
        <v>#REF!</v>
      </c>
      <c r="CC95" s="9" t="str">
        <f t="shared" si="41"/>
        <v>#REF!</v>
      </c>
      <c r="CD95" s="9" t="str">
        <f t="shared" si="41"/>
        <v>#REF!</v>
      </c>
      <c r="CE95" s="9" t="str">
        <f t="shared" si="41"/>
        <v>#REF!</v>
      </c>
      <c r="CF95" s="9" t="str">
        <f t="shared" si="41"/>
        <v>#REF!</v>
      </c>
      <c r="CG95" s="9" t="str">
        <f t="shared" si="41"/>
        <v>#REF!</v>
      </c>
      <c r="CH95" s="9" t="str">
        <f t="shared" si="41"/>
        <v>#REF!</v>
      </c>
      <c r="CI95" s="9" t="str">
        <f t="shared" si="41"/>
        <v>#REF!</v>
      </c>
      <c r="CJ95" s="9" t="str">
        <f t="shared" si="41"/>
        <v>#REF!</v>
      </c>
      <c r="CK95" s="9" t="str">
        <f t="shared" si="41"/>
        <v>#REF!</v>
      </c>
      <c r="CL95" s="9" t="str">
        <f t="shared" si="41"/>
        <v>#REF!</v>
      </c>
      <c r="CM95" s="9" t="str">
        <f t="shared" si="41"/>
        <v>#REF!</v>
      </c>
      <c r="CN95" s="9" t="str">
        <f t="shared" si="41"/>
        <v>#REF!</v>
      </c>
      <c r="CO95" s="9" t="str">
        <f t="shared" si="41"/>
        <v>#REF!</v>
      </c>
      <c r="CP95" s="9" t="str">
        <f t="shared" si="41"/>
        <v>#REF!</v>
      </c>
      <c r="CQ95" s="9" t="str">
        <f t="shared" si="41"/>
        <v>#REF!</v>
      </c>
      <c r="CR95" s="9"/>
      <c r="CS95" s="9"/>
      <c r="CT95" s="9"/>
      <c r="CU95" s="9"/>
      <c r="CV95" s="9"/>
      <c r="CW95" s="9"/>
      <c r="CX95" s="9"/>
    </row>
    <row r="96" ht="12.75" hidden="1" customHeight="1">
      <c r="U96" s="6">
        <v>44773.0</v>
      </c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 t="str">
        <f>+AU$17*#REF!</f>
        <v>#REF!</v>
      </c>
      <c r="AW96" s="9" t="str">
        <f t="shared" ref="AW96:CR96" si="42">IF(AV96&gt;0.005,(AV96-$AV96*#REF!/12),0)</f>
        <v>#REF!</v>
      </c>
      <c r="AX96" s="9" t="str">
        <f t="shared" si="42"/>
        <v>#REF!</v>
      </c>
      <c r="AY96" s="9" t="str">
        <f t="shared" si="42"/>
        <v>#REF!</v>
      </c>
      <c r="AZ96" s="9" t="str">
        <f t="shared" si="42"/>
        <v>#REF!</v>
      </c>
      <c r="BA96" s="9" t="str">
        <f t="shared" si="42"/>
        <v>#REF!</v>
      </c>
      <c r="BB96" s="9" t="str">
        <f t="shared" si="42"/>
        <v>#REF!</v>
      </c>
      <c r="BC96" s="9" t="str">
        <f t="shared" si="42"/>
        <v>#REF!</v>
      </c>
      <c r="BD96" s="9" t="str">
        <f t="shared" si="42"/>
        <v>#REF!</v>
      </c>
      <c r="BE96" s="9" t="str">
        <f t="shared" si="42"/>
        <v>#REF!</v>
      </c>
      <c r="BF96" s="9" t="str">
        <f t="shared" si="42"/>
        <v>#REF!</v>
      </c>
      <c r="BG96" s="9" t="str">
        <f t="shared" si="42"/>
        <v>#REF!</v>
      </c>
      <c r="BH96" s="9" t="str">
        <f t="shared" si="42"/>
        <v>#REF!</v>
      </c>
      <c r="BI96" s="9" t="str">
        <f t="shared" si="42"/>
        <v>#REF!</v>
      </c>
      <c r="BJ96" s="9" t="str">
        <f t="shared" si="42"/>
        <v>#REF!</v>
      </c>
      <c r="BK96" s="9" t="str">
        <f t="shared" si="42"/>
        <v>#REF!</v>
      </c>
      <c r="BL96" s="9" t="str">
        <f t="shared" si="42"/>
        <v>#REF!</v>
      </c>
      <c r="BM96" s="9" t="str">
        <f t="shared" si="42"/>
        <v>#REF!</v>
      </c>
      <c r="BN96" s="9" t="str">
        <f t="shared" si="42"/>
        <v>#REF!</v>
      </c>
      <c r="BO96" s="9" t="str">
        <f t="shared" si="42"/>
        <v>#REF!</v>
      </c>
      <c r="BP96" s="9" t="str">
        <f t="shared" si="42"/>
        <v>#REF!</v>
      </c>
      <c r="BQ96" s="9" t="str">
        <f t="shared" si="42"/>
        <v>#REF!</v>
      </c>
      <c r="BR96" s="9" t="str">
        <f t="shared" si="42"/>
        <v>#REF!</v>
      </c>
      <c r="BS96" s="9" t="str">
        <f t="shared" si="42"/>
        <v>#REF!</v>
      </c>
      <c r="BT96" s="9" t="str">
        <f t="shared" si="42"/>
        <v>#REF!</v>
      </c>
      <c r="BU96" s="9" t="str">
        <f t="shared" si="42"/>
        <v>#REF!</v>
      </c>
      <c r="BV96" s="9" t="str">
        <f t="shared" si="42"/>
        <v>#REF!</v>
      </c>
      <c r="BW96" s="9" t="str">
        <f t="shared" si="42"/>
        <v>#REF!</v>
      </c>
      <c r="BX96" s="9" t="str">
        <f t="shared" si="42"/>
        <v>#REF!</v>
      </c>
      <c r="BY96" s="9" t="str">
        <f t="shared" si="42"/>
        <v>#REF!</v>
      </c>
      <c r="BZ96" s="9" t="str">
        <f t="shared" si="42"/>
        <v>#REF!</v>
      </c>
      <c r="CA96" s="9" t="str">
        <f t="shared" si="42"/>
        <v>#REF!</v>
      </c>
      <c r="CB96" s="9" t="str">
        <f t="shared" si="42"/>
        <v>#REF!</v>
      </c>
      <c r="CC96" s="9" t="str">
        <f t="shared" si="42"/>
        <v>#REF!</v>
      </c>
      <c r="CD96" s="9" t="str">
        <f t="shared" si="42"/>
        <v>#REF!</v>
      </c>
      <c r="CE96" s="9" t="str">
        <f t="shared" si="42"/>
        <v>#REF!</v>
      </c>
      <c r="CF96" s="9" t="str">
        <f t="shared" si="42"/>
        <v>#REF!</v>
      </c>
      <c r="CG96" s="9" t="str">
        <f t="shared" si="42"/>
        <v>#REF!</v>
      </c>
      <c r="CH96" s="9" t="str">
        <f t="shared" si="42"/>
        <v>#REF!</v>
      </c>
      <c r="CI96" s="9" t="str">
        <f t="shared" si="42"/>
        <v>#REF!</v>
      </c>
      <c r="CJ96" s="9" t="str">
        <f t="shared" si="42"/>
        <v>#REF!</v>
      </c>
      <c r="CK96" s="9" t="str">
        <f t="shared" si="42"/>
        <v>#REF!</v>
      </c>
      <c r="CL96" s="9" t="str">
        <f t="shared" si="42"/>
        <v>#REF!</v>
      </c>
      <c r="CM96" s="9" t="str">
        <f t="shared" si="42"/>
        <v>#REF!</v>
      </c>
      <c r="CN96" s="9" t="str">
        <f t="shared" si="42"/>
        <v>#REF!</v>
      </c>
      <c r="CO96" s="9" t="str">
        <f t="shared" si="42"/>
        <v>#REF!</v>
      </c>
      <c r="CP96" s="9" t="str">
        <f t="shared" si="42"/>
        <v>#REF!</v>
      </c>
      <c r="CQ96" s="9" t="str">
        <f t="shared" si="42"/>
        <v>#REF!</v>
      </c>
      <c r="CR96" s="9" t="str">
        <f t="shared" si="42"/>
        <v>#REF!</v>
      </c>
      <c r="CS96" s="9"/>
      <c r="CT96" s="9"/>
      <c r="CU96" s="9"/>
      <c r="CV96" s="9"/>
      <c r="CW96" s="9"/>
      <c r="CX96" s="9"/>
    </row>
    <row r="97" ht="12.75" hidden="1" customHeight="1">
      <c r="U97" s="6">
        <v>44804.0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 t="str">
        <f>+AV$17*#REF!</f>
        <v>#REF!</v>
      </c>
      <c r="AX97" s="9" t="str">
        <f t="shared" ref="AX97:CS97" si="43">IF(AW97&gt;0.005,(AW97-$AW97*#REF!/12),0)</f>
        <v>#REF!</v>
      </c>
      <c r="AY97" s="9" t="str">
        <f t="shared" si="43"/>
        <v>#REF!</v>
      </c>
      <c r="AZ97" s="9" t="str">
        <f t="shared" si="43"/>
        <v>#REF!</v>
      </c>
      <c r="BA97" s="9" t="str">
        <f t="shared" si="43"/>
        <v>#REF!</v>
      </c>
      <c r="BB97" s="9" t="str">
        <f t="shared" si="43"/>
        <v>#REF!</v>
      </c>
      <c r="BC97" s="9" t="str">
        <f t="shared" si="43"/>
        <v>#REF!</v>
      </c>
      <c r="BD97" s="9" t="str">
        <f t="shared" si="43"/>
        <v>#REF!</v>
      </c>
      <c r="BE97" s="9" t="str">
        <f t="shared" si="43"/>
        <v>#REF!</v>
      </c>
      <c r="BF97" s="9" t="str">
        <f t="shared" si="43"/>
        <v>#REF!</v>
      </c>
      <c r="BG97" s="9" t="str">
        <f t="shared" si="43"/>
        <v>#REF!</v>
      </c>
      <c r="BH97" s="9" t="str">
        <f t="shared" si="43"/>
        <v>#REF!</v>
      </c>
      <c r="BI97" s="9" t="str">
        <f t="shared" si="43"/>
        <v>#REF!</v>
      </c>
      <c r="BJ97" s="9" t="str">
        <f t="shared" si="43"/>
        <v>#REF!</v>
      </c>
      <c r="BK97" s="9" t="str">
        <f t="shared" si="43"/>
        <v>#REF!</v>
      </c>
      <c r="BL97" s="9" t="str">
        <f t="shared" si="43"/>
        <v>#REF!</v>
      </c>
      <c r="BM97" s="9" t="str">
        <f t="shared" si="43"/>
        <v>#REF!</v>
      </c>
      <c r="BN97" s="9" t="str">
        <f t="shared" si="43"/>
        <v>#REF!</v>
      </c>
      <c r="BO97" s="9" t="str">
        <f t="shared" si="43"/>
        <v>#REF!</v>
      </c>
      <c r="BP97" s="9" t="str">
        <f t="shared" si="43"/>
        <v>#REF!</v>
      </c>
      <c r="BQ97" s="9" t="str">
        <f t="shared" si="43"/>
        <v>#REF!</v>
      </c>
      <c r="BR97" s="9" t="str">
        <f t="shared" si="43"/>
        <v>#REF!</v>
      </c>
      <c r="BS97" s="9" t="str">
        <f t="shared" si="43"/>
        <v>#REF!</v>
      </c>
      <c r="BT97" s="9" t="str">
        <f t="shared" si="43"/>
        <v>#REF!</v>
      </c>
      <c r="BU97" s="9" t="str">
        <f t="shared" si="43"/>
        <v>#REF!</v>
      </c>
      <c r="BV97" s="9" t="str">
        <f t="shared" si="43"/>
        <v>#REF!</v>
      </c>
      <c r="BW97" s="9" t="str">
        <f t="shared" si="43"/>
        <v>#REF!</v>
      </c>
      <c r="BX97" s="9" t="str">
        <f t="shared" si="43"/>
        <v>#REF!</v>
      </c>
      <c r="BY97" s="9" t="str">
        <f t="shared" si="43"/>
        <v>#REF!</v>
      </c>
      <c r="BZ97" s="9" t="str">
        <f t="shared" si="43"/>
        <v>#REF!</v>
      </c>
      <c r="CA97" s="9" t="str">
        <f t="shared" si="43"/>
        <v>#REF!</v>
      </c>
      <c r="CB97" s="9" t="str">
        <f t="shared" si="43"/>
        <v>#REF!</v>
      </c>
      <c r="CC97" s="9" t="str">
        <f t="shared" si="43"/>
        <v>#REF!</v>
      </c>
      <c r="CD97" s="9" t="str">
        <f t="shared" si="43"/>
        <v>#REF!</v>
      </c>
      <c r="CE97" s="9" t="str">
        <f t="shared" si="43"/>
        <v>#REF!</v>
      </c>
      <c r="CF97" s="9" t="str">
        <f t="shared" si="43"/>
        <v>#REF!</v>
      </c>
      <c r="CG97" s="9" t="str">
        <f t="shared" si="43"/>
        <v>#REF!</v>
      </c>
      <c r="CH97" s="9" t="str">
        <f t="shared" si="43"/>
        <v>#REF!</v>
      </c>
      <c r="CI97" s="9" t="str">
        <f t="shared" si="43"/>
        <v>#REF!</v>
      </c>
      <c r="CJ97" s="9" t="str">
        <f t="shared" si="43"/>
        <v>#REF!</v>
      </c>
      <c r="CK97" s="9" t="str">
        <f t="shared" si="43"/>
        <v>#REF!</v>
      </c>
      <c r="CL97" s="9" t="str">
        <f t="shared" si="43"/>
        <v>#REF!</v>
      </c>
      <c r="CM97" s="9" t="str">
        <f t="shared" si="43"/>
        <v>#REF!</v>
      </c>
      <c r="CN97" s="9" t="str">
        <f t="shared" si="43"/>
        <v>#REF!</v>
      </c>
      <c r="CO97" s="9" t="str">
        <f t="shared" si="43"/>
        <v>#REF!</v>
      </c>
      <c r="CP97" s="9" t="str">
        <f t="shared" si="43"/>
        <v>#REF!</v>
      </c>
      <c r="CQ97" s="9" t="str">
        <f t="shared" si="43"/>
        <v>#REF!</v>
      </c>
      <c r="CR97" s="9" t="str">
        <f t="shared" si="43"/>
        <v>#REF!</v>
      </c>
      <c r="CS97" s="9" t="str">
        <f t="shared" si="43"/>
        <v>#REF!</v>
      </c>
      <c r="CT97" s="9"/>
      <c r="CU97" s="9"/>
      <c r="CV97" s="9"/>
      <c r="CW97" s="9"/>
      <c r="CX97" s="9"/>
    </row>
    <row r="98" ht="12.75" hidden="1" customHeight="1">
      <c r="U98" s="6">
        <v>44834.0</v>
      </c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 t="str">
        <f>+AW$17*#REF!</f>
        <v>#REF!</v>
      </c>
      <c r="AY98" s="9" t="str">
        <f t="shared" ref="AY98:CT98" si="44">IF(AX98&gt;0.005,(AX98-$AX98*#REF!/12),0)</f>
        <v>#REF!</v>
      </c>
      <c r="AZ98" s="9" t="str">
        <f t="shared" si="44"/>
        <v>#REF!</v>
      </c>
      <c r="BA98" s="9" t="str">
        <f t="shared" si="44"/>
        <v>#REF!</v>
      </c>
      <c r="BB98" s="9" t="str">
        <f t="shared" si="44"/>
        <v>#REF!</v>
      </c>
      <c r="BC98" s="9" t="str">
        <f t="shared" si="44"/>
        <v>#REF!</v>
      </c>
      <c r="BD98" s="9" t="str">
        <f t="shared" si="44"/>
        <v>#REF!</v>
      </c>
      <c r="BE98" s="9" t="str">
        <f t="shared" si="44"/>
        <v>#REF!</v>
      </c>
      <c r="BF98" s="9" t="str">
        <f t="shared" si="44"/>
        <v>#REF!</v>
      </c>
      <c r="BG98" s="9" t="str">
        <f t="shared" si="44"/>
        <v>#REF!</v>
      </c>
      <c r="BH98" s="9" t="str">
        <f t="shared" si="44"/>
        <v>#REF!</v>
      </c>
      <c r="BI98" s="9" t="str">
        <f t="shared" si="44"/>
        <v>#REF!</v>
      </c>
      <c r="BJ98" s="9" t="str">
        <f t="shared" si="44"/>
        <v>#REF!</v>
      </c>
      <c r="BK98" s="9" t="str">
        <f t="shared" si="44"/>
        <v>#REF!</v>
      </c>
      <c r="BL98" s="9" t="str">
        <f t="shared" si="44"/>
        <v>#REF!</v>
      </c>
      <c r="BM98" s="9" t="str">
        <f t="shared" si="44"/>
        <v>#REF!</v>
      </c>
      <c r="BN98" s="9" t="str">
        <f t="shared" si="44"/>
        <v>#REF!</v>
      </c>
      <c r="BO98" s="9" t="str">
        <f t="shared" si="44"/>
        <v>#REF!</v>
      </c>
      <c r="BP98" s="9" t="str">
        <f t="shared" si="44"/>
        <v>#REF!</v>
      </c>
      <c r="BQ98" s="9" t="str">
        <f t="shared" si="44"/>
        <v>#REF!</v>
      </c>
      <c r="BR98" s="9" t="str">
        <f t="shared" si="44"/>
        <v>#REF!</v>
      </c>
      <c r="BS98" s="9" t="str">
        <f t="shared" si="44"/>
        <v>#REF!</v>
      </c>
      <c r="BT98" s="9" t="str">
        <f t="shared" si="44"/>
        <v>#REF!</v>
      </c>
      <c r="BU98" s="9" t="str">
        <f t="shared" si="44"/>
        <v>#REF!</v>
      </c>
      <c r="BV98" s="9" t="str">
        <f t="shared" si="44"/>
        <v>#REF!</v>
      </c>
      <c r="BW98" s="9" t="str">
        <f t="shared" si="44"/>
        <v>#REF!</v>
      </c>
      <c r="BX98" s="9" t="str">
        <f t="shared" si="44"/>
        <v>#REF!</v>
      </c>
      <c r="BY98" s="9" t="str">
        <f t="shared" si="44"/>
        <v>#REF!</v>
      </c>
      <c r="BZ98" s="9" t="str">
        <f t="shared" si="44"/>
        <v>#REF!</v>
      </c>
      <c r="CA98" s="9" t="str">
        <f t="shared" si="44"/>
        <v>#REF!</v>
      </c>
      <c r="CB98" s="9" t="str">
        <f t="shared" si="44"/>
        <v>#REF!</v>
      </c>
      <c r="CC98" s="9" t="str">
        <f t="shared" si="44"/>
        <v>#REF!</v>
      </c>
      <c r="CD98" s="9" t="str">
        <f t="shared" si="44"/>
        <v>#REF!</v>
      </c>
      <c r="CE98" s="9" t="str">
        <f t="shared" si="44"/>
        <v>#REF!</v>
      </c>
      <c r="CF98" s="9" t="str">
        <f t="shared" si="44"/>
        <v>#REF!</v>
      </c>
      <c r="CG98" s="9" t="str">
        <f t="shared" si="44"/>
        <v>#REF!</v>
      </c>
      <c r="CH98" s="9" t="str">
        <f t="shared" si="44"/>
        <v>#REF!</v>
      </c>
      <c r="CI98" s="9" t="str">
        <f t="shared" si="44"/>
        <v>#REF!</v>
      </c>
      <c r="CJ98" s="9" t="str">
        <f t="shared" si="44"/>
        <v>#REF!</v>
      </c>
      <c r="CK98" s="9" t="str">
        <f t="shared" si="44"/>
        <v>#REF!</v>
      </c>
      <c r="CL98" s="9" t="str">
        <f t="shared" si="44"/>
        <v>#REF!</v>
      </c>
      <c r="CM98" s="9" t="str">
        <f t="shared" si="44"/>
        <v>#REF!</v>
      </c>
      <c r="CN98" s="9" t="str">
        <f t="shared" si="44"/>
        <v>#REF!</v>
      </c>
      <c r="CO98" s="9" t="str">
        <f t="shared" si="44"/>
        <v>#REF!</v>
      </c>
      <c r="CP98" s="9" t="str">
        <f t="shared" si="44"/>
        <v>#REF!</v>
      </c>
      <c r="CQ98" s="9" t="str">
        <f t="shared" si="44"/>
        <v>#REF!</v>
      </c>
      <c r="CR98" s="9" t="str">
        <f t="shared" si="44"/>
        <v>#REF!</v>
      </c>
      <c r="CS98" s="9" t="str">
        <f t="shared" si="44"/>
        <v>#REF!</v>
      </c>
      <c r="CT98" s="9" t="str">
        <f t="shared" si="44"/>
        <v>#REF!</v>
      </c>
      <c r="CU98" s="9"/>
      <c r="CV98" s="9"/>
      <c r="CW98" s="9"/>
      <c r="CX98" s="9"/>
    </row>
    <row r="99" ht="12.75" hidden="1" customHeight="1">
      <c r="U99" s="6">
        <v>44865.0</v>
      </c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 t="str">
        <f>+AX$17*#REF!</f>
        <v>#REF!</v>
      </c>
      <c r="AZ99" s="9" t="str">
        <f t="shared" ref="AZ99:CU99" si="45">IF(AY99&gt;0.005,(AY99-$AY99*#REF!/12),0)</f>
        <v>#REF!</v>
      </c>
      <c r="BA99" s="9" t="str">
        <f t="shared" si="45"/>
        <v>#REF!</v>
      </c>
      <c r="BB99" s="9" t="str">
        <f t="shared" si="45"/>
        <v>#REF!</v>
      </c>
      <c r="BC99" s="9" t="str">
        <f t="shared" si="45"/>
        <v>#REF!</v>
      </c>
      <c r="BD99" s="9" t="str">
        <f t="shared" si="45"/>
        <v>#REF!</v>
      </c>
      <c r="BE99" s="9" t="str">
        <f t="shared" si="45"/>
        <v>#REF!</v>
      </c>
      <c r="BF99" s="9" t="str">
        <f t="shared" si="45"/>
        <v>#REF!</v>
      </c>
      <c r="BG99" s="9" t="str">
        <f t="shared" si="45"/>
        <v>#REF!</v>
      </c>
      <c r="BH99" s="9" t="str">
        <f t="shared" si="45"/>
        <v>#REF!</v>
      </c>
      <c r="BI99" s="9" t="str">
        <f t="shared" si="45"/>
        <v>#REF!</v>
      </c>
      <c r="BJ99" s="9" t="str">
        <f t="shared" si="45"/>
        <v>#REF!</v>
      </c>
      <c r="BK99" s="9" t="str">
        <f t="shared" si="45"/>
        <v>#REF!</v>
      </c>
      <c r="BL99" s="9" t="str">
        <f t="shared" si="45"/>
        <v>#REF!</v>
      </c>
      <c r="BM99" s="9" t="str">
        <f t="shared" si="45"/>
        <v>#REF!</v>
      </c>
      <c r="BN99" s="9" t="str">
        <f t="shared" si="45"/>
        <v>#REF!</v>
      </c>
      <c r="BO99" s="9" t="str">
        <f t="shared" si="45"/>
        <v>#REF!</v>
      </c>
      <c r="BP99" s="9" t="str">
        <f t="shared" si="45"/>
        <v>#REF!</v>
      </c>
      <c r="BQ99" s="9" t="str">
        <f t="shared" si="45"/>
        <v>#REF!</v>
      </c>
      <c r="BR99" s="9" t="str">
        <f t="shared" si="45"/>
        <v>#REF!</v>
      </c>
      <c r="BS99" s="9" t="str">
        <f t="shared" si="45"/>
        <v>#REF!</v>
      </c>
      <c r="BT99" s="9" t="str">
        <f t="shared" si="45"/>
        <v>#REF!</v>
      </c>
      <c r="BU99" s="9" t="str">
        <f t="shared" si="45"/>
        <v>#REF!</v>
      </c>
      <c r="BV99" s="9" t="str">
        <f t="shared" si="45"/>
        <v>#REF!</v>
      </c>
      <c r="BW99" s="9" t="str">
        <f t="shared" si="45"/>
        <v>#REF!</v>
      </c>
      <c r="BX99" s="9" t="str">
        <f t="shared" si="45"/>
        <v>#REF!</v>
      </c>
      <c r="BY99" s="9" t="str">
        <f t="shared" si="45"/>
        <v>#REF!</v>
      </c>
      <c r="BZ99" s="9" t="str">
        <f t="shared" si="45"/>
        <v>#REF!</v>
      </c>
      <c r="CA99" s="9" t="str">
        <f t="shared" si="45"/>
        <v>#REF!</v>
      </c>
      <c r="CB99" s="9" t="str">
        <f t="shared" si="45"/>
        <v>#REF!</v>
      </c>
      <c r="CC99" s="9" t="str">
        <f t="shared" si="45"/>
        <v>#REF!</v>
      </c>
      <c r="CD99" s="9" t="str">
        <f t="shared" si="45"/>
        <v>#REF!</v>
      </c>
      <c r="CE99" s="9" t="str">
        <f t="shared" si="45"/>
        <v>#REF!</v>
      </c>
      <c r="CF99" s="9" t="str">
        <f t="shared" si="45"/>
        <v>#REF!</v>
      </c>
      <c r="CG99" s="9" t="str">
        <f t="shared" si="45"/>
        <v>#REF!</v>
      </c>
      <c r="CH99" s="9" t="str">
        <f t="shared" si="45"/>
        <v>#REF!</v>
      </c>
      <c r="CI99" s="9" t="str">
        <f t="shared" si="45"/>
        <v>#REF!</v>
      </c>
      <c r="CJ99" s="9" t="str">
        <f t="shared" si="45"/>
        <v>#REF!</v>
      </c>
      <c r="CK99" s="9" t="str">
        <f t="shared" si="45"/>
        <v>#REF!</v>
      </c>
      <c r="CL99" s="9" t="str">
        <f t="shared" si="45"/>
        <v>#REF!</v>
      </c>
      <c r="CM99" s="9" t="str">
        <f t="shared" si="45"/>
        <v>#REF!</v>
      </c>
      <c r="CN99" s="9" t="str">
        <f t="shared" si="45"/>
        <v>#REF!</v>
      </c>
      <c r="CO99" s="9" t="str">
        <f t="shared" si="45"/>
        <v>#REF!</v>
      </c>
      <c r="CP99" s="9" t="str">
        <f t="shared" si="45"/>
        <v>#REF!</v>
      </c>
      <c r="CQ99" s="9" t="str">
        <f t="shared" si="45"/>
        <v>#REF!</v>
      </c>
      <c r="CR99" s="9" t="str">
        <f t="shared" si="45"/>
        <v>#REF!</v>
      </c>
      <c r="CS99" s="9" t="str">
        <f t="shared" si="45"/>
        <v>#REF!</v>
      </c>
      <c r="CT99" s="9" t="str">
        <f t="shared" si="45"/>
        <v>#REF!</v>
      </c>
      <c r="CU99" s="9" t="str">
        <f t="shared" si="45"/>
        <v>#REF!</v>
      </c>
      <c r="CV99" s="9"/>
      <c r="CW99" s="9"/>
      <c r="CX99" s="9"/>
    </row>
    <row r="100" ht="12.75" hidden="1" customHeight="1">
      <c r="U100" s="6">
        <v>44895.0</v>
      </c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 t="str">
        <f>+AY$17*#REF!</f>
        <v>#REF!</v>
      </c>
      <c r="BA100" s="9" t="str">
        <f t="shared" ref="BA100:CV100" si="46">IF(AZ100&gt;0.005,(AZ100-$AZ100*#REF!/12),0)</f>
        <v>#REF!</v>
      </c>
      <c r="BB100" s="9" t="str">
        <f t="shared" si="46"/>
        <v>#REF!</v>
      </c>
      <c r="BC100" s="9" t="str">
        <f t="shared" si="46"/>
        <v>#REF!</v>
      </c>
      <c r="BD100" s="9" t="str">
        <f t="shared" si="46"/>
        <v>#REF!</v>
      </c>
      <c r="BE100" s="9" t="str">
        <f t="shared" si="46"/>
        <v>#REF!</v>
      </c>
      <c r="BF100" s="9" t="str">
        <f t="shared" si="46"/>
        <v>#REF!</v>
      </c>
      <c r="BG100" s="9" t="str">
        <f t="shared" si="46"/>
        <v>#REF!</v>
      </c>
      <c r="BH100" s="9" t="str">
        <f t="shared" si="46"/>
        <v>#REF!</v>
      </c>
      <c r="BI100" s="9" t="str">
        <f t="shared" si="46"/>
        <v>#REF!</v>
      </c>
      <c r="BJ100" s="9" t="str">
        <f t="shared" si="46"/>
        <v>#REF!</v>
      </c>
      <c r="BK100" s="9" t="str">
        <f t="shared" si="46"/>
        <v>#REF!</v>
      </c>
      <c r="BL100" s="9" t="str">
        <f t="shared" si="46"/>
        <v>#REF!</v>
      </c>
      <c r="BM100" s="9" t="str">
        <f t="shared" si="46"/>
        <v>#REF!</v>
      </c>
      <c r="BN100" s="9" t="str">
        <f t="shared" si="46"/>
        <v>#REF!</v>
      </c>
      <c r="BO100" s="9" t="str">
        <f t="shared" si="46"/>
        <v>#REF!</v>
      </c>
      <c r="BP100" s="9" t="str">
        <f t="shared" si="46"/>
        <v>#REF!</v>
      </c>
      <c r="BQ100" s="9" t="str">
        <f t="shared" si="46"/>
        <v>#REF!</v>
      </c>
      <c r="BR100" s="9" t="str">
        <f t="shared" si="46"/>
        <v>#REF!</v>
      </c>
      <c r="BS100" s="9" t="str">
        <f t="shared" si="46"/>
        <v>#REF!</v>
      </c>
      <c r="BT100" s="9" t="str">
        <f t="shared" si="46"/>
        <v>#REF!</v>
      </c>
      <c r="BU100" s="9" t="str">
        <f t="shared" si="46"/>
        <v>#REF!</v>
      </c>
      <c r="BV100" s="9" t="str">
        <f t="shared" si="46"/>
        <v>#REF!</v>
      </c>
      <c r="BW100" s="9" t="str">
        <f t="shared" si="46"/>
        <v>#REF!</v>
      </c>
      <c r="BX100" s="9" t="str">
        <f t="shared" si="46"/>
        <v>#REF!</v>
      </c>
      <c r="BY100" s="9" t="str">
        <f t="shared" si="46"/>
        <v>#REF!</v>
      </c>
      <c r="BZ100" s="9" t="str">
        <f t="shared" si="46"/>
        <v>#REF!</v>
      </c>
      <c r="CA100" s="9" t="str">
        <f t="shared" si="46"/>
        <v>#REF!</v>
      </c>
      <c r="CB100" s="9" t="str">
        <f t="shared" si="46"/>
        <v>#REF!</v>
      </c>
      <c r="CC100" s="9" t="str">
        <f t="shared" si="46"/>
        <v>#REF!</v>
      </c>
      <c r="CD100" s="9" t="str">
        <f t="shared" si="46"/>
        <v>#REF!</v>
      </c>
      <c r="CE100" s="9" t="str">
        <f t="shared" si="46"/>
        <v>#REF!</v>
      </c>
      <c r="CF100" s="9" t="str">
        <f t="shared" si="46"/>
        <v>#REF!</v>
      </c>
      <c r="CG100" s="9" t="str">
        <f t="shared" si="46"/>
        <v>#REF!</v>
      </c>
      <c r="CH100" s="9" t="str">
        <f t="shared" si="46"/>
        <v>#REF!</v>
      </c>
      <c r="CI100" s="9" t="str">
        <f t="shared" si="46"/>
        <v>#REF!</v>
      </c>
      <c r="CJ100" s="9" t="str">
        <f t="shared" si="46"/>
        <v>#REF!</v>
      </c>
      <c r="CK100" s="9" t="str">
        <f t="shared" si="46"/>
        <v>#REF!</v>
      </c>
      <c r="CL100" s="9" t="str">
        <f t="shared" si="46"/>
        <v>#REF!</v>
      </c>
      <c r="CM100" s="9" t="str">
        <f t="shared" si="46"/>
        <v>#REF!</v>
      </c>
      <c r="CN100" s="9" t="str">
        <f t="shared" si="46"/>
        <v>#REF!</v>
      </c>
      <c r="CO100" s="9" t="str">
        <f t="shared" si="46"/>
        <v>#REF!</v>
      </c>
      <c r="CP100" s="9" t="str">
        <f t="shared" si="46"/>
        <v>#REF!</v>
      </c>
      <c r="CQ100" s="9" t="str">
        <f t="shared" si="46"/>
        <v>#REF!</v>
      </c>
      <c r="CR100" s="9" t="str">
        <f t="shared" si="46"/>
        <v>#REF!</v>
      </c>
      <c r="CS100" s="9" t="str">
        <f t="shared" si="46"/>
        <v>#REF!</v>
      </c>
      <c r="CT100" s="9" t="str">
        <f t="shared" si="46"/>
        <v>#REF!</v>
      </c>
      <c r="CU100" s="9" t="str">
        <f t="shared" si="46"/>
        <v>#REF!</v>
      </c>
      <c r="CV100" s="9" t="str">
        <f t="shared" si="46"/>
        <v>#REF!</v>
      </c>
      <c r="CW100" s="9"/>
      <c r="CX100" s="9"/>
    </row>
    <row r="101" ht="12.75" hidden="1" customHeight="1">
      <c r="U101" s="6">
        <v>44926.0</v>
      </c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 t="str">
        <f>+AZ$17*#REF!</f>
        <v>#REF!</v>
      </c>
      <c r="BB101" s="9" t="str">
        <f t="shared" ref="BB101:CW101" si="47">IF(BA101&gt;0.005,(BA101-$BA101*#REF!/12),0)</f>
        <v>#REF!</v>
      </c>
      <c r="BC101" s="9" t="str">
        <f t="shared" si="47"/>
        <v>#REF!</v>
      </c>
      <c r="BD101" s="9" t="str">
        <f t="shared" si="47"/>
        <v>#REF!</v>
      </c>
      <c r="BE101" s="9" t="str">
        <f t="shared" si="47"/>
        <v>#REF!</v>
      </c>
      <c r="BF101" s="9" t="str">
        <f t="shared" si="47"/>
        <v>#REF!</v>
      </c>
      <c r="BG101" s="9" t="str">
        <f t="shared" si="47"/>
        <v>#REF!</v>
      </c>
      <c r="BH101" s="9" t="str">
        <f t="shared" si="47"/>
        <v>#REF!</v>
      </c>
      <c r="BI101" s="9" t="str">
        <f t="shared" si="47"/>
        <v>#REF!</v>
      </c>
      <c r="BJ101" s="9" t="str">
        <f t="shared" si="47"/>
        <v>#REF!</v>
      </c>
      <c r="BK101" s="9" t="str">
        <f t="shared" si="47"/>
        <v>#REF!</v>
      </c>
      <c r="BL101" s="9" t="str">
        <f t="shared" si="47"/>
        <v>#REF!</v>
      </c>
      <c r="BM101" s="9" t="str">
        <f t="shared" si="47"/>
        <v>#REF!</v>
      </c>
      <c r="BN101" s="9" t="str">
        <f t="shared" si="47"/>
        <v>#REF!</v>
      </c>
      <c r="BO101" s="9" t="str">
        <f t="shared" si="47"/>
        <v>#REF!</v>
      </c>
      <c r="BP101" s="9" t="str">
        <f t="shared" si="47"/>
        <v>#REF!</v>
      </c>
      <c r="BQ101" s="9" t="str">
        <f t="shared" si="47"/>
        <v>#REF!</v>
      </c>
      <c r="BR101" s="9" t="str">
        <f t="shared" si="47"/>
        <v>#REF!</v>
      </c>
      <c r="BS101" s="9" t="str">
        <f t="shared" si="47"/>
        <v>#REF!</v>
      </c>
      <c r="BT101" s="9" t="str">
        <f t="shared" si="47"/>
        <v>#REF!</v>
      </c>
      <c r="BU101" s="9" t="str">
        <f t="shared" si="47"/>
        <v>#REF!</v>
      </c>
      <c r="BV101" s="9" t="str">
        <f t="shared" si="47"/>
        <v>#REF!</v>
      </c>
      <c r="BW101" s="9" t="str">
        <f t="shared" si="47"/>
        <v>#REF!</v>
      </c>
      <c r="BX101" s="9" t="str">
        <f t="shared" si="47"/>
        <v>#REF!</v>
      </c>
      <c r="BY101" s="9" t="str">
        <f t="shared" si="47"/>
        <v>#REF!</v>
      </c>
      <c r="BZ101" s="9" t="str">
        <f t="shared" si="47"/>
        <v>#REF!</v>
      </c>
      <c r="CA101" s="9" t="str">
        <f t="shared" si="47"/>
        <v>#REF!</v>
      </c>
      <c r="CB101" s="9" t="str">
        <f t="shared" si="47"/>
        <v>#REF!</v>
      </c>
      <c r="CC101" s="9" t="str">
        <f t="shared" si="47"/>
        <v>#REF!</v>
      </c>
      <c r="CD101" s="9" t="str">
        <f t="shared" si="47"/>
        <v>#REF!</v>
      </c>
      <c r="CE101" s="9" t="str">
        <f t="shared" si="47"/>
        <v>#REF!</v>
      </c>
      <c r="CF101" s="9" t="str">
        <f t="shared" si="47"/>
        <v>#REF!</v>
      </c>
      <c r="CG101" s="9" t="str">
        <f t="shared" si="47"/>
        <v>#REF!</v>
      </c>
      <c r="CH101" s="9" t="str">
        <f t="shared" si="47"/>
        <v>#REF!</v>
      </c>
      <c r="CI101" s="9" t="str">
        <f t="shared" si="47"/>
        <v>#REF!</v>
      </c>
      <c r="CJ101" s="9" t="str">
        <f t="shared" si="47"/>
        <v>#REF!</v>
      </c>
      <c r="CK101" s="9" t="str">
        <f t="shared" si="47"/>
        <v>#REF!</v>
      </c>
      <c r="CL101" s="9" t="str">
        <f t="shared" si="47"/>
        <v>#REF!</v>
      </c>
      <c r="CM101" s="9" t="str">
        <f t="shared" si="47"/>
        <v>#REF!</v>
      </c>
      <c r="CN101" s="9" t="str">
        <f t="shared" si="47"/>
        <v>#REF!</v>
      </c>
      <c r="CO101" s="9" t="str">
        <f t="shared" si="47"/>
        <v>#REF!</v>
      </c>
      <c r="CP101" s="9" t="str">
        <f t="shared" si="47"/>
        <v>#REF!</v>
      </c>
      <c r="CQ101" s="9" t="str">
        <f t="shared" si="47"/>
        <v>#REF!</v>
      </c>
      <c r="CR101" s="9" t="str">
        <f t="shared" si="47"/>
        <v>#REF!</v>
      </c>
      <c r="CS101" s="9" t="str">
        <f t="shared" si="47"/>
        <v>#REF!</v>
      </c>
      <c r="CT101" s="9" t="str">
        <f t="shared" si="47"/>
        <v>#REF!</v>
      </c>
      <c r="CU101" s="9" t="str">
        <f t="shared" si="47"/>
        <v>#REF!</v>
      </c>
      <c r="CV101" s="9" t="str">
        <f t="shared" si="47"/>
        <v>#REF!</v>
      </c>
      <c r="CW101" s="9" t="str">
        <f t="shared" si="47"/>
        <v>#REF!</v>
      </c>
      <c r="CX101" s="9"/>
    </row>
    <row r="102" ht="12.75" hidden="1" customHeight="1">
      <c r="U102" s="6">
        <v>44957.0</v>
      </c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 t="str">
        <f>+BA$17*#REF!</f>
        <v>#REF!</v>
      </c>
      <c r="BC102" s="9" t="str">
        <f t="shared" ref="BC102:CX102" si="48">IF(BB102&gt;0.005,(BB102-$BB102*#REF!/12),0)</f>
        <v>#REF!</v>
      </c>
      <c r="BD102" s="9" t="str">
        <f t="shared" si="48"/>
        <v>#REF!</v>
      </c>
      <c r="BE102" s="9" t="str">
        <f t="shared" si="48"/>
        <v>#REF!</v>
      </c>
      <c r="BF102" s="9" t="str">
        <f t="shared" si="48"/>
        <v>#REF!</v>
      </c>
      <c r="BG102" s="9" t="str">
        <f t="shared" si="48"/>
        <v>#REF!</v>
      </c>
      <c r="BH102" s="9" t="str">
        <f t="shared" si="48"/>
        <v>#REF!</v>
      </c>
      <c r="BI102" s="9" t="str">
        <f t="shared" si="48"/>
        <v>#REF!</v>
      </c>
      <c r="BJ102" s="9" t="str">
        <f t="shared" si="48"/>
        <v>#REF!</v>
      </c>
      <c r="BK102" s="9" t="str">
        <f t="shared" si="48"/>
        <v>#REF!</v>
      </c>
      <c r="BL102" s="9" t="str">
        <f t="shared" si="48"/>
        <v>#REF!</v>
      </c>
      <c r="BM102" s="9" t="str">
        <f t="shared" si="48"/>
        <v>#REF!</v>
      </c>
      <c r="BN102" s="9" t="str">
        <f t="shared" si="48"/>
        <v>#REF!</v>
      </c>
      <c r="BO102" s="9" t="str">
        <f t="shared" si="48"/>
        <v>#REF!</v>
      </c>
      <c r="BP102" s="9" t="str">
        <f t="shared" si="48"/>
        <v>#REF!</v>
      </c>
      <c r="BQ102" s="9" t="str">
        <f t="shared" si="48"/>
        <v>#REF!</v>
      </c>
      <c r="BR102" s="9" t="str">
        <f t="shared" si="48"/>
        <v>#REF!</v>
      </c>
      <c r="BS102" s="9" t="str">
        <f t="shared" si="48"/>
        <v>#REF!</v>
      </c>
      <c r="BT102" s="9" t="str">
        <f t="shared" si="48"/>
        <v>#REF!</v>
      </c>
      <c r="BU102" s="9" t="str">
        <f t="shared" si="48"/>
        <v>#REF!</v>
      </c>
      <c r="BV102" s="9" t="str">
        <f t="shared" si="48"/>
        <v>#REF!</v>
      </c>
      <c r="BW102" s="9" t="str">
        <f t="shared" si="48"/>
        <v>#REF!</v>
      </c>
      <c r="BX102" s="9" t="str">
        <f t="shared" si="48"/>
        <v>#REF!</v>
      </c>
      <c r="BY102" s="9" t="str">
        <f t="shared" si="48"/>
        <v>#REF!</v>
      </c>
      <c r="BZ102" s="9" t="str">
        <f t="shared" si="48"/>
        <v>#REF!</v>
      </c>
      <c r="CA102" s="9" t="str">
        <f t="shared" si="48"/>
        <v>#REF!</v>
      </c>
      <c r="CB102" s="9" t="str">
        <f t="shared" si="48"/>
        <v>#REF!</v>
      </c>
      <c r="CC102" s="9" t="str">
        <f t="shared" si="48"/>
        <v>#REF!</v>
      </c>
      <c r="CD102" s="9" t="str">
        <f t="shared" si="48"/>
        <v>#REF!</v>
      </c>
      <c r="CE102" s="9" t="str">
        <f t="shared" si="48"/>
        <v>#REF!</v>
      </c>
      <c r="CF102" s="9" t="str">
        <f t="shared" si="48"/>
        <v>#REF!</v>
      </c>
      <c r="CG102" s="9" t="str">
        <f t="shared" si="48"/>
        <v>#REF!</v>
      </c>
      <c r="CH102" s="9" t="str">
        <f t="shared" si="48"/>
        <v>#REF!</v>
      </c>
      <c r="CI102" s="9" t="str">
        <f t="shared" si="48"/>
        <v>#REF!</v>
      </c>
      <c r="CJ102" s="9" t="str">
        <f t="shared" si="48"/>
        <v>#REF!</v>
      </c>
      <c r="CK102" s="9" t="str">
        <f t="shared" si="48"/>
        <v>#REF!</v>
      </c>
      <c r="CL102" s="9" t="str">
        <f t="shared" si="48"/>
        <v>#REF!</v>
      </c>
      <c r="CM102" s="9" t="str">
        <f t="shared" si="48"/>
        <v>#REF!</v>
      </c>
      <c r="CN102" s="9" t="str">
        <f t="shared" si="48"/>
        <v>#REF!</v>
      </c>
      <c r="CO102" s="9" t="str">
        <f t="shared" si="48"/>
        <v>#REF!</v>
      </c>
      <c r="CP102" s="9" t="str">
        <f t="shared" si="48"/>
        <v>#REF!</v>
      </c>
      <c r="CQ102" s="9" t="str">
        <f t="shared" si="48"/>
        <v>#REF!</v>
      </c>
      <c r="CR102" s="9" t="str">
        <f t="shared" si="48"/>
        <v>#REF!</v>
      </c>
      <c r="CS102" s="9" t="str">
        <f t="shared" si="48"/>
        <v>#REF!</v>
      </c>
      <c r="CT102" s="9" t="str">
        <f t="shared" si="48"/>
        <v>#REF!</v>
      </c>
      <c r="CU102" s="9" t="str">
        <f t="shared" si="48"/>
        <v>#REF!</v>
      </c>
      <c r="CV102" s="9" t="str">
        <f t="shared" si="48"/>
        <v>#REF!</v>
      </c>
      <c r="CW102" s="9" t="str">
        <f t="shared" si="48"/>
        <v>#REF!</v>
      </c>
      <c r="CX102" s="9" t="str">
        <f t="shared" si="48"/>
        <v>#REF!</v>
      </c>
    </row>
    <row r="103" ht="12.75" hidden="1" customHeight="1">
      <c r="U103" s="6">
        <v>44985.0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 t="str">
        <f>+BB$17*#REF!</f>
        <v>#REF!</v>
      </c>
      <c r="BD103" s="9" t="str">
        <f t="shared" ref="BD103:CY103" si="49">IF(BC103&gt;0.005,(BC103-$BC103*#REF!/12),0)</f>
        <v>#REF!</v>
      </c>
      <c r="BE103" s="9" t="str">
        <f t="shared" si="49"/>
        <v>#REF!</v>
      </c>
      <c r="BF103" s="9" t="str">
        <f t="shared" si="49"/>
        <v>#REF!</v>
      </c>
      <c r="BG103" s="9" t="str">
        <f t="shared" si="49"/>
        <v>#REF!</v>
      </c>
      <c r="BH103" s="9" t="str">
        <f t="shared" si="49"/>
        <v>#REF!</v>
      </c>
      <c r="BI103" s="9" t="str">
        <f t="shared" si="49"/>
        <v>#REF!</v>
      </c>
      <c r="BJ103" s="9" t="str">
        <f t="shared" si="49"/>
        <v>#REF!</v>
      </c>
      <c r="BK103" s="9" t="str">
        <f t="shared" si="49"/>
        <v>#REF!</v>
      </c>
      <c r="BL103" s="9" t="str">
        <f t="shared" si="49"/>
        <v>#REF!</v>
      </c>
      <c r="BM103" s="9" t="str">
        <f t="shared" si="49"/>
        <v>#REF!</v>
      </c>
      <c r="BN103" s="9" t="str">
        <f t="shared" si="49"/>
        <v>#REF!</v>
      </c>
      <c r="BO103" s="9" t="str">
        <f t="shared" si="49"/>
        <v>#REF!</v>
      </c>
      <c r="BP103" s="9" t="str">
        <f t="shared" si="49"/>
        <v>#REF!</v>
      </c>
      <c r="BQ103" s="9" t="str">
        <f t="shared" si="49"/>
        <v>#REF!</v>
      </c>
      <c r="BR103" s="9" t="str">
        <f t="shared" si="49"/>
        <v>#REF!</v>
      </c>
      <c r="BS103" s="9" t="str">
        <f t="shared" si="49"/>
        <v>#REF!</v>
      </c>
      <c r="BT103" s="9" t="str">
        <f t="shared" si="49"/>
        <v>#REF!</v>
      </c>
      <c r="BU103" s="9" t="str">
        <f t="shared" si="49"/>
        <v>#REF!</v>
      </c>
      <c r="BV103" s="9" t="str">
        <f t="shared" si="49"/>
        <v>#REF!</v>
      </c>
      <c r="BW103" s="9" t="str">
        <f t="shared" si="49"/>
        <v>#REF!</v>
      </c>
      <c r="BX103" s="9" t="str">
        <f t="shared" si="49"/>
        <v>#REF!</v>
      </c>
      <c r="BY103" s="9" t="str">
        <f t="shared" si="49"/>
        <v>#REF!</v>
      </c>
      <c r="BZ103" s="9" t="str">
        <f t="shared" si="49"/>
        <v>#REF!</v>
      </c>
      <c r="CA103" s="9" t="str">
        <f t="shared" si="49"/>
        <v>#REF!</v>
      </c>
      <c r="CB103" s="9" t="str">
        <f t="shared" si="49"/>
        <v>#REF!</v>
      </c>
      <c r="CC103" s="9" t="str">
        <f t="shared" si="49"/>
        <v>#REF!</v>
      </c>
      <c r="CD103" s="9" t="str">
        <f t="shared" si="49"/>
        <v>#REF!</v>
      </c>
      <c r="CE103" s="9" t="str">
        <f t="shared" si="49"/>
        <v>#REF!</v>
      </c>
      <c r="CF103" s="9" t="str">
        <f t="shared" si="49"/>
        <v>#REF!</v>
      </c>
      <c r="CG103" s="9" t="str">
        <f t="shared" si="49"/>
        <v>#REF!</v>
      </c>
      <c r="CH103" s="9" t="str">
        <f t="shared" si="49"/>
        <v>#REF!</v>
      </c>
      <c r="CI103" s="9" t="str">
        <f t="shared" si="49"/>
        <v>#REF!</v>
      </c>
      <c r="CJ103" s="9" t="str">
        <f t="shared" si="49"/>
        <v>#REF!</v>
      </c>
      <c r="CK103" s="9" t="str">
        <f t="shared" si="49"/>
        <v>#REF!</v>
      </c>
      <c r="CL103" s="9" t="str">
        <f t="shared" si="49"/>
        <v>#REF!</v>
      </c>
      <c r="CM103" s="9" t="str">
        <f t="shared" si="49"/>
        <v>#REF!</v>
      </c>
      <c r="CN103" s="9" t="str">
        <f t="shared" si="49"/>
        <v>#REF!</v>
      </c>
      <c r="CO103" s="9" t="str">
        <f t="shared" si="49"/>
        <v>#REF!</v>
      </c>
      <c r="CP103" s="9" t="str">
        <f t="shared" si="49"/>
        <v>#REF!</v>
      </c>
      <c r="CQ103" s="9" t="str">
        <f t="shared" si="49"/>
        <v>#REF!</v>
      </c>
      <c r="CR103" s="9" t="str">
        <f t="shared" si="49"/>
        <v>#REF!</v>
      </c>
      <c r="CS103" s="9" t="str">
        <f t="shared" si="49"/>
        <v>#REF!</v>
      </c>
      <c r="CT103" s="9" t="str">
        <f t="shared" si="49"/>
        <v>#REF!</v>
      </c>
      <c r="CU103" s="9" t="str">
        <f t="shared" si="49"/>
        <v>#REF!</v>
      </c>
      <c r="CV103" s="9" t="str">
        <f t="shared" si="49"/>
        <v>#REF!</v>
      </c>
      <c r="CW103" s="9" t="str">
        <f t="shared" si="49"/>
        <v>#REF!</v>
      </c>
      <c r="CX103" s="9" t="str">
        <f t="shared" si="49"/>
        <v>#REF!</v>
      </c>
      <c r="CY103" s="16" t="str">
        <f t="shared" si="49"/>
        <v>#REF!</v>
      </c>
    </row>
    <row r="104" ht="12.75" hidden="1" customHeight="1">
      <c r="U104" s="6">
        <v>45016.0</v>
      </c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 t="str">
        <f>+BC$17*#REF!</f>
        <v>#REF!</v>
      </c>
      <c r="BE104" s="9" t="str">
        <f t="shared" ref="BE104:CZ104" si="50">IF(BD104&gt;0.005,(BD104-$BD104*#REF!/12),0)</f>
        <v>#REF!</v>
      </c>
      <c r="BF104" s="9" t="str">
        <f t="shared" si="50"/>
        <v>#REF!</v>
      </c>
      <c r="BG104" s="9" t="str">
        <f t="shared" si="50"/>
        <v>#REF!</v>
      </c>
      <c r="BH104" s="9" t="str">
        <f t="shared" si="50"/>
        <v>#REF!</v>
      </c>
      <c r="BI104" s="9" t="str">
        <f t="shared" si="50"/>
        <v>#REF!</v>
      </c>
      <c r="BJ104" s="9" t="str">
        <f t="shared" si="50"/>
        <v>#REF!</v>
      </c>
      <c r="BK104" s="9" t="str">
        <f t="shared" si="50"/>
        <v>#REF!</v>
      </c>
      <c r="BL104" s="9" t="str">
        <f t="shared" si="50"/>
        <v>#REF!</v>
      </c>
      <c r="BM104" s="9" t="str">
        <f t="shared" si="50"/>
        <v>#REF!</v>
      </c>
      <c r="BN104" s="9" t="str">
        <f t="shared" si="50"/>
        <v>#REF!</v>
      </c>
      <c r="BO104" s="9" t="str">
        <f t="shared" si="50"/>
        <v>#REF!</v>
      </c>
      <c r="BP104" s="9" t="str">
        <f t="shared" si="50"/>
        <v>#REF!</v>
      </c>
      <c r="BQ104" s="9" t="str">
        <f t="shared" si="50"/>
        <v>#REF!</v>
      </c>
      <c r="BR104" s="9" t="str">
        <f t="shared" si="50"/>
        <v>#REF!</v>
      </c>
      <c r="BS104" s="9" t="str">
        <f t="shared" si="50"/>
        <v>#REF!</v>
      </c>
      <c r="BT104" s="9" t="str">
        <f t="shared" si="50"/>
        <v>#REF!</v>
      </c>
      <c r="BU104" s="9" t="str">
        <f t="shared" si="50"/>
        <v>#REF!</v>
      </c>
      <c r="BV104" s="9" t="str">
        <f t="shared" si="50"/>
        <v>#REF!</v>
      </c>
      <c r="BW104" s="9" t="str">
        <f t="shared" si="50"/>
        <v>#REF!</v>
      </c>
      <c r="BX104" s="9" t="str">
        <f t="shared" si="50"/>
        <v>#REF!</v>
      </c>
      <c r="BY104" s="9" t="str">
        <f t="shared" si="50"/>
        <v>#REF!</v>
      </c>
      <c r="BZ104" s="9" t="str">
        <f t="shared" si="50"/>
        <v>#REF!</v>
      </c>
      <c r="CA104" s="9" t="str">
        <f t="shared" si="50"/>
        <v>#REF!</v>
      </c>
      <c r="CB104" s="9" t="str">
        <f t="shared" si="50"/>
        <v>#REF!</v>
      </c>
      <c r="CC104" s="9" t="str">
        <f t="shared" si="50"/>
        <v>#REF!</v>
      </c>
      <c r="CD104" s="9" t="str">
        <f t="shared" si="50"/>
        <v>#REF!</v>
      </c>
      <c r="CE104" s="9" t="str">
        <f t="shared" si="50"/>
        <v>#REF!</v>
      </c>
      <c r="CF104" s="9" t="str">
        <f t="shared" si="50"/>
        <v>#REF!</v>
      </c>
      <c r="CG104" s="9" t="str">
        <f t="shared" si="50"/>
        <v>#REF!</v>
      </c>
      <c r="CH104" s="9" t="str">
        <f t="shared" si="50"/>
        <v>#REF!</v>
      </c>
      <c r="CI104" s="9" t="str">
        <f t="shared" si="50"/>
        <v>#REF!</v>
      </c>
      <c r="CJ104" s="9" t="str">
        <f t="shared" si="50"/>
        <v>#REF!</v>
      </c>
      <c r="CK104" s="9" t="str">
        <f t="shared" si="50"/>
        <v>#REF!</v>
      </c>
      <c r="CL104" s="9" t="str">
        <f t="shared" si="50"/>
        <v>#REF!</v>
      </c>
      <c r="CM104" s="9" t="str">
        <f t="shared" si="50"/>
        <v>#REF!</v>
      </c>
      <c r="CN104" s="9" t="str">
        <f t="shared" si="50"/>
        <v>#REF!</v>
      </c>
      <c r="CO104" s="9" t="str">
        <f t="shared" si="50"/>
        <v>#REF!</v>
      </c>
      <c r="CP104" s="9" t="str">
        <f t="shared" si="50"/>
        <v>#REF!</v>
      </c>
      <c r="CQ104" s="9" t="str">
        <f t="shared" si="50"/>
        <v>#REF!</v>
      </c>
      <c r="CR104" s="9" t="str">
        <f t="shared" si="50"/>
        <v>#REF!</v>
      </c>
      <c r="CS104" s="9" t="str">
        <f t="shared" si="50"/>
        <v>#REF!</v>
      </c>
      <c r="CT104" s="9" t="str">
        <f t="shared" si="50"/>
        <v>#REF!</v>
      </c>
      <c r="CU104" s="9" t="str">
        <f t="shared" si="50"/>
        <v>#REF!</v>
      </c>
      <c r="CV104" s="9" t="str">
        <f t="shared" si="50"/>
        <v>#REF!</v>
      </c>
      <c r="CW104" s="9" t="str">
        <f t="shared" si="50"/>
        <v>#REF!</v>
      </c>
      <c r="CX104" s="9" t="str">
        <f t="shared" si="50"/>
        <v>#REF!</v>
      </c>
      <c r="CY104" s="16" t="str">
        <f t="shared" si="50"/>
        <v>#REF!</v>
      </c>
      <c r="CZ104" s="16" t="str">
        <f t="shared" si="50"/>
        <v>#REF!</v>
      </c>
    </row>
    <row r="105" ht="12.75" hidden="1" customHeight="1">
      <c r="U105" s="6">
        <v>45046.0</v>
      </c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 t="str">
        <f>+BD$17*#REF!</f>
        <v>#REF!</v>
      </c>
      <c r="BF105" s="9" t="str">
        <f t="shared" ref="BF105:DA105" si="51">IF(BE105&gt;0.005,(BE105-$BE105*#REF!/12),0)</f>
        <v>#REF!</v>
      </c>
      <c r="BG105" s="9" t="str">
        <f t="shared" si="51"/>
        <v>#REF!</v>
      </c>
      <c r="BH105" s="9" t="str">
        <f t="shared" si="51"/>
        <v>#REF!</v>
      </c>
      <c r="BI105" s="9" t="str">
        <f t="shared" si="51"/>
        <v>#REF!</v>
      </c>
      <c r="BJ105" s="9" t="str">
        <f t="shared" si="51"/>
        <v>#REF!</v>
      </c>
      <c r="BK105" s="9" t="str">
        <f t="shared" si="51"/>
        <v>#REF!</v>
      </c>
      <c r="BL105" s="9" t="str">
        <f t="shared" si="51"/>
        <v>#REF!</v>
      </c>
      <c r="BM105" s="9" t="str">
        <f t="shared" si="51"/>
        <v>#REF!</v>
      </c>
      <c r="BN105" s="9" t="str">
        <f t="shared" si="51"/>
        <v>#REF!</v>
      </c>
      <c r="BO105" s="9" t="str">
        <f t="shared" si="51"/>
        <v>#REF!</v>
      </c>
      <c r="BP105" s="9" t="str">
        <f t="shared" si="51"/>
        <v>#REF!</v>
      </c>
      <c r="BQ105" s="9" t="str">
        <f t="shared" si="51"/>
        <v>#REF!</v>
      </c>
      <c r="BR105" s="9" t="str">
        <f t="shared" si="51"/>
        <v>#REF!</v>
      </c>
      <c r="BS105" s="9" t="str">
        <f t="shared" si="51"/>
        <v>#REF!</v>
      </c>
      <c r="BT105" s="9" t="str">
        <f t="shared" si="51"/>
        <v>#REF!</v>
      </c>
      <c r="BU105" s="9" t="str">
        <f t="shared" si="51"/>
        <v>#REF!</v>
      </c>
      <c r="BV105" s="9" t="str">
        <f t="shared" si="51"/>
        <v>#REF!</v>
      </c>
      <c r="BW105" s="9" t="str">
        <f t="shared" si="51"/>
        <v>#REF!</v>
      </c>
      <c r="BX105" s="9" t="str">
        <f t="shared" si="51"/>
        <v>#REF!</v>
      </c>
      <c r="BY105" s="9" t="str">
        <f t="shared" si="51"/>
        <v>#REF!</v>
      </c>
      <c r="BZ105" s="9" t="str">
        <f t="shared" si="51"/>
        <v>#REF!</v>
      </c>
      <c r="CA105" s="9" t="str">
        <f t="shared" si="51"/>
        <v>#REF!</v>
      </c>
      <c r="CB105" s="9" t="str">
        <f t="shared" si="51"/>
        <v>#REF!</v>
      </c>
      <c r="CC105" s="9" t="str">
        <f t="shared" si="51"/>
        <v>#REF!</v>
      </c>
      <c r="CD105" s="9" t="str">
        <f t="shared" si="51"/>
        <v>#REF!</v>
      </c>
      <c r="CE105" s="9" t="str">
        <f t="shared" si="51"/>
        <v>#REF!</v>
      </c>
      <c r="CF105" s="9" t="str">
        <f t="shared" si="51"/>
        <v>#REF!</v>
      </c>
      <c r="CG105" s="9" t="str">
        <f t="shared" si="51"/>
        <v>#REF!</v>
      </c>
      <c r="CH105" s="9" t="str">
        <f t="shared" si="51"/>
        <v>#REF!</v>
      </c>
      <c r="CI105" s="9" t="str">
        <f t="shared" si="51"/>
        <v>#REF!</v>
      </c>
      <c r="CJ105" s="9" t="str">
        <f t="shared" si="51"/>
        <v>#REF!</v>
      </c>
      <c r="CK105" s="9" t="str">
        <f t="shared" si="51"/>
        <v>#REF!</v>
      </c>
      <c r="CL105" s="9" t="str">
        <f t="shared" si="51"/>
        <v>#REF!</v>
      </c>
      <c r="CM105" s="9" t="str">
        <f t="shared" si="51"/>
        <v>#REF!</v>
      </c>
      <c r="CN105" s="9" t="str">
        <f t="shared" si="51"/>
        <v>#REF!</v>
      </c>
      <c r="CO105" s="9" t="str">
        <f t="shared" si="51"/>
        <v>#REF!</v>
      </c>
      <c r="CP105" s="9" t="str">
        <f t="shared" si="51"/>
        <v>#REF!</v>
      </c>
      <c r="CQ105" s="9" t="str">
        <f t="shared" si="51"/>
        <v>#REF!</v>
      </c>
      <c r="CR105" s="9" t="str">
        <f t="shared" si="51"/>
        <v>#REF!</v>
      </c>
      <c r="CS105" s="9" t="str">
        <f t="shared" si="51"/>
        <v>#REF!</v>
      </c>
      <c r="CT105" s="9" t="str">
        <f t="shared" si="51"/>
        <v>#REF!</v>
      </c>
      <c r="CU105" s="9" t="str">
        <f t="shared" si="51"/>
        <v>#REF!</v>
      </c>
      <c r="CV105" s="9" t="str">
        <f t="shared" si="51"/>
        <v>#REF!</v>
      </c>
      <c r="CW105" s="9" t="str">
        <f t="shared" si="51"/>
        <v>#REF!</v>
      </c>
      <c r="CX105" s="9" t="str">
        <f t="shared" si="51"/>
        <v>#REF!</v>
      </c>
      <c r="CY105" s="16" t="str">
        <f t="shared" si="51"/>
        <v>#REF!</v>
      </c>
      <c r="CZ105" s="16" t="str">
        <f t="shared" si="51"/>
        <v>#REF!</v>
      </c>
      <c r="DA105" s="16" t="str">
        <f t="shared" si="51"/>
        <v>#REF!</v>
      </c>
    </row>
    <row r="106" ht="12.75" hidden="1" customHeight="1">
      <c r="U106" s="6">
        <v>45077.0</v>
      </c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 t="str">
        <f>+BE$17*#REF!</f>
        <v>#REF!</v>
      </c>
      <c r="BG106" s="9" t="str">
        <f t="shared" ref="BG106:DB106" si="52">IF(BF106&gt;0.005,(BF106-$BF106*#REF!/12),0)</f>
        <v>#REF!</v>
      </c>
      <c r="BH106" s="9" t="str">
        <f t="shared" si="52"/>
        <v>#REF!</v>
      </c>
      <c r="BI106" s="9" t="str">
        <f t="shared" si="52"/>
        <v>#REF!</v>
      </c>
      <c r="BJ106" s="9" t="str">
        <f t="shared" si="52"/>
        <v>#REF!</v>
      </c>
      <c r="BK106" s="9" t="str">
        <f t="shared" si="52"/>
        <v>#REF!</v>
      </c>
      <c r="BL106" s="9" t="str">
        <f t="shared" si="52"/>
        <v>#REF!</v>
      </c>
      <c r="BM106" s="9" t="str">
        <f t="shared" si="52"/>
        <v>#REF!</v>
      </c>
      <c r="BN106" s="9" t="str">
        <f t="shared" si="52"/>
        <v>#REF!</v>
      </c>
      <c r="BO106" s="9" t="str">
        <f t="shared" si="52"/>
        <v>#REF!</v>
      </c>
      <c r="BP106" s="9" t="str">
        <f t="shared" si="52"/>
        <v>#REF!</v>
      </c>
      <c r="BQ106" s="9" t="str">
        <f t="shared" si="52"/>
        <v>#REF!</v>
      </c>
      <c r="BR106" s="9" t="str">
        <f t="shared" si="52"/>
        <v>#REF!</v>
      </c>
      <c r="BS106" s="9" t="str">
        <f t="shared" si="52"/>
        <v>#REF!</v>
      </c>
      <c r="BT106" s="9" t="str">
        <f t="shared" si="52"/>
        <v>#REF!</v>
      </c>
      <c r="BU106" s="9" t="str">
        <f t="shared" si="52"/>
        <v>#REF!</v>
      </c>
      <c r="BV106" s="9" t="str">
        <f t="shared" si="52"/>
        <v>#REF!</v>
      </c>
      <c r="BW106" s="9" t="str">
        <f t="shared" si="52"/>
        <v>#REF!</v>
      </c>
      <c r="BX106" s="9" t="str">
        <f t="shared" si="52"/>
        <v>#REF!</v>
      </c>
      <c r="BY106" s="9" t="str">
        <f t="shared" si="52"/>
        <v>#REF!</v>
      </c>
      <c r="BZ106" s="9" t="str">
        <f t="shared" si="52"/>
        <v>#REF!</v>
      </c>
      <c r="CA106" s="9" t="str">
        <f t="shared" si="52"/>
        <v>#REF!</v>
      </c>
      <c r="CB106" s="9" t="str">
        <f t="shared" si="52"/>
        <v>#REF!</v>
      </c>
      <c r="CC106" s="9" t="str">
        <f t="shared" si="52"/>
        <v>#REF!</v>
      </c>
      <c r="CD106" s="9" t="str">
        <f t="shared" si="52"/>
        <v>#REF!</v>
      </c>
      <c r="CE106" s="9" t="str">
        <f t="shared" si="52"/>
        <v>#REF!</v>
      </c>
      <c r="CF106" s="9" t="str">
        <f t="shared" si="52"/>
        <v>#REF!</v>
      </c>
      <c r="CG106" s="9" t="str">
        <f t="shared" si="52"/>
        <v>#REF!</v>
      </c>
      <c r="CH106" s="9" t="str">
        <f t="shared" si="52"/>
        <v>#REF!</v>
      </c>
      <c r="CI106" s="9" t="str">
        <f t="shared" si="52"/>
        <v>#REF!</v>
      </c>
      <c r="CJ106" s="9" t="str">
        <f t="shared" si="52"/>
        <v>#REF!</v>
      </c>
      <c r="CK106" s="9" t="str">
        <f t="shared" si="52"/>
        <v>#REF!</v>
      </c>
      <c r="CL106" s="9" t="str">
        <f t="shared" si="52"/>
        <v>#REF!</v>
      </c>
      <c r="CM106" s="9" t="str">
        <f t="shared" si="52"/>
        <v>#REF!</v>
      </c>
      <c r="CN106" s="9" t="str">
        <f t="shared" si="52"/>
        <v>#REF!</v>
      </c>
      <c r="CO106" s="9" t="str">
        <f t="shared" si="52"/>
        <v>#REF!</v>
      </c>
      <c r="CP106" s="9" t="str">
        <f t="shared" si="52"/>
        <v>#REF!</v>
      </c>
      <c r="CQ106" s="9" t="str">
        <f t="shared" si="52"/>
        <v>#REF!</v>
      </c>
      <c r="CR106" s="9" t="str">
        <f t="shared" si="52"/>
        <v>#REF!</v>
      </c>
      <c r="CS106" s="9" t="str">
        <f t="shared" si="52"/>
        <v>#REF!</v>
      </c>
      <c r="CT106" s="9" t="str">
        <f t="shared" si="52"/>
        <v>#REF!</v>
      </c>
      <c r="CU106" s="9" t="str">
        <f t="shared" si="52"/>
        <v>#REF!</v>
      </c>
      <c r="CV106" s="9" t="str">
        <f t="shared" si="52"/>
        <v>#REF!</v>
      </c>
      <c r="CW106" s="9" t="str">
        <f t="shared" si="52"/>
        <v>#REF!</v>
      </c>
      <c r="CX106" s="9" t="str">
        <f t="shared" si="52"/>
        <v>#REF!</v>
      </c>
      <c r="CY106" s="16" t="str">
        <f t="shared" si="52"/>
        <v>#REF!</v>
      </c>
      <c r="CZ106" s="16" t="str">
        <f t="shared" si="52"/>
        <v>#REF!</v>
      </c>
      <c r="DA106" s="16" t="str">
        <f t="shared" si="52"/>
        <v>#REF!</v>
      </c>
      <c r="DB106" s="16" t="str">
        <f t="shared" si="52"/>
        <v>#REF!</v>
      </c>
    </row>
    <row r="107" ht="12.75" hidden="1" customHeight="1">
      <c r="U107" s="6">
        <v>45107.0</v>
      </c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 t="str">
        <f>+BF$17*#REF!</f>
        <v>#REF!</v>
      </c>
      <c r="BH107" s="9" t="str">
        <f t="shared" ref="BH107:DC107" si="53">IF(BG107&gt;0.005,(BG107-$BG107*#REF!/12),0)</f>
        <v>#REF!</v>
      </c>
      <c r="BI107" s="9" t="str">
        <f t="shared" si="53"/>
        <v>#REF!</v>
      </c>
      <c r="BJ107" s="9" t="str">
        <f t="shared" si="53"/>
        <v>#REF!</v>
      </c>
      <c r="BK107" s="9" t="str">
        <f t="shared" si="53"/>
        <v>#REF!</v>
      </c>
      <c r="BL107" s="9" t="str">
        <f t="shared" si="53"/>
        <v>#REF!</v>
      </c>
      <c r="BM107" s="9" t="str">
        <f t="shared" si="53"/>
        <v>#REF!</v>
      </c>
      <c r="BN107" s="9" t="str">
        <f t="shared" si="53"/>
        <v>#REF!</v>
      </c>
      <c r="BO107" s="9" t="str">
        <f t="shared" si="53"/>
        <v>#REF!</v>
      </c>
      <c r="BP107" s="9" t="str">
        <f t="shared" si="53"/>
        <v>#REF!</v>
      </c>
      <c r="BQ107" s="9" t="str">
        <f t="shared" si="53"/>
        <v>#REF!</v>
      </c>
      <c r="BR107" s="9" t="str">
        <f t="shared" si="53"/>
        <v>#REF!</v>
      </c>
      <c r="BS107" s="9" t="str">
        <f t="shared" si="53"/>
        <v>#REF!</v>
      </c>
      <c r="BT107" s="9" t="str">
        <f t="shared" si="53"/>
        <v>#REF!</v>
      </c>
      <c r="BU107" s="9" t="str">
        <f t="shared" si="53"/>
        <v>#REF!</v>
      </c>
      <c r="BV107" s="9" t="str">
        <f t="shared" si="53"/>
        <v>#REF!</v>
      </c>
      <c r="BW107" s="9" t="str">
        <f t="shared" si="53"/>
        <v>#REF!</v>
      </c>
      <c r="BX107" s="9" t="str">
        <f t="shared" si="53"/>
        <v>#REF!</v>
      </c>
      <c r="BY107" s="9" t="str">
        <f t="shared" si="53"/>
        <v>#REF!</v>
      </c>
      <c r="BZ107" s="9" t="str">
        <f t="shared" si="53"/>
        <v>#REF!</v>
      </c>
      <c r="CA107" s="9" t="str">
        <f t="shared" si="53"/>
        <v>#REF!</v>
      </c>
      <c r="CB107" s="9" t="str">
        <f t="shared" si="53"/>
        <v>#REF!</v>
      </c>
      <c r="CC107" s="9" t="str">
        <f t="shared" si="53"/>
        <v>#REF!</v>
      </c>
      <c r="CD107" s="9" t="str">
        <f t="shared" si="53"/>
        <v>#REF!</v>
      </c>
      <c r="CE107" s="9" t="str">
        <f t="shared" si="53"/>
        <v>#REF!</v>
      </c>
      <c r="CF107" s="9" t="str">
        <f t="shared" si="53"/>
        <v>#REF!</v>
      </c>
      <c r="CG107" s="9" t="str">
        <f t="shared" si="53"/>
        <v>#REF!</v>
      </c>
      <c r="CH107" s="9" t="str">
        <f t="shared" si="53"/>
        <v>#REF!</v>
      </c>
      <c r="CI107" s="9" t="str">
        <f t="shared" si="53"/>
        <v>#REF!</v>
      </c>
      <c r="CJ107" s="9" t="str">
        <f t="shared" si="53"/>
        <v>#REF!</v>
      </c>
      <c r="CK107" s="9" t="str">
        <f t="shared" si="53"/>
        <v>#REF!</v>
      </c>
      <c r="CL107" s="9" t="str">
        <f t="shared" si="53"/>
        <v>#REF!</v>
      </c>
      <c r="CM107" s="9" t="str">
        <f t="shared" si="53"/>
        <v>#REF!</v>
      </c>
      <c r="CN107" s="9" t="str">
        <f t="shared" si="53"/>
        <v>#REF!</v>
      </c>
      <c r="CO107" s="9" t="str">
        <f t="shared" si="53"/>
        <v>#REF!</v>
      </c>
      <c r="CP107" s="9" t="str">
        <f t="shared" si="53"/>
        <v>#REF!</v>
      </c>
      <c r="CQ107" s="9" t="str">
        <f t="shared" si="53"/>
        <v>#REF!</v>
      </c>
      <c r="CR107" s="9" t="str">
        <f t="shared" si="53"/>
        <v>#REF!</v>
      </c>
      <c r="CS107" s="9" t="str">
        <f t="shared" si="53"/>
        <v>#REF!</v>
      </c>
      <c r="CT107" s="9" t="str">
        <f t="shared" si="53"/>
        <v>#REF!</v>
      </c>
      <c r="CU107" s="9" t="str">
        <f t="shared" si="53"/>
        <v>#REF!</v>
      </c>
      <c r="CV107" s="9" t="str">
        <f t="shared" si="53"/>
        <v>#REF!</v>
      </c>
      <c r="CW107" s="9" t="str">
        <f t="shared" si="53"/>
        <v>#REF!</v>
      </c>
      <c r="CX107" s="9" t="str">
        <f t="shared" si="53"/>
        <v>#REF!</v>
      </c>
      <c r="CY107" s="16" t="str">
        <f t="shared" si="53"/>
        <v>#REF!</v>
      </c>
      <c r="CZ107" s="16" t="str">
        <f t="shared" si="53"/>
        <v>#REF!</v>
      </c>
      <c r="DA107" s="16" t="str">
        <f t="shared" si="53"/>
        <v>#REF!</v>
      </c>
      <c r="DB107" s="16" t="str">
        <f t="shared" si="53"/>
        <v>#REF!</v>
      </c>
      <c r="DC107" s="16" t="str">
        <f t="shared" si="53"/>
        <v>#REF!</v>
      </c>
    </row>
    <row r="108" ht="12.75" hidden="1" customHeight="1">
      <c r="U108" s="6">
        <v>45138.0</v>
      </c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 t="str">
        <f>+BG$17*#REF!</f>
        <v>#REF!</v>
      </c>
      <c r="BI108" s="9" t="str">
        <f t="shared" ref="BI108:DD108" si="54">IF(BH108&gt;0.005,(BH108-$BH108*#REF!/12),0)</f>
        <v>#REF!</v>
      </c>
      <c r="BJ108" s="9" t="str">
        <f t="shared" si="54"/>
        <v>#REF!</v>
      </c>
      <c r="BK108" s="9" t="str">
        <f t="shared" si="54"/>
        <v>#REF!</v>
      </c>
      <c r="BL108" s="9" t="str">
        <f t="shared" si="54"/>
        <v>#REF!</v>
      </c>
      <c r="BM108" s="9" t="str">
        <f t="shared" si="54"/>
        <v>#REF!</v>
      </c>
      <c r="BN108" s="9" t="str">
        <f t="shared" si="54"/>
        <v>#REF!</v>
      </c>
      <c r="BO108" s="9" t="str">
        <f t="shared" si="54"/>
        <v>#REF!</v>
      </c>
      <c r="BP108" s="9" t="str">
        <f t="shared" si="54"/>
        <v>#REF!</v>
      </c>
      <c r="BQ108" s="9" t="str">
        <f t="shared" si="54"/>
        <v>#REF!</v>
      </c>
      <c r="BR108" s="9" t="str">
        <f t="shared" si="54"/>
        <v>#REF!</v>
      </c>
      <c r="BS108" s="9" t="str">
        <f t="shared" si="54"/>
        <v>#REF!</v>
      </c>
      <c r="BT108" s="9" t="str">
        <f t="shared" si="54"/>
        <v>#REF!</v>
      </c>
      <c r="BU108" s="9" t="str">
        <f t="shared" si="54"/>
        <v>#REF!</v>
      </c>
      <c r="BV108" s="9" t="str">
        <f t="shared" si="54"/>
        <v>#REF!</v>
      </c>
      <c r="BW108" s="9" t="str">
        <f t="shared" si="54"/>
        <v>#REF!</v>
      </c>
      <c r="BX108" s="9" t="str">
        <f t="shared" si="54"/>
        <v>#REF!</v>
      </c>
      <c r="BY108" s="9" t="str">
        <f t="shared" si="54"/>
        <v>#REF!</v>
      </c>
      <c r="BZ108" s="9" t="str">
        <f t="shared" si="54"/>
        <v>#REF!</v>
      </c>
      <c r="CA108" s="9" t="str">
        <f t="shared" si="54"/>
        <v>#REF!</v>
      </c>
      <c r="CB108" s="9" t="str">
        <f t="shared" si="54"/>
        <v>#REF!</v>
      </c>
      <c r="CC108" s="9" t="str">
        <f t="shared" si="54"/>
        <v>#REF!</v>
      </c>
      <c r="CD108" s="9" t="str">
        <f t="shared" si="54"/>
        <v>#REF!</v>
      </c>
      <c r="CE108" s="9" t="str">
        <f t="shared" si="54"/>
        <v>#REF!</v>
      </c>
      <c r="CF108" s="9" t="str">
        <f t="shared" si="54"/>
        <v>#REF!</v>
      </c>
      <c r="CG108" s="9" t="str">
        <f t="shared" si="54"/>
        <v>#REF!</v>
      </c>
      <c r="CH108" s="9" t="str">
        <f t="shared" si="54"/>
        <v>#REF!</v>
      </c>
      <c r="CI108" s="9" t="str">
        <f t="shared" si="54"/>
        <v>#REF!</v>
      </c>
      <c r="CJ108" s="9" t="str">
        <f t="shared" si="54"/>
        <v>#REF!</v>
      </c>
      <c r="CK108" s="9" t="str">
        <f t="shared" si="54"/>
        <v>#REF!</v>
      </c>
      <c r="CL108" s="9" t="str">
        <f t="shared" si="54"/>
        <v>#REF!</v>
      </c>
      <c r="CM108" s="9" t="str">
        <f t="shared" si="54"/>
        <v>#REF!</v>
      </c>
      <c r="CN108" s="9" t="str">
        <f t="shared" si="54"/>
        <v>#REF!</v>
      </c>
      <c r="CO108" s="9" t="str">
        <f t="shared" si="54"/>
        <v>#REF!</v>
      </c>
      <c r="CP108" s="9" t="str">
        <f t="shared" si="54"/>
        <v>#REF!</v>
      </c>
      <c r="CQ108" s="9" t="str">
        <f t="shared" si="54"/>
        <v>#REF!</v>
      </c>
      <c r="CR108" s="9" t="str">
        <f t="shared" si="54"/>
        <v>#REF!</v>
      </c>
      <c r="CS108" s="9" t="str">
        <f t="shared" si="54"/>
        <v>#REF!</v>
      </c>
      <c r="CT108" s="9" t="str">
        <f t="shared" si="54"/>
        <v>#REF!</v>
      </c>
      <c r="CU108" s="9" t="str">
        <f t="shared" si="54"/>
        <v>#REF!</v>
      </c>
      <c r="CV108" s="9" t="str">
        <f t="shared" si="54"/>
        <v>#REF!</v>
      </c>
      <c r="CW108" s="9" t="str">
        <f t="shared" si="54"/>
        <v>#REF!</v>
      </c>
      <c r="CX108" s="9" t="str">
        <f t="shared" si="54"/>
        <v>#REF!</v>
      </c>
      <c r="CY108" s="16" t="str">
        <f t="shared" si="54"/>
        <v>#REF!</v>
      </c>
      <c r="CZ108" s="16" t="str">
        <f t="shared" si="54"/>
        <v>#REF!</v>
      </c>
      <c r="DA108" s="16" t="str">
        <f t="shared" si="54"/>
        <v>#REF!</v>
      </c>
      <c r="DB108" s="16" t="str">
        <f t="shared" si="54"/>
        <v>#REF!</v>
      </c>
      <c r="DC108" s="16" t="str">
        <f t="shared" si="54"/>
        <v>#REF!</v>
      </c>
      <c r="DD108" s="16" t="str">
        <f t="shared" si="54"/>
        <v>#REF!</v>
      </c>
    </row>
    <row r="109" ht="12.75" hidden="1" customHeight="1">
      <c r="U109" s="6">
        <v>45169.0</v>
      </c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 t="str">
        <f>+BH$17*#REF!</f>
        <v>#REF!</v>
      </c>
      <c r="BJ109" s="9" t="str">
        <f t="shared" ref="BJ109:DE109" si="55">IF(BI109&gt;0.005,(BI109-$BI109*#REF!/12),0)</f>
        <v>#REF!</v>
      </c>
      <c r="BK109" s="9" t="str">
        <f t="shared" si="55"/>
        <v>#REF!</v>
      </c>
      <c r="BL109" s="9" t="str">
        <f t="shared" si="55"/>
        <v>#REF!</v>
      </c>
      <c r="BM109" s="9" t="str">
        <f t="shared" si="55"/>
        <v>#REF!</v>
      </c>
      <c r="BN109" s="9" t="str">
        <f t="shared" si="55"/>
        <v>#REF!</v>
      </c>
      <c r="BO109" s="9" t="str">
        <f t="shared" si="55"/>
        <v>#REF!</v>
      </c>
      <c r="BP109" s="9" t="str">
        <f t="shared" si="55"/>
        <v>#REF!</v>
      </c>
      <c r="BQ109" s="9" t="str">
        <f t="shared" si="55"/>
        <v>#REF!</v>
      </c>
      <c r="BR109" s="9" t="str">
        <f t="shared" si="55"/>
        <v>#REF!</v>
      </c>
      <c r="BS109" s="9" t="str">
        <f t="shared" si="55"/>
        <v>#REF!</v>
      </c>
      <c r="BT109" s="9" t="str">
        <f t="shared" si="55"/>
        <v>#REF!</v>
      </c>
      <c r="BU109" s="9" t="str">
        <f t="shared" si="55"/>
        <v>#REF!</v>
      </c>
      <c r="BV109" s="9" t="str">
        <f t="shared" si="55"/>
        <v>#REF!</v>
      </c>
      <c r="BW109" s="9" t="str">
        <f t="shared" si="55"/>
        <v>#REF!</v>
      </c>
      <c r="BX109" s="9" t="str">
        <f t="shared" si="55"/>
        <v>#REF!</v>
      </c>
      <c r="BY109" s="9" t="str">
        <f t="shared" si="55"/>
        <v>#REF!</v>
      </c>
      <c r="BZ109" s="9" t="str">
        <f t="shared" si="55"/>
        <v>#REF!</v>
      </c>
      <c r="CA109" s="9" t="str">
        <f t="shared" si="55"/>
        <v>#REF!</v>
      </c>
      <c r="CB109" s="9" t="str">
        <f t="shared" si="55"/>
        <v>#REF!</v>
      </c>
      <c r="CC109" s="9" t="str">
        <f t="shared" si="55"/>
        <v>#REF!</v>
      </c>
      <c r="CD109" s="9" t="str">
        <f t="shared" si="55"/>
        <v>#REF!</v>
      </c>
      <c r="CE109" s="9" t="str">
        <f t="shared" si="55"/>
        <v>#REF!</v>
      </c>
      <c r="CF109" s="9" t="str">
        <f t="shared" si="55"/>
        <v>#REF!</v>
      </c>
      <c r="CG109" s="9" t="str">
        <f t="shared" si="55"/>
        <v>#REF!</v>
      </c>
      <c r="CH109" s="9" t="str">
        <f t="shared" si="55"/>
        <v>#REF!</v>
      </c>
      <c r="CI109" s="9" t="str">
        <f t="shared" si="55"/>
        <v>#REF!</v>
      </c>
      <c r="CJ109" s="9" t="str">
        <f t="shared" si="55"/>
        <v>#REF!</v>
      </c>
      <c r="CK109" s="9" t="str">
        <f t="shared" si="55"/>
        <v>#REF!</v>
      </c>
      <c r="CL109" s="9" t="str">
        <f t="shared" si="55"/>
        <v>#REF!</v>
      </c>
      <c r="CM109" s="9" t="str">
        <f t="shared" si="55"/>
        <v>#REF!</v>
      </c>
      <c r="CN109" s="9" t="str">
        <f t="shared" si="55"/>
        <v>#REF!</v>
      </c>
      <c r="CO109" s="9" t="str">
        <f t="shared" si="55"/>
        <v>#REF!</v>
      </c>
      <c r="CP109" s="9" t="str">
        <f t="shared" si="55"/>
        <v>#REF!</v>
      </c>
      <c r="CQ109" s="9" t="str">
        <f t="shared" si="55"/>
        <v>#REF!</v>
      </c>
      <c r="CR109" s="9" t="str">
        <f t="shared" si="55"/>
        <v>#REF!</v>
      </c>
      <c r="CS109" s="9" t="str">
        <f t="shared" si="55"/>
        <v>#REF!</v>
      </c>
      <c r="CT109" s="9" t="str">
        <f t="shared" si="55"/>
        <v>#REF!</v>
      </c>
      <c r="CU109" s="9" t="str">
        <f t="shared" si="55"/>
        <v>#REF!</v>
      </c>
      <c r="CV109" s="9" t="str">
        <f t="shared" si="55"/>
        <v>#REF!</v>
      </c>
      <c r="CW109" s="9" t="str">
        <f t="shared" si="55"/>
        <v>#REF!</v>
      </c>
      <c r="CX109" s="9" t="str">
        <f t="shared" si="55"/>
        <v>#REF!</v>
      </c>
      <c r="CY109" s="16" t="str">
        <f t="shared" si="55"/>
        <v>#REF!</v>
      </c>
      <c r="CZ109" s="16" t="str">
        <f t="shared" si="55"/>
        <v>#REF!</v>
      </c>
      <c r="DA109" s="16" t="str">
        <f t="shared" si="55"/>
        <v>#REF!</v>
      </c>
      <c r="DB109" s="16" t="str">
        <f t="shared" si="55"/>
        <v>#REF!</v>
      </c>
      <c r="DC109" s="16" t="str">
        <f t="shared" si="55"/>
        <v>#REF!</v>
      </c>
      <c r="DD109" s="16" t="str">
        <f t="shared" si="55"/>
        <v>#REF!</v>
      </c>
      <c r="DE109" s="16" t="str">
        <f t="shared" si="55"/>
        <v>#REF!</v>
      </c>
    </row>
    <row r="110" ht="12.75" hidden="1" customHeight="1">
      <c r="U110" s="6">
        <v>45199.0</v>
      </c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 t="str">
        <f>+BI$17*#REF!</f>
        <v>#REF!</v>
      </c>
      <c r="BK110" s="9" t="str">
        <f t="shared" ref="BK110:DF110" si="56">IF(BJ110&gt;0.005,(BJ110-$BJ110*#REF!/12),0)</f>
        <v>#REF!</v>
      </c>
      <c r="BL110" s="9" t="str">
        <f t="shared" si="56"/>
        <v>#REF!</v>
      </c>
      <c r="BM110" s="9" t="str">
        <f t="shared" si="56"/>
        <v>#REF!</v>
      </c>
      <c r="BN110" s="9" t="str">
        <f t="shared" si="56"/>
        <v>#REF!</v>
      </c>
      <c r="BO110" s="9" t="str">
        <f t="shared" si="56"/>
        <v>#REF!</v>
      </c>
      <c r="BP110" s="9" t="str">
        <f t="shared" si="56"/>
        <v>#REF!</v>
      </c>
      <c r="BQ110" s="9" t="str">
        <f t="shared" si="56"/>
        <v>#REF!</v>
      </c>
      <c r="BR110" s="9" t="str">
        <f t="shared" si="56"/>
        <v>#REF!</v>
      </c>
      <c r="BS110" s="9" t="str">
        <f t="shared" si="56"/>
        <v>#REF!</v>
      </c>
      <c r="BT110" s="9" t="str">
        <f t="shared" si="56"/>
        <v>#REF!</v>
      </c>
      <c r="BU110" s="9" t="str">
        <f t="shared" si="56"/>
        <v>#REF!</v>
      </c>
      <c r="BV110" s="9" t="str">
        <f t="shared" si="56"/>
        <v>#REF!</v>
      </c>
      <c r="BW110" s="9" t="str">
        <f t="shared" si="56"/>
        <v>#REF!</v>
      </c>
      <c r="BX110" s="9" t="str">
        <f t="shared" si="56"/>
        <v>#REF!</v>
      </c>
      <c r="BY110" s="9" t="str">
        <f t="shared" si="56"/>
        <v>#REF!</v>
      </c>
      <c r="BZ110" s="9" t="str">
        <f t="shared" si="56"/>
        <v>#REF!</v>
      </c>
      <c r="CA110" s="9" t="str">
        <f t="shared" si="56"/>
        <v>#REF!</v>
      </c>
      <c r="CB110" s="9" t="str">
        <f t="shared" si="56"/>
        <v>#REF!</v>
      </c>
      <c r="CC110" s="9" t="str">
        <f t="shared" si="56"/>
        <v>#REF!</v>
      </c>
      <c r="CD110" s="9" t="str">
        <f t="shared" si="56"/>
        <v>#REF!</v>
      </c>
      <c r="CE110" s="9" t="str">
        <f t="shared" si="56"/>
        <v>#REF!</v>
      </c>
      <c r="CF110" s="9" t="str">
        <f t="shared" si="56"/>
        <v>#REF!</v>
      </c>
      <c r="CG110" s="9" t="str">
        <f t="shared" si="56"/>
        <v>#REF!</v>
      </c>
      <c r="CH110" s="9" t="str">
        <f t="shared" si="56"/>
        <v>#REF!</v>
      </c>
      <c r="CI110" s="9" t="str">
        <f t="shared" si="56"/>
        <v>#REF!</v>
      </c>
      <c r="CJ110" s="9" t="str">
        <f t="shared" si="56"/>
        <v>#REF!</v>
      </c>
      <c r="CK110" s="9" t="str">
        <f t="shared" si="56"/>
        <v>#REF!</v>
      </c>
      <c r="CL110" s="9" t="str">
        <f t="shared" si="56"/>
        <v>#REF!</v>
      </c>
      <c r="CM110" s="9" t="str">
        <f t="shared" si="56"/>
        <v>#REF!</v>
      </c>
      <c r="CN110" s="9" t="str">
        <f t="shared" si="56"/>
        <v>#REF!</v>
      </c>
      <c r="CO110" s="9" t="str">
        <f t="shared" si="56"/>
        <v>#REF!</v>
      </c>
      <c r="CP110" s="9" t="str">
        <f t="shared" si="56"/>
        <v>#REF!</v>
      </c>
      <c r="CQ110" s="9" t="str">
        <f t="shared" si="56"/>
        <v>#REF!</v>
      </c>
      <c r="CR110" s="9" t="str">
        <f t="shared" si="56"/>
        <v>#REF!</v>
      </c>
      <c r="CS110" s="9" t="str">
        <f t="shared" si="56"/>
        <v>#REF!</v>
      </c>
      <c r="CT110" s="9" t="str">
        <f t="shared" si="56"/>
        <v>#REF!</v>
      </c>
      <c r="CU110" s="9" t="str">
        <f t="shared" si="56"/>
        <v>#REF!</v>
      </c>
      <c r="CV110" s="9" t="str">
        <f t="shared" si="56"/>
        <v>#REF!</v>
      </c>
      <c r="CW110" s="9" t="str">
        <f t="shared" si="56"/>
        <v>#REF!</v>
      </c>
      <c r="CX110" s="9" t="str">
        <f t="shared" si="56"/>
        <v>#REF!</v>
      </c>
      <c r="CY110" s="16" t="str">
        <f t="shared" si="56"/>
        <v>#REF!</v>
      </c>
      <c r="CZ110" s="16" t="str">
        <f t="shared" si="56"/>
        <v>#REF!</v>
      </c>
      <c r="DA110" s="16" t="str">
        <f t="shared" si="56"/>
        <v>#REF!</v>
      </c>
      <c r="DB110" s="16" t="str">
        <f t="shared" si="56"/>
        <v>#REF!</v>
      </c>
      <c r="DC110" s="16" t="str">
        <f t="shared" si="56"/>
        <v>#REF!</v>
      </c>
      <c r="DD110" s="16" t="str">
        <f t="shared" si="56"/>
        <v>#REF!</v>
      </c>
      <c r="DE110" s="16" t="str">
        <f t="shared" si="56"/>
        <v>#REF!</v>
      </c>
      <c r="DF110" s="16" t="str">
        <f t="shared" si="56"/>
        <v>#REF!</v>
      </c>
    </row>
    <row r="111" ht="12.75" hidden="1" customHeight="1">
      <c r="U111" s="6">
        <v>45230.0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 t="str">
        <f>+BJ$17*#REF!</f>
        <v>#REF!</v>
      </c>
      <c r="BL111" s="9" t="str">
        <f>IF(BK111&gt;0.005,(BK111-$BK111*#REF!/12),0)</f>
        <v>#REF!</v>
      </c>
      <c r="BM111" s="9" t="str">
        <f t="shared" ref="BM111:BM112" si="58">IF(BL111&gt;0.005,(BL111-$BL111*#REF!/12),0)</f>
        <v>#REF!</v>
      </c>
      <c r="BN111" s="9" t="str">
        <f t="shared" ref="BN111:DG111" si="57">IF(BM111&gt;0.005,(BM111-$BK111*#REF!/12),0)</f>
        <v>#REF!</v>
      </c>
      <c r="BO111" s="9" t="str">
        <f t="shared" si="57"/>
        <v>#REF!</v>
      </c>
      <c r="BP111" s="9" t="str">
        <f t="shared" si="57"/>
        <v>#REF!</v>
      </c>
      <c r="BQ111" s="9" t="str">
        <f t="shared" si="57"/>
        <v>#REF!</v>
      </c>
      <c r="BR111" s="9" t="str">
        <f t="shared" si="57"/>
        <v>#REF!</v>
      </c>
      <c r="BS111" s="9" t="str">
        <f t="shared" si="57"/>
        <v>#REF!</v>
      </c>
      <c r="BT111" s="9" t="str">
        <f t="shared" si="57"/>
        <v>#REF!</v>
      </c>
      <c r="BU111" s="9" t="str">
        <f t="shared" si="57"/>
        <v>#REF!</v>
      </c>
      <c r="BV111" s="9" t="str">
        <f t="shared" si="57"/>
        <v>#REF!</v>
      </c>
      <c r="BW111" s="9" t="str">
        <f t="shared" si="57"/>
        <v>#REF!</v>
      </c>
      <c r="BX111" s="9" t="str">
        <f t="shared" si="57"/>
        <v>#REF!</v>
      </c>
      <c r="BY111" s="9" t="str">
        <f t="shared" si="57"/>
        <v>#REF!</v>
      </c>
      <c r="BZ111" s="9" t="str">
        <f t="shared" si="57"/>
        <v>#REF!</v>
      </c>
      <c r="CA111" s="9" t="str">
        <f t="shared" si="57"/>
        <v>#REF!</v>
      </c>
      <c r="CB111" s="9" t="str">
        <f t="shared" si="57"/>
        <v>#REF!</v>
      </c>
      <c r="CC111" s="9" t="str">
        <f t="shared" si="57"/>
        <v>#REF!</v>
      </c>
      <c r="CD111" s="9" t="str">
        <f t="shared" si="57"/>
        <v>#REF!</v>
      </c>
      <c r="CE111" s="9" t="str">
        <f t="shared" si="57"/>
        <v>#REF!</v>
      </c>
      <c r="CF111" s="9" t="str">
        <f t="shared" si="57"/>
        <v>#REF!</v>
      </c>
      <c r="CG111" s="9" t="str">
        <f t="shared" si="57"/>
        <v>#REF!</v>
      </c>
      <c r="CH111" s="9" t="str">
        <f t="shared" si="57"/>
        <v>#REF!</v>
      </c>
      <c r="CI111" s="9" t="str">
        <f t="shared" si="57"/>
        <v>#REF!</v>
      </c>
      <c r="CJ111" s="9" t="str">
        <f t="shared" si="57"/>
        <v>#REF!</v>
      </c>
      <c r="CK111" s="9" t="str">
        <f t="shared" si="57"/>
        <v>#REF!</v>
      </c>
      <c r="CL111" s="9" t="str">
        <f t="shared" si="57"/>
        <v>#REF!</v>
      </c>
      <c r="CM111" s="9" t="str">
        <f t="shared" si="57"/>
        <v>#REF!</v>
      </c>
      <c r="CN111" s="9" t="str">
        <f t="shared" si="57"/>
        <v>#REF!</v>
      </c>
      <c r="CO111" s="9" t="str">
        <f t="shared" si="57"/>
        <v>#REF!</v>
      </c>
      <c r="CP111" s="9" t="str">
        <f t="shared" si="57"/>
        <v>#REF!</v>
      </c>
      <c r="CQ111" s="9" t="str">
        <f t="shared" si="57"/>
        <v>#REF!</v>
      </c>
      <c r="CR111" s="9" t="str">
        <f t="shared" si="57"/>
        <v>#REF!</v>
      </c>
      <c r="CS111" s="9" t="str">
        <f t="shared" si="57"/>
        <v>#REF!</v>
      </c>
      <c r="CT111" s="9" t="str">
        <f t="shared" si="57"/>
        <v>#REF!</v>
      </c>
      <c r="CU111" s="9" t="str">
        <f t="shared" si="57"/>
        <v>#REF!</v>
      </c>
      <c r="CV111" s="9" t="str">
        <f t="shared" si="57"/>
        <v>#REF!</v>
      </c>
      <c r="CW111" s="9" t="str">
        <f t="shared" si="57"/>
        <v>#REF!</v>
      </c>
      <c r="CX111" s="9" t="str">
        <f t="shared" si="57"/>
        <v>#REF!</v>
      </c>
      <c r="CY111" s="16" t="str">
        <f t="shared" si="57"/>
        <v>#REF!</v>
      </c>
      <c r="CZ111" s="16" t="str">
        <f t="shared" si="57"/>
        <v>#REF!</v>
      </c>
      <c r="DA111" s="16" t="str">
        <f t="shared" si="57"/>
        <v>#REF!</v>
      </c>
      <c r="DB111" s="16" t="str">
        <f t="shared" si="57"/>
        <v>#REF!</v>
      </c>
      <c r="DC111" s="16" t="str">
        <f t="shared" si="57"/>
        <v>#REF!</v>
      </c>
      <c r="DD111" s="16" t="str">
        <f t="shared" si="57"/>
        <v>#REF!</v>
      </c>
      <c r="DE111" s="16" t="str">
        <f t="shared" si="57"/>
        <v>#REF!</v>
      </c>
      <c r="DF111" s="16" t="str">
        <f t="shared" si="57"/>
        <v>#REF!</v>
      </c>
      <c r="DG111" s="16" t="str">
        <f t="shared" si="57"/>
        <v>#REF!</v>
      </c>
    </row>
    <row r="112" ht="12.75" hidden="1" customHeight="1">
      <c r="U112" s="6">
        <v>45260.0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 t="str">
        <f>+BK$17*#REF!</f>
        <v>#REF!</v>
      </c>
      <c r="BM112" s="9" t="str">
        <f t="shared" si="58"/>
        <v>#REF!</v>
      </c>
      <c r="BN112" s="9" t="str">
        <f t="shared" ref="BN112:DI112" si="59">IF(BM112&gt;0.005,(BM112-$BL112*#REF!/12),0)</f>
        <v>#REF!</v>
      </c>
      <c r="BO112" s="9" t="str">
        <f t="shared" si="59"/>
        <v>#REF!</v>
      </c>
      <c r="BP112" s="9" t="str">
        <f t="shared" si="59"/>
        <v>#REF!</v>
      </c>
      <c r="BQ112" s="9" t="str">
        <f t="shared" si="59"/>
        <v>#REF!</v>
      </c>
      <c r="BR112" s="9" t="str">
        <f t="shared" si="59"/>
        <v>#REF!</v>
      </c>
      <c r="BS112" s="9" t="str">
        <f t="shared" si="59"/>
        <v>#REF!</v>
      </c>
      <c r="BT112" s="9" t="str">
        <f t="shared" si="59"/>
        <v>#REF!</v>
      </c>
      <c r="BU112" s="9" t="str">
        <f t="shared" si="59"/>
        <v>#REF!</v>
      </c>
      <c r="BV112" s="9" t="str">
        <f t="shared" si="59"/>
        <v>#REF!</v>
      </c>
      <c r="BW112" s="9" t="str">
        <f t="shared" si="59"/>
        <v>#REF!</v>
      </c>
      <c r="BX112" s="9" t="str">
        <f t="shared" si="59"/>
        <v>#REF!</v>
      </c>
      <c r="BY112" s="9" t="str">
        <f t="shared" si="59"/>
        <v>#REF!</v>
      </c>
      <c r="BZ112" s="9" t="str">
        <f t="shared" si="59"/>
        <v>#REF!</v>
      </c>
      <c r="CA112" s="9" t="str">
        <f t="shared" si="59"/>
        <v>#REF!</v>
      </c>
      <c r="CB112" s="9" t="str">
        <f t="shared" si="59"/>
        <v>#REF!</v>
      </c>
      <c r="CC112" s="9" t="str">
        <f t="shared" si="59"/>
        <v>#REF!</v>
      </c>
      <c r="CD112" s="9" t="str">
        <f t="shared" si="59"/>
        <v>#REF!</v>
      </c>
      <c r="CE112" s="9" t="str">
        <f t="shared" si="59"/>
        <v>#REF!</v>
      </c>
      <c r="CF112" s="9" t="str">
        <f t="shared" si="59"/>
        <v>#REF!</v>
      </c>
      <c r="CG112" s="9" t="str">
        <f t="shared" si="59"/>
        <v>#REF!</v>
      </c>
      <c r="CH112" s="9" t="str">
        <f t="shared" si="59"/>
        <v>#REF!</v>
      </c>
      <c r="CI112" s="9" t="str">
        <f t="shared" si="59"/>
        <v>#REF!</v>
      </c>
      <c r="CJ112" s="9" t="str">
        <f t="shared" si="59"/>
        <v>#REF!</v>
      </c>
      <c r="CK112" s="9" t="str">
        <f t="shared" si="59"/>
        <v>#REF!</v>
      </c>
      <c r="CL112" s="9" t="str">
        <f t="shared" si="59"/>
        <v>#REF!</v>
      </c>
      <c r="CM112" s="9" t="str">
        <f t="shared" si="59"/>
        <v>#REF!</v>
      </c>
      <c r="CN112" s="9" t="str">
        <f t="shared" si="59"/>
        <v>#REF!</v>
      </c>
      <c r="CO112" s="9" t="str">
        <f t="shared" si="59"/>
        <v>#REF!</v>
      </c>
      <c r="CP112" s="9" t="str">
        <f t="shared" si="59"/>
        <v>#REF!</v>
      </c>
      <c r="CQ112" s="9" t="str">
        <f t="shared" si="59"/>
        <v>#REF!</v>
      </c>
      <c r="CR112" s="9" t="str">
        <f t="shared" si="59"/>
        <v>#REF!</v>
      </c>
      <c r="CS112" s="9" t="str">
        <f t="shared" si="59"/>
        <v>#REF!</v>
      </c>
      <c r="CT112" s="9" t="str">
        <f t="shared" si="59"/>
        <v>#REF!</v>
      </c>
      <c r="CU112" s="9" t="str">
        <f t="shared" si="59"/>
        <v>#REF!</v>
      </c>
      <c r="CV112" s="9" t="str">
        <f t="shared" si="59"/>
        <v>#REF!</v>
      </c>
      <c r="CW112" s="9" t="str">
        <f t="shared" si="59"/>
        <v>#REF!</v>
      </c>
      <c r="CX112" s="9" t="str">
        <f t="shared" si="59"/>
        <v>#REF!</v>
      </c>
      <c r="CY112" s="16" t="str">
        <f t="shared" si="59"/>
        <v>#REF!</v>
      </c>
      <c r="CZ112" s="16" t="str">
        <f t="shared" si="59"/>
        <v>#REF!</v>
      </c>
      <c r="DA112" s="16" t="str">
        <f t="shared" si="59"/>
        <v>#REF!</v>
      </c>
      <c r="DB112" s="16" t="str">
        <f t="shared" si="59"/>
        <v>#REF!</v>
      </c>
      <c r="DC112" s="16" t="str">
        <f t="shared" si="59"/>
        <v>#REF!</v>
      </c>
      <c r="DD112" s="16" t="str">
        <f t="shared" si="59"/>
        <v>#REF!</v>
      </c>
      <c r="DE112" s="16" t="str">
        <f t="shared" si="59"/>
        <v>#REF!</v>
      </c>
      <c r="DF112" s="16" t="str">
        <f t="shared" si="59"/>
        <v>#REF!</v>
      </c>
      <c r="DG112" s="16" t="str">
        <f t="shared" si="59"/>
        <v>#REF!</v>
      </c>
      <c r="DH112" s="16" t="str">
        <f t="shared" si="59"/>
        <v>#REF!</v>
      </c>
      <c r="DI112" s="16" t="str">
        <f t="shared" si="59"/>
        <v>#REF!</v>
      </c>
    </row>
    <row r="113" ht="12.75" hidden="1" customHeight="1">
      <c r="U113" s="6">
        <v>45291.0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 t="str">
        <f>+BL$17*#REF!</f>
        <v>#REF!</v>
      </c>
      <c r="BN113" s="9" t="str">
        <f t="shared" ref="BN113:DI113" si="60">IF(BM113&gt;0.005,(BM113-$BM113*#REF!/12),0)</f>
        <v>#REF!</v>
      </c>
      <c r="BO113" s="9" t="str">
        <f t="shared" si="60"/>
        <v>#REF!</v>
      </c>
      <c r="BP113" s="9" t="str">
        <f t="shared" si="60"/>
        <v>#REF!</v>
      </c>
      <c r="BQ113" s="9" t="str">
        <f t="shared" si="60"/>
        <v>#REF!</v>
      </c>
      <c r="BR113" s="9" t="str">
        <f t="shared" si="60"/>
        <v>#REF!</v>
      </c>
      <c r="BS113" s="9" t="str">
        <f t="shared" si="60"/>
        <v>#REF!</v>
      </c>
      <c r="BT113" s="9" t="str">
        <f t="shared" si="60"/>
        <v>#REF!</v>
      </c>
      <c r="BU113" s="9" t="str">
        <f t="shared" si="60"/>
        <v>#REF!</v>
      </c>
      <c r="BV113" s="9" t="str">
        <f t="shared" si="60"/>
        <v>#REF!</v>
      </c>
      <c r="BW113" s="9" t="str">
        <f t="shared" si="60"/>
        <v>#REF!</v>
      </c>
      <c r="BX113" s="9" t="str">
        <f t="shared" si="60"/>
        <v>#REF!</v>
      </c>
      <c r="BY113" s="9" t="str">
        <f t="shared" si="60"/>
        <v>#REF!</v>
      </c>
      <c r="BZ113" s="9" t="str">
        <f t="shared" si="60"/>
        <v>#REF!</v>
      </c>
      <c r="CA113" s="9" t="str">
        <f t="shared" si="60"/>
        <v>#REF!</v>
      </c>
      <c r="CB113" s="9" t="str">
        <f t="shared" si="60"/>
        <v>#REF!</v>
      </c>
      <c r="CC113" s="9" t="str">
        <f t="shared" si="60"/>
        <v>#REF!</v>
      </c>
      <c r="CD113" s="9" t="str">
        <f t="shared" si="60"/>
        <v>#REF!</v>
      </c>
      <c r="CE113" s="9" t="str">
        <f t="shared" si="60"/>
        <v>#REF!</v>
      </c>
      <c r="CF113" s="9" t="str">
        <f t="shared" si="60"/>
        <v>#REF!</v>
      </c>
      <c r="CG113" s="9" t="str">
        <f t="shared" si="60"/>
        <v>#REF!</v>
      </c>
      <c r="CH113" s="9" t="str">
        <f t="shared" si="60"/>
        <v>#REF!</v>
      </c>
      <c r="CI113" s="9" t="str">
        <f t="shared" si="60"/>
        <v>#REF!</v>
      </c>
      <c r="CJ113" s="9" t="str">
        <f t="shared" si="60"/>
        <v>#REF!</v>
      </c>
      <c r="CK113" s="9" t="str">
        <f t="shared" si="60"/>
        <v>#REF!</v>
      </c>
      <c r="CL113" s="9" t="str">
        <f t="shared" si="60"/>
        <v>#REF!</v>
      </c>
      <c r="CM113" s="9" t="str">
        <f t="shared" si="60"/>
        <v>#REF!</v>
      </c>
      <c r="CN113" s="9" t="str">
        <f t="shared" si="60"/>
        <v>#REF!</v>
      </c>
      <c r="CO113" s="9" t="str">
        <f t="shared" si="60"/>
        <v>#REF!</v>
      </c>
      <c r="CP113" s="9" t="str">
        <f t="shared" si="60"/>
        <v>#REF!</v>
      </c>
      <c r="CQ113" s="9" t="str">
        <f t="shared" si="60"/>
        <v>#REF!</v>
      </c>
      <c r="CR113" s="9" t="str">
        <f t="shared" si="60"/>
        <v>#REF!</v>
      </c>
      <c r="CS113" s="9" t="str">
        <f t="shared" si="60"/>
        <v>#REF!</v>
      </c>
      <c r="CT113" s="9" t="str">
        <f t="shared" si="60"/>
        <v>#REF!</v>
      </c>
      <c r="CU113" s="9" t="str">
        <f t="shared" si="60"/>
        <v>#REF!</v>
      </c>
      <c r="CV113" s="9" t="str">
        <f t="shared" si="60"/>
        <v>#REF!</v>
      </c>
      <c r="CW113" s="9" t="str">
        <f t="shared" si="60"/>
        <v>#REF!</v>
      </c>
      <c r="CX113" s="9" t="str">
        <f t="shared" si="60"/>
        <v>#REF!</v>
      </c>
      <c r="CY113" s="16" t="str">
        <f t="shared" si="60"/>
        <v>#REF!</v>
      </c>
      <c r="CZ113" s="16" t="str">
        <f t="shared" si="60"/>
        <v>#REF!</v>
      </c>
      <c r="DA113" s="16" t="str">
        <f t="shared" si="60"/>
        <v>#REF!</v>
      </c>
      <c r="DB113" s="16" t="str">
        <f t="shared" si="60"/>
        <v>#REF!</v>
      </c>
      <c r="DC113" s="16" t="str">
        <f t="shared" si="60"/>
        <v>#REF!</v>
      </c>
      <c r="DD113" s="16" t="str">
        <f t="shared" si="60"/>
        <v>#REF!</v>
      </c>
      <c r="DE113" s="16" t="str">
        <f t="shared" si="60"/>
        <v>#REF!</v>
      </c>
      <c r="DF113" s="16" t="str">
        <f t="shared" si="60"/>
        <v>#REF!</v>
      </c>
      <c r="DG113" s="16" t="str">
        <f t="shared" si="60"/>
        <v>#REF!</v>
      </c>
      <c r="DH113" s="16" t="str">
        <f t="shared" si="60"/>
        <v>#REF!</v>
      </c>
      <c r="DI113" s="16" t="str">
        <f t="shared" si="60"/>
        <v>#REF!</v>
      </c>
    </row>
    <row r="114" ht="12.75" hidden="1" customHeight="1">
      <c r="U114" s="6">
        <v>45322.0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 t="str">
        <f>+BM$17*#REF!</f>
        <v>#REF!</v>
      </c>
      <c r="BO114" s="9" t="str">
        <f t="shared" ref="BO114:DJ114" si="61">IF(BN114&gt;0.005,(BN114-$BN114*#REF!/12),0)</f>
        <v>#REF!</v>
      </c>
      <c r="BP114" s="9" t="str">
        <f t="shared" si="61"/>
        <v>#REF!</v>
      </c>
      <c r="BQ114" s="9" t="str">
        <f t="shared" si="61"/>
        <v>#REF!</v>
      </c>
      <c r="BR114" s="9" t="str">
        <f t="shared" si="61"/>
        <v>#REF!</v>
      </c>
      <c r="BS114" s="9" t="str">
        <f t="shared" si="61"/>
        <v>#REF!</v>
      </c>
      <c r="BT114" s="9" t="str">
        <f t="shared" si="61"/>
        <v>#REF!</v>
      </c>
      <c r="BU114" s="9" t="str">
        <f t="shared" si="61"/>
        <v>#REF!</v>
      </c>
      <c r="BV114" s="9" t="str">
        <f t="shared" si="61"/>
        <v>#REF!</v>
      </c>
      <c r="BW114" s="9" t="str">
        <f t="shared" si="61"/>
        <v>#REF!</v>
      </c>
      <c r="BX114" s="9" t="str">
        <f t="shared" si="61"/>
        <v>#REF!</v>
      </c>
      <c r="BY114" s="9" t="str">
        <f t="shared" si="61"/>
        <v>#REF!</v>
      </c>
      <c r="BZ114" s="9" t="str">
        <f t="shared" si="61"/>
        <v>#REF!</v>
      </c>
      <c r="CA114" s="9" t="str">
        <f t="shared" si="61"/>
        <v>#REF!</v>
      </c>
      <c r="CB114" s="9" t="str">
        <f t="shared" si="61"/>
        <v>#REF!</v>
      </c>
      <c r="CC114" s="9" t="str">
        <f t="shared" si="61"/>
        <v>#REF!</v>
      </c>
      <c r="CD114" s="9" t="str">
        <f t="shared" si="61"/>
        <v>#REF!</v>
      </c>
      <c r="CE114" s="9" t="str">
        <f t="shared" si="61"/>
        <v>#REF!</v>
      </c>
      <c r="CF114" s="9" t="str">
        <f t="shared" si="61"/>
        <v>#REF!</v>
      </c>
      <c r="CG114" s="9" t="str">
        <f t="shared" si="61"/>
        <v>#REF!</v>
      </c>
      <c r="CH114" s="9" t="str">
        <f t="shared" si="61"/>
        <v>#REF!</v>
      </c>
      <c r="CI114" s="9" t="str">
        <f t="shared" si="61"/>
        <v>#REF!</v>
      </c>
      <c r="CJ114" s="9" t="str">
        <f t="shared" si="61"/>
        <v>#REF!</v>
      </c>
      <c r="CK114" s="9" t="str">
        <f t="shared" si="61"/>
        <v>#REF!</v>
      </c>
      <c r="CL114" s="9" t="str">
        <f t="shared" si="61"/>
        <v>#REF!</v>
      </c>
      <c r="CM114" s="9" t="str">
        <f t="shared" si="61"/>
        <v>#REF!</v>
      </c>
      <c r="CN114" s="9" t="str">
        <f t="shared" si="61"/>
        <v>#REF!</v>
      </c>
      <c r="CO114" s="9" t="str">
        <f t="shared" si="61"/>
        <v>#REF!</v>
      </c>
      <c r="CP114" s="9" t="str">
        <f t="shared" si="61"/>
        <v>#REF!</v>
      </c>
      <c r="CQ114" s="9" t="str">
        <f t="shared" si="61"/>
        <v>#REF!</v>
      </c>
      <c r="CR114" s="9" t="str">
        <f t="shared" si="61"/>
        <v>#REF!</v>
      </c>
      <c r="CS114" s="9" t="str">
        <f t="shared" si="61"/>
        <v>#REF!</v>
      </c>
      <c r="CT114" s="9" t="str">
        <f t="shared" si="61"/>
        <v>#REF!</v>
      </c>
      <c r="CU114" s="9" t="str">
        <f t="shared" si="61"/>
        <v>#REF!</v>
      </c>
      <c r="CV114" s="9" t="str">
        <f t="shared" si="61"/>
        <v>#REF!</v>
      </c>
      <c r="CW114" s="9" t="str">
        <f t="shared" si="61"/>
        <v>#REF!</v>
      </c>
      <c r="CX114" s="9" t="str">
        <f t="shared" si="61"/>
        <v>#REF!</v>
      </c>
      <c r="CY114" s="16" t="str">
        <f t="shared" si="61"/>
        <v>#REF!</v>
      </c>
      <c r="CZ114" s="16" t="str">
        <f t="shared" si="61"/>
        <v>#REF!</v>
      </c>
      <c r="DA114" s="16" t="str">
        <f t="shared" si="61"/>
        <v>#REF!</v>
      </c>
      <c r="DB114" s="16" t="str">
        <f t="shared" si="61"/>
        <v>#REF!</v>
      </c>
      <c r="DC114" s="16" t="str">
        <f t="shared" si="61"/>
        <v>#REF!</v>
      </c>
      <c r="DD114" s="16" t="str">
        <f t="shared" si="61"/>
        <v>#REF!</v>
      </c>
      <c r="DE114" s="16" t="str">
        <f t="shared" si="61"/>
        <v>#REF!</v>
      </c>
      <c r="DF114" s="16" t="str">
        <f t="shared" si="61"/>
        <v>#REF!</v>
      </c>
      <c r="DG114" s="16" t="str">
        <f t="shared" si="61"/>
        <v>#REF!</v>
      </c>
      <c r="DH114" s="16" t="str">
        <f t="shared" si="61"/>
        <v>#REF!</v>
      </c>
      <c r="DI114" s="16" t="str">
        <f t="shared" si="61"/>
        <v>#REF!</v>
      </c>
      <c r="DJ114" s="16" t="str">
        <f t="shared" si="61"/>
        <v>#REF!</v>
      </c>
    </row>
    <row r="115" ht="12.75" hidden="1" customHeight="1">
      <c r="U115" s="6">
        <v>45351.0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 t="str">
        <f>+BN$17*#REF!</f>
        <v>#REF!</v>
      </c>
      <c r="BP115" s="9" t="str">
        <f t="shared" ref="BP115:DK115" si="62">IF(BO115&gt;0.005,(BO115-$BO115*#REF!/12),0)</f>
        <v>#REF!</v>
      </c>
      <c r="BQ115" s="9" t="str">
        <f t="shared" si="62"/>
        <v>#REF!</v>
      </c>
      <c r="BR115" s="9" t="str">
        <f t="shared" si="62"/>
        <v>#REF!</v>
      </c>
      <c r="BS115" s="9" t="str">
        <f t="shared" si="62"/>
        <v>#REF!</v>
      </c>
      <c r="BT115" s="9" t="str">
        <f t="shared" si="62"/>
        <v>#REF!</v>
      </c>
      <c r="BU115" s="9" t="str">
        <f t="shared" si="62"/>
        <v>#REF!</v>
      </c>
      <c r="BV115" s="9" t="str">
        <f t="shared" si="62"/>
        <v>#REF!</v>
      </c>
      <c r="BW115" s="9" t="str">
        <f t="shared" si="62"/>
        <v>#REF!</v>
      </c>
      <c r="BX115" s="9" t="str">
        <f t="shared" si="62"/>
        <v>#REF!</v>
      </c>
      <c r="BY115" s="9" t="str">
        <f t="shared" si="62"/>
        <v>#REF!</v>
      </c>
      <c r="BZ115" s="9" t="str">
        <f t="shared" si="62"/>
        <v>#REF!</v>
      </c>
      <c r="CA115" s="9" t="str">
        <f t="shared" si="62"/>
        <v>#REF!</v>
      </c>
      <c r="CB115" s="9" t="str">
        <f t="shared" si="62"/>
        <v>#REF!</v>
      </c>
      <c r="CC115" s="9" t="str">
        <f t="shared" si="62"/>
        <v>#REF!</v>
      </c>
      <c r="CD115" s="9" t="str">
        <f t="shared" si="62"/>
        <v>#REF!</v>
      </c>
      <c r="CE115" s="9" t="str">
        <f t="shared" si="62"/>
        <v>#REF!</v>
      </c>
      <c r="CF115" s="9" t="str">
        <f t="shared" si="62"/>
        <v>#REF!</v>
      </c>
      <c r="CG115" s="9" t="str">
        <f t="shared" si="62"/>
        <v>#REF!</v>
      </c>
      <c r="CH115" s="9" t="str">
        <f t="shared" si="62"/>
        <v>#REF!</v>
      </c>
      <c r="CI115" s="9" t="str">
        <f t="shared" si="62"/>
        <v>#REF!</v>
      </c>
      <c r="CJ115" s="9" t="str">
        <f t="shared" si="62"/>
        <v>#REF!</v>
      </c>
      <c r="CK115" s="9" t="str">
        <f t="shared" si="62"/>
        <v>#REF!</v>
      </c>
      <c r="CL115" s="9" t="str">
        <f t="shared" si="62"/>
        <v>#REF!</v>
      </c>
      <c r="CM115" s="9" t="str">
        <f t="shared" si="62"/>
        <v>#REF!</v>
      </c>
      <c r="CN115" s="9" t="str">
        <f t="shared" si="62"/>
        <v>#REF!</v>
      </c>
      <c r="CO115" s="9" t="str">
        <f t="shared" si="62"/>
        <v>#REF!</v>
      </c>
      <c r="CP115" s="9" t="str">
        <f t="shared" si="62"/>
        <v>#REF!</v>
      </c>
      <c r="CQ115" s="9" t="str">
        <f t="shared" si="62"/>
        <v>#REF!</v>
      </c>
      <c r="CR115" s="9" t="str">
        <f t="shared" si="62"/>
        <v>#REF!</v>
      </c>
      <c r="CS115" s="9" t="str">
        <f t="shared" si="62"/>
        <v>#REF!</v>
      </c>
      <c r="CT115" s="9" t="str">
        <f t="shared" si="62"/>
        <v>#REF!</v>
      </c>
      <c r="CU115" s="9" t="str">
        <f t="shared" si="62"/>
        <v>#REF!</v>
      </c>
      <c r="CV115" s="9" t="str">
        <f t="shared" si="62"/>
        <v>#REF!</v>
      </c>
      <c r="CW115" s="9" t="str">
        <f t="shared" si="62"/>
        <v>#REF!</v>
      </c>
      <c r="CX115" s="9" t="str">
        <f t="shared" si="62"/>
        <v>#REF!</v>
      </c>
      <c r="CY115" s="16" t="str">
        <f t="shared" si="62"/>
        <v>#REF!</v>
      </c>
      <c r="CZ115" s="16" t="str">
        <f t="shared" si="62"/>
        <v>#REF!</v>
      </c>
      <c r="DA115" s="16" t="str">
        <f t="shared" si="62"/>
        <v>#REF!</v>
      </c>
      <c r="DB115" s="16" t="str">
        <f t="shared" si="62"/>
        <v>#REF!</v>
      </c>
      <c r="DC115" s="16" t="str">
        <f t="shared" si="62"/>
        <v>#REF!</v>
      </c>
      <c r="DD115" s="16" t="str">
        <f t="shared" si="62"/>
        <v>#REF!</v>
      </c>
      <c r="DE115" s="16" t="str">
        <f t="shared" si="62"/>
        <v>#REF!</v>
      </c>
      <c r="DF115" s="16" t="str">
        <f t="shared" si="62"/>
        <v>#REF!</v>
      </c>
      <c r="DG115" s="16" t="str">
        <f t="shared" si="62"/>
        <v>#REF!</v>
      </c>
      <c r="DH115" s="16" t="str">
        <f t="shared" si="62"/>
        <v>#REF!</v>
      </c>
      <c r="DI115" s="16" t="str">
        <f t="shared" si="62"/>
        <v>#REF!</v>
      </c>
      <c r="DJ115" s="16" t="str">
        <f t="shared" si="62"/>
        <v>#REF!</v>
      </c>
      <c r="DK115" s="16" t="str">
        <f t="shared" si="62"/>
        <v>#REF!</v>
      </c>
    </row>
    <row r="116" ht="12.75" hidden="1" customHeight="1">
      <c r="U116" s="6">
        <v>45382.0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 t="str">
        <f>+BO$17*#REF!</f>
        <v>#REF!</v>
      </c>
      <c r="BQ116" s="9" t="str">
        <f t="shared" ref="BQ116:DL116" si="63">IF(BP116&gt;0.005,(BP116-$BP116*#REF!/12),0)</f>
        <v>#REF!</v>
      </c>
      <c r="BR116" s="9" t="str">
        <f t="shared" si="63"/>
        <v>#REF!</v>
      </c>
      <c r="BS116" s="9" t="str">
        <f t="shared" si="63"/>
        <v>#REF!</v>
      </c>
      <c r="BT116" s="9" t="str">
        <f t="shared" si="63"/>
        <v>#REF!</v>
      </c>
      <c r="BU116" s="9" t="str">
        <f t="shared" si="63"/>
        <v>#REF!</v>
      </c>
      <c r="BV116" s="9" t="str">
        <f t="shared" si="63"/>
        <v>#REF!</v>
      </c>
      <c r="BW116" s="9" t="str">
        <f t="shared" si="63"/>
        <v>#REF!</v>
      </c>
      <c r="BX116" s="9" t="str">
        <f t="shared" si="63"/>
        <v>#REF!</v>
      </c>
      <c r="BY116" s="9" t="str">
        <f t="shared" si="63"/>
        <v>#REF!</v>
      </c>
      <c r="BZ116" s="9" t="str">
        <f t="shared" si="63"/>
        <v>#REF!</v>
      </c>
      <c r="CA116" s="9" t="str">
        <f t="shared" si="63"/>
        <v>#REF!</v>
      </c>
      <c r="CB116" s="9" t="str">
        <f t="shared" si="63"/>
        <v>#REF!</v>
      </c>
      <c r="CC116" s="9" t="str">
        <f t="shared" si="63"/>
        <v>#REF!</v>
      </c>
      <c r="CD116" s="9" t="str">
        <f t="shared" si="63"/>
        <v>#REF!</v>
      </c>
      <c r="CE116" s="9" t="str">
        <f t="shared" si="63"/>
        <v>#REF!</v>
      </c>
      <c r="CF116" s="9" t="str">
        <f t="shared" si="63"/>
        <v>#REF!</v>
      </c>
      <c r="CG116" s="9" t="str">
        <f t="shared" si="63"/>
        <v>#REF!</v>
      </c>
      <c r="CH116" s="9" t="str">
        <f t="shared" si="63"/>
        <v>#REF!</v>
      </c>
      <c r="CI116" s="9" t="str">
        <f t="shared" si="63"/>
        <v>#REF!</v>
      </c>
      <c r="CJ116" s="9" t="str">
        <f t="shared" si="63"/>
        <v>#REF!</v>
      </c>
      <c r="CK116" s="9" t="str">
        <f t="shared" si="63"/>
        <v>#REF!</v>
      </c>
      <c r="CL116" s="9" t="str">
        <f t="shared" si="63"/>
        <v>#REF!</v>
      </c>
      <c r="CM116" s="9" t="str">
        <f t="shared" si="63"/>
        <v>#REF!</v>
      </c>
      <c r="CN116" s="9" t="str">
        <f t="shared" si="63"/>
        <v>#REF!</v>
      </c>
      <c r="CO116" s="9" t="str">
        <f t="shared" si="63"/>
        <v>#REF!</v>
      </c>
      <c r="CP116" s="9" t="str">
        <f t="shared" si="63"/>
        <v>#REF!</v>
      </c>
      <c r="CQ116" s="9" t="str">
        <f t="shared" si="63"/>
        <v>#REF!</v>
      </c>
      <c r="CR116" s="9" t="str">
        <f t="shared" si="63"/>
        <v>#REF!</v>
      </c>
      <c r="CS116" s="9" t="str">
        <f t="shared" si="63"/>
        <v>#REF!</v>
      </c>
      <c r="CT116" s="9" t="str">
        <f t="shared" si="63"/>
        <v>#REF!</v>
      </c>
      <c r="CU116" s="9" t="str">
        <f t="shared" si="63"/>
        <v>#REF!</v>
      </c>
      <c r="CV116" s="9" t="str">
        <f t="shared" si="63"/>
        <v>#REF!</v>
      </c>
      <c r="CW116" s="9" t="str">
        <f t="shared" si="63"/>
        <v>#REF!</v>
      </c>
      <c r="CX116" s="9" t="str">
        <f t="shared" si="63"/>
        <v>#REF!</v>
      </c>
      <c r="CY116" s="16" t="str">
        <f t="shared" si="63"/>
        <v>#REF!</v>
      </c>
      <c r="CZ116" s="16" t="str">
        <f t="shared" si="63"/>
        <v>#REF!</v>
      </c>
      <c r="DA116" s="16" t="str">
        <f t="shared" si="63"/>
        <v>#REF!</v>
      </c>
      <c r="DB116" s="16" t="str">
        <f t="shared" si="63"/>
        <v>#REF!</v>
      </c>
      <c r="DC116" s="16" t="str">
        <f t="shared" si="63"/>
        <v>#REF!</v>
      </c>
      <c r="DD116" s="16" t="str">
        <f t="shared" si="63"/>
        <v>#REF!</v>
      </c>
      <c r="DE116" s="16" t="str">
        <f t="shared" si="63"/>
        <v>#REF!</v>
      </c>
      <c r="DF116" s="16" t="str">
        <f t="shared" si="63"/>
        <v>#REF!</v>
      </c>
      <c r="DG116" s="16" t="str">
        <f t="shared" si="63"/>
        <v>#REF!</v>
      </c>
      <c r="DH116" s="16" t="str">
        <f t="shared" si="63"/>
        <v>#REF!</v>
      </c>
      <c r="DI116" s="16" t="str">
        <f t="shared" si="63"/>
        <v>#REF!</v>
      </c>
      <c r="DJ116" s="16" t="str">
        <f t="shared" si="63"/>
        <v>#REF!</v>
      </c>
      <c r="DK116" s="16" t="str">
        <f t="shared" si="63"/>
        <v>#REF!</v>
      </c>
      <c r="DL116" s="16" t="str">
        <f t="shared" si="63"/>
        <v>#REF!</v>
      </c>
    </row>
    <row r="117" ht="12.75" hidden="1" customHeight="1">
      <c r="U117" s="6">
        <v>45412.0</v>
      </c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 t="str">
        <f>+BP$17*#REF!</f>
        <v>#REF!</v>
      </c>
      <c r="BR117" s="9" t="str">
        <f t="shared" ref="BR117:DM117" si="64">IF(BQ117&gt;0.005,(BQ117-$BQ117*#REF!/12),0)</f>
        <v>#REF!</v>
      </c>
      <c r="BS117" s="9" t="str">
        <f t="shared" si="64"/>
        <v>#REF!</v>
      </c>
      <c r="BT117" s="9" t="str">
        <f t="shared" si="64"/>
        <v>#REF!</v>
      </c>
      <c r="BU117" s="9" t="str">
        <f t="shared" si="64"/>
        <v>#REF!</v>
      </c>
      <c r="BV117" s="9" t="str">
        <f t="shared" si="64"/>
        <v>#REF!</v>
      </c>
      <c r="BW117" s="9" t="str">
        <f t="shared" si="64"/>
        <v>#REF!</v>
      </c>
      <c r="BX117" s="9" t="str">
        <f t="shared" si="64"/>
        <v>#REF!</v>
      </c>
      <c r="BY117" s="9" t="str">
        <f t="shared" si="64"/>
        <v>#REF!</v>
      </c>
      <c r="BZ117" s="9" t="str">
        <f t="shared" si="64"/>
        <v>#REF!</v>
      </c>
      <c r="CA117" s="9" t="str">
        <f t="shared" si="64"/>
        <v>#REF!</v>
      </c>
      <c r="CB117" s="9" t="str">
        <f t="shared" si="64"/>
        <v>#REF!</v>
      </c>
      <c r="CC117" s="9" t="str">
        <f t="shared" si="64"/>
        <v>#REF!</v>
      </c>
      <c r="CD117" s="9" t="str">
        <f t="shared" si="64"/>
        <v>#REF!</v>
      </c>
      <c r="CE117" s="9" t="str">
        <f t="shared" si="64"/>
        <v>#REF!</v>
      </c>
      <c r="CF117" s="9" t="str">
        <f t="shared" si="64"/>
        <v>#REF!</v>
      </c>
      <c r="CG117" s="9" t="str">
        <f t="shared" si="64"/>
        <v>#REF!</v>
      </c>
      <c r="CH117" s="9" t="str">
        <f t="shared" si="64"/>
        <v>#REF!</v>
      </c>
      <c r="CI117" s="9" t="str">
        <f t="shared" si="64"/>
        <v>#REF!</v>
      </c>
      <c r="CJ117" s="9" t="str">
        <f t="shared" si="64"/>
        <v>#REF!</v>
      </c>
      <c r="CK117" s="9" t="str">
        <f t="shared" si="64"/>
        <v>#REF!</v>
      </c>
      <c r="CL117" s="9" t="str">
        <f t="shared" si="64"/>
        <v>#REF!</v>
      </c>
      <c r="CM117" s="9" t="str">
        <f t="shared" si="64"/>
        <v>#REF!</v>
      </c>
      <c r="CN117" s="9" t="str">
        <f t="shared" si="64"/>
        <v>#REF!</v>
      </c>
      <c r="CO117" s="9" t="str">
        <f t="shared" si="64"/>
        <v>#REF!</v>
      </c>
      <c r="CP117" s="9" t="str">
        <f t="shared" si="64"/>
        <v>#REF!</v>
      </c>
      <c r="CQ117" s="9" t="str">
        <f t="shared" si="64"/>
        <v>#REF!</v>
      </c>
      <c r="CR117" s="9" t="str">
        <f t="shared" si="64"/>
        <v>#REF!</v>
      </c>
      <c r="CS117" s="9" t="str">
        <f t="shared" si="64"/>
        <v>#REF!</v>
      </c>
      <c r="CT117" s="9" t="str">
        <f t="shared" si="64"/>
        <v>#REF!</v>
      </c>
      <c r="CU117" s="9" t="str">
        <f t="shared" si="64"/>
        <v>#REF!</v>
      </c>
      <c r="CV117" s="9" t="str">
        <f t="shared" si="64"/>
        <v>#REF!</v>
      </c>
      <c r="CW117" s="9" t="str">
        <f t="shared" si="64"/>
        <v>#REF!</v>
      </c>
      <c r="CX117" s="9" t="str">
        <f t="shared" si="64"/>
        <v>#REF!</v>
      </c>
      <c r="CY117" s="16" t="str">
        <f t="shared" si="64"/>
        <v>#REF!</v>
      </c>
      <c r="CZ117" s="16" t="str">
        <f t="shared" si="64"/>
        <v>#REF!</v>
      </c>
      <c r="DA117" s="16" t="str">
        <f t="shared" si="64"/>
        <v>#REF!</v>
      </c>
      <c r="DB117" s="16" t="str">
        <f t="shared" si="64"/>
        <v>#REF!</v>
      </c>
      <c r="DC117" s="16" t="str">
        <f t="shared" si="64"/>
        <v>#REF!</v>
      </c>
      <c r="DD117" s="16" t="str">
        <f t="shared" si="64"/>
        <v>#REF!</v>
      </c>
      <c r="DE117" s="16" t="str">
        <f t="shared" si="64"/>
        <v>#REF!</v>
      </c>
      <c r="DF117" s="16" t="str">
        <f t="shared" si="64"/>
        <v>#REF!</v>
      </c>
      <c r="DG117" s="16" t="str">
        <f t="shared" si="64"/>
        <v>#REF!</v>
      </c>
      <c r="DH117" s="16" t="str">
        <f t="shared" si="64"/>
        <v>#REF!</v>
      </c>
      <c r="DI117" s="16" t="str">
        <f t="shared" si="64"/>
        <v>#REF!</v>
      </c>
      <c r="DJ117" s="16" t="str">
        <f t="shared" si="64"/>
        <v>#REF!</v>
      </c>
      <c r="DK117" s="16" t="str">
        <f t="shared" si="64"/>
        <v>#REF!</v>
      </c>
      <c r="DL117" s="16" t="str">
        <f t="shared" si="64"/>
        <v>#REF!</v>
      </c>
      <c r="DM117" s="16" t="str">
        <f t="shared" si="64"/>
        <v>#REF!</v>
      </c>
    </row>
    <row r="118" ht="12.75" hidden="1" customHeight="1">
      <c r="U118" s="6">
        <v>45443.0</v>
      </c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 t="str">
        <f>+BQ$17*#REF!</f>
        <v>#REF!</v>
      </c>
      <c r="BS118" s="9" t="str">
        <f t="shared" ref="BS118:DN118" si="65">IF(BR118&gt;0.005,(BR118-$BR118*#REF!/12),0)</f>
        <v>#REF!</v>
      </c>
      <c r="BT118" s="9" t="str">
        <f t="shared" si="65"/>
        <v>#REF!</v>
      </c>
      <c r="BU118" s="9" t="str">
        <f t="shared" si="65"/>
        <v>#REF!</v>
      </c>
      <c r="BV118" s="9" t="str">
        <f t="shared" si="65"/>
        <v>#REF!</v>
      </c>
      <c r="BW118" s="9" t="str">
        <f t="shared" si="65"/>
        <v>#REF!</v>
      </c>
      <c r="BX118" s="9" t="str">
        <f t="shared" si="65"/>
        <v>#REF!</v>
      </c>
      <c r="BY118" s="9" t="str">
        <f t="shared" si="65"/>
        <v>#REF!</v>
      </c>
      <c r="BZ118" s="9" t="str">
        <f t="shared" si="65"/>
        <v>#REF!</v>
      </c>
      <c r="CA118" s="9" t="str">
        <f t="shared" si="65"/>
        <v>#REF!</v>
      </c>
      <c r="CB118" s="9" t="str">
        <f t="shared" si="65"/>
        <v>#REF!</v>
      </c>
      <c r="CC118" s="9" t="str">
        <f t="shared" si="65"/>
        <v>#REF!</v>
      </c>
      <c r="CD118" s="9" t="str">
        <f t="shared" si="65"/>
        <v>#REF!</v>
      </c>
      <c r="CE118" s="9" t="str">
        <f t="shared" si="65"/>
        <v>#REF!</v>
      </c>
      <c r="CF118" s="9" t="str">
        <f t="shared" si="65"/>
        <v>#REF!</v>
      </c>
      <c r="CG118" s="9" t="str">
        <f t="shared" si="65"/>
        <v>#REF!</v>
      </c>
      <c r="CH118" s="9" t="str">
        <f t="shared" si="65"/>
        <v>#REF!</v>
      </c>
      <c r="CI118" s="9" t="str">
        <f t="shared" si="65"/>
        <v>#REF!</v>
      </c>
      <c r="CJ118" s="9" t="str">
        <f t="shared" si="65"/>
        <v>#REF!</v>
      </c>
      <c r="CK118" s="9" t="str">
        <f t="shared" si="65"/>
        <v>#REF!</v>
      </c>
      <c r="CL118" s="9" t="str">
        <f t="shared" si="65"/>
        <v>#REF!</v>
      </c>
      <c r="CM118" s="9" t="str">
        <f t="shared" si="65"/>
        <v>#REF!</v>
      </c>
      <c r="CN118" s="9" t="str">
        <f t="shared" si="65"/>
        <v>#REF!</v>
      </c>
      <c r="CO118" s="9" t="str">
        <f t="shared" si="65"/>
        <v>#REF!</v>
      </c>
      <c r="CP118" s="9" t="str">
        <f t="shared" si="65"/>
        <v>#REF!</v>
      </c>
      <c r="CQ118" s="9" t="str">
        <f t="shared" si="65"/>
        <v>#REF!</v>
      </c>
      <c r="CR118" s="9" t="str">
        <f t="shared" si="65"/>
        <v>#REF!</v>
      </c>
      <c r="CS118" s="9" t="str">
        <f t="shared" si="65"/>
        <v>#REF!</v>
      </c>
      <c r="CT118" s="9" t="str">
        <f t="shared" si="65"/>
        <v>#REF!</v>
      </c>
      <c r="CU118" s="9" t="str">
        <f t="shared" si="65"/>
        <v>#REF!</v>
      </c>
      <c r="CV118" s="9" t="str">
        <f t="shared" si="65"/>
        <v>#REF!</v>
      </c>
      <c r="CW118" s="9" t="str">
        <f t="shared" si="65"/>
        <v>#REF!</v>
      </c>
      <c r="CX118" s="9" t="str">
        <f t="shared" si="65"/>
        <v>#REF!</v>
      </c>
      <c r="CY118" s="16" t="str">
        <f t="shared" si="65"/>
        <v>#REF!</v>
      </c>
      <c r="CZ118" s="16" t="str">
        <f t="shared" si="65"/>
        <v>#REF!</v>
      </c>
      <c r="DA118" s="16" t="str">
        <f t="shared" si="65"/>
        <v>#REF!</v>
      </c>
      <c r="DB118" s="16" t="str">
        <f t="shared" si="65"/>
        <v>#REF!</v>
      </c>
      <c r="DC118" s="16" t="str">
        <f t="shared" si="65"/>
        <v>#REF!</v>
      </c>
      <c r="DD118" s="16" t="str">
        <f t="shared" si="65"/>
        <v>#REF!</v>
      </c>
      <c r="DE118" s="16" t="str">
        <f t="shared" si="65"/>
        <v>#REF!</v>
      </c>
      <c r="DF118" s="16" t="str">
        <f t="shared" si="65"/>
        <v>#REF!</v>
      </c>
      <c r="DG118" s="16" t="str">
        <f t="shared" si="65"/>
        <v>#REF!</v>
      </c>
      <c r="DH118" s="16" t="str">
        <f t="shared" si="65"/>
        <v>#REF!</v>
      </c>
      <c r="DI118" s="16" t="str">
        <f t="shared" si="65"/>
        <v>#REF!</v>
      </c>
      <c r="DJ118" s="16" t="str">
        <f t="shared" si="65"/>
        <v>#REF!</v>
      </c>
      <c r="DK118" s="16" t="str">
        <f t="shared" si="65"/>
        <v>#REF!</v>
      </c>
      <c r="DL118" s="16" t="str">
        <f t="shared" si="65"/>
        <v>#REF!</v>
      </c>
      <c r="DM118" s="16" t="str">
        <f t="shared" si="65"/>
        <v>#REF!</v>
      </c>
      <c r="DN118" s="16" t="str">
        <f t="shared" si="65"/>
        <v>#REF!</v>
      </c>
    </row>
    <row r="119" ht="12.75" hidden="1" customHeight="1">
      <c r="U119" s="6">
        <v>45473.0</v>
      </c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 t="str">
        <f>+BR$17*#REF!</f>
        <v>#REF!</v>
      </c>
      <c r="BT119" s="9" t="str">
        <f t="shared" ref="BT119:DO119" si="66">IF(BS119&gt;0.005,(BS119-$BS119*#REF!/12),0)</f>
        <v>#REF!</v>
      </c>
      <c r="BU119" s="9" t="str">
        <f t="shared" si="66"/>
        <v>#REF!</v>
      </c>
      <c r="BV119" s="9" t="str">
        <f t="shared" si="66"/>
        <v>#REF!</v>
      </c>
      <c r="BW119" s="9" t="str">
        <f t="shared" si="66"/>
        <v>#REF!</v>
      </c>
      <c r="BX119" s="9" t="str">
        <f t="shared" si="66"/>
        <v>#REF!</v>
      </c>
      <c r="BY119" s="9" t="str">
        <f t="shared" si="66"/>
        <v>#REF!</v>
      </c>
      <c r="BZ119" s="9" t="str">
        <f t="shared" si="66"/>
        <v>#REF!</v>
      </c>
      <c r="CA119" s="9" t="str">
        <f t="shared" si="66"/>
        <v>#REF!</v>
      </c>
      <c r="CB119" s="9" t="str">
        <f t="shared" si="66"/>
        <v>#REF!</v>
      </c>
      <c r="CC119" s="9" t="str">
        <f t="shared" si="66"/>
        <v>#REF!</v>
      </c>
      <c r="CD119" s="9" t="str">
        <f t="shared" si="66"/>
        <v>#REF!</v>
      </c>
      <c r="CE119" s="9" t="str">
        <f t="shared" si="66"/>
        <v>#REF!</v>
      </c>
      <c r="CF119" s="9" t="str">
        <f t="shared" si="66"/>
        <v>#REF!</v>
      </c>
      <c r="CG119" s="9" t="str">
        <f t="shared" si="66"/>
        <v>#REF!</v>
      </c>
      <c r="CH119" s="9" t="str">
        <f t="shared" si="66"/>
        <v>#REF!</v>
      </c>
      <c r="CI119" s="9" t="str">
        <f t="shared" si="66"/>
        <v>#REF!</v>
      </c>
      <c r="CJ119" s="9" t="str">
        <f t="shared" si="66"/>
        <v>#REF!</v>
      </c>
      <c r="CK119" s="9" t="str">
        <f t="shared" si="66"/>
        <v>#REF!</v>
      </c>
      <c r="CL119" s="9" t="str">
        <f t="shared" si="66"/>
        <v>#REF!</v>
      </c>
      <c r="CM119" s="9" t="str">
        <f t="shared" si="66"/>
        <v>#REF!</v>
      </c>
      <c r="CN119" s="9" t="str">
        <f t="shared" si="66"/>
        <v>#REF!</v>
      </c>
      <c r="CO119" s="9" t="str">
        <f t="shared" si="66"/>
        <v>#REF!</v>
      </c>
      <c r="CP119" s="9" t="str">
        <f t="shared" si="66"/>
        <v>#REF!</v>
      </c>
      <c r="CQ119" s="9" t="str">
        <f t="shared" si="66"/>
        <v>#REF!</v>
      </c>
      <c r="CR119" s="9" t="str">
        <f t="shared" si="66"/>
        <v>#REF!</v>
      </c>
      <c r="CS119" s="9" t="str">
        <f t="shared" si="66"/>
        <v>#REF!</v>
      </c>
      <c r="CT119" s="9" t="str">
        <f t="shared" si="66"/>
        <v>#REF!</v>
      </c>
      <c r="CU119" s="9" t="str">
        <f t="shared" si="66"/>
        <v>#REF!</v>
      </c>
      <c r="CV119" s="9" t="str">
        <f t="shared" si="66"/>
        <v>#REF!</v>
      </c>
      <c r="CW119" s="9" t="str">
        <f t="shared" si="66"/>
        <v>#REF!</v>
      </c>
      <c r="CX119" s="9" t="str">
        <f t="shared" si="66"/>
        <v>#REF!</v>
      </c>
      <c r="CY119" s="16" t="str">
        <f t="shared" si="66"/>
        <v>#REF!</v>
      </c>
      <c r="CZ119" s="16" t="str">
        <f t="shared" si="66"/>
        <v>#REF!</v>
      </c>
      <c r="DA119" s="16" t="str">
        <f t="shared" si="66"/>
        <v>#REF!</v>
      </c>
      <c r="DB119" s="16" t="str">
        <f t="shared" si="66"/>
        <v>#REF!</v>
      </c>
      <c r="DC119" s="16" t="str">
        <f t="shared" si="66"/>
        <v>#REF!</v>
      </c>
      <c r="DD119" s="16" t="str">
        <f t="shared" si="66"/>
        <v>#REF!</v>
      </c>
      <c r="DE119" s="16" t="str">
        <f t="shared" si="66"/>
        <v>#REF!</v>
      </c>
      <c r="DF119" s="16" t="str">
        <f t="shared" si="66"/>
        <v>#REF!</v>
      </c>
      <c r="DG119" s="16" t="str">
        <f t="shared" si="66"/>
        <v>#REF!</v>
      </c>
      <c r="DH119" s="16" t="str">
        <f t="shared" si="66"/>
        <v>#REF!</v>
      </c>
      <c r="DI119" s="16" t="str">
        <f t="shared" si="66"/>
        <v>#REF!</v>
      </c>
      <c r="DJ119" s="16" t="str">
        <f t="shared" si="66"/>
        <v>#REF!</v>
      </c>
      <c r="DK119" s="16" t="str">
        <f t="shared" si="66"/>
        <v>#REF!</v>
      </c>
      <c r="DL119" s="16" t="str">
        <f t="shared" si="66"/>
        <v>#REF!</v>
      </c>
      <c r="DM119" s="16" t="str">
        <f t="shared" si="66"/>
        <v>#REF!</v>
      </c>
      <c r="DN119" s="16" t="str">
        <f t="shared" si="66"/>
        <v>#REF!</v>
      </c>
      <c r="DO119" s="16" t="str">
        <f t="shared" si="66"/>
        <v>#REF!</v>
      </c>
    </row>
    <row r="120" ht="12.75" hidden="1" customHeight="1">
      <c r="U120" s="6">
        <v>45504.0</v>
      </c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 t="str">
        <f>+BS$17*#REF!</f>
        <v>#REF!</v>
      </c>
      <c r="BU120" s="9" t="str">
        <f t="shared" ref="BU120:DP120" si="67">IF(BT120&gt;0.005,(BT120-$BT120*#REF!/12),0)</f>
        <v>#REF!</v>
      </c>
      <c r="BV120" s="9" t="str">
        <f t="shared" si="67"/>
        <v>#REF!</v>
      </c>
      <c r="BW120" s="9" t="str">
        <f t="shared" si="67"/>
        <v>#REF!</v>
      </c>
      <c r="BX120" s="9" t="str">
        <f t="shared" si="67"/>
        <v>#REF!</v>
      </c>
      <c r="BY120" s="9" t="str">
        <f t="shared" si="67"/>
        <v>#REF!</v>
      </c>
      <c r="BZ120" s="9" t="str">
        <f t="shared" si="67"/>
        <v>#REF!</v>
      </c>
      <c r="CA120" s="9" t="str">
        <f t="shared" si="67"/>
        <v>#REF!</v>
      </c>
      <c r="CB120" s="9" t="str">
        <f t="shared" si="67"/>
        <v>#REF!</v>
      </c>
      <c r="CC120" s="9" t="str">
        <f t="shared" si="67"/>
        <v>#REF!</v>
      </c>
      <c r="CD120" s="9" t="str">
        <f t="shared" si="67"/>
        <v>#REF!</v>
      </c>
      <c r="CE120" s="9" t="str">
        <f t="shared" si="67"/>
        <v>#REF!</v>
      </c>
      <c r="CF120" s="9" t="str">
        <f t="shared" si="67"/>
        <v>#REF!</v>
      </c>
      <c r="CG120" s="9" t="str">
        <f t="shared" si="67"/>
        <v>#REF!</v>
      </c>
      <c r="CH120" s="9" t="str">
        <f t="shared" si="67"/>
        <v>#REF!</v>
      </c>
      <c r="CI120" s="9" t="str">
        <f t="shared" si="67"/>
        <v>#REF!</v>
      </c>
      <c r="CJ120" s="9" t="str">
        <f t="shared" si="67"/>
        <v>#REF!</v>
      </c>
      <c r="CK120" s="9" t="str">
        <f t="shared" si="67"/>
        <v>#REF!</v>
      </c>
      <c r="CL120" s="9" t="str">
        <f t="shared" si="67"/>
        <v>#REF!</v>
      </c>
      <c r="CM120" s="9" t="str">
        <f t="shared" si="67"/>
        <v>#REF!</v>
      </c>
      <c r="CN120" s="9" t="str">
        <f t="shared" si="67"/>
        <v>#REF!</v>
      </c>
      <c r="CO120" s="9" t="str">
        <f t="shared" si="67"/>
        <v>#REF!</v>
      </c>
      <c r="CP120" s="9" t="str">
        <f t="shared" si="67"/>
        <v>#REF!</v>
      </c>
      <c r="CQ120" s="9" t="str">
        <f t="shared" si="67"/>
        <v>#REF!</v>
      </c>
      <c r="CR120" s="9" t="str">
        <f t="shared" si="67"/>
        <v>#REF!</v>
      </c>
      <c r="CS120" s="9" t="str">
        <f t="shared" si="67"/>
        <v>#REF!</v>
      </c>
      <c r="CT120" s="9" t="str">
        <f t="shared" si="67"/>
        <v>#REF!</v>
      </c>
      <c r="CU120" s="9" t="str">
        <f t="shared" si="67"/>
        <v>#REF!</v>
      </c>
      <c r="CV120" s="9" t="str">
        <f t="shared" si="67"/>
        <v>#REF!</v>
      </c>
      <c r="CW120" s="9" t="str">
        <f t="shared" si="67"/>
        <v>#REF!</v>
      </c>
      <c r="CX120" s="9" t="str">
        <f t="shared" si="67"/>
        <v>#REF!</v>
      </c>
      <c r="CY120" s="16" t="str">
        <f t="shared" si="67"/>
        <v>#REF!</v>
      </c>
      <c r="CZ120" s="16" t="str">
        <f t="shared" si="67"/>
        <v>#REF!</v>
      </c>
      <c r="DA120" s="16" t="str">
        <f t="shared" si="67"/>
        <v>#REF!</v>
      </c>
      <c r="DB120" s="16" t="str">
        <f t="shared" si="67"/>
        <v>#REF!</v>
      </c>
      <c r="DC120" s="16" t="str">
        <f t="shared" si="67"/>
        <v>#REF!</v>
      </c>
      <c r="DD120" s="16" t="str">
        <f t="shared" si="67"/>
        <v>#REF!</v>
      </c>
      <c r="DE120" s="16" t="str">
        <f t="shared" si="67"/>
        <v>#REF!</v>
      </c>
      <c r="DF120" s="16" t="str">
        <f t="shared" si="67"/>
        <v>#REF!</v>
      </c>
      <c r="DG120" s="16" t="str">
        <f t="shared" si="67"/>
        <v>#REF!</v>
      </c>
      <c r="DH120" s="16" t="str">
        <f t="shared" si="67"/>
        <v>#REF!</v>
      </c>
      <c r="DI120" s="16" t="str">
        <f t="shared" si="67"/>
        <v>#REF!</v>
      </c>
      <c r="DJ120" s="16" t="str">
        <f t="shared" si="67"/>
        <v>#REF!</v>
      </c>
      <c r="DK120" s="16" t="str">
        <f t="shared" si="67"/>
        <v>#REF!</v>
      </c>
      <c r="DL120" s="16" t="str">
        <f t="shared" si="67"/>
        <v>#REF!</v>
      </c>
      <c r="DM120" s="16" t="str">
        <f t="shared" si="67"/>
        <v>#REF!</v>
      </c>
      <c r="DN120" s="16" t="str">
        <f t="shared" si="67"/>
        <v>#REF!</v>
      </c>
      <c r="DO120" s="16" t="str">
        <f t="shared" si="67"/>
        <v>#REF!</v>
      </c>
      <c r="DP120" s="16" t="str">
        <f t="shared" si="67"/>
        <v>#REF!</v>
      </c>
    </row>
    <row r="121" ht="12.75" hidden="1" customHeight="1">
      <c r="U121" s="6">
        <v>45535.0</v>
      </c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 t="str">
        <f>+BT$17*#REF!</f>
        <v>#REF!</v>
      </c>
      <c r="BV121" s="9" t="str">
        <f t="shared" ref="BV121:DQ121" si="68">IF(BU121&gt;0.005,(BU121-$BU121*#REF!/12),0)</f>
        <v>#REF!</v>
      </c>
      <c r="BW121" s="9" t="str">
        <f t="shared" si="68"/>
        <v>#REF!</v>
      </c>
      <c r="BX121" s="9" t="str">
        <f t="shared" si="68"/>
        <v>#REF!</v>
      </c>
      <c r="BY121" s="9" t="str">
        <f t="shared" si="68"/>
        <v>#REF!</v>
      </c>
      <c r="BZ121" s="9" t="str">
        <f t="shared" si="68"/>
        <v>#REF!</v>
      </c>
      <c r="CA121" s="9" t="str">
        <f t="shared" si="68"/>
        <v>#REF!</v>
      </c>
      <c r="CB121" s="9" t="str">
        <f t="shared" si="68"/>
        <v>#REF!</v>
      </c>
      <c r="CC121" s="9" t="str">
        <f t="shared" si="68"/>
        <v>#REF!</v>
      </c>
      <c r="CD121" s="9" t="str">
        <f t="shared" si="68"/>
        <v>#REF!</v>
      </c>
      <c r="CE121" s="9" t="str">
        <f t="shared" si="68"/>
        <v>#REF!</v>
      </c>
      <c r="CF121" s="9" t="str">
        <f t="shared" si="68"/>
        <v>#REF!</v>
      </c>
      <c r="CG121" s="9" t="str">
        <f t="shared" si="68"/>
        <v>#REF!</v>
      </c>
      <c r="CH121" s="9" t="str">
        <f t="shared" si="68"/>
        <v>#REF!</v>
      </c>
      <c r="CI121" s="9" t="str">
        <f t="shared" si="68"/>
        <v>#REF!</v>
      </c>
      <c r="CJ121" s="9" t="str">
        <f t="shared" si="68"/>
        <v>#REF!</v>
      </c>
      <c r="CK121" s="9" t="str">
        <f t="shared" si="68"/>
        <v>#REF!</v>
      </c>
      <c r="CL121" s="9" t="str">
        <f t="shared" si="68"/>
        <v>#REF!</v>
      </c>
      <c r="CM121" s="9" t="str">
        <f t="shared" si="68"/>
        <v>#REF!</v>
      </c>
      <c r="CN121" s="9" t="str">
        <f t="shared" si="68"/>
        <v>#REF!</v>
      </c>
      <c r="CO121" s="9" t="str">
        <f t="shared" si="68"/>
        <v>#REF!</v>
      </c>
      <c r="CP121" s="9" t="str">
        <f t="shared" si="68"/>
        <v>#REF!</v>
      </c>
      <c r="CQ121" s="9" t="str">
        <f t="shared" si="68"/>
        <v>#REF!</v>
      </c>
      <c r="CR121" s="9" t="str">
        <f t="shared" si="68"/>
        <v>#REF!</v>
      </c>
      <c r="CS121" s="9" t="str">
        <f t="shared" si="68"/>
        <v>#REF!</v>
      </c>
      <c r="CT121" s="9" t="str">
        <f t="shared" si="68"/>
        <v>#REF!</v>
      </c>
      <c r="CU121" s="9" t="str">
        <f t="shared" si="68"/>
        <v>#REF!</v>
      </c>
      <c r="CV121" s="9" t="str">
        <f t="shared" si="68"/>
        <v>#REF!</v>
      </c>
      <c r="CW121" s="9" t="str">
        <f t="shared" si="68"/>
        <v>#REF!</v>
      </c>
      <c r="CX121" s="9" t="str">
        <f t="shared" si="68"/>
        <v>#REF!</v>
      </c>
      <c r="CY121" s="16" t="str">
        <f t="shared" si="68"/>
        <v>#REF!</v>
      </c>
      <c r="CZ121" s="16" t="str">
        <f t="shared" si="68"/>
        <v>#REF!</v>
      </c>
      <c r="DA121" s="16" t="str">
        <f t="shared" si="68"/>
        <v>#REF!</v>
      </c>
      <c r="DB121" s="16" t="str">
        <f t="shared" si="68"/>
        <v>#REF!</v>
      </c>
      <c r="DC121" s="16" t="str">
        <f t="shared" si="68"/>
        <v>#REF!</v>
      </c>
      <c r="DD121" s="16" t="str">
        <f t="shared" si="68"/>
        <v>#REF!</v>
      </c>
      <c r="DE121" s="16" t="str">
        <f t="shared" si="68"/>
        <v>#REF!</v>
      </c>
      <c r="DF121" s="16" t="str">
        <f t="shared" si="68"/>
        <v>#REF!</v>
      </c>
      <c r="DG121" s="16" t="str">
        <f t="shared" si="68"/>
        <v>#REF!</v>
      </c>
      <c r="DH121" s="16" t="str">
        <f t="shared" si="68"/>
        <v>#REF!</v>
      </c>
      <c r="DI121" s="16" t="str">
        <f t="shared" si="68"/>
        <v>#REF!</v>
      </c>
      <c r="DJ121" s="16" t="str">
        <f t="shared" si="68"/>
        <v>#REF!</v>
      </c>
      <c r="DK121" s="16" t="str">
        <f t="shared" si="68"/>
        <v>#REF!</v>
      </c>
      <c r="DL121" s="16" t="str">
        <f t="shared" si="68"/>
        <v>#REF!</v>
      </c>
      <c r="DM121" s="16" t="str">
        <f t="shared" si="68"/>
        <v>#REF!</v>
      </c>
      <c r="DN121" s="16" t="str">
        <f t="shared" si="68"/>
        <v>#REF!</v>
      </c>
      <c r="DO121" s="16" t="str">
        <f t="shared" si="68"/>
        <v>#REF!</v>
      </c>
      <c r="DP121" s="16" t="str">
        <f t="shared" si="68"/>
        <v>#REF!</v>
      </c>
      <c r="DQ121" s="16" t="str">
        <f t="shared" si="68"/>
        <v>#REF!</v>
      </c>
    </row>
    <row r="122" ht="12.75" hidden="1" customHeight="1">
      <c r="U122" s="6">
        <v>45565.0</v>
      </c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 t="str">
        <f>+BU$17*#REF!</f>
        <v>#REF!</v>
      </c>
      <c r="BW122" s="9" t="str">
        <f t="shared" ref="BW122:DR122" si="69">IF(BV122&gt;0.005,(BV122-$BV122*#REF!/12),0)</f>
        <v>#REF!</v>
      </c>
      <c r="BX122" s="9" t="str">
        <f t="shared" si="69"/>
        <v>#REF!</v>
      </c>
      <c r="BY122" s="9" t="str">
        <f t="shared" si="69"/>
        <v>#REF!</v>
      </c>
      <c r="BZ122" s="9" t="str">
        <f t="shared" si="69"/>
        <v>#REF!</v>
      </c>
      <c r="CA122" s="9" t="str">
        <f t="shared" si="69"/>
        <v>#REF!</v>
      </c>
      <c r="CB122" s="9" t="str">
        <f t="shared" si="69"/>
        <v>#REF!</v>
      </c>
      <c r="CC122" s="9" t="str">
        <f t="shared" si="69"/>
        <v>#REF!</v>
      </c>
      <c r="CD122" s="9" t="str">
        <f t="shared" si="69"/>
        <v>#REF!</v>
      </c>
      <c r="CE122" s="9" t="str">
        <f t="shared" si="69"/>
        <v>#REF!</v>
      </c>
      <c r="CF122" s="9" t="str">
        <f t="shared" si="69"/>
        <v>#REF!</v>
      </c>
      <c r="CG122" s="9" t="str">
        <f t="shared" si="69"/>
        <v>#REF!</v>
      </c>
      <c r="CH122" s="9" t="str">
        <f t="shared" si="69"/>
        <v>#REF!</v>
      </c>
      <c r="CI122" s="9" t="str">
        <f t="shared" si="69"/>
        <v>#REF!</v>
      </c>
      <c r="CJ122" s="9" t="str">
        <f t="shared" si="69"/>
        <v>#REF!</v>
      </c>
      <c r="CK122" s="9" t="str">
        <f t="shared" si="69"/>
        <v>#REF!</v>
      </c>
      <c r="CL122" s="9" t="str">
        <f t="shared" si="69"/>
        <v>#REF!</v>
      </c>
      <c r="CM122" s="9" t="str">
        <f t="shared" si="69"/>
        <v>#REF!</v>
      </c>
      <c r="CN122" s="9" t="str">
        <f t="shared" si="69"/>
        <v>#REF!</v>
      </c>
      <c r="CO122" s="9" t="str">
        <f t="shared" si="69"/>
        <v>#REF!</v>
      </c>
      <c r="CP122" s="9" t="str">
        <f t="shared" si="69"/>
        <v>#REF!</v>
      </c>
      <c r="CQ122" s="9" t="str">
        <f t="shared" si="69"/>
        <v>#REF!</v>
      </c>
      <c r="CR122" s="9" t="str">
        <f t="shared" si="69"/>
        <v>#REF!</v>
      </c>
      <c r="CS122" s="9" t="str">
        <f t="shared" si="69"/>
        <v>#REF!</v>
      </c>
      <c r="CT122" s="9" t="str">
        <f t="shared" si="69"/>
        <v>#REF!</v>
      </c>
      <c r="CU122" s="9" t="str">
        <f t="shared" si="69"/>
        <v>#REF!</v>
      </c>
      <c r="CV122" s="9" t="str">
        <f t="shared" si="69"/>
        <v>#REF!</v>
      </c>
      <c r="CW122" s="9" t="str">
        <f t="shared" si="69"/>
        <v>#REF!</v>
      </c>
      <c r="CX122" s="9" t="str">
        <f t="shared" si="69"/>
        <v>#REF!</v>
      </c>
      <c r="CY122" s="16" t="str">
        <f t="shared" si="69"/>
        <v>#REF!</v>
      </c>
      <c r="CZ122" s="16" t="str">
        <f t="shared" si="69"/>
        <v>#REF!</v>
      </c>
      <c r="DA122" s="16" t="str">
        <f t="shared" si="69"/>
        <v>#REF!</v>
      </c>
      <c r="DB122" s="16" t="str">
        <f t="shared" si="69"/>
        <v>#REF!</v>
      </c>
      <c r="DC122" s="16" t="str">
        <f t="shared" si="69"/>
        <v>#REF!</v>
      </c>
      <c r="DD122" s="16" t="str">
        <f t="shared" si="69"/>
        <v>#REF!</v>
      </c>
      <c r="DE122" s="16" t="str">
        <f t="shared" si="69"/>
        <v>#REF!</v>
      </c>
      <c r="DF122" s="16" t="str">
        <f t="shared" si="69"/>
        <v>#REF!</v>
      </c>
      <c r="DG122" s="16" t="str">
        <f t="shared" si="69"/>
        <v>#REF!</v>
      </c>
      <c r="DH122" s="16" t="str">
        <f t="shared" si="69"/>
        <v>#REF!</v>
      </c>
      <c r="DI122" s="16" t="str">
        <f t="shared" si="69"/>
        <v>#REF!</v>
      </c>
      <c r="DJ122" s="16" t="str">
        <f t="shared" si="69"/>
        <v>#REF!</v>
      </c>
      <c r="DK122" s="16" t="str">
        <f t="shared" si="69"/>
        <v>#REF!</v>
      </c>
      <c r="DL122" s="16" t="str">
        <f t="shared" si="69"/>
        <v>#REF!</v>
      </c>
      <c r="DM122" s="16" t="str">
        <f t="shared" si="69"/>
        <v>#REF!</v>
      </c>
      <c r="DN122" s="16" t="str">
        <f t="shared" si="69"/>
        <v>#REF!</v>
      </c>
      <c r="DO122" s="16" t="str">
        <f t="shared" si="69"/>
        <v>#REF!</v>
      </c>
      <c r="DP122" s="16" t="str">
        <f t="shared" si="69"/>
        <v>#REF!</v>
      </c>
      <c r="DQ122" s="16" t="str">
        <f t="shared" si="69"/>
        <v>#REF!</v>
      </c>
      <c r="DR122" s="16" t="str">
        <f t="shared" si="69"/>
        <v>#REF!</v>
      </c>
    </row>
    <row r="123" ht="12.75" hidden="1" customHeight="1">
      <c r="U123" s="6">
        <v>45596.0</v>
      </c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 t="str">
        <f>+BV$17*#REF!</f>
        <v>#REF!</v>
      </c>
      <c r="BX123" s="9" t="str">
        <f t="shared" ref="BX123:DS123" si="70">IF(BW123&gt;0.005,(BW123-$BW123*#REF!/12),0)</f>
        <v>#REF!</v>
      </c>
      <c r="BY123" s="9" t="str">
        <f t="shared" si="70"/>
        <v>#REF!</v>
      </c>
      <c r="BZ123" s="9" t="str">
        <f t="shared" si="70"/>
        <v>#REF!</v>
      </c>
      <c r="CA123" s="9" t="str">
        <f t="shared" si="70"/>
        <v>#REF!</v>
      </c>
      <c r="CB123" s="9" t="str">
        <f t="shared" si="70"/>
        <v>#REF!</v>
      </c>
      <c r="CC123" s="9" t="str">
        <f t="shared" si="70"/>
        <v>#REF!</v>
      </c>
      <c r="CD123" s="9" t="str">
        <f t="shared" si="70"/>
        <v>#REF!</v>
      </c>
      <c r="CE123" s="9" t="str">
        <f t="shared" si="70"/>
        <v>#REF!</v>
      </c>
      <c r="CF123" s="9" t="str">
        <f t="shared" si="70"/>
        <v>#REF!</v>
      </c>
      <c r="CG123" s="9" t="str">
        <f t="shared" si="70"/>
        <v>#REF!</v>
      </c>
      <c r="CH123" s="9" t="str">
        <f t="shared" si="70"/>
        <v>#REF!</v>
      </c>
      <c r="CI123" s="9" t="str">
        <f t="shared" si="70"/>
        <v>#REF!</v>
      </c>
      <c r="CJ123" s="9" t="str">
        <f t="shared" si="70"/>
        <v>#REF!</v>
      </c>
      <c r="CK123" s="9" t="str">
        <f t="shared" si="70"/>
        <v>#REF!</v>
      </c>
      <c r="CL123" s="9" t="str">
        <f t="shared" si="70"/>
        <v>#REF!</v>
      </c>
      <c r="CM123" s="9" t="str">
        <f t="shared" si="70"/>
        <v>#REF!</v>
      </c>
      <c r="CN123" s="9" t="str">
        <f t="shared" si="70"/>
        <v>#REF!</v>
      </c>
      <c r="CO123" s="9" t="str">
        <f t="shared" si="70"/>
        <v>#REF!</v>
      </c>
      <c r="CP123" s="9" t="str">
        <f t="shared" si="70"/>
        <v>#REF!</v>
      </c>
      <c r="CQ123" s="9" t="str">
        <f t="shared" si="70"/>
        <v>#REF!</v>
      </c>
      <c r="CR123" s="9" t="str">
        <f t="shared" si="70"/>
        <v>#REF!</v>
      </c>
      <c r="CS123" s="9" t="str">
        <f t="shared" si="70"/>
        <v>#REF!</v>
      </c>
      <c r="CT123" s="9" t="str">
        <f t="shared" si="70"/>
        <v>#REF!</v>
      </c>
      <c r="CU123" s="9" t="str">
        <f t="shared" si="70"/>
        <v>#REF!</v>
      </c>
      <c r="CV123" s="9" t="str">
        <f t="shared" si="70"/>
        <v>#REF!</v>
      </c>
      <c r="CW123" s="9" t="str">
        <f t="shared" si="70"/>
        <v>#REF!</v>
      </c>
      <c r="CX123" s="9" t="str">
        <f t="shared" si="70"/>
        <v>#REF!</v>
      </c>
      <c r="CY123" s="16" t="str">
        <f t="shared" si="70"/>
        <v>#REF!</v>
      </c>
      <c r="CZ123" s="16" t="str">
        <f t="shared" si="70"/>
        <v>#REF!</v>
      </c>
      <c r="DA123" s="16" t="str">
        <f t="shared" si="70"/>
        <v>#REF!</v>
      </c>
      <c r="DB123" s="16" t="str">
        <f t="shared" si="70"/>
        <v>#REF!</v>
      </c>
      <c r="DC123" s="16" t="str">
        <f t="shared" si="70"/>
        <v>#REF!</v>
      </c>
      <c r="DD123" s="16" t="str">
        <f t="shared" si="70"/>
        <v>#REF!</v>
      </c>
      <c r="DE123" s="16" t="str">
        <f t="shared" si="70"/>
        <v>#REF!</v>
      </c>
      <c r="DF123" s="16" t="str">
        <f t="shared" si="70"/>
        <v>#REF!</v>
      </c>
      <c r="DG123" s="16" t="str">
        <f t="shared" si="70"/>
        <v>#REF!</v>
      </c>
      <c r="DH123" s="16" t="str">
        <f t="shared" si="70"/>
        <v>#REF!</v>
      </c>
      <c r="DI123" s="16" t="str">
        <f t="shared" si="70"/>
        <v>#REF!</v>
      </c>
      <c r="DJ123" s="16" t="str">
        <f t="shared" si="70"/>
        <v>#REF!</v>
      </c>
      <c r="DK123" s="16" t="str">
        <f t="shared" si="70"/>
        <v>#REF!</v>
      </c>
      <c r="DL123" s="16" t="str">
        <f t="shared" si="70"/>
        <v>#REF!</v>
      </c>
      <c r="DM123" s="16" t="str">
        <f t="shared" si="70"/>
        <v>#REF!</v>
      </c>
      <c r="DN123" s="16" t="str">
        <f t="shared" si="70"/>
        <v>#REF!</v>
      </c>
      <c r="DO123" s="16" t="str">
        <f t="shared" si="70"/>
        <v>#REF!</v>
      </c>
      <c r="DP123" s="16" t="str">
        <f t="shared" si="70"/>
        <v>#REF!</v>
      </c>
      <c r="DQ123" s="16" t="str">
        <f t="shared" si="70"/>
        <v>#REF!</v>
      </c>
      <c r="DR123" s="16" t="str">
        <f t="shared" si="70"/>
        <v>#REF!</v>
      </c>
      <c r="DS123" s="16" t="str">
        <f t="shared" si="70"/>
        <v>#REF!</v>
      </c>
    </row>
    <row r="124" ht="12.75" hidden="1" customHeight="1">
      <c r="U124" s="6">
        <v>45626.0</v>
      </c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 t="str">
        <f>+BW$17*#REF!</f>
        <v>#REF!</v>
      </c>
      <c r="BY124" s="9" t="str">
        <f t="shared" ref="BY124:DT124" si="71">IF(BX124&gt;0.005,(BX124-$BX124*#REF!/12),0)</f>
        <v>#REF!</v>
      </c>
      <c r="BZ124" s="9" t="str">
        <f t="shared" si="71"/>
        <v>#REF!</v>
      </c>
      <c r="CA124" s="9" t="str">
        <f t="shared" si="71"/>
        <v>#REF!</v>
      </c>
      <c r="CB124" s="9" t="str">
        <f t="shared" si="71"/>
        <v>#REF!</v>
      </c>
      <c r="CC124" s="9" t="str">
        <f t="shared" si="71"/>
        <v>#REF!</v>
      </c>
      <c r="CD124" s="9" t="str">
        <f t="shared" si="71"/>
        <v>#REF!</v>
      </c>
      <c r="CE124" s="9" t="str">
        <f t="shared" si="71"/>
        <v>#REF!</v>
      </c>
      <c r="CF124" s="9" t="str">
        <f t="shared" si="71"/>
        <v>#REF!</v>
      </c>
      <c r="CG124" s="9" t="str">
        <f t="shared" si="71"/>
        <v>#REF!</v>
      </c>
      <c r="CH124" s="9" t="str">
        <f t="shared" si="71"/>
        <v>#REF!</v>
      </c>
      <c r="CI124" s="9" t="str">
        <f t="shared" si="71"/>
        <v>#REF!</v>
      </c>
      <c r="CJ124" s="9" t="str">
        <f t="shared" si="71"/>
        <v>#REF!</v>
      </c>
      <c r="CK124" s="9" t="str">
        <f t="shared" si="71"/>
        <v>#REF!</v>
      </c>
      <c r="CL124" s="9" t="str">
        <f t="shared" si="71"/>
        <v>#REF!</v>
      </c>
      <c r="CM124" s="9" t="str">
        <f t="shared" si="71"/>
        <v>#REF!</v>
      </c>
      <c r="CN124" s="9" t="str">
        <f t="shared" si="71"/>
        <v>#REF!</v>
      </c>
      <c r="CO124" s="9" t="str">
        <f t="shared" si="71"/>
        <v>#REF!</v>
      </c>
      <c r="CP124" s="9" t="str">
        <f t="shared" si="71"/>
        <v>#REF!</v>
      </c>
      <c r="CQ124" s="9" t="str">
        <f t="shared" si="71"/>
        <v>#REF!</v>
      </c>
      <c r="CR124" s="9" t="str">
        <f t="shared" si="71"/>
        <v>#REF!</v>
      </c>
      <c r="CS124" s="9" t="str">
        <f t="shared" si="71"/>
        <v>#REF!</v>
      </c>
      <c r="CT124" s="9" t="str">
        <f t="shared" si="71"/>
        <v>#REF!</v>
      </c>
      <c r="CU124" s="9" t="str">
        <f t="shared" si="71"/>
        <v>#REF!</v>
      </c>
      <c r="CV124" s="9" t="str">
        <f t="shared" si="71"/>
        <v>#REF!</v>
      </c>
      <c r="CW124" s="9" t="str">
        <f t="shared" si="71"/>
        <v>#REF!</v>
      </c>
      <c r="CX124" s="9" t="str">
        <f t="shared" si="71"/>
        <v>#REF!</v>
      </c>
      <c r="CY124" s="16" t="str">
        <f t="shared" si="71"/>
        <v>#REF!</v>
      </c>
      <c r="CZ124" s="16" t="str">
        <f t="shared" si="71"/>
        <v>#REF!</v>
      </c>
      <c r="DA124" s="16" t="str">
        <f t="shared" si="71"/>
        <v>#REF!</v>
      </c>
      <c r="DB124" s="16" t="str">
        <f t="shared" si="71"/>
        <v>#REF!</v>
      </c>
      <c r="DC124" s="16" t="str">
        <f t="shared" si="71"/>
        <v>#REF!</v>
      </c>
      <c r="DD124" s="16" t="str">
        <f t="shared" si="71"/>
        <v>#REF!</v>
      </c>
      <c r="DE124" s="16" t="str">
        <f t="shared" si="71"/>
        <v>#REF!</v>
      </c>
      <c r="DF124" s="16" t="str">
        <f t="shared" si="71"/>
        <v>#REF!</v>
      </c>
      <c r="DG124" s="16" t="str">
        <f t="shared" si="71"/>
        <v>#REF!</v>
      </c>
      <c r="DH124" s="16" t="str">
        <f t="shared" si="71"/>
        <v>#REF!</v>
      </c>
      <c r="DI124" s="16" t="str">
        <f t="shared" si="71"/>
        <v>#REF!</v>
      </c>
      <c r="DJ124" s="16" t="str">
        <f t="shared" si="71"/>
        <v>#REF!</v>
      </c>
      <c r="DK124" s="16" t="str">
        <f t="shared" si="71"/>
        <v>#REF!</v>
      </c>
      <c r="DL124" s="16" t="str">
        <f t="shared" si="71"/>
        <v>#REF!</v>
      </c>
      <c r="DM124" s="16" t="str">
        <f t="shared" si="71"/>
        <v>#REF!</v>
      </c>
      <c r="DN124" s="16" t="str">
        <f t="shared" si="71"/>
        <v>#REF!</v>
      </c>
      <c r="DO124" s="16" t="str">
        <f t="shared" si="71"/>
        <v>#REF!</v>
      </c>
      <c r="DP124" s="16" t="str">
        <f t="shared" si="71"/>
        <v>#REF!</v>
      </c>
      <c r="DQ124" s="16" t="str">
        <f t="shared" si="71"/>
        <v>#REF!</v>
      </c>
      <c r="DR124" s="16" t="str">
        <f t="shared" si="71"/>
        <v>#REF!</v>
      </c>
      <c r="DS124" s="16" t="str">
        <f t="shared" si="71"/>
        <v>#REF!</v>
      </c>
      <c r="DT124" s="16" t="str">
        <f t="shared" si="71"/>
        <v>#REF!</v>
      </c>
    </row>
    <row r="125" ht="12.75" hidden="1" customHeight="1">
      <c r="U125" s="6">
        <v>45657.0</v>
      </c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 t="str">
        <f>+BX$17*#REF!</f>
        <v>#REF!</v>
      </c>
      <c r="BZ125" s="9" t="str">
        <f t="shared" ref="BZ125:DU125" si="72">IF(BY125&gt;0.005,(BY125-$BY125*#REF!/12),0)</f>
        <v>#REF!</v>
      </c>
      <c r="CA125" s="9" t="str">
        <f t="shared" si="72"/>
        <v>#REF!</v>
      </c>
      <c r="CB125" s="9" t="str">
        <f t="shared" si="72"/>
        <v>#REF!</v>
      </c>
      <c r="CC125" s="9" t="str">
        <f t="shared" si="72"/>
        <v>#REF!</v>
      </c>
      <c r="CD125" s="9" t="str">
        <f t="shared" si="72"/>
        <v>#REF!</v>
      </c>
      <c r="CE125" s="9" t="str">
        <f t="shared" si="72"/>
        <v>#REF!</v>
      </c>
      <c r="CF125" s="9" t="str">
        <f t="shared" si="72"/>
        <v>#REF!</v>
      </c>
      <c r="CG125" s="9" t="str">
        <f t="shared" si="72"/>
        <v>#REF!</v>
      </c>
      <c r="CH125" s="9" t="str">
        <f t="shared" si="72"/>
        <v>#REF!</v>
      </c>
      <c r="CI125" s="9" t="str">
        <f t="shared" si="72"/>
        <v>#REF!</v>
      </c>
      <c r="CJ125" s="9" t="str">
        <f t="shared" si="72"/>
        <v>#REF!</v>
      </c>
      <c r="CK125" s="9" t="str">
        <f t="shared" si="72"/>
        <v>#REF!</v>
      </c>
      <c r="CL125" s="9" t="str">
        <f t="shared" si="72"/>
        <v>#REF!</v>
      </c>
      <c r="CM125" s="9" t="str">
        <f t="shared" si="72"/>
        <v>#REF!</v>
      </c>
      <c r="CN125" s="9" t="str">
        <f t="shared" si="72"/>
        <v>#REF!</v>
      </c>
      <c r="CO125" s="9" t="str">
        <f t="shared" si="72"/>
        <v>#REF!</v>
      </c>
      <c r="CP125" s="9" t="str">
        <f t="shared" si="72"/>
        <v>#REF!</v>
      </c>
      <c r="CQ125" s="9" t="str">
        <f t="shared" si="72"/>
        <v>#REF!</v>
      </c>
      <c r="CR125" s="9" t="str">
        <f t="shared" si="72"/>
        <v>#REF!</v>
      </c>
      <c r="CS125" s="9" t="str">
        <f t="shared" si="72"/>
        <v>#REF!</v>
      </c>
      <c r="CT125" s="9" t="str">
        <f t="shared" si="72"/>
        <v>#REF!</v>
      </c>
      <c r="CU125" s="9" t="str">
        <f t="shared" si="72"/>
        <v>#REF!</v>
      </c>
      <c r="CV125" s="9" t="str">
        <f t="shared" si="72"/>
        <v>#REF!</v>
      </c>
      <c r="CW125" s="9" t="str">
        <f t="shared" si="72"/>
        <v>#REF!</v>
      </c>
      <c r="CX125" s="9" t="str">
        <f t="shared" si="72"/>
        <v>#REF!</v>
      </c>
      <c r="CY125" s="16" t="str">
        <f t="shared" si="72"/>
        <v>#REF!</v>
      </c>
      <c r="CZ125" s="16" t="str">
        <f t="shared" si="72"/>
        <v>#REF!</v>
      </c>
      <c r="DA125" s="16" t="str">
        <f t="shared" si="72"/>
        <v>#REF!</v>
      </c>
      <c r="DB125" s="16" t="str">
        <f t="shared" si="72"/>
        <v>#REF!</v>
      </c>
      <c r="DC125" s="16" t="str">
        <f t="shared" si="72"/>
        <v>#REF!</v>
      </c>
      <c r="DD125" s="16" t="str">
        <f t="shared" si="72"/>
        <v>#REF!</v>
      </c>
      <c r="DE125" s="16" t="str">
        <f t="shared" si="72"/>
        <v>#REF!</v>
      </c>
      <c r="DF125" s="16" t="str">
        <f t="shared" si="72"/>
        <v>#REF!</v>
      </c>
      <c r="DG125" s="16" t="str">
        <f t="shared" si="72"/>
        <v>#REF!</v>
      </c>
      <c r="DH125" s="16" t="str">
        <f t="shared" si="72"/>
        <v>#REF!</v>
      </c>
      <c r="DI125" s="16" t="str">
        <f t="shared" si="72"/>
        <v>#REF!</v>
      </c>
      <c r="DJ125" s="16" t="str">
        <f t="shared" si="72"/>
        <v>#REF!</v>
      </c>
      <c r="DK125" s="16" t="str">
        <f t="shared" si="72"/>
        <v>#REF!</v>
      </c>
      <c r="DL125" s="16" t="str">
        <f t="shared" si="72"/>
        <v>#REF!</v>
      </c>
      <c r="DM125" s="16" t="str">
        <f t="shared" si="72"/>
        <v>#REF!</v>
      </c>
      <c r="DN125" s="16" t="str">
        <f t="shared" si="72"/>
        <v>#REF!</v>
      </c>
      <c r="DO125" s="16" t="str">
        <f t="shared" si="72"/>
        <v>#REF!</v>
      </c>
      <c r="DP125" s="16" t="str">
        <f t="shared" si="72"/>
        <v>#REF!</v>
      </c>
      <c r="DQ125" s="16" t="str">
        <f t="shared" si="72"/>
        <v>#REF!</v>
      </c>
      <c r="DR125" s="16" t="str">
        <f t="shared" si="72"/>
        <v>#REF!</v>
      </c>
      <c r="DS125" s="16" t="str">
        <f t="shared" si="72"/>
        <v>#REF!</v>
      </c>
      <c r="DT125" s="16" t="str">
        <f t="shared" si="72"/>
        <v>#REF!</v>
      </c>
      <c r="DU125" s="16" t="str">
        <f t="shared" si="72"/>
        <v>#REF!</v>
      </c>
    </row>
    <row r="126" ht="12.75" hidden="1" customHeight="1">
      <c r="U126" s="6">
        <v>45688.0</v>
      </c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 t="str">
        <f>+BY$17*#REF!</f>
        <v>#REF!</v>
      </c>
      <c r="CA126" s="9" t="str">
        <f t="shared" ref="CA126:DV126" si="73">IF(BZ126&gt;0.005,(BZ126-$BZ126*#REF!/12),0)</f>
        <v>#REF!</v>
      </c>
      <c r="CB126" s="9" t="str">
        <f t="shared" si="73"/>
        <v>#REF!</v>
      </c>
      <c r="CC126" s="9" t="str">
        <f t="shared" si="73"/>
        <v>#REF!</v>
      </c>
      <c r="CD126" s="9" t="str">
        <f t="shared" si="73"/>
        <v>#REF!</v>
      </c>
      <c r="CE126" s="9" t="str">
        <f t="shared" si="73"/>
        <v>#REF!</v>
      </c>
      <c r="CF126" s="9" t="str">
        <f t="shared" si="73"/>
        <v>#REF!</v>
      </c>
      <c r="CG126" s="9" t="str">
        <f t="shared" si="73"/>
        <v>#REF!</v>
      </c>
      <c r="CH126" s="9" t="str">
        <f t="shared" si="73"/>
        <v>#REF!</v>
      </c>
      <c r="CI126" s="9" t="str">
        <f t="shared" si="73"/>
        <v>#REF!</v>
      </c>
      <c r="CJ126" s="9" t="str">
        <f t="shared" si="73"/>
        <v>#REF!</v>
      </c>
      <c r="CK126" s="9" t="str">
        <f t="shared" si="73"/>
        <v>#REF!</v>
      </c>
      <c r="CL126" s="9" t="str">
        <f t="shared" si="73"/>
        <v>#REF!</v>
      </c>
      <c r="CM126" s="9" t="str">
        <f t="shared" si="73"/>
        <v>#REF!</v>
      </c>
      <c r="CN126" s="9" t="str">
        <f t="shared" si="73"/>
        <v>#REF!</v>
      </c>
      <c r="CO126" s="9" t="str">
        <f t="shared" si="73"/>
        <v>#REF!</v>
      </c>
      <c r="CP126" s="9" t="str">
        <f t="shared" si="73"/>
        <v>#REF!</v>
      </c>
      <c r="CQ126" s="9" t="str">
        <f t="shared" si="73"/>
        <v>#REF!</v>
      </c>
      <c r="CR126" s="9" t="str">
        <f t="shared" si="73"/>
        <v>#REF!</v>
      </c>
      <c r="CS126" s="9" t="str">
        <f t="shared" si="73"/>
        <v>#REF!</v>
      </c>
      <c r="CT126" s="9" t="str">
        <f t="shared" si="73"/>
        <v>#REF!</v>
      </c>
      <c r="CU126" s="9" t="str">
        <f t="shared" si="73"/>
        <v>#REF!</v>
      </c>
      <c r="CV126" s="9" t="str">
        <f t="shared" si="73"/>
        <v>#REF!</v>
      </c>
      <c r="CW126" s="9" t="str">
        <f t="shared" si="73"/>
        <v>#REF!</v>
      </c>
      <c r="CX126" s="9" t="str">
        <f t="shared" si="73"/>
        <v>#REF!</v>
      </c>
      <c r="CY126" s="16" t="str">
        <f t="shared" si="73"/>
        <v>#REF!</v>
      </c>
      <c r="CZ126" s="16" t="str">
        <f t="shared" si="73"/>
        <v>#REF!</v>
      </c>
      <c r="DA126" s="16" t="str">
        <f t="shared" si="73"/>
        <v>#REF!</v>
      </c>
      <c r="DB126" s="16" t="str">
        <f t="shared" si="73"/>
        <v>#REF!</v>
      </c>
      <c r="DC126" s="16" t="str">
        <f t="shared" si="73"/>
        <v>#REF!</v>
      </c>
      <c r="DD126" s="16" t="str">
        <f t="shared" si="73"/>
        <v>#REF!</v>
      </c>
      <c r="DE126" s="16" t="str">
        <f t="shared" si="73"/>
        <v>#REF!</v>
      </c>
      <c r="DF126" s="16" t="str">
        <f t="shared" si="73"/>
        <v>#REF!</v>
      </c>
      <c r="DG126" s="16" t="str">
        <f t="shared" si="73"/>
        <v>#REF!</v>
      </c>
      <c r="DH126" s="16" t="str">
        <f t="shared" si="73"/>
        <v>#REF!</v>
      </c>
      <c r="DI126" s="16" t="str">
        <f t="shared" si="73"/>
        <v>#REF!</v>
      </c>
      <c r="DJ126" s="16" t="str">
        <f t="shared" si="73"/>
        <v>#REF!</v>
      </c>
      <c r="DK126" s="16" t="str">
        <f t="shared" si="73"/>
        <v>#REF!</v>
      </c>
      <c r="DL126" s="16" t="str">
        <f t="shared" si="73"/>
        <v>#REF!</v>
      </c>
      <c r="DM126" s="16" t="str">
        <f t="shared" si="73"/>
        <v>#REF!</v>
      </c>
      <c r="DN126" s="16" t="str">
        <f t="shared" si="73"/>
        <v>#REF!</v>
      </c>
      <c r="DO126" s="16" t="str">
        <f t="shared" si="73"/>
        <v>#REF!</v>
      </c>
      <c r="DP126" s="16" t="str">
        <f t="shared" si="73"/>
        <v>#REF!</v>
      </c>
      <c r="DQ126" s="16" t="str">
        <f t="shared" si="73"/>
        <v>#REF!</v>
      </c>
      <c r="DR126" s="16" t="str">
        <f t="shared" si="73"/>
        <v>#REF!</v>
      </c>
      <c r="DS126" s="16" t="str">
        <f t="shared" si="73"/>
        <v>#REF!</v>
      </c>
      <c r="DT126" s="16" t="str">
        <f t="shared" si="73"/>
        <v>#REF!</v>
      </c>
      <c r="DU126" s="16" t="str">
        <f t="shared" si="73"/>
        <v>#REF!</v>
      </c>
      <c r="DV126" s="16" t="str">
        <f t="shared" si="73"/>
        <v>#REF!</v>
      </c>
    </row>
    <row r="127" ht="12.75" hidden="1" customHeight="1">
      <c r="U127" s="6">
        <v>45716.0</v>
      </c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 t="str">
        <f>+BZ$17*#REF!</f>
        <v>#REF!</v>
      </c>
      <c r="CB127" s="9" t="str">
        <f t="shared" ref="CB127:DW127" si="74">IF(CA127&gt;0.005,(CA127-$CA127*#REF!/12),0)</f>
        <v>#REF!</v>
      </c>
      <c r="CC127" s="9" t="str">
        <f t="shared" si="74"/>
        <v>#REF!</v>
      </c>
      <c r="CD127" s="9" t="str">
        <f t="shared" si="74"/>
        <v>#REF!</v>
      </c>
      <c r="CE127" s="9" t="str">
        <f t="shared" si="74"/>
        <v>#REF!</v>
      </c>
      <c r="CF127" s="9" t="str">
        <f t="shared" si="74"/>
        <v>#REF!</v>
      </c>
      <c r="CG127" s="9" t="str">
        <f t="shared" si="74"/>
        <v>#REF!</v>
      </c>
      <c r="CH127" s="9" t="str">
        <f t="shared" si="74"/>
        <v>#REF!</v>
      </c>
      <c r="CI127" s="9" t="str">
        <f t="shared" si="74"/>
        <v>#REF!</v>
      </c>
      <c r="CJ127" s="9" t="str">
        <f t="shared" si="74"/>
        <v>#REF!</v>
      </c>
      <c r="CK127" s="9" t="str">
        <f t="shared" si="74"/>
        <v>#REF!</v>
      </c>
      <c r="CL127" s="9" t="str">
        <f t="shared" si="74"/>
        <v>#REF!</v>
      </c>
      <c r="CM127" s="9" t="str">
        <f t="shared" si="74"/>
        <v>#REF!</v>
      </c>
      <c r="CN127" s="9" t="str">
        <f t="shared" si="74"/>
        <v>#REF!</v>
      </c>
      <c r="CO127" s="9" t="str">
        <f t="shared" si="74"/>
        <v>#REF!</v>
      </c>
      <c r="CP127" s="9" t="str">
        <f t="shared" si="74"/>
        <v>#REF!</v>
      </c>
      <c r="CQ127" s="9" t="str">
        <f t="shared" si="74"/>
        <v>#REF!</v>
      </c>
      <c r="CR127" s="9" t="str">
        <f t="shared" si="74"/>
        <v>#REF!</v>
      </c>
      <c r="CS127" s="9" t="str">
        <f t="shared" si="74"/>
        <v>#REF!</v>
      </c>
      <c r="CT127" s="9" t="str">
        <f t="shared" si="74"/>
        <v>#REF!</v>
      </c>
      <c r="CU127" s="9" t="str">
        <f t="shared" si="74"/>
        <v>#REF!</v>
      </c>
      <c r="CV127" s="9" t="str">
        <f t="shared" si="74"/>
        <v>#REF!</v>
      </c>
      <c r="CW127" s="9" t="str">
        <f t="shared" si="74"/>
        <v>#REF!</v>
      </c>
      <c r="CX127" s="9" t="str">
        <f t="shared" si="74"/>
        <v>#REF!</v>
      </c>
      <c r="CY127" s="16" t="str">
        <f t="shared" si="74"/>
        <v>#REF!</v>
      </c>
      <c r="CZ127" s="16" t="str">
        <f t="shared" si="74"/>
        <v>#REF!</v>
      </c>
      <c r="DA127" s="16" t="str">
        <f t="shared" si="74"/>
        <v>#REF!</v>
      </c>
      <c r="DB127" s="16" t="str">
        <f t="shared" si="74"/>
        <v>#REF!</v>
      </c>
      <c r="DC127" s="16" t="str">
        <f t="shared" si="74"/>
        <v>#REF!</v>
      </c>
      <c r="DD127" s="16" t="str">
        <f t="shared" si="74"/>
        <v>#REF!</v>
      </c>
      <c r="DE127" s="16" t="str">
        <f t="shared" si="74"/>
        <v>#REF!</v>
      </c>
      <c r="DF127" s="16" t="str">
        <f t="shared" si="74"/>
        <v>#REF!</v>
      </c>
      <c r="DG127" s="16" t="str">
        <f t="shared" si="74"/>
        <v>#REF!</v>
      </c>
      <c r="DH127" s="16" t="str">
        <f t="shared" si="74"/>
        <v>#REF!</v>
      </c>
      <c r="DI127" s="16" t="str">
        <f t="shared" si="74"/>
        <v>#REF!</v>
      </c>
      <c r="DJ127" s="16" t="str">
        <f t="shared" si="74"/>
        <v>#REF!</v>
      </c>
      <c r="DK127" s="16" t="str">
        <f t="shared" si="74"/>
        <v>#REF!</v>
      </c>
      <c r="DL127" s="16" t="str">
        <f t="shared" si="74"/>
        <v>#REF!</v>
      </c>
      <c r="DM127" s="16" t="str">
        <f t="shared" si="74"/>
        <v>#REF!</v>
      </c>
      <c r="DN127" s="16" t="str">
        <f t="shared" si="74"/>
        <v>#REF!</v>
      </c>
      <c r="DO127" s="16" t="str">
        <f t="shared" si="74"/>
        <v>#REF!</v>
      </c>
      <c r="DP127" s="16" t="str">
        <f t="shared" si="74"/>
        <v>#REF!</v>
      </c>
      <c r="DQ127" s="16" t="str">
        <f t="shared" si="74"/>
        <v>#REF!</v>
      </c>
      <c r="DR127" s="16" t="str">
        <f t="shared" si="74"/>
        <v>#REF!</v>
      </c>
      <c r="DS127" s="16" t="str">
        <f t="shared" si="74"/>
        <v>#REF!</v>
      </c>
      <c r="DT127" s="16" t="str">
        <f t="shared" si="74"/>
        <v>#REF!</v>
      </c>
      <c r="DU127" s="16" t="str">
        <f t="shared" si="74"/>
        <v>#REF!</v>
      </c>
      <c r="DV127" s="16" t="str">
        <f t="shared" si="74"/>
        <v>#REF!</v>
      </c>
      <c r="DW127" s="16" t="str">
        <f t="shared" si="74"/>
        <v>#REF!</v>
      </c>
    </row>
    <row r="128" ht="12.75" hidden="1" customHeight="1">
      <c r="U128" s="6">
        <v>45747.0</v>
      </c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ht="12.75" hidden="1" customHeight="1">
      <c r="U129" s="6">
        <v>45777.0</v>
      </c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ht="12.75" hidden="1" customHeight="1">
      <c r="U130" s="6">
        <v>45808.0</v>
      </c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ht="12.75" hidden="1" customHeight="1">
      <c r="U131" s="6">
        <v>45838.0</v>
      </c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ht="12.75" hidden="1" customHeight="1">
      <c r="U132" s="6">
        <v>45869.0</v>
      </c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ht="12.75" hidden="1" customHeight="1">
      <c r="U133" s="6">
        <v>45900.0</v>
      </c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ht="12.75" hidden="1" customHeight="1">
      <c r="U134" s="6">
        <v>45930.0</v>
      </c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ht="12.75" hidden="1" customHeight="1">
      <c r="U135" s="6">
        <v>45961.0</v>
      </c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ht="12.75" hidden="1" customHeight="1">
      <c r="U136" s="6">
        <v>45991.0</v>
      </c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ht="12.75" hidden="1" customHeight="1">
      <c r="U137" s="6">
        <v>46022.0</v>
      </c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ht="12.75" hidden="1" customHeight="1">
      <c r="U138" s="6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ht="12.75" hidden="1" customHeight="1">
      <c r="U139" s="6"/>
      <c r="V139" s="9" t="str">
        <f t="shared" ref="V139:CB139" si="75">SUM(V69:V138)</f>
        <v>#REF!</v>
      </c>
      <c r="W139" s="9" t="str">
        <f t="shared" si="75"/>
        <v>#REF!</v>
      </c>
      <c r="X139" s="9" t="str">
        <f t="shared" si="75"/>
        <v>#REF!</v>
      </c>
      <c r="Y139" s="9" t="str">
        <f t="shared" si="75"/>
        <v>#REF!</v>
      </c>
      <c r="Z139" s="9" t="str">
        <f t="shared" si="75"/>
        <v>#REF!</v>
      </c>
      <c r="AA139" s="9" t="str">
        <f t="shared" si="75"/>
        <v>#REF!</v>
      </c>
      <c r="AB139" s="9" t="str">
        <f t="shared" si="75"/>
        <v>#REF!</v>
      </c>
      <c r="AC139" s="9" t="str">
        <f t="shared" si="75"/>
        <v>#REF!</v>
      </c>
      <c r="AD139" s="9" t="str">
        <f t="shared" si="75"/>
        <v>#REF!</v>
      </c>
      <c r="AE139" s="9" t="str">
        <f t="shared" si="75"/>
        <v>#REF!</v>
      </c>
      <c r="AF139" s="9" t="str">
        <f t="shared" si="75"/>
        <v>#REF!</v>
      </c>
      <c r="AG139" s="9" t="str">
        <f t="shared" si="75"/>
        <v>#REF!</v>
      </c>
      <c r="AH139" s="9" t="str">
        <f t="shared" si="75"/>
        <v>#REF!</v>
      </c>
      <c r="AI139" s="9" t="str">
        <f t="shared" si="75"/>
        <v>#REF!</v>
      </c>
      <c r="AJ139" s="9" t="str">
        <f t="shared" si="75"/>
        <v>#REF!</v>
      </c>
      <c r="AK139" s="9" t="str">
        <f t="shared" si="75"/>
        <v>#REF!</v>
      </c>
      <c r="AL139" s="9" t="str">
        <f t="shared" si="75"/>
        <v>#REF!</v>
      </c>
      <c r="AM139" s="9" t="str">
        <f t="shared" si="75"/>
        <v>#REF!</v>
      </c>
      <c r="AN139" s="9" t="str">
        <f t="shared" si="75"/>
        <v>#REF!</v>
      </c>
      <c r="AO139" s="9" t="str">
        <f t="shared" si="75"/>
        <v>#REF!</v>
      </c>
      <c r="AP139" s="9" t="str">
        <f t="shared" si="75"/>
        <v>#REF!</v>
      </c>
      <c r="AQ139" s="9" t="str">
        <f t="shared" si="75"/>
        <v>#REF!</v>
      </c>
      <c r="AR139" s="9" t="str">
        <f t="shared" si="75"/>
        <v>#REF!</v>
      </c>
      <c r="AS139" s="9" t="str">
        <f t="shared" si="75"/>
        <v>#REF!</v>
      </c>
      <c r="AT139" s="9" t="str">
        <f t="shared" si="75"/>
        <v>#REF!</v>
      </c>
      <c r="AU139" s="9" t="str">
        <f t="shared" si="75"/>
        <v>#REF!</v>
      </c>
      <c r="AV139" s="9" t="str">
        <f t="shared" si="75"/>
        <v>#REF!</v>
      </c>
      <c r="AW139" s="9" t="str">
        <f t="shared" si="75"/>
        <v>#REF!</v>
      </c>
      <c r="AX139" s="9" t="str">
        <f t="shared" si="75"/>
        <v>#REF!</v>
      </c>
      <c r="AY139" s="9" t="str">
        <f t="shared" si="75"/>
        <v>#REF!</v>
      </c>
      <c r="AZ139" s="9" t="str">
        <f t="shared" si="75"/>
        <v>#REF!</v>
      </c>
      <c r="BA139" s="9" t="str">
        <f t="shared" si="75"/>
        <v>#REF!</v>
      </c>
      <c r="BB139" s="9" t="str">
        <f t="shared" si="75"/>
        <v>#REF!</v>
      </c>
      <c r="BC139" s="9" t="str">
        <f t="shared" si="75"/>
        <v>#REF!</v>
      </c>
      <c r="BD139" s="9" t="str">
        <f t="shared" si="75"/>
        <v>#REF!</v>
      </c>
      <c r="BE139" s="9" t="str">
        <f t="shared" si="75"/>
        <v>#REF!</v>
      </c>
      <c r="BF139" s="9" t="str">
        <f t="shared" si="75"/>
        <v>#REF!</v>
      </c>
      <c r="BG139" s="9" t="str">
        <f t="shared" si="75"/>
        <v>#REF!</v>
      </c>
      <c r="BH139" s="9" t="str">
        <f t="shared" si="75"/>
        <v>#REF!</v>
      </c>
      <c r="BI139" s="9" t="str">
        <f t="shared" si="75"/>
        <v>#REF!</v>
      </c>
      <c r="BJ139" s="9" t="str">
        <f t="shared" si="75"/>
        <v>#REF!</v>
      </c>
      <c r="BK139" s="9" t="str">
        <f t="shared" si="75"/>
        <v>#REF!</v>
      </c>
      <c r="BL139" s="9" t="str">
        <f t="shared" si="75"/>
        <v>#REF!</v>
      </c>
      <c r="BM139" s="9" t="str">
        <f t="shared" si="75"/>
        <v>#REF!</v>
      </c>
      <c r="BN139" s="9" t="str">
        <f t="shared" si="75"/>
        <v>#REF!</v>
      </c>
      <c r="BO139" s="9" t="str">
        <f t="shared" si="75"/>
        <v>#REF!</v>
      </c>
      <c r="BP139" s="9" t="str">
        <f t="shared" si="75"/>
        <v>#REF!</v>
      </c>
      <c r="BQ139" s="9" t="str">
        <f t="shared" si="75"/>
        <v>#REF!</v>
      </c>
      <c r="BR139" s="9" t="str">
        <f t="shared" si="75"/>
        <v>#REF!</v>
      </c>
      <c r="BS139" s="9" t="str">
        <f t="shared" si="75"/>
        <v>#REF!</v>
      </c>
      <c r="BT139" s="9" t="str">
        <f t="shared" si="75"/>
        <v>#REF!</v>
      </c>
      <c r="BU139" s="9" t="str">
        <f t="shared" si="75"/>
        <v>#REF!</v>
      </c>
      <c r="BV139" s="9" t="str">
        <f t="shared" si="75"/>
        <v>#REF!</v>
      </c>
      <c r="BW139" s="9" t="str">
        <f t="shared" si="75"/>
        <v>#REF!</v>
      </c>
      <c r="BX139" s="9" t="str">
        <f t="shared" si="75"/>
        <v>#REF!</v>
      </c>
      <c r="BY139" s="9" t="str">
        <f t="shared" si="75"/>
        <v>#REF!</v>
      </c>
      <c r="BZ139" s="9" t="str">
        <f t="shared" si="75"/>
        <v>#REF!</v>
      </c>
      <c r="CA139" s="9" t="str">
        <f t="shared" si="75"/>
        <v>#REF!</v>
      </c>
      <c r="CB139" s="9" t="str">
        <f t="shared" si="75"/>
        <v>#REF!</v>
      </c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ht="12.75" customHeight="1">
      <c r="U140" s="6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ht="12.75" customHeight="1">
      <c r="U141" s="6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ht="12.75" customHeight="1">
      <c r="U142" s="6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ht="12.75" customHeight="1">
      <c r="A143" s="5" t="s">
        <v>77</v>
      </c>
      <c r="U143" s="6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ht="12.75" customHeight="1">
      <c r="U144" s="6">
        <f>+U8</f>
        <v>43951</v>
      </c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ht="12.75" customHeight="1">
      <c r="U145" s="6">
        <v>43982.0</v>
      </c>
      <c r="V145" s="9">
        <f t="shared" ref="V145:X145" si="76">+$V$53*$U$61*$X$61</f>
        <v>401.5277778</v>
      </c>
      <c r="W145" s="9">
        <f t="shared" si="76"/>
        <v>401.5277778</v>
      </c>
      <c r="X145" s="9">
        <f t="shared" si="76"/>
        <v>401.5277778</v>
      </c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ht="12.75" customHeight="1">
      <c r="U146" s="6">
        <v>44012.0</v>
      </c>
      <c r="V146" s="9"/>
      <c r="W146" s="9">
        <f t="shared" ref="W146:Y146" si="77">+$W$53*$U$61*$X$61</f>
        <v>4461.419753</v>
      </c>
      <c r="X146" s="9">
        <f t="shared" si="77"/>
        <v>4461.419753</v>
      </c>
      <c r="Y146" s="9">
        <f t="shared" si="77"/>
        <v>4461.419753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ht="12.75" customHeight="1">
      <c r="U147" s="6">
        <v>44043.0</v>
      </c>
      <c r="V147" s="9"/>
      <c r="W147" s="9"/>
      <c r="X147" s="9">
        <f t="shared" ref="X147:Z147" si="78">+$X$53*$U$61*$X$61</f>
        <v>2549.382716</v>
      </c>
      <c r="Y147" s="9">
        <f t="shared" si="78"/>
        <v>2549.382716</v>
      </c>
      <c r="Z147" s="9">
        <f t="shared" si="78"/>
        <v>2549.382716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ht="12.75" customHeight="1">
      <c r="U148" s="6">
        <v>44074.0</v>
      </c>
      <c r="V148" s="9"/>
      <c r="W148" s="9"/>
      <c r="X148" s="9"/>
      <c r="Y148" s="9">
        <f t="shared" ref="Y148:AA148" si="79">+$Y$53*$U$61*$X$61</f>
        <v>2549.382716</v>
      </c>
      <c r="Z148" s="9">
        <f t="shared" si="79"/>
        <v>2549.382716</v>
      </c>
      <c r="AA148" s="9">
        <f t="shared" si="79"/>
        <v>2549.382716</v>
      </c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ht="12.75" customHeight="1">
      <c r="U149" s="6">
        <v>44104.0</v>
      </c>
      <c r="V149" s="9"/>
      <c r="W149" s="9"/>
      <c r="X149" s="9"/>
      <c r="Y149" s="9"/>
      <c r="Z149" s="9">
        <f t="shared" ref="Z149:AB149" si="80">+$Z$53*$U$61*$X$61</f>
        <v>3824.074074</v>
      </c>
      <c r="AA149" s="9">
        <f t="shared" si="80"/>
        <v>3824.074074</v>
      </c>
      <c r="AB149" s="9">
        <f t="shared" si="80"/>
        <v>3824.074074</v>
      </c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ht="12.75" customHeight="1">
      <c r="U150" s="6">
        <v>44135.0</v>
      </c>
      <c r="V150" s="9"/>
      <c r="W150" s="9"/>
      <c r="X150" s="9"/>
      <c r="Y150" s="9"/>
      <c r="Z150" s="9"/>
      <c r="AA150" s="9">
        <f t="shared" ref="AA150:AC150" si="81">+$AA$53*$U$61*$X$61</f>
        <v>6373.45679</v>
      </c>
      <c r="AB150" s="9">
        <f t="shared" si="81"/>
        <v>6373.45679</v>
      </c>
      <c r="AC150" s="9">
        <f t="shared" si="81"/>
        <v>6373.45679</v>
      </c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ht="12.75" customHeight="1">
      <c r="U151" s="6">
        <v>44165.0</v>
      </c>
      <c r="V151" s="9"/>
      <c r="W151" s="9"/>
      <c r="X151" s="9"/>
      <c r="Y151" s="9"/>
      <c r="Z151" s="9"/>
      <c r="AA151" s="9"/>
      <c r="AB151" s="9">
        <f t="shared" ref="AB151:AD151" si="82">+$AB$53*$U$61*$X$61</f>
        <v>15296.2963</v>
      </c>
      <c r="AC151" s="9">
        <f t="shared" si="82"/>
        <v>15296.2963</v>
      </c>
      <c r="AD151" s="9">
        <f t="shared" si="82"/>
        <v>15296.2963</v>
      </c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ht="12.75" customHeight="1">
      <c r="U152" s="6">
        <v>44196.0</v>
      </c>
      <c r="V152" s="9"/>
      <c r="W152" s="9"/>
      <c r="X152" s="9"/>
      <c r="Y152" s="9"/>
      <c r="Z152" s="9"/>
      <c r="AA152" s="9"/>
      <c r="AB152" s="9"/>
      <c r="AC152" s="9">
        <f t="shared" ref="AC152:AE152" si="83">+$AC$53*$U$61*$X$61</f>
        <v>2549.382716</v>
      </c>
      <c r="AD152" s="9">
        <f t="shared" si="83"/>
        <v>2549.382716</v>
      </c>
      <c r="AE152" s="9">
        <f t="shared" si="83"/>
        <v>2549.382716</v>
      </c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ht="12.75" customHeight="1">
      <c r="U153" s="6">
        <v>44227.0</v>
      </c>
      <c r="V153" s="9"/>
      <c r="W153" s="9"/>
      <c r="X153" s="9"/>
      <c r="Y153" s="9"/>
      <c r="Z153" s="9"/>
      <c r="AA153" s="9"/>
      <c r="AB153" s="9"/>
      <c r="AC153" s="9"/>
      <c r="AD153" s="9">
        <f t="shared" ref="AD153:AF153" si="84">+$AD$53*$U$61*$X$61</f>
        <v>21510.41667</v>
      </c>
      <c r="AE153" s="9">
        <f t="shared" si="84"/>
        <v>21510.41667</v>
      </c>
      <c r="AF153" s="9">
        <f t="shared" si="84"/>
        <v>21510.41667</v>
      </c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ht="12.75" customHeight="1">
      <c r="U154" s="6">
        <v>44255.0</v>
      </c>
      <c r="V154" s="9"/>
      <c r="W154" s="9"/>
      <c r="X154" s="9"/>
      <c r="Y154" s="9"/>
      <c r="Z154" s="9"/>
      <c r="AA154" s="9"/>
      <c r="AB154" s="9"/>
      <c r="AC154" s="9"/>
      <c r="AD154" s="9"/>
      <c r="AE154" s="9">
        <f t="shared" ref="AE154:AG154" si="85">+$AE$53*$U$61*$X$61</f>
        <v>24378.47222</v>
      </c>
      <c r="AF154" s="9">
        <f t="shared" si="85"/>
        <v>24378.47222</v>
      </c>
      <c r="AG154" s="9">
        <f t="shared" si="85"/>
        <v>24378.47222</v>
      </c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ht="12.75" customHeight="1">
      <c r="U155" s="6">
        <v>44286.0</v>
      </c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>
        <f t="shared" ref="AF155:AH155" si="86">+$AF$53*$U$61*$X$61</f>
        <v>24378.47222</v>
      </c>
      <c r="AG155" s="9">
        <f t="shared" si="86"/>
        <v>24378.47222</v>
      </c>
      <c r="AH155" s="9">
        <f t="shared" si="86"/>
        <v>24378.47222</v>
      </c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ht="12.75" customHeight="1">
      <c r="U156" s="6">
        <v>44316.0</v>
      </c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>
        <f t="shared" ref="AG156:AI156" si="87">+$AG$53*$U$61*$X$61</f>
        <v>19120.37037</v>
      </c>
      <c r="AH156" s="9">
        <f t="shared" si="87"/>
        <v>19120.37037</v>
      </c>
      <c r="AI156" s="9">
        <f t="shared" si="87"/>
        <v>19120.37037</v>
      </c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ht="12.75" customHeight="1">
      <c r="U157" s="6">
        <v>44347.0</v>
      </c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>
        <f t="shared" ref="AH157:AJ157" si="88">+$AH$53*$U$61*$X$61</f>
        <v>12746.91358</v>
      </c>
      <c r="AI157" s="9">
        <f t="shared" si="88"/>
        <v>12746.91358</v>
      </c>
      <c r="AJ157" s="9">
        <f t="shared" si="88"/>
        <v>12746.91358</v>
      </c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ht="12.75" customHeight="1">
      <c r="U158" s="6">
        <v>44377.0</v>
      </c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>
        <f t="shared" ref="AI158:AK158" si="89">+$AI$53*$U$61*$X$61</f>
        <v>12746.91358</v>
      </c>
      <c r="AJ158" s="9">
        <f t="shared" si="89"/>
        <v>12746.91358</v>
      </c>
      <c r="AK158" s="9">
        <f t="shared" si="89"/>
        <v>12746.91358</v>
      </c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ht="12.75" customHeight="1">
      <c r="U159" s="6">
        <v>44408.0</v>
      </c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>
        <f t="shared" ref="AJ159:AL159" si="90">+$AJ$53*$U$61*$X$61</f>
        <v>12746.91358</v>
      </c>
      <c r="AK159" s="9">
        <f t="shared" si="90"/>
        <v>12746.91358</v>
      </c>
      <c r="AL159" s="9">
        <f t="shared" si="90"/>
        <v>12746.91358</v>
      </c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ht="12.75" customHeight="1">
      <c r="U160" s="6">
        <v>44439.0</v>
      </c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>
        <f t="shared" ref="AK160:AM160" si="91">+$AK$53*$U$61*$X$61</f>
        <v>19120.37037</v>
      </c>
      <c r="AL160" s="9">
        <f t="shared" si="91"/>
        <v>19120.37037</v>
      </c>
      <c r="AM160" s="9">
        <f t="shared" si="91"/>
        <v>19120.37037</v>
      </c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ht="12.75" customHeight="1">
      <c r="U161" s="6">
        <v>44469.0</v>
      </c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>
        <f t="shared" ref="AL161:AN161" si="92">+$AL$53*$U$61*$X$61</f>
        <v>25493.82716</v>
      </c>
      <c r="AM161" s="9">
        <f t="shared" si="92"/>
        <v>25493.82716</v>
      </c>
      <c r="AN161" s="9">
        <f t="shared" si="92"/>
        <v>25493.82716</v>
      </c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ht="12.75" customHeight="1">
      <c r="U162" s="6">
        <v>44500.0</v>
      </c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>
        <f t="shared" ref="AM162:AO162" si="93">+$AM$53*$U$61*$X$61</f>
        <v>38240.74074</v>
      </c>
      <c r="AN162" s="9">
        <f t="shared" si="93"/>
        <v>38240.74074</v>
      </c>
      <c r="AO162" s="9">
        <f t="shared" si="93"/>
        <v>38240.74074</v>
      </c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ht="12.75" customHeight="1">
      <c r="U163" s="6">
        <v>44530.0</v>
      </c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>
        <f t="shared" ref="AN163:AP163" si="94">+$AN$53*$U$61*$X$61</f>
        <v>9177.777778</v>
      </c>
      <c r="AO163" s="9">
        <f t="shared" si="94"/>
        <v>9177.777778</v>
      </c>
      <c r="AP163" s="9">
        <f t="shared" si="94"/>
        <v>9177.777778</v>
      </c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ht="12.75" customHeight="1">
      <c r="U164" s="6">
        <v>44561.0</v>
      </c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>
        <f t="shared" ref="AO164:AQ164" si="95">+$AO$53*$U$61*$X$61</f>
        <v>9177.777778</v>
      </c>
      <c r="AP164" s="9">
        <f t="shared" si="95"/>
        <v>9177.777778</v>
      </c>
      <c r="AQ164" s="9">
        <f t="shared" si="95"/>
        <v>9177.777778</v>
      </c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ht="12.75" customHeight="1">
      <c r="U165" s="6">
        <v>44592.0</v>
      </c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>
        <f t="shared" ref="AP165:AR165" si="96">+$AP$53*$U$61*$X$61</f>
        <v>12746.91358</v>
      </c>
      <c r="AQ165" s="9">
        <f t="shared" si="96"/>
        <v>12746.91358</v>
      </c>
      <c r="AR165" s="9">
        <f t="shared" si="96"/>
        <v>12746.91358</v>
      </c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ht="12.75" customHeight="1">
      <c r="U166" s="6">
        <v>44620.0</v>
      </c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>
        <f t="shared" ref="AQ166:AS166" si="97">+$AQ$53*$U$61*$X$61</f>
        <v>12746.91358</v>
      </c>
      <c r="AR166" s="9">
        <f t="shared" si="97"/>
        <v>12746.91358</v>
      </c>
      <c r="AS166" s="9">
        <f t="shared" si="97"/>
        <v>12746.91358</v>
      </c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ht="12.75" customHeight="1">
      <c r="U167" s="6">
        <v>44651.0</v>
      </c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>
        <f t="shared" ref="AR167:AT167" si="98">+$AR$53*$U$61*$X$61</f>
        <v>12746.91358</v>
      </c>
      <c r="AS167" s="9">
        <f t="shared" si="98"/>
        <v>12746.91358</v>
      </c>
      <c r="AT167" s="9">
        <f t="shared" si="98"/>
        <v>12746.91358</v>
      </c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ht="12.75" customHeight="1">
      <c r="U168" s="6">
        <v>44681.0</v>
      </c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>
        <f t="shared" ref="AS168:AU168" si="99">+$AS$53*$U$61*$X$61</f>
        <v>12746.91358</v>
      </c>
      <c r="AT168" s="9">
        <f t="shared" si="99"/>
        <v>12746.91358</v>
      </c>
      <c r="AU168" s="9">
        <f t="shared" si="99"/>
        <v>12746.91358</v>
      </c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ht="12.75" customHeight="1">
      <c r="U169" s="6">
        <v>44712.0</v>
      </c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>
        <f t="shared" ref="AT169:AV169" si="100">+$AT$53*$U$61*$X$61</f>
        <v>12746.91358</v>
      </c>
      <c r="AU169" s="9">
        <f t="shared" si="100"/>
        <v>12746.91358</v>
      </c>
      <c r="AV169" s="9">
        <f t="shared" si="100"/>
        <v>12746.91358</v>
      </c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ht="12.75" customHeight="1">
      <c r="U170" s="6">
        <v>44742.0</v>
      </c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>
        <f>+$AU$53*$U$61*$X$61</f>
        <v>6373.45679</v>
      </c>
      <c r="AV170" s="9">
        <f t="shared" ref="AV170:AW170" si="101">+$AU53*$U$61*$X$61</f>
        <v>6373.45679</v>
      </c>
      <c r="AW170" s="9">
        <f t="shared" si="101"/>
        <v>6373.45679</v>
      </c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ht="12.75" customHeight="1">
      <c r="U171" s="6">
        <v>44773.0</v>
      </c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>
        <f t="shared" ref="AV171:AX171" si="102">+$AV$53*$U$61*$X$61</f>
        <v>6373.45679</v>
      </c>
      <c r="AW171" s="9">
        <f t="shared" si="102"/>
        <v>6373.45679</v>
      </c>
      <c r="AX171" s="9">
        <f t="shared" si="102"/>
        <v>6373.45679</v>
      </c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ht="12.75" customHeight="1">
      <c r="U172" s="6">
        <v>44804.0</v>
      </c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>
        <f t="shared" ref="AW172:AY172" si="103">+$AW$53*$U$61*$X$61</f>
        <v>10197.53086</v>
      </c>
      <c r="AX172" s="9">
        <f t="shared" si="103"/>
        <v>10197.53086</v>
      </c>
      <c r="AY172" s="9">
        <f t="shared" si="103"/>
        <v>10197.53086</v>
      </c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ht="12.75" customHeight="1">
      <c r="U173" s="6">
        <v>44834.0</v>
      </c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>
        <f t="shared" ref="AX173:AZ173" si="104">+$AX$53*$U$61*$X$61</f>
        <v>19120.37037</v>
      </c>
      <c r="AY173" s="9">
        <f t="shared" si="104"/>
        <v>19120.37037</v>
      </c>
      <c r="AZ173" s="9">
        <f t="shared" si="104"/>
        <v>19120.37037</v>
      </c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ht="12.75" customHeight="1">
      <c r="U174" s="6">
        <v>44865.0</v>
      </c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>
        <f t="shared" ref="AY174:BA174" si="105">+$AY$53*$U$61*$X$61</f>
        <v>19120.37037</v>
      </c>
      <c r="AZ174" s="9">
        <f t="shared" si="105"/>
        <v>19120.37037</v>
      </c>
      <c r="BA174" s="9">
        <f t="shared" si="105"/>
        <v>19120.37037</v>
      </c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ht="12.75" customHeight="1">
      <c r="U175" s="6">
        <v>44895.0</v>
      </c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>
        <f t="shared" ref="AZ175:BB175" si="106">+$AZ$53*$U$61*$X$61</f>
        <v>9833.333333</v>
      </c>
      <c r="BA175" s="9">
        <f t="shared" si="106"/>
        <v>9833.333333</v>
      </c>
      <c r="BB175" s="9">
        <f t="shared" si="106"/>
        <v>9833.333333</v>
      </c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ht="12.75" customHeight="1">
      <c r="U176" s="6">
        <v>44926.0</v>
      </c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>
        <f t="shared" ref="BA176:BC176" si="107">+$BA$53*$U$61*$X$61</f>
        <v>9833.333333</v>
      </c>
      <c r="BB176" s="9">
        <f t="shared" si="107"/>
        <v>9833.333333</v>
      </c>
      <c r="BC176" s="9">
        <f t="shared" si="107"/>
        <v>9833.333333</v>
      </c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ht="12.75" customHeight="1">
      <c r="U177" s="6">
        <v>44957.0</v>
      </c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>
        <f t="shared" ref="BB177:BD177" si="108">+$BB$53*$U$61*$X$61</f>
        <v>8604.166667</v>
      </c>
      <c r="BC177" s="9">
        <f t="shared" si="108"/>
        <v>8604.166667</v>
      </c>
      <c r="BD177" s="9">
        <f t="shared" si="108"/>
        <v>8604.166667</v>
      </c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ht="12.75" customHeight="1">
      <c r="U178" s="6">
        <v>44985.0</v>
      </c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>
        <f t="shared" ref="BC178:BE178" si="109">+$BC$53*$U$61*$X$61</f>
        <v>4302.083333</v>
      </c>
      <c r="BD178" s="9">
        <f t="shared" si="109"/>
        <v>4302.083333</v>
      </c>
      <c r="BE178" s="9">
        <f t="shared" si="109"/>
        <v>4302.083333</v>
      </c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ht="12.75" customHeight="1">
      <c r="U179" s="6">
        <v>45016.0</v>
      </c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>
        <f t="shared" ref="BD179:BF179" si="110">+$BD$53*$U$61*$X$61</f>
        <v>4302.083333</v>
      </c>
      <c r="BE179" s="9">
        <f t="shared" si="110"/>
        <v>4302.083333</v>
      </c>
      <c r="BF179" s="9">
        <f t="shared" si="110"/>
        <v>4302.083333</v>
      </c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ht="12.75" customHeight="1">
      <c r="U180" s="6">
        <v>45046.0</v>
      </c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>
        <f t="shared" ref="BE180:BG180" si="111">+$BE$53*$U$61*$X$61</f>
        <v>4302.083333</v>
      </c>
      <c r="BF180" s="9">
        <f t="shared" si="111"/>
        <v>4302.083333</v>
      </c>
      <c r="BG180" s="9">
        <f t="shared" si="111"/>
        <v>4302.083333</v>
      </c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ht="12.75" customHeight="1">
      <c r="U181" s="6">
        <v>45077.0</v>
      </c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>
        <f t="shared" ref="BF181:BH181" si="112">+$BF$53*$U$61*$X$61</f>
        <v>6022.916667</v>
      </c>
      <c r="BG181" s="9">
        <f t="shared" si="112"/>
        <v>6022.916667</v>
      </c>
      <c r="BH181" s="9">
        <f t="shared" si="112"/>
        <v>6022.916667</v>
      </c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ht="12.75" customHeight="1">
      <c r="U182" s="6">
        <v>45107.0</v>
      </c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>
        <f t="shared" ref="BG182:BI182" si="113">+$BG$53*$U$61*$X$61</f>
        <v>6022.916667</v>
      </c>
      <c r="BH182" s="9">
        <f t="shared" si="113"/>
        <v>6022.916667</v>
      </c>
      <c r="BI182" s="9">
        <f t="shared" si="113"/>
        <v>6022.916667</v>
      </c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ht="12.75" customHeight="1">
      <c r="U183" s="6">
        <v>45138.0</v>
      </c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>
        <f t="shared" ref="BH183:BJ183" si="114">+$BH$53*$U$61*$X$61</f>
        <v>6883.333333</v>
      </c>
      <c r="BI183" s="9">
        <f t="shared" si="114"/>
        <v>6883.333333</v>
      </c>
      <c r="BJ183" s="9">
        <f t="shared" si="114"/>
        <v>6883.333333</v>
      </c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ht="12.75" customHeight="1">
      <c r="U184" s="6">
        <v>45169.0</v>
      </c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>
        <f t="shared" ref="BI184:BK184" si="115">+$BI$53*$U$61*$X$61</f>
        <v>6883.333333</v>
      </c>
      <c r="BJ184" s="9">
        <f t="shared" si="115"/>
        <v>6883.333333</v>
      </c>
      <c r="BK184" s="9">
        <f t="shared" si="115"/>
        <v>6883.333333</v>
      </c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ht="12.75" customHeight="1">
      <c r="U185" s="6">
        <v>45199.0</v>
      </c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>
        <f t="shared" ref="BJ185:BL185" si="116">+$BJ$53*$U$61*$X$61</f>
        <v>6883.333333</v>
      </c>
      <c r="BK185" s="9">
        <f t="shared" si="116"/>
        <v>6883.333333</v>
      </c>
      <c r="BL185" s="9">
        <f t="shared" si="116"/>
        <v>6883.333333</v>
      </c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ht="12.75" customHeight="1">
      <c r="U186" s="6">
        <v>45230.0</v>
      </c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>
        <f t="shared" ref="BK186:BM186" si="117">+$BK$53*$U$61*$X$61</f>
        <v>6883.333333</v>
      </c>
      <c r="BL186" s="9">
        <f t="shared" si="117"/>
        <v>6883.333333</v>
      </c>
      <c r="BM186" s="9">
        <f t="shared" si="117"/>
        <v>6883.333333</v>
      </c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ht="12.75" customHeight="1">
      <c r="U187" s="6">
        <v>45260.0</v>
      </c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>
        <f t="shared" ref="BL187:BN187" si="118">+$BL$53*$U$61*$X$61</f>
        <v>6022.916667</v>
      </c>
      <c r="BM187" s="9">
        <f t="shared" si="118"/>
        <v>6022.916667</v>
      </c>
      <c r="BN187" s="9">
        <f t="shared" si="118"/>
        <v>6022.916667</v>
      </c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ht="12.75" customHeight="1">
      <c r="U188" s="6">
        <v>45291.0</v>
      </c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>
        <f t="shared" ref="BM188:BO188" si="119">+$BM$53*$U$61*$X$61</f>
        <v>4302.083333</v>
      </c>
      <c r="BN188" s="9">
        <f t="shared" si="119"/>
        <v>4302.083333</v>
      </c>
      <c r="BO188" s="9">
        <f t="shared" si="119"/>
        <v>4302.083333</v>
      </c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ht="12.75" customHeight="1">
      <c r="U189" s="6">
        <v>45322.0</v>
      </c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>
        <f t="shared" ref="BN189:BP189" si="120">+$BN$53*$U$61*$X$61</f>
        <v>6883.333333</v>
      </c>
      <c r="BO189" s="9">
        <f t="shared" si="120"/>
        <v>6883.333333</v>
      </c>
      <c r="BP189" s="9">
        <f t="shared" si="120"/>
        <v>6883.333333</v>
      </c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ht="12.75" customHeight="1">
      <c r="U190" s="6">
        <v>45351.0</v>
      </c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>
        <f t="shared" ref="BO190:BQ190" si="121">+$BO$53*$U$61*$X$61</f>
        <v>10325</v>
      </c>
      <c r="BP190" s="9">
        <f t="shared" si="121"/>
        <v>10325</v>
      </c>
      <c r="BQ190" s="9">
        <f t="shared" si="121"/>
        <v>10325</v>
      </c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ht="12.75" customHeight="1">
      <c r="U191" s="6">
        <v>45382.0</v>
      </c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>
        <f t="shared" ref="BP191:BR191" si="122">+$BP$53*$U$61*$X$61</f>
        <v>17208.33333</v>
      </c>
      <c r="BQ191" s="9">
        <f t="shared" si="122"/>
        <v>17208.33333</v>
      </c>
      <c r="BR191" s="9">
        <f t="shared" si="122"/>
        <v>17208.33333</v>
      </c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ht="12.75" customHeight="1">
      <c r="U192" s="6">
        <v>45412.0</v>
      </c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>
        <f t="shared" ref="BQ192:BS192" si="123">+$BQ$53*$U$61*$X$61</f>
        <v>17208.33333</v>
      </c>
      <c r="BR192" s="9">
        <f t="shared" si="123"/>
        <v>17208.33333</v>
      </c>
      <c r="BS192" s="9">
        <f t="shared" si="123"/>
        <v>17208.33333</v>
      </c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ht="12.75" customHeight="1">
      <c r="U193" s="6">
        <v>45443.0</v>
      </c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>
        <f t="shared" ref="BR193:BT193" si="124">+$BR$53*$U$61*$X$61</f>
        <v>19120.37037</v>
      </c>
      <c r="BS193" s="9">
        <f t="shared" si="124"/>
        <v>19120.37037</v>
      </c>
      <c r="BT193" s="9">
        <f t="shared" si="124"/>
        <v>19120.37037</v>
      </c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ht="12.75" customHeight="1">
      <c r="U194" s="6">
        <v>45473.0</v>
      </c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>
        <f t="shared" ref="BS194:BU194" si="125">+$BS$53*$U$61*$X$61</f>
        <v>19120.37037</v>
      </c>
      <c r="BT194" s="9">
        <f t="shared" si="125"/>
        <v>19120.37037</v>
      </c>
      <c r="BU194" s="9">
        <f t="shared" si="125"/>
        <v>19120.37037</v>
      </c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ht="12.75" customHeight="1">
      <c r="U195" s="6">
        <v>45504.0</v>
      </c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>
        <f t="shared" ref="BT195:BV195" si="126">+$BT$53*$U$61*$X$61</f>
        <v>21510.41667</v>
      </c>
      <c r="BU195" s="9">
        <f t="shared" si="126"/>
        <v>21510.41667</v>
      </c>
      <c r="BV195" s="9">
        <f t="shared" si="126"/>
        <v>21510.41667</v>
      </c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ht="12.75" customHeight="1">
      <c r="U196" s="6">
        <v>45535.0</v>
      </c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>
        <f t="shared" ref="BU196:BW196" si="127">+$BU$53*$U$61*$X$61</f>
        <v>24583.33333</v>
      </c>
      <c r="BV196" s="9">
        <f t="shared" si="127"/>
        <v>24583.33333</v>
      </c>
      <c r="BW196" s="9">
        <f t="shared" si="127"/>
        <v>24583.33333</v>
      </c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ht="12.75" customHeight="1">
      <c r="U197" s="6">
        <v>45565.0</v>
      </c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>
        <f t="shared" ref="BV197:BX197" si="128">+$BV$53*$U$61*$X$61</f>
        <v>14750</v>
      </c>
      <c r="BW197" s="9">
        <f t="shared" si="128"/>
        <v>14750</v>
      </c>
      <c r="BX197" s="9">
        <f t="shared" si="128"/>
        <v>14750</v>
      </c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ht="12.75" customHeight="1">
      <c r="U198" s="6">
        <v>45596.0</v>
      </c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>
        <f t="shared" ref="BW198:BY198" si="129">+$BW$53*$U$61*$X$61</f>
        <v>14750</v>
      </c>
      <c r="BX198" s="9">
        <f t="shared" si="129"/>
        <v>14750</v>
      </c>
      <c r="BY198" s="9">
        <f t="shared" si="129"/>
        <v>14750</v>
      </c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ht="12.75" customHeight="1">
      <c r="U199" s="6">
        <v>45626.0</v>
      </c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>
        <f t="shared" ref="BX199:BZ199" si="130">+$BX$53*$U$61*$X$61</f>
        <v>12906.25</v>
      </c>
      <c r="BY199" s="9">
        <f t="shared" si="130"/>
        <v>12906.25</v>
      </c>
      <c r="BZ199" s="9">
        <f t="shared" si="130"/>
        <v>12906.25</v>
      </c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ht="12.75" customHeight="1">
      <c r="U200" s="6">
        <v>45657.0</v>
      </c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>
        <f t="shared" ref="BY200:CA200" si="131">+$BY$53*$U$61*$X$61</f>
        <v>12906.25</v>
      </c>
      <c r="BZ200" s="9">
        <f t="shared" si="131"/>
        <v>12906.25</v>
      </c>
      <c r="CA200" s="9">
        <f t="shared" si="131"/>
        <v>12906.25</v>
      </c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ht="12.75" customHeight="1">
      <c r="U201" s="6">
        <v>45688.0</v>
      </c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>
        <f t="shared" ref="BZ201:CB201" si="132">+$BZ$53*$U$61*$X$61</f>
        <v>24583.33333</v>
      </c>
      <c r="CA201" s="9">
        <f t="shared" si="132"/>
        <v>24583.33333</v>
      </c>
      <c r="CB201" s="9">
        <f t="shared" si="132"/>
        <v>24583.33333</v>
      </c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ht="12.75" customHeight="1">
      <c r="U202" s="6">
        <v>45716.0</v>
      </c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>
        <f t="shared" ref="CA202:CC202" si="133">+$CA$53*$U$61*$X$61</f>
        <v>9833.333333</v>
      </c>
      <c r="CB202" s="9">
        <f t="shared" si="133"/>
        <v>9833.333333</v>
      </c>
      <c r="CC202" s="9">
        <f t="shared" si="133"/>
        <v>9833.333333</v>
      </c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ht="12.75" customHeight="1">
      <c r="U203" s="6">
        <v>45747.0</v>
      </c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>
        <f t="shared" ref="CB203:CD203" si="134">+$CB$53*$U$61*$X$61</f>
        <v>9833.333333</v>
      </c>
      <c r="CC203" s="9">
        <f t="shared" si="134"/>
        <v>9833.333333</v>
      </c>
      <c r="CD203" s="9">
        <f t="shared" si="134"/>
        <v>9833.333333</v>
      </c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ht="12.75" customHeight="1">
      <c r="U204" s="6">
        <v>45777.0</v>
      </c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>
        <f t="shared" ref="CC204:CE204" si="135">+$CC$53*$U$61*$X$61</f>
        <v>9833.333333</v>
      </c>
      <c r="CD204" s="9">
        <f t="shared" si="135"/>
        <v>9833.333333</v>
      </c>
      <c r="CE204" s="9">
        <f t="shared" si="135"/>
        <v>9833.333333</v>
      </c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ht="12.75" customHeight="1">
      <c r="U205" s="6">
        <v>45808.0</v>
      </c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>
        <f t="shared" ref="CD205:CF205" si="136">+$CD$53*$U$61*$X$61</f>
        <v>9833.333333</v>
      </c>
      <c r="CE205" s="9">
        <f t="shared" si="136"/>
        <v>9833.333333</v>
      </c>
      <c r="CF205" s="9">
        <f t="shared" si="136"/>
        <v>9833.333333</v>
      </c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ht="12.75" customHeight="1">
      <c r="U206" s="6">
        <v>45838.0</v>
      </c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>
        <f t="shared" ref="CE206:CG206" si="137">+$CE$53*$U$61*$X$61</f>
        <v>9833.333333</v>
      </c>
      <c r="CF206" s="9">
        <f t="shared" si="137"/>
        <v>9833.333333</v>
      </c>
      <c r="CG206" s="9">
        <f t="shared" si="137"/>
        <v>9833.333333</v>
      </c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ht="12.75" customHeight="1">
      <c r="U207" s="6">
        <v>45869.0</v>
      </c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>
        <f t="shared" ref="CF207:CH207" si="138">+$CF$53*$U$61*$X$61</f>
        <v>9833.333333</v>
      </c>
      <c r="CG207" s="9">
        <f t="shared" si="138"/>
        <v>9833.333333</v>
      </c>
      <c r="CH207" s="9">
        <f t="shared" si="138"/>
        <v>9833.333333</v>
      </c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ht="12.75" customHeight="1">
      <c r="U208" s="6">
        <v>45900.0</v>
      </c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>
        <f t="shared" ref="CG208:CI208" si="139">+$CG$53*$U$61*$X$61</f>
        <v>9833.333333</v>
      </c>
      <c r="CH208" s="9">
        <f t="shared" si="139"/>
        <v>9833.333333</v>
      </c>
      <c r="CI208" s="9">
        <f t="shared" si="139"/>
        <v>9833.333333</v>
      </c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ht="12.75" customHeight="1">
      <c r="U209" s="6">
        <v>45930.0</v>
      </c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>
        <f t="shared" ref="CH209:CJ209" si="140">+$CH$53*$U$61*$X$61</f>
        <v>9833.333333</v>
      </c>
      <c r="CI209" s="9">
        <f t="shared" si="140"/>
        <v>9833.333333</v>
      </c>
      <c r="CJ209" s="9">
        <f t="shared" si="140"/>
        <v>9833.333333</v>
      </c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ht="12.75" customHeight="1">
      <c r="U210" s="6">
        <v>45961.0</v>
      </c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>
        <f t="shared" ref="CI210:CK210" si="141">+$CI$53*$U$61*$X$61</f>
        <v>14750</v>
      </c>
      <c r="CJ210" s="9">
        <f t="shared" si="141"/>
        <v>14750</v>
      </c>
      <c r="CK210" s="9">
        <f t="shared" si="141"/>
        <v>14750</v>
      </c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ht="12.75" customHeight="1">
      <c r="U211" s="6">
        <v>45991.0</v>
      </c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>
        <f t="shared" ref="CJ211:CL211" si="142">+$CJ$53*$U$61*$X$61</f>
        <v>14750</v>
      </c>
      <c r="CK211" s="9">
        <f t="shared" si="142"/>
        <v>14750</v>
      </c>
      <c r="CL211" s="9">
        <f t="shared" si="142"/>
        <v>14750</v>
      </c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ht="12.75" customHeight="1">
      <c r="U212" s="6">
        <v>46022.0</v>
      </c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>
        <f t="shared" ref="CK212:CM212" si="143">+$CK$53*$U$61*$X$61</f>
        <v>14750</v>
      </c>
      <c r="CL212" s="9">
        <f t="shared" si="143"/>
        <v>14750</v>
      </c>
      <c r="CM212" s="9">
        <f t="shared" si="143"/>
        <v>14750</v>
      </c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ht="12.75" customHeight="1">
      <c r="U213" s="6">
        <v>46053.0</v>
      </c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>
        <f t="shared" ref="CL213:CN213" si="144">+$CL$53*$U$61*$X$61</f>
        <v>14750</v>
      </c>
      <c r="CM213" s="9">
        <f t="shared" si="144"/>
        <v>14750</v>
      </c>
      <c r="CN213" s="9">
        <f t="shared" si="144"/>
        <v>14750</v>
      </c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ht="12.75" customHeight="1">
      <c r="U214" s="6">
        <v>46081.0</v>
      </c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>
        <f t="shared" ref="CM214:CO214" si="145">+$CM$53*$U$61*$X$61</f>
        <v>14750</v>
      </c>
      <c r="CN214" s="9">
        <f t="shared" si="145"/>
        <v>14750</v>
      </c>
      <c r="CO214" s="9">
        <f t="shared" si="145"/>
        <v>14750</v>
      </c>
      <c r="CP214" s="9"/>
      <c r="CQ214" s="9"/>
      <c r="CR214" s="9"/>
      <c r="CS214" s="9"/>
      <c r="CT214" s="9"/>
      <c r="CU214" s="9"/>
      <c r="CV214" s="9"/>
      <c r="CW214" s="9"/>
      <c r="CX214" s="9"/>
    </row>
    <row r="215" ht="12.75" customHeight="1">
      <c r="U215" s="6">
        <v>46112.0</v>
      </c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>
        <f t="shared" ref="CN215:CP215" si="146">+$CN$53*$U$61*$X$61</f>
        <v>19666.66667</v>
      </c>
      <c r="CO215" s="9">
        <f t="shared" si="146"/>
        <v>19666.66667</v>
      </c>
      <c r="CP215" s="9">
        <f t="shared" si="146"/>
        <v>19666.66667</v>
      </c>
      <c r="CQ215" s="9"/>
      <c r="CR215" s="9"/>
      <c r="CS215" s="9"/>
      <c r="CT215" s="9"/>
      <c r="CU215" s="9"/>
      <c r="CV215" s="9"/>
      <c r="CW215" s="9"/>
      <c r="CX215" s="9"/>
    </row>
    <row r="216" ht="12.75" customHeight="1">
      <c r="U216" s="6">
        <v>46142.0</v>
      </c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>
        <f t="shared" ref="CO216:CQ216" si="147">+$CO$53*$U$61*$X$61</f>
        <v>24583.33333</v>
      </c>
      <c r="CP216" s="9">
        <f t="shared" si="147"/>
        <v>24583.33333</v>
      </c>
      <c r="CQ216" s="9">
        <f t="shared" si="147"/>
        <v>24583.33333</v>
      </c>
      <c r="CR216" s="9"/>
      <c r="CS216" s="9"/>
      <c r="CT216" s="9"/>
      <c r="CU216" s="9"/>
      <c r="CV216" s="9"/>
      <c r="CW216" s="9"/>
      <c r="CX216" s="9"/>
    </row>
    <row r="217" ht="12.75" customHeight="1">
      <c r="U217" s="6">
        <v>46173.0</v>
      </c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>
        <f t="shared" ref="CP217:CR217" si="148">+$CP$53*$U$61*$X$61</f>
        <v>24583.33333</v>
      </c>
      <c r="CQ217" s="9">
        <f t="shared" si="148"/>
        <v>24583.33333</v>
      </c>
      <c r="CR217" s="9">
        <f t="shared" si="148"/>
        <v>24583.33333</v>
      </c>
      <c r="CS217" s="9"/>
      <c r="CT217" s="9"/>
      <c r="CU217" s="9"/>
      <c r="CV217" s="9"/>
      <c r="CW217" s="9"/>
      <c r="CX217" s="9"/>
    </row>
    <row r="218" ht="12.75" customHeight="1">
      <c r="U218" s="6">
        <v>46203.0</v>
      </c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>
        <f t="shared" ref="CQ218:CS218" si="149">+$CQ$53*$U$61*$X$61</f>
        <v>24583.33333</v>
      </c>
      <c r="CR218" s="9">
        <f t="shared" si="149"/>
        <v>24583.33333</v>
      </c>
      <c r="CS218" s="9">
        <f t="shared" si="149"/>
        <v>24583.33333</v>
      </c>
      <c r="CT218" s="9"/>
      <c r="CU218" s="9"/>
      <c r="CV218" s="9"/>
      <c r="CW218" s="9"/>
      <c r="CX218" s="9"/>
    </row>
    <row r="219" ht="12.75" customHeight="1">
      <c r="U219" s="6">
        <v>46234.0</v>
      </c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>
        <f t="shared" ref="CR219:CT219" si="150">+$CR$53*$U$61*$X$61</f>
        <v>29500</v>
      </c>
      <c r="CS219" s="9">
        <f t="shared" si="150"/>
        <v>29500</v>
      </c>
      <c r="CT219" s="9">
        <f t="shared" si="150"/>
        <v>29500</v>
      </c>
      <c r="CU219" s="9"/>
      <c r="CV219" s="9"/>
      <c r="CW219" s="9"/>
      <c r="CX219" s="9"/>
    </row>
    <row r="220" ht="12.75" customHeight="1">
      <c r="U220" s="6">
        <v>46265.0</v>
      </c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>
        <f t="shared" ref="CS220:CU220" si="151">+$CS53*$U$61*$X$61</f>
        <v>29500</v>
      </c>
      <c r="CT220" s="9">
        <f t="shared" si="151"/>
        <v>29500</v>
      </c>
      <c r="CU220" s="9">
        <f t="shared" si="151"/>
        <v>29500</v>
      </c>
      <c r="CV220" s="9"/>
      <c r="CW220" s="9"/>
      <c r="CX220" s="9"/>
    </row>
    <row r="221" ht="12.75" customHeight="1">
      <c r="U221" s="6">
        <v>46295.0</v>
      </c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>
        <f t="shared" ref="CT221:CV221" si="152">+$CT$53*$U$61*$X$61</f>
        <v>29500</v>
      </c>
      <c r="CU221" s="9">
        <f t="shared" si="152"/>
        <v>29500</v>
      </c>
      <c r="CV221" s="9">
        <f t="shared" si="152"/>
        <v>29500</v>
      </c>
      <c r="CW221" s="9"/>
      <c r="CX221" s="9"/>
    </row>
    <row r="222" ht="12.75" customHeight="1">
      <c r="U222" s="6">
        <v>46326.0</v>
      </c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>
        <f t="shared" ref="CU222:CW222" si="153">+$CU$53*$U$61*$X$61</f>
        <v>29500</v>
      </c>
      <c r="CV222" s="9">
        <f t="shared" si="153"/>
        <v>29500</v>
      </c>
      <c r="CW222" s="9">
        <f t="shared" si="153"/>
        <v>29500</v>
      </c>
      <c r="CX222" s="9"/>
    </row>
    <row r="223" ht="12.75" customHeight="1">
      <c r="U223" s="6">
        <v>46356.0</v>
      </c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>
        <f t="shared" ref="CV223:CX223" si="154">+$CV$53*$U$61*$X$61</f>
        <v>29500</v>
      </c>
      <c r="CW223" s="9">
        <f t="shared" si="154"/>
        <v>29500</v>
      </c>
      <c r="CX223" s="9">
        <f t="shared" si="154"/>
        <v>29500</v>
      </c>
    </row>
    <row r="224" ht="12.75" customHeight="1">
      <c r="U224" s="6">
        <v>46387.0</v>
      </c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>
        <f t="shared" ref="CW224:CY224" si="155">+$CW$53*$U$61*$X$61</f>
        <v>29500</v>
      </c>
      <c r="CX224" s="9">
        <f t="shared" si="155"/>
        <v>29500</v>
      </c>
      <c r="CY224" s="9">
        <f t="shared" si="155"/>
        <v>29500</v>
      </c>
    </row>
    <row r="225" ht="12.75" customHeight="1">
      <c r="U225" s="6">
        <v>46418.0</v>
      </c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>
        <f t="shared" ref="CX225:CZ225" si="156">+$CX$53*$U$61*$X$61</f>
        <v>30114.58333</v>
      </c>
      <c r="CY225" s="9">
        <f t="shared" si="156"/>
        <v>30114.58333</v>
      </c>
      <c r="CZ225" s="9">
        <f t="shared" si="156"/>
        <v>30114.58333</v>
      </c>
    </row>
    <row r="226" ht="12.75" customHeight="1">
      <c r="U226" s="6">
        <v>46446.0</v>
      </c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>
        <f t="shared" ref="CY226:DA226" si="157">+$CY$53*$U$61*$X$61</f>
        <v>30114.58333</v>
      </c>
      <c r="CZ226" s="9">
        <f t="shared" si="157"/>
        <v>30114.58333</v>
      </c>
      <c r="DA226" s="9">
        <f t="shared" si="157"/>
        <v>30114.58333</v>
      </c>
    </row>
    <row r="227" ht="12.75" customHeight="1">
      <c r="U227" s="6">
        <v>46477.0</v>
      </c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Z227" s="9">
        <f t="shared" ref="CZ227:DB227" si="158">+$CZ$53*$U$61*$X$61</f>
        <v>34416.66667</v>
      </c>
      <c r="DA227" s="9">
        <f t="shared" si="158"/>
        <v>34416.66667</v>
      </c>
      <c r="DB227" s="9">
        <f t="shared" si="158"/>
        <v>34416.66667</v>
      </c>
    </row>
    <row r="228" ht="12.75" customHeight="1">
      <c r="U228" s="6">
        <v>46507.0</v>
      </c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DA228" s="9">
        <f t="shared" ref="DA228:DC228" si="159">+$DA$53*$U$61*$X$61</f>
        <v>34416.66667</v>
      </c>
      <c r="DB228" s="9">
        <f t="shared" si="159"/>
        <v>34416.66667</v>
      </c>
      <c r="DC228" s="9">
        <f t="shared" si="159"/>
        <v>34416.66667</v>
      </c>
    </row>
    <row r="229" ht="12.75" customHeight="1">
      <c r="U229" s="6">
        <v>46538.0</v>
      </c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DB229" s="9">
        <f t="shared" ref="DB229:DD229" si="160">+$DB$53*$U$61*$X$61</f>
        <v>34416.66667</v>
      </c>
      <c r="DC229" s="9">
        <f t="shared" si="160"/>
        <v>34416.66667</v>
      </c>
      <c r="DD229" s="9">
        <f t="shared" si="160"/>
        <v>34416.66667</v>
      </c>
    </row>
    <row r="230" ht="12.75" customHeight="1">
      <c r="U230" s="6">
        <v>46568.0</v>
      </c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DC230" s="9">
        <f t="shared" ref="DC230:DE230" si="161">+$DC$53*$U$61*$X$61</f>
        <v>38718.75</v>
      </c>
      <c r="DD230" s="9">
        <f t="shared" si="161"/>
        <v>38718.75</v>
      </c>
      <c r="DE230" s="9">
        <f t="shared" si="161"/>
        <v>38718.75</v>
      </c>
    </row>
    <row r="231" ht="12.75" customHeight="1">
      <c r="U231" s="6">
        <v>46599.0</v>
      </c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DD231" s="9">
        <f t="shared" ref="DD231:DF231" si="162">+$DD$53*$U$61*$X$61</f>
        <v>38718.75</v>
      </c>
      <c r="DE231" s="9">
        <f t="shared" si="162"/>
        <v>38718.75</v>
      </c>
      <c r="DF231" s="9">
        <f t="shared" si="162"/>
        <v>38718.75</v>
      </c>
    </row>
    <row r="232" ht="12.75" customHeight="1">
      <c r="U232" s="6">
        <v>46630.0</v>
      </c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DE232" s="9">
        <f t="shared" ref="DE232:DG232" si="163">+$DE$53*$U$61*$X$61</f>
        <v>43020.83333</v>
      </c>
      <c r="DF232" s="9">
        <f t="shared" si="163"/>
        <v>43020.83333</v>
      </c>
      <c r="DG232" s="9">
        <f t="shared" si="163"/>
        <v>43020.83333</v>
      </c>
    </row>
    <row r="233" ht="12.75" customHeight="1">
      <c r="U233" s="6">
        <v>46660.0</v>
      </c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DF233" s="9">
        <f t="shared" ref="DF233:DH233" si="164">+$DF$53*$U$61*$X$61</f>
        <v>43020.83333</v>
      </c>
      <c r="DG233" s="9">
        <f t="shared" si="164"/>
        <v>43020.83333</v>
      </c>
      <c r="DH233" s="9">
        <f t="shared" si="164"/>
        <v>43020.83333</v>
      </c>
    </row>
    <row r="234" ht="12.75" customHeight="1">
      <c r="U234" s="6">
        <v>46691.0</v>
      </c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DG234" s="9">
        <f t="shared" ref="DG234:DI234" si="165">+$DG$53*$U$61*$X$61</f>
        <v>43020.83333</v>
      </c>
      <c r="DH234" s="9">
        <f t="shared" si="165"/>
        <v>43020.83333</v>
      </c>
      <c r="DI234" s="9">
        <f t="shared" si="165"/>
        <v>43020.83333</v>
      </c>
    </row>
    <row r="235" ht="12.75" customHeight="1">
      <c r="U235" s="6">
        <v>46721.0</v>
      </c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DH235" s="9">
        <f t="shared" ref="DH235:DJ235" si="166">+$DH$53*$U$61*$X$61</f>
        <v>43020.83333</v>
      </c>
      <c r="DI235" s="9">
        <f t="shared" si="166"/>
        <v>43020.83333</v>
      </c>
      <c r="DJ235" s="9">
        <f t="shared" si="166"/>
        <v>43020.83333</v>
      </c>
    </row>
    <row r="236" ht="12.75" customHeight="1">
      <c r="U236" s="6">
        <v>46752.0</v>
      </c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DI236" s="9">
        <f t="shared" ref="DI236:DK236" si="167">+$DI$53*$U$61*$X$61</f>
        <v>43020.83333</v>
      </c>
      <c r="DJ236" s="9">
        <f t="shared" si="167"/>
        <v>43020.83333</v>
      </c>
      <c r="DK236" s="9">
        <f t="shared" si="167"/>
        <v>43020.83333</v>
      </c>
    </row>
    <row r="237" ht="12.75" customHeight="1">
      <c r="U237" s="6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ht="12.75" customHeight="1">
      <c r="U238" s="6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ht="12.75" customHeight="1"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ht="15.75" customHeight="1">
      <c r="A240" s="1" t="s">
        <v>78</v>
      </c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ht="15.75" customHeight="1">
      <c r="U241" s="6">
        <f>+U144</f>
        <v>43951</v>
      </c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ht="15.75" customHeight="1">
      <c r="U242" s="6">
        <v>43982.0</v>
      </c>
      <c r="V242" s="9">
        <f t="shared" ref="V242:AM242" si="168">+$V$53*$U$60*$X$60</f>
        <v>31.00740741</v>
      </c>
      <c r="W242" s="9">
        <f t="shared" si="168"/>
        <v>31.00740741</v>
      </c>
      <c r="X242" s="9">
        <f t="shared" si="168"/>
        <v>31.00740741</v>
      </c>
      <c r="Y242" s="9">
        <f t="shared" si="168"/>
        <v>31.00740741</v>
      </c>
      <c r="Z242" s="9">
        <f t="shared" si="168"/>
        <v>31.00740741</v>
      </c>
      <c r="AA242" s="9">
        <f t="shared" si="168"/>
        <v>31.00740741</v>
      </c>
      <c r="AB242" s="9">
        <f t="shared" si="168"/>
        <v>31.00740741</v>
      </c>
      <c r="AC242" s="9">
        <f t="shared" si="168"/>
        <v>31.00740741</v>
      </c>
      <c r="AD242" s="9">
        <f t="shared" si="168"/>
        <v>31.00740741</v>
      </c>
      <c r="AE242" s="9">
        <f t="shared" si="168"/>
        <v>31.00740741</v>
      </c>
      <c r="AF242" s="9">
        <f t="shared" si="168"/>
        <v>31.00740741</v>
      </c>
      <c r="AG242" s="9">
        <f t="shared" si="168"/>
        <v>31.00740741</v>
      </c>
      <c r="AH242" s="9">
        <f t="shared" si="168"/>
        <v>31.00740741</v>
      </c>
      <c r="AI242" s="9">
        <f t="shared" si="168"/>
        <v>31.00740741</v>
      </c>
      <c r="AJ242" s="9">
        <f t="shared" si="168"/>
        <v>31.00740741</v>
      </c>
      <c r="AK242" s="9">
        <f t="shared" si="168"/>
        <v>31.00740741</v>
      </c>
      <c r="AL242" s="9">
        <f t="shared" si="168"/>
        <v>31.00740741</v>
      </c>
      <c r="AM242" s="9">
        <f t="shared" si="168"/>
        <v>31.00740741</v>
      </c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ht="15.75" customHeight="1">
      <c r="U243" s="6">
        <v>44012.0</v>
      </c>
      <c r="V243" s="9"/>
      <c r="W243" s="9">
        <f>+$W$53*$U$60*$X$60</f>
        <v>344.526749</v>
      </c>
      <c r="X243" s="9">
        <f t="shared" ref="X243:AN243" si="169">+W243</f>
        <v>344.526749</v>
      </c>
      <c r="Y243" s="9">
        <f t="shared" si="169"/>
        <v>344.526749</v>
      </c>
      <c r="Z243" s="9">
        <f t="shared" si="169"/>
        <v>344.526749</v>
      </c>
      <c r="AA243" s="9">
        <f t="shared" si="169"/>
        <v>344.526749</v>
      </c>
      <c r="AB243" s="9">
        <f t="shared" si="169"/>
        <v>344.526749</v>
      </c>
      <c r="AC243" s="9">
        <f t="shared" si="169"/>
        <v>344.526749</v>
      </c>
      <c r="AD243" s="9">
        <f t="shared" si="169"/>
        <v>344.526749</v>
      </c>
      <c r="AE243" s="9">
        <f t="shared" si="169"/>
        <v>344.526749</v>
      </c>
      <c r="AF243" s="9">
        <f t="shared" si="169"/>
        <v>344.526749</v>
      </c>
      <c r="AG243" s="9">
        <f t="shared" si="169"/>
        <v>344.526749</v>
      </c>
      <c r="AH243" s="9">
        <f t="shared" si="169"/>
        <v>344.526749</v>
      </c>
      <c r="AI243" s="9">
        <f t="shared" si="169"/>
        <v>344.526749</v>
      </c>
      <c r="AJ243" s="9">
        <f t="shared" si="169"/>
        <v>344.526749</v>
      </c>
      <c r="AK243" s="9">
        <f t="shared" si="169"/>
        <v>344.526749</v>
      </c>
      <c r="AL243" s="9">
        <f t="shared" si="169"/>
        <v>344.526749</v>
      </c>
      <c r="AM243" s="9">
        <f t="shared" si="169"/>
        <v>344.526749</v>
      </c>
      <c r="AN243" s="9">
        <f t="shared" si="169"/>
        <v>344.526749</v>
      </c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ht="15.75" customHeight="1">
      <c r="U244" s="6">
        <v>44043.0</v>
      </c>
      <c r="V244" s="9"/>
      <c r="W244" s="9"/>
      <c r="X244" s="9">
        <f>+$X$53*$U$60*$X$60</f>
        <v>196.872428</v>
      </c>
      <c r="Y244" s="9">
        <f t="shared" ref="Y244:AO244" si="170">+X244</f>
        <v>196.872428</v>
      </c>
      <c r="Z244" s="9">
        <f t="shared" si="170"/>
        <v>196.872428</v>
      </c>
      <c r="AA244" s="9">
        <f t="shared" si="170"/>
        <v>196.872428</v>
      </c>
      <c r="AB244" s="9">
        <f t="shared" si="170"/>
        <v>196.872428</v>
      </c>
      <c r="AC244" s="9">
        <f t="shared" si="170"/>
        <v>196.872428</v>
      </c>
      <c r="AD244" s="9">
        <f t="shared" si="170"/>
        <v>196.872428</v>
      </c>
      <c r="AE244" s="9">
        <f t="shared" si="170"/>
        <v>196.872428</v>
      </c>
      <c r="AF244" s="9">
        <f t="shared" si="170"/>
        <v>196.872428</v>
      </c>
      <c r="AG244" s="9">
        <f t="shared" si="170"/>
        <v>196.872428</v>
      </c>
      <c r="AH244" s="9">
        <f t="shared" si="170"/>
        <v>196.872428</v>
      </c>
      <c r="AI244" s="9">
        <f t="shared" si="170"/>
        <v>196.872428</v>
      </c>
      <c r="AJ244" s="9">
        <f t="shared" si="170"/>
        <v>196.872428</v>
      </c>
      <c r="AK244" s="9">
        <f t="shared" si="170"/>
        <v>196.872428</v>
      </c>
      <c r="AL244" s="9">
        <f t="shared" si="170"/>
        <v>196.872428</v>
      </c>
      <c r="AM244" s="9">
        <f t="shared" si="170"/>
        <v>196.872428</v>
      </c>
      <c r="AN244" s="9">
        <f t="shared" si="170"/>
        <v>196.872428</v>
      </c>
      <c r="AO244" s="9">
        <f t="shared" si="170"/>
        <v>196.872428</v>
      </c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ht="15.75" customHeight="1">
      <c r="U245" s="6">
        <v>44074.0</v>
      </c>
      <c r="V245" s="9"/>
      <c r="W245" s="9"/>
      <c r="X245" s="9"/>
      <c r="Y245" s="9">
        <f t="shared" ref="Y245:AP245" si="171">+$Y$53*$U$60*$X$60</f>
        <v>196.872428</v>
      </c>
      <c r="Z245" s="9">
        <f t="shared" si="171"/>
        <v>196.872428</v>
      </c>
      <c r="AA245" s="9">
        <f t="shared" si="171"/>
        <v>196.872428</v>
      </c>
      <c r="AB245" s="9">
        <f t="shared" si="171"/>
        <v>196.872428</v>
      </c>
      <c r="AC245" s="9">
        <f t="shared" si="171"/>
        <v>196.872428</v>
      </c>
      <c r="AD245" s="9">
        <f t="shared" si="171"/>
        <v>196.872428</v>
      </c>
      <c r="AE245" s="9">
        <f t="shared" si="171"/>
        <v>196.872428</v>
      </c>
      <c r="AF245" s="9">
        <f t="shared" si="171"/>
        <v>196.872428</v>
      </c>
      <c r="AG245" s="9">
        <f t="shared" si="171"/>
        <v>196.872428</v>
      </c>
      <c r="AH245" s="9">
        <f t="shared" si="171"/>
        <v>196.872428</v>
      </c>
      <c r="AI245" s="9">
        <f t="shared" si="171"/>
        <v>196.872428</v>
      </c>
      <c r="AJ245" s="9">
        <f t="shared" si="171"/>
        <v>196.872428</v>
      </c>
      <c r="AK245" s="9">
        <f t="shared" si="171"/>
        <v>196.872428</v>
      </c>
      <c r="AL245" s="9">
        <f t="shared" si="171"/>
        <v>196.872428</v>
      </c>
      <c r="AM245" s="9">
        <f t="shared" si="171"/>
        <v>196.872428</v>
      </c>
      <c r="AN245" s="9">
        <f t="shared" si="171"/>
        <v>196.872428</v>
      </c>
      <c r="AO245" s="9">
        <f t="shared" si="171"/>
        <v>196.872428</v>
      </c>
      <c r="AP245" s="9">
        <f t="shared" si="171"/>
        <v>196.872428</v>
      </c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ht="15.75" customHeight="1">
      <c r="U246" s="6">
        <v>44104.0</v>
      </c>
      <c r="V246" s="9"/>
      <c r="W246" s="9"/>
      <c r="X246" s="9"/>
      <c r="Y246" s="9"/>
      <c r="Z246" s="9">
        <f>+$Z$53*$U$60*$X$60</f>
        <v>295.308642</v>
      </c>
      <c r="AA246" s="9">
        <f t="shared" ref="AA246:AQ246" si="172">+Z246</f>
        <v>295.308642</v>
      </c>
      <c r="AB246" s="9">
        <f t="shared" si="172"/>
        <v>295.308642</v>
      </c>
      <c r="AC246" s="9">
        <f t="shared" si="172"/>
        <v>295.308642</v>
      </c>
      <c r="AD246" s="9">
        <f t="shared" si="172"/>
        <v>295.308642</v>
      </c>
      <c r="AE246" s="9">
        <f t="shared" si="172"/>
        <v>295.308642</v>
      </c>
      <c r="AF246" s="9">
        <f t="shared" si="172"/>
        <v>295.308642</v>
      </c>
      <c r="AG246" s="9">
        <f t="shared" si="172"/>
        <v>295.308642</v>
      </c>
      <c r="AH246" s="9">
        <f t="shared" si="172"/>
        <v>295.308642</v>
      </c>
      <c r="AI246" s="9">
        <f t="shared" si="172"/>
        <v>295.308642</v>
      </c>
      <c r="AJ246" s="9">
        <f t="shared" si="172"/>
        <v>295.308642</v>
      </c>
      <c r="AK246" s="9">
        <f t="shared" si="172"/>
        <v>295.308642</v>
      </c>
      <c r="AL246" s="9">
        <f t="shared" si="172"/>
        <v>295.308642</v>
      </c>
      <c r="AM246" s="9">
        <f t="shared" si="172"/>
        <v>295.308642</v>
      </c>
      <c r="AN246" s="9">
        <f t="shared" si="172"/>
        <v>295.308642</v>
      </c>
      <c r="AO246" s="9">
        <f t="shared" si="172"/>
        <v>295.308642</v>
      </c>
      <c r="AP246" s="9">
        <f t="shared" si="172"/>
        <v>295.308642</v>
      </c>
      <c r="AQ246" s="9">
        <f t="shared" si="172"/>
        <v>295.308642</v>
      </c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ht="15.75" customHeight="1">
      <c r="U247" s="6">
        <v>44135.0</v>
      </c>
      <c r="V247" s="9"/>
      <c r="W247" s="9"/>
      <c r="X247" s="9"/>
      <c r="Y247" s="9"/>
      <c r="Z247" s="9"/>
      <c r="AA247" s="9">
        <f t="shared" ref="AA247:AR247" si="173">+$AA$53*$U$60*$X$60</f>
        <v>492.18107</v>
      </c>
      <c r="AB247" s="9">
        <f t="shared" si="173"/>
        <v>492.18107</v>
      </c>
      <c r="AC247" s="9">
        <f t="shared" si="173"/>
        <v>492.18107</v>
      </c>
      <c r="AD247" s="9">
        <f t="shared" si="173"/>
        <v>492.18107</v>
      </c>
      <c r="AE247" s="9">
        <f t="shared" si="173"/>
        <v>492.18107</v>
      </c>
      <c r="AF247" s="9">
        <f t="shared" si="173"/>
        <v>492.18107</v>
      </c>
      <c r="AG247" s="9">
        <f t="shared" si="173"/>
        <v>492.18107</v>
      </c>
      <c r="AH247" s="9">
        <f t="shared" si="173"/>
        <v>492.18107</v>
      </c>
      <c r="AI247" s="9">
        <f t="shared" si="173"/>
        <v>492.18107</v>
      </c>
      <c r="AJ247" s="9">
        <f t="shared" si="173"/>
        <v>492.18107</v>
      </c>
      <c r="AK247" s="9">
        <f t="shared" si="173"/>
        <v>492.18107</v>
      </c>
      <c r="AL247" s="9">
        <f t="shared" si="173"/>
        <v>492.18107</v>
      </c>
      <c r="AM247" s="9">
        <f t="shared" si="173"/>
        <v>492.18107</v>
      </c>
      <c r="AN247" s="9">
        <f t="shared" si="173"/>
        <v>492.18107</v>
      </c>
      <c r="AO247" s="9">
        <f t="shared" si="173"/>
        <v>492.18107</v>
      </c>
      <c r="AP247" s="9">
        <f t="shared" si="173"/>
        <v>492.18107</v>
      </c>
      <c r="AQ247" s="9">
        <f t="shared" si="173"/>
        <v>492.18107</v>
      </c>
      <c r="AR247" s="9">
        <f t="shared" si="173"/>
        <v>492.18107</v>
      </c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ht="15.75" customHeight="1">
      <c r="U248" s="6">
        <v>44165.0</v>
      </c>
      <c r="V248" s="9"/>
      <c r="W248" s="9"/>
      <c r="X248" s="9"/>
      <c r="Y248" s="9"/>
      <c r="Z248" s="9"/>
      <c r="AA248" s="9"/>
      <c r="AB248" s="9">
        <f t="shared" ref="AB248:AS248" si="174">+$AB$53*$U$60*$X$60</f>
        <v>1181.234568</v>
      </c>
      <c r="AC248" s="9">
        <f t="shared" si="174"/>
        <v>1181.234568</v>
      </c>
      <c r="AD248" s="9">
        <f t="shared" si="174"/>
        <v>1181.234568</v>
      </c>
      <c r="AE248" s="9">
        <f t="shared" si="174"/>
        <v>1181.234568</v>
      </c>
      <c r="AF248" s="9">
        <f t="shared" si="174"/>
        <v>1181.234568</v>
      </c>
      <c r="AG248" s="9">
        <f t="shared" si="174"/>
        <v>1181.234568</v>
      </c>
      <c r="AH248" s="9">
        <f t="shared" si="174"/>
        <v>1181.234568</v>
      </c>
      <c r="AI248" s="9">
        <f t="shared" si="174"/>
        <v>1181.234568</v>
      </c>
      <c r="AJ248" s="9">
        <f t="shared" si="174"/>
        <v>1181.234568</v>
      </c>
      <c r="AK248" s="9">
        <f t="shared" si="174"/>
        <v>1181.234568</v>
      </c>
      <c r="AL248" s="9">
        <f t="shared" si="174"/>
        <v>1181.234568</v>
      </c>
      <c r="AM248" s="9">
        <f t="shared" si="174"/>
        <v>1181.234568</v>
      </c>
      <c r="AN248" s="9">
        <f t="shared" si="174"/>
        <v>1181.234568</v>
      </c>
      <c r="AO248" s="9">
        <f t="shared" si="174"/>
        <v>1181.234568</v>
      </c>
      <c r="AP248" s="9">
        <f t="shared" si="174"/>
        <v>1181.234568</v>
      </c>
      <c r="AQ248" s="9">
        <f t="shared" si="174"/>
        <v>1181.234568</v>
      </c>
      <c r="AR248" s="9">
        <f t="shared" si="174"/>
        <v>1181.234568</v>
      </c>
      <c r="AS248" s="9">
        <f t="shared" si="174"/>
        <v>1181.234568</v>
      </c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ht="15.75" customHeight="1">
      <c r="U249" s="6">
        <v>44196.0</v>
      </c>
      <c r="V249" s="9"/>
      <c r="W249" s="9"/>
      <c r="X249" s="9"/>
      <c r="Y249" s="9"/>
      <c r="Z249" s="9"/>
      <c r="AA249" s="9"/>
      <c r="AB249" s="9"/>
      <c r="AC249" s="9">
        <f t="shared" ref="AC249:AT249" si="175">+$AC$53*$U$60*$X$60</f>
        <v>196.872428</v>
      </c>
      <c r="AD249" s="9">
        <f t="shared" si="175"/>
        <v>196.872428</v>
      </c>
      <c r="AE249" s="9">
        <f t="shared" si="175"/>
        <v>196.872428</v>
      </c>
      <c r="AF249" s="9">
        <f t="shared" si="175"/>
        <v>196.872428</v>
      </c>
      <c r="AG249" s="9">
        <f t="shared" si="175"/>
        <v>196.872428</v>
      </c>
      <c r="AH249" s="9">
        <f t="shared" si="175"/>
        <v>196.872428</v>
      </c>
      <c r="AI249" s="9">
        <f t="shared" si="175"/>
        <v>196.872428</v>
      </c>
      <c r="AJ249" s="9">
        <f t="shared" si="175"/>
        <v>196.872428</v>
      </c>
      <c r="AK249" s="9">
        <f t="shared" si="175"/>
        <v>196.872428</v>
      </c>
      <c r="AL249" s="9">
        <f t="shared" si="175"/>
        <v>196.872428</v>
      </c>
      <c r="AM249" s="9">
        <f t="shared" si="175"/>
        <v>196.872428</v>
      </c>
      <c r="AN249" s="9">
        <f t="shared" si="175"/>
        <v>196.872428</v>
      </c>
      <c r="AO249" s="9">
        <f t="shared" si="175"/>
        <v>196.872428</v>
      </c>
      <c r="AP249" s="9">
        <f t="shared" si="175"/>
        <v>196.872428</v>
      </c>
      <c r="AQ249" s="9">
        <f t="shared" si="175"/>
        <v>196.872428</v>
      </c>
      <c r="AR249" s="9">
        <f t="shared" si="175"/>
        <v>196.872428</v>
      </c>
      <c r="AS249" s="9">
        <f t="shared" si="175"/>
        <v>196.872428</v>
      </c>
      <c r="AT249" s="9">
        <f t="shared" si="175"/>
        <v>196.872428</v>
      </c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ht="15.75" customHeight="1">
      <c r="U250" s="6">
        <v>44227.0</v>
      </c>
      <c r="V250" s="9"/>
      <c r="W250" s="9"/>
      <c r="X250" s="9"/>
      <c r="Y250" s="9"/>
      <c r="Z250" s="9"/>
      <c r="AA250" s="9"/>
      <c r="AB250" s="9"/>
      <c r="AC250" s="9"/>
      <c r="AD250" s="9">
        <f t="shared" ref="AD250:AU250" si="176">+$AD$53*$U$60*$X$60</f>
        <v>1661.111111</v>
      </c>
      <c r="AE250" s="9">
        <f t="shared" si="176"/>
        <v>1661.111111</v>
      </c>
      <c r="AF250" s="9">
        <f t="shared" si="176"/>
        <v>1661.111111</v>
      </c>
      <c r="AG250" s="9">
        <f t="shared" si="176"/>
        <v>1661.111111</v>
      </c>
      <c r="AH250" s="9">
        <f t="shared" si="176"/>
        <v>1661.111111</v>
      </c>
      <c r="AI250" s="9">
        <f t="shared" si="176"/>
        <v>1661.111111</v>
      </c>
      <c r="AJ250" s="9">
        <f t="shared" si="176"/>
        <v>1661.111111</v>
      </c>
      <c r="AK250" s="9">
        <f t="shared" si="176"/>
        <v>1661.111111</v>
      </c>
      <c r="AL250" s="9">
        <f t="shared" si="176"/>
        <v>1661.111111</v>
      </c>
      <c r="AM250" s="9">
        <f t="shared" si="176"/>
        <v>1661.111111</v>
      </c>
      <c r="AN250" s="9">
        <f t="shared" si="176"/>
        <v>1661.111111</v>
      </c>
      <c r="AO250" s="9">
        <f t="shared" si="176"/>
        <v>1661.111111</v>
      </c>
      <c r="AP250" s="9">
        <f t="shared" si="176"/>
        <v>1661.111111</v>
      </c>
      <c r="AQ250" s="9">
        <f t="shared" si="176"/>
        <v>1661.111111</v>
      </c>
      <c r="AR250" s="9">
        <f t="shared" si="176"/>
        <v>1661.111111</v>
      </c>
      <c r="AS250" s="9">
        <f t="shared" si="176"/>
        <v>1661.111111</v>
      </c>
      <c r="AT250" s="9">
        <f t="shared" si="176"/>
        <v>1661.111111</v>
      </c>
      <c r="AU250" s="9">
        <f t="shared" si="176"/>
        <v>1661.111111</v>
      </c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ht="15.75" customHeight="1">
      <c r="U251" s="6">
        <v>44255.0</v>
      </c>
      <c r="V251" s="9"/>
      <c r="W251" s="9"/>
      <c r="X251" s="9"/>
      <c r="Y251" s="9"/>
      <c r="Z251" s="9"/>
      <c r="AA251" s="9"/>
      <c r="AB251" s="9"/>
      <c r="AC251" s="9"/>
      <c r="AD251" s="9"/>
      <c r="AE251" s="9">
        <f t="shared" ref="AE251:AV251" si="177">+$AE$53*$U$60*$X$60</f>
        <v>1882.592593</v>
      </c>
      <c r="AF251" s="9">
        <f t="shared" si="177"/>
        <v>1882.592593</v>
      </c>
      <c r="AG251" s="9">
        <f t="shared" si="177"/>
        <v>1882.592593</v>
      </c>
      <c r="AH251" s="9">
        <f t="shared" si="177"/>
        <v>1882.592593</v>
      </c>
      <c r="AI251" s="9">
        <f t="shared" si="177"/>
        <v>1882.592593</v>
      </c>
      <c r="AJ251" s="9">
        <f t="shared" si="177"/>
        <v>1882.592593</v>
      </c>
      <c r="AK251" s="9">
        <f t="shared" si="177"/>
        <v>1882.592593</v>
      </c>
      <c r="AL251" s="9">
        <f t="shared" si="177"/>
        <v>1882.592593</v>
      </c>
      <c r="AM251" s="9">
        <f t="shared" si="177"/>
        <v>1882.592593</v>
      </c>
      <c r="AN251" s="9">
        <f t="shared" si="177"/>
        <v>1882.592593</v>
      </c>
      <c r="AO251" s="9">
        <f t="shared" si="177"/>
        <v>1882.592593</v>
      </c>
      <c r="AP251" s="9">
        <f t="shared" si="177"/>
        <v>1882.592593</v>
      </c>
      <c r="AQ251" s="9">
        <f t="shared" si="177"/>
        <v>1882.592593</v>
      </c>
      <c r="AR251" s="9">
        <f t="shared" si="177"/>
        <v>1882.592593</v>
      </c>
      <c r="AS251" s="9">
        <f t="shared" si="177"/>
        <v>1882.592593</v>
      </c>
      <c r="AT251" s="9">
        <f t="shared" si="177"/>
        <v>1882.592593</v>
      </c>
      <c r="AU251" s="9">
        <f t="shared" si="177"/>
        <v>1882.592593</v>
      </c>
      <c r="AV251" s="9">
        <f t="shared" si="177"/>
        <v>1882.592593</v>
      </c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ht="15.75" customHeight="1">
      <c r="U252" s="6">
        <v>44286.0</v>
      </c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>
        <f t="shared" ref="AF252:AW252" si="178">+$AF$53*$U$60*$X$60</f>
        <v>1882.592593</v>
      </c>
      <c r="AG252" s="9">
        <f t="shared" si="178"/>
        <v>1882.592593</v>
      </c>
      <c r="AH252" s="9">
        <f t="shared" si="178"/>
        <v>1882.592593</v>
      </c>
      <c r="AI252" s="9">
        <f t="shared" si="178"/>
        <v>1882.592593</v>
      </c>
      <c r="AJ252" s="9">
        <f t="shared" si="178"/>
        <v>1882.592593</v>
      </c>
      <c r="AK252" s="9">
        <f t="shared" si="178"/>
        <v>1882.592593</v>
      </c>
      <c r="AL252" s="9">
        <f t="shared" si="178"/>
        <v>1882.592593</v>
      </c>
      <c r="AM252" s="9">
        <f t="shared" si="178"/>
        <v>1882.592593</v>
      </c>
      <c r="AN252" s="9">
        <f t="shared" si="178"/>
        <v>1882.592593</v>
      </c>
      <c r="AO252" s="9">
        <f t="shared" si="178"/>
        <v>1882.592593</v>
      </c>
      <c r="AP252" s="9">
        <f t="shared" si="178"/>
        <v>1882.592593</v>
      </c>
      <c r="AQ252" s="9">
        <f t="shared" si="178"/>
        <v>1882.592593</v>
      </c>
      <c r="AR252" s="9">
        <f t="shared" si="178"/>
        <v>1882.592593</v>
      </c>
      <c r="AS252" s="9">
        <f t="shared" si="178"/>
        <v>1882.592593</v>
      </c>
      <c r="AT252" s="9">
        <f t="shared" si="178"/>
        <v>1882.592593</v>
      </c>
      <c r="AU252" s="9">
        <f t="shared" si="178"/>
        <v>1882.592593</v>
      </c>
      <c r="AV252" s="9">
        <f t="shared" si="178"/>
        <v>1882.592593</v>
      </c>
      <c r="AW252" s="9">
        <f t="shared" si="178"/>
        <v>1882.592593</v>
      </c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ht="15.75" customHeight="1">
      <c r="U253" s="6">
        <v>44316.0</v>
      </c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>
        <f t="shared" ref="AG253:AX253" si="179">+$AG$53*$U$60*$X$60</f>
        <v>1476.54321</v>
      </c>
      <c r="AH253" s="9">
        <f t="shared" si="179"/>
        <v>1476.54321</v>
      </c>
      <c r="AI253" s="9">
        <f t="shared" si="179"/>
        <v>1476.54321</v>
      </c>
      <c r="AJ253" s="9">
        <f t="shared" si="179"/>
        <v>1476.54321</v>
      </c>
      <c r="AK253" s="9">
        <f t="shared" si="179"/>
        <v>1476.54321</v>
      </c>
      <c r="AL253" s="9">
        <f t="shared" si="179"/>
        <v>1476.54321</v>
      </c>
      <c r="AM253" s="9">
        <f t="shared" si="179"/>
        <v>1476.54321</v>
      </c>
      <c r="AN253" s="9">
        <f t="shared" si="179"/>
        <v>1476.54321</v>
      </c>
      <c r="AO253" s="9">
        <f t="shared" si="179"/>
        <v>1476.54321</v>
      </c>
      <c r="AP253" s="9">
        <f t="shared" si="179"/>
        <v>1476.54321</v>
      </c>
      <c r="AQ253" s="9">
        <f t="shared" si="179"/>
        <v>1476.54321</v>
      </c>
      <c r="AR253" s="9">
        <f t="shared" si="179"/>
        <v>1476.54321</v>
      </c>
      <c r="AS253" s="9">
        <f t="shared" si="179"/>
        <v>1476.54321</v>
      </c>
      <c r="AT253" s="9">
        <f t="shared" si="179"/>
        <v>1476.54321</v>
      </c>
      <c r="AU253" s="9">
        <f t="shared" si="179"/>
        <v>1476.54321</v>
      </c>
      <c r="AV253" s="9">
        <f t="shared" si="179"/>
        <v>1476.54321</v>
      </c>
      <c r="AW253" s="9">
        <f t="shared" si="179"/>
        <v>1476.54321</v>
      </c>
      <c r="AX253" s="9">
        <f t="shared" si="179"/>
        <v>1476.54321</v>
      </c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ht="15.75" customHeight="1">
      <c r="U254" s="6">
        <v>44347.0</v>
      </c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>
        <f t="shared" ref="AH254:AY254" si="180">+$AH$53*$U$60*$X$60</f>
        <v>984.3621399</v>
      </c>
      <c r="AI254" s="9">
        <f t="shared" si="180"/>
        <v>984.3621399</v>
      </c>
      <c r="AJ254" s="9">
        <f t="shared" si="180"/>
        <v>984.3621399</v>
      </c>
      <c r="AK254" s="9">
        <f t="shared" si="180"/>
        <v>984.3621399</v>
      </c>
      <c r="AL254" s="9">
        <f t="shared" si="180"/>
        <v>984.3621399</v>
      </c>
      <c r="AM254" s="9">
        <f t="shared" si="180"/>
        <v>984.3621399</v>
      </c>
      <c r="AN254" s="9">
        <f t="shared" si="180"/>
        <v>984.3621399</v>
      </c>
      <c r="AO254" s="9">
        <f t="shared" si="180"/>
        <v>984.3621399</v>
      </c>
      <c r="AP254" s="9">
        <f t="shared" si="180"/>
        <v>984.3621399</v>
      </c>
      <c r="AQ254" s="9">
        <f t="shared" si="180"/>
        <v>984.3621399</v>
      </c>
      <c r="AR254" s="9">
        <f t="shared" si="180"/>
        <v>984.3621399</v>
      </c>
      <c r="AS254" s="9">
        <f t="shared" si="180"/>
        <v>984.3621399</v>
      </c>
      <c r="AT254" s="9">
        <f t="shared" si="180"/>
        <v>984.3621399</v>
      </c>
      <c r="AU254" s="9">
        <f t="shared" si="180"/>
        <v>984.3621399</v>
      </c>
      <c r="AV254" s="9">
        <f t="shared" si="180"/>
        <v>984.3621399</v>
      </c>
      <c r="AW254" s="9">
        <f t="shared" si="180"/>
        <v>984.3621399</v>
      </c>
      <c r="AX254" s="9">
        <f t="shared" si="180"/>
        <v>984.3621399</v>
      </c>
      <c r="AY254" s="9">
        <f t="shared" si="180"/>
        <v>984.3621399</v>
      </c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ht="15.75" customHeight="1">
      <c r="U255" s="6">
        <v>44377.0</v>
      </c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>
        <f t="shared" ref="AI255:AZ255" si="181">+$AI$53*$U$60*$X$60</f>
        <v>984.3621399</v>
      </c>
      <c r="AJ255" s="9">
        <f t="shared" si="181"/>
        <v>984.3621399</v>
      </c>
      <c r="AK255" s="9">
        <f t="shared" si="181"/>
        <v>984.3621399</v>
      </c>
      <c r="AL255" s="9">
        <f t="shared" si="181"/>
        <v>984.3621399</v>
      </c>
      <c r="AM255" s="9">
        <f t="shared" si="181"/>
        <v>984.3621399</v>
      </c>
      <c r="AN255" s="9">
        <f t="shared" si="181"/>
        <v>984.3621399</v>
      </c>
      <c r="AO255" s="9">
        <f t="shared" si="181"/>
        <v>984.3621399</v>
      </c>
      <c r="AP255" s="9">
        <f t="shared" si="181"/>
        <v>984.3621399</v>
      </c>
      <c r="AQ255" s="9">
        <f t="shared" si="181"/>
        <v>984.3621399</v>
      </c>
      <c r="AR255" s="9">
        <f t="shared" si="181"/>
        <v>984.3621399</v>
      </c>
      <c r="AS255" s="9">
        <f t="shared" si="181"/>
        <v>984.3621399</v>
      </c>
      <c r="AT255" s="9">
        <f t="shared" si="181"/>
        <v>984.3621399</v>
      </c>
      <c r="AU255" s="9">
        <f t="shared" si="181"/>
        <v>984.3621399</v>
      </c>
      <c r="AV255" s="9">
        <f t="shared" si="181"/>
        <v>984.3621399</v>
      </c>
      <c r="AW255" s="9">
        <f t="shared" si="181"/>
        <v>984.3621399</v>
      </c>
      <c r="AX255" s="9">
        <f t="shared" si="181"/>
        <v>984.3621399</v>
      </c>
      <c r="AY255" s="9">
        <f t="shared" si="181"/>
        <v>984.3621399</v>
      </c>
      <c r="AZ255" s="9">
        <f t="shared" si="181"/>
        <v>984.3621399</v>
      </c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ht="15.75" customHeight="1">
      <c r="U256" s="6">
        <v>44408.0</v>
      </c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>
        <f t="shared" ref="AJ256:BA256" si="182">+$AJ$53*$U$60*$X$60</f>
        <v>984.3621399</v>
      </c>
      <c r="AK256" s="9">
        <f t="shared" si="182"/>
        <v>984.3621399</v>
      </c>
      <c r="AL256" s="9">
        <f t="shared" si="182"/>
        <v>984.3621399</v>
      </c>
      <c r="AM256" s="9">
        <f t="shared" si="182"/>
        <v>984.3621399</v>
      </c>
      <c r="AN256" s="9">
        <f t="shared" si="182"/>
        <v>984.3621399</v>
      </c>
      <c r="AO256" s="9">
        <f t="shared" si="182"/>
        <v>984.3621399</v>
      </c>
      <c r="AP256" s="9">
        <f t="shared" si="182"/>
        <v>984.3621399</v>
      </c>
      <c r="AQ256" s="9">
        <f t="shared" si="182"/>
        <v>984.3621399</v>
      </c>
      <c r="AR256" s="9">
        <f t="shared" si="182"/>
        <v>984.3621399</v>
      </c>
      <c r="AS256" s="9">
        <f t="shared" si="182"/>
        <v>984.3621399</v>
      </c>
      <c r="AT256" s="9">
        <f t="shared" si="182"/>
        <v>984.3621399</v>
      </c>
      <c r="AU256" s="9">
        <f t="shared" si="182"/>
        <v>984.3621399</v>
      </c>
      <c r="AV256" s="9">
        <f t="shared" si="182"/>
        <v>984.3621399</v>
      </c>
      <c r="AW256" s="9">
        <f t="shared" si="182"/>
        <v>984.3621399</v>
      </c>
      <c r="AX256" s="9">
        <f t="shared" si="182"/>
        <v>984.3621399</v>
      </c>
      <c r="AY256" s="9">
        <f t="shared" si="182"/>
        <v>984.3621399</v>
      </c>
      <c r="AZ256" s="9">
        <f t="shared" si="182"/>
        <v>984.3621399</v>
      </c>
      <c r="BA256" s="9">
        <f t="shared" si="182"/>
        <v>984.3621399</v>
      </c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ht="15.75" customHeight="1">
      <c r="U257" s="6">
        <v>44439.0</v>
      </c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>
        <f t="shared" ref="AK257:BB257" si="183">+$AK$53*$U$60*$X$60</f>
        <v>1476.54321</v>
      </c>
      <c r="AL257" s="9">
        <f t="shared" si="183"/>
        <v>1476.54321</v>
      </c>
      <c r="AM257" s="9">
        <f t="shared" si="183"/>
        <v>1476.54321</v>
      </c>
      <c r="AN257" s="9">
        <f t="shared" si="183"/>
        <v>1476.54321</v>
      </c>
      <c r="AO257" s="9">
        <f t="shared" si="183"/>
        <v>1476.54321</v>
      </c>
      <c r="AP257" s="9">
        <f t="shared" si="183"/>
        <v>1476.54321</v>
      </c>
      <c r="AQ257" s="9">
        <f t="shared" si="183"/>
        <v>1476.54321</v>
      </c>
      <c r="AR257" s="9">
        <f t="shared" si="183"/>
        <v>1476.54321</v>
      </c>
      <c r="AS257" s="9">
        <f t="shared" si="183"/>
        <v>1476.54321</v>
      </c>
      <c r="AT257" s="9">
        <f t="shared" si="183"/>
        <v>1476.54321</v>
      </c>
      <c r="AU257" s="9">
        <f t="shared" si="183"/>
        <v>1476.54321</v>
      </c>
      <c r="AV257" s="9">
        <f t="shared" si="183"/>
        <v>1476.54321</v>
      </c>
      <c r="AW257" s="9">
        <f t="shared" si="183"/>
        <v>1476.54321</v>
      </c>
      <c r="AX257" s="9">
        <f t="shared" si="183"/>
        <v>1476.54321</v>
      </c>
      <c r="AY257" s="9">
        <f t="shared" si="183"/>
        <v>1476.54321</v>
      </c>
      <c r="AZ257" s="9">
        <f t="shared" si="183"/>
        <v>1476.54321</v>
      </c>
      <c r="BA257" s="9">
        <f t="shared" si="183"/>
        <v>1476.54321</v>
      </c>
      <c r="BB257" s="9">
        <f t="shared" si="183"/>
        <v>1476.54321</v>
      </c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ht="15.75" customHeight="1">
      <c r="U258" s="6">
        <v>44469.0</v>
      </c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>
        <f t="shared" ref="AL258:BC258" si="184">+$AL$53*$U$60*$X$60</f>
        <v>1968.72428</v>
      </c>
      <c r="AM258" s="9">
        <f t="shared" si="184"/>
        <v>1968.72428</v>
      </c>
      <c r="AN258" s="9">
        <f t="shared" si="184"/>
        <v>1968.72428</v>
      </c>
      <c r="AO258" s="9">
        <f t="shared" si="184"/>
        <v>1968.72428</v>
      </c>
      <c r="AP258" s="9">
        <f t="shared" si="184"/>
        <v>1968.72428</v>
      </c>
      <c r="AQ258" s="9">
        <f t="shared" si="184"/>
        <v>1968.72428</v>
      </c>
      <c r="AR258" s="9">
        <f t="shared" si="184"/>
        <v>1968.72428</v>
      </c>
      <c r="AS258" s="9">
        <f t="shared" si="184"/>
        <v>1968.72428</v>
      </c>
      <c r="AT258" s="9">
        <f t="shared" si="184"/>
        <v>1968.72428</v>
      </c>
      <c r="AU258" s="9">
        <f t="shared" si="184"/>
        <v>1968.72428</v>
      </c>
      <c r="AV258" s="9">
        <f t="shared" si="184"/>
        <v>1968.72428</v>
      </c>
      <c r="AW258" s="9">
        <f t="shared" si="184"/>
        <v>1968.72428</v>
      </c>
      <c r="AX258" s="9">
        <f t="shared" si="184"/>
        <v>1968.72428</v>
      </c>
      <c r="AY258" s="9">
        <f t="shared" si="184"/>
        <v>1968.72428</v>
      </c>
      <c r="AZ258" s="9">
        <f t="shared" si="184"/>
        <v>1968.72428</v>
      </c>
      <c r="BA258" s="9">
        <f t="shared" si="184"/>
        <v>1968.72428</v>
      </c>
      <c r="BB258" s="9">
        <f t="shared" si="184"/>
        <v>1968.72428</v>
      </c>
      <c r="BC258" s="9">
        <f t="shared" si="184"/>
        <v>1968.72428</v>
      </c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ht="15.75" customHeight="1">
      <c r="U259" s="6">
        <v>44500.0</v>
      </c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>
        <f t="shared" ref="AM259:BD259" si="185">+$AM$53*$U$60*$X$60</f>
        <v>2953.08642</v>
      </c>
      <c r="AN259" s="9">
        <f t="shared" si="185"/>
        <v>2953.08642</v>
      </c>
      <c r="AO259" s="9">
        <f t="shared" si="185"/>
        <v>2953.08642</v>
      </c>
      <c r="AP259" s="9">
        <f t="shared" si="185"/>
        <v>2953.08642</v>
      </c>
      <c r="AQ259" s="9">
        <f t="shared" si="185"/>
        <v>2953.08642</v>
      </c>
      <c r="AR259" s="9">
        <f t="shared" si="185"/>
        <v>2953.08642</v>
      </c>
      <c r="AS259" s="9">
        <f t="shared" si="185"/>
        <v>2953.08642</v>
      </c>
      <c r="AT259" s="9">
        <f t="shared" si="185"/>
        <v>2953.08642</v>
      </c>
      <c r="AU259" s="9">
        <f t="shared" si="185"/>
        <v>2953.08642</v>
      </c>
      <c r="AV259" s="9">
        <f t="shared" si="185"/>
        <v>2953.08642</v>
      </c>
      <c r="AW259" s="9">
        <f t="shared" si="185"/>
        <v>2953.08642</v>
      </c>
      <c r="AX259" s="9">
        <f t="shared" si="185"/>
        <v>2953.08642</v>
      </c>
      <c r="AY259" s="9">
        <f t="shared" si="185"/>
        <v>2953.08642</v>
      </c>
      <c r="AZ259" s="9">
        <f t="shared" si="185"/>
        <v>2953.08642</v>
      </c>
      <c r="BA259" s="9">
        <f t="shared" si="185"/>
        <v>2953.08642</v>
      </c>
      <c r="BB259" s="9">
        <f t="shared" si="185"/>
        <v>2953.08642</v>
      </c>
      <c r="BC259" s="9">
        <f t="shared" si="185"/>
        <v>2953.08642</v>
      </c>
      <c r="BD259" s="9">
        <f t="shared" si="185"/>
        <v>2953.08642</v>
      </c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ht="15.75" customHeight="1">
      <c r="U260" s="6">
        <v>44530.0</v>
      </c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>
        <f t="shared" ref="AN260:BE260" si="186">+$AN$53*$U$60*$X$60</f>
        <v>708.7407407</v>
      </c>
      <c r="AO260" s="9">
        <f t="shared" si="186"/>
        <v>708.7407407</v>
      </c>
      <c r="AP260" s="9">
        <f t="shared" si="186"/>
        <v>708.7407407</v>
      </c>
      <c r="AQ260" s="9">
        <f t="shared" si="186"/>
        <v>708.7407407</v>
      </c>
      <c r="AR260" s="9">
        <f t="shared" si="186"/>
        <v>708.7407407</v>
      </c>
      <c r="AS260" s="9">
        <f t="shared" si="186"/>
        <v>708.7407407</v>
      </c>
      <c r="AT260" s="9">
        <f t="shared" si="186"/>
        <v>708.7407407</v>
      </c>
      <c r="AU260" s="9">
        <f t="shared" si="186"/>
        <v>708.7407407</v>
      </c>
      <c r="AV260" s="9">
        <f t="shared" si="186"/>
        <v>708.7407407</v>
      </c>
      <c r="AW260" s="9">
        <f t="shared" si="186"/>
        <v>708.7407407</v>
      </c>
      <c r="AX260" s="9">
        <f t="shared" si="186"/>
        <v>708.7407407</v>
      </c>
      <c r="AY260" s="9">
        <f t="shared" si="186"/>
        <v>708.7407407</v>
      </c>
      <c r="AZ260" s="9">
        <f t="shared" si="186"/>
        <v>708.7407407</v>
      </c>
      <c r="BA260" s="9">
        <f t="shared" si="186"/>
        <v>708.7407407</v>
      </c>
      <c r="BB260" s="9">
        <f t="shared" si="186"/>
        <v>708.7407407</v>
      </c>
      <c r="BC260" s="9">
        <f t="shared" si="186"/>
        <v>708.7407407</v>
      </c>
      <c r="BD260" s="9">
        <f t="shared" si="186"/>
        <v>708.7407407</v>
      </c>
      <c r="BE260" s="9">
        <f t="shared" si="186"/>
        <v>708.7407407</v>
      </c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ht="15.75" customHeight="1">
      <c r="U261" s="6">
        <v>44561.0</v>
      </c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>
        <f t="shared" ref="AO261:BF261" si="187">+$AO$53*$U$60*$X$60</f>
        <v>708.7407407</v>
      </c>
      <c r="AP261" s="9">
        <f t="shared" si="187"/>
        <v>708.7407407</v>
      </c>
      <c r="AQ261" s="9">
        <f t="shared" si="187"/>
        <v>708.7407407</v>
      </c>
      <c r="AR261" s="9">
        <f t="shared" si="187"/>
        <v>708.7407407</v>
      </c>
      <c r="AS261" s="9">
        <f t="shared" si="187"/>
        <v>708.7407407</v>
      </c>
      <c r="AT261" s="9">
        <f t="shared" si="187"/>
        <v>708.7407407</v>
      </c>
      <c r="AU261" s="9">
        <f t="shared" si="187"/>
        <v>708.7407407</v>
      </c>
      <c r="AV261" s="9">
        <f t="shared" si="187"/>
        <v>708.7407407</v>
      </c>
      <c r="AW261" s="9">
        <f t="shared" si="187"/>
        <v>708.7407407</v>
      </c>
      <c r="AX261" s="9">
        <f t="shared" si="187"/>
        <v>708.7407407</v>
      </c>
      <c r="AY261" s="9">
        <f t="shared" si="187"/>
        <v>708.7407407</v>
      </c>
      <c r="AZ261" s="9">
        <f t="shared" si="187"/>
        <v>708.7407407</v>
      </c>
      <c r="BA261" s="9">
        <f t="shared" si="187"/>
        <v>708.7407407</v>
      </c>
      <c r="BB261" s="9">
        <f t="shared" si="187"/>
        <v>708.7407407</v>
      </c>
      <c r="BC261" s="9">
        <f t="shared" si="187"/>
        <v>708.7407407</v>
      </c>
      <c r="BD261" s="9">
        <f t="shared" si="187"/>
        <v>708.7407407</v>
      </c>
      <c r="BE261" s="9">
        <f t="shared" si="187"/>
        <v>708.7407407</v>
      </c>
      <c r="BF261" s="9">
        <f t="shared" si="187"/>
        <v>708.7407407</v>
      </c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ht="15.75" customHeight="1">
      <c r="U262" s="6">
        <v>44592.0</v>
      </c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>
        <f t="shared" ref="AP262:BG262" si="188">+$AP$53*$U$60*$X$60</f>
        <v>984.3621399</v>
      </c>
      <c r="AQ262" s="9">
        <f t="shared" si="188"/>
        <v>984.3621399</v>
      </c>
      <c r="AR262" s="9">
        <f t="shared" si="188"/>
        <v>984.3621399</v>
      </c>
      <c r="AS262" s="9">
        <f t="shared" si="188"/>
        <v>984.3621399</v>
      </c>
      <c r="AT262" s="9">
        <f t="shared" si="188"/>
        <v>984.3621399</v>
      </c>
      <c r="AU262" s="9">
        <f t="shared" si="188"/>
        <v>984.3621399</v>
      </c>
      <c r="AV262" s="9">
        <f t="shared" si="188"/>
        <v>984.3621399</v>
      </c>
      <c r="AW262" s="9">
        <f t="shared" si="188"/>
        <v>984.3621399</v>
      </c>
      <c r="AX262" s="9">
        <f t="shared" si="188"/>
        <v>984.3621399</v>
      </c>
      <c r="AY262" s="9">
        <f t="shared" si="188"/>
        <v>984.3621399</v>
      </c>
      <c r="AZ262" s="9">
        <f t="shared" si="188"/>
        <v>984.3621399</v>
      </c>
      <c r="BA262" s="9">
        <f t="shared" si="188"/>
        <v>984.3621399</v>
      </c>
      <c r="BB262" s="9">
        <f t="shared" si="188"/>
        <v>984.3621399</v>
      </c>
      <c r="BC262" s="9">
        <f t="shared" si="188"/>
        <v>984.3621399</v>
      </c>
      <c r="BD262" s="9">
        <f t="shared" si="188"/>
        <v>984.3621399</v>
      </c>
      <c r="BE262" s="9">
        <f t="shared" si="188"/>
        <v>984.3621399</v>
      </c>
      <c r="BF262" s="9">
        <f t="shared" si="188"/>
        <v>984.3621399</v>
      </c>
      <c r="BG262" s="9">
        <f t="shared" si="188"/>
        <v>984.3621399</v>
      </c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ht="15.75" customHeight="1">
      <c r="U263" s="6">
        <v>44620.0</v>
      </c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>
        <f t="shared" ref="AQ263:BH263" si="189">+$AQ$53*$U$60*$X$60</f>
        <v>984.3621399</v>
      </c>
      <c r="AR263" s="9">
        <f t="shared" si="189"/>
        <v>984.3621399</v>
      </c>
      <c r="AS263" s="9">
        <f t="shared" si="189"/>
        <v>984.3621399</v>
      </c>
      <c r="AT263" s="9">
        <f t="shared" si="189"/>
        <v>984.3621399</v>
      </c>
      <c r="AU263" s="9">
        <f t="shared" si="189"/>
        <v>984.3621399</v>
      </c>
      <c r="AV263" s="9">
        <f t="shared" si="189"/>
        <v>984.3621399</v>
      </c>
      <c r="AW263" s="9">
        <f t="shared" si="189"/>
        <v>984.3621399</v>
      </c>
      <c r="AX263" s="9">
        <f t="shared" si="189"/>
        <v>984.3621399</v>
      </c>
      <c r="AY263" s="9">
        <f t="shared" si="189"/>
        <v>984.3621399</v>
      </c>
      <c r="AZ263" s="9">
        <f t="shared" si="189"/>
        <v>984.3621399</v>
      </c>
      <c r="BA263" s="9">
        <f t="shared" si="189"/>
        <v>984.3621399</v>
      </c>
      <c r="BB263" s="9">
        <f t="shared" si="189"/>
        <v>984.3621399</v>
      </c>
      <c r="BC263" s="9">
        <f t="shared" si="189"/>
        <v>984.3621399</v>
      </c>
      <c r="BD263" s="9">
        <f t="shared" si="189"/>
        <v>984.3621399</v>
      </c>
      <c r="BE263" s="9">
        <f t="shared" si="189"/>
        <v>984.3621399</v>
      </c>
      <c r="BF263" s="9">
        <f t="shared" si="189"/>
        <v>984.3621399</v>
      </c>
      <c r="BG263" s="9">
        <f t="shared" si="189"/>
        <v>984.3621399</v>
      </c>
      <c r="BH263" s="9">
        <f t="shared" si="189"/>
        <v>984.3621399</v>
      </c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ht="15.75" customHeight="1">
      <c r="U264" s="6">
        <v>44651.0</v>
      </c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>
        <f t="shared" ref="AR264:BI264" si="190">+$AR$53*$U$60*$X$60</f>
        <v>984.3621399</v>
      </c>
      <c r="AS264" s="9">
        <f t="shared" si="190"/>
        <v>984.3621399</v>
      </c>
      <c r="AT264" s="9">
        <f t="shared" si="190"/>
        <v>984.3621399</v>
      </c>
      <c r="AU264" s="9">
        <f t="shared" si="190"/>
        <v>984.3621399</v>
      </c>
      <c r="AV264" s="9">
        <f t="shared" si="190"/>
        <v>984.3621399</v>
      </c>
      <c r="AW264" s="9">
        <f t="shared" si="190"/>
        <v>984.3621399</v>
      </c>
      <c r="AX264" s="9">
        <f t="shared" si="190"/>
        <v>984.3621399</v>
      </c>
      <c r="AY264" s="9">
        <f t="shared" si="190"/>
        <v>984.3621399</v>
      </c>
      <c r="AZ264" s="9">
        <f t="shared" si="190"/>
        <v>984.3621399</v>
      </c>
      <c r="BA264" s="9">
        <f t="shared" si="190"/>
        <v>984.3621399</v>
      </c>
      <c r="BB264" s="9">
        <f t="shared" si="190"/>
        <v>984.3621399</v>
      </c>
      <c r="BC264" s="9">
        <f t="shared" si="190"/>
        <v>984.3621399</v>
      </c>
      <c r="BD264" s="9">
        <f t="shared" si="190"/>
        <v>984.3621399</v>
      </c>
      <c r="BE264" s="9">
        <f t="shared" si="190"/>
        <v>984.3621399</v>
      </c>
      <c r="BF264" s="9">
        <f t="shared" si="190"/>
        <v>984.3621399</v>
      </c>
      <c r="BG264" s="9">
        <f t="shared" si="190"/>
        <v>984.3621399</v>
      </c>
      <c r="BH264" s="9">
        <f t="shared" si="190"/>
        <v>984.3621399</v>
      </c>
      <c r="BI264" s="9">
        <f t="shared" si="190"/>
        <v>984.3621399</v>
      </c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ht="15.75" customHeight="1">
      <c r="U265" s="6">
        <v>44681.0</v>
      </c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>
        <f t="shared" ref="AS265:BJ265" si="191">+$AS$53*$U$60*$X$60</f>
        <v>984.3621399</v>
      </c>
      <c r="AT265" s="9">
        <f t="shared" si="191"/>
        <v>984.3621399</v>
      </c>
      <c r="AU265" s="9">
        <f t="shared" si="191"/>
        <v>984.3621399</v>
      </c>
      <c r="AV265" s="9">
        <f t="shared" si="191"/>
        <v>984.3621399</v>
      </c>
      <c r="AW265" s="9">
        <f t="shared" si="191"/>
        <v>984.3621399</v>
      </c>
      <c r="AX265" s="9">
        <f t="shared" si="191"/>
        <v>984.3621399</v>
      </c>
      <c r="AY265" s="9">
        <f t="shared" si="191"/>
        <v>984.3621399</v>
      </c>
      <c r="AZ265" s="9">
        <f t="shared" si="191"/>
        <v>984.3621399</v>
      </c>
      <c r="BA265" s="9">
        <f t="shared" si="191"/>
        <v>984.3621399</v>
      </c>
      <c r="BB265" s="9">
        <f t="shared" si="191"/>
        <v>984.3621399</v>
      </c>
      <c r="BC265" s="9">
        <f t="shared" si="191"/>
        <v>984.3621399</v>
      </c>
      <c r="BD265" s="9">
        <f t="shared" si="191"/>
        <v>984.3621399</v>
      </c>
      <c r="BE265" s="9">
        <f t="shared" si="191"/>
        <v>984.3621399</v>
      </c>
      <c r="BF265" s="9">
        <f t="shared" si="191"/>
        <v>984.3621399</v>
      </c>
      <c r="BG265" s="9">
        <f t="shared" si="191"/>
        <v>984.3621399</v>
      </c>
      <c r="BH265" s="9">
        <f t="shared" si="191"/>
        <v>984.3621399</v>
      </c>
      <c r="BI265" s="9">
        <f t="shared" si="191"/>
        <v>984.3621399</v>
      </c>
      <c r="BJ265" s="9">
        <f t="shared" si="191"/>
        <v>984.3621399</v>
      </c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ht="15.75" customHeight="1">
      <c r="U266" s="6">
        <v>44712.0</v>
      </c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>
        <f t="shared" ref="AT266:BK266" si="192">+$AT$53*$U$60*$X$60</f>
        <v>984.3621399</v>
      </c>
      <c r="AU266" s="9">
        <f t="shared" si="192"/>
        <v>984.3621399</v>
      </c>
      <c r="AV266" s="9">
        <f t="shared" si="192"/>
        <v>984.3621399</v>
      </c>
      <c r="AW266" s="9">
        <f t="shared" si="192"/>
        <v>984.3621399</v>
      </c>
      <c r="AX266" s="9">
        <f t="shared" si="192"/>
        <v>984.3621399</v>
      </c>
      <c r="AY266" s="9">
        <f t="shared" si="192"/>
        <v>984.3621399</v>
      </c>
      <c r="AZ266" s="9">
        <f t="shared" si="192"/>
        <v>984.3621399</v>
      </c>
      <c r="BA266" s="9">
        <f t="shared" si="192"/>
        <v>984.3621399</v>
      </c>
      <c r="BB266" s="9">
        <f t="shared" si="192"/>
        <v>984.3621399</v>
      </c>
      <c r="BC266" s="9">
        <f t="shared" si="192"/>
        <v>984.3621399</v>
      </c>
      <c r="BD266" s="9">
        <f t="shared" si="192"/>
        <v>984.3621399</v>
      </c>
      <c r="BE266" s="9">
        <f t="shared" si="192"/>
        <v>984.3621399</v>
      </c>
      <c r="BF266" s="9">
        <f t="shared" si="192"/>
        <v>984.3621399</v>
      </c>
      <c r="BG266" s="9">
        <f t="shared" si="192"/>
        <v>984.3621399</v>
      </c>
      <c r="BH266" s="9">
        <f t="shared" si="192"/>
        <v>984.3621399</v>
      </c>
      <c r="BI266" s="9">
        <f t="shared" si="192"/>
        <v>984.3621399</v>
      </c>
      <c r="BJ266" s="9">
        <f t="shared" si="192"/>
        <v>984.3621399</v>
      </c>
      <c r="BK266" s="9">
        <f t="shared" si="192"/>
        <v>984.3621399</v>
      </c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ht="15.75" customHeight="1">
      <c r="U267" s="6">
        <v>44742.0</v>
      </c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>
        <f t="shared" ref="AU267:BL267" si="193">+$AU$53*$U$60*$X$60</f>
        <v>492.18107</v>
      </c>
      <c r="AV267" s="9">
        <f t="shared" si="193"/>
        <v>492.18107</v>
      </c>
      <c r="AW267" s="9">
        <f t="shared" si="193"/>
        <v>492.18107</v>
      </c>
      <c r="AX267" s="9">
        <f t="shared" si="193"/>
        <v>492.18107</v>
      </c>
      <c r="AY267" s="9">
        <f t="shared" si="193"/>
        <v>492.18107</v>
      </c>
      <c r="AZ267" s="9">
        <f t="shared" si="193"/>
        <v>492.18107</v>
      </c>
      <c r="BA267" s="9">
        <f t="shared" si="193"/>
        <v>492.18107</v>
      </c>
      <c r="BB267" s="9">
        <f t="shared" si="193"/>
        <v>492.18107</v>
      </c>
      <c r="BC267" s="9">
        <f t="shared" si="193"/>
        <v>492.18107</v>
      </c>
      <c r="BD267" s="9">
        <f t="shared" si="193"/>
        <v>492.18107</v>
      </c>
      <c r="BE267" s="9">
        <f t="shared" si="193"/>
        <v>492.18107</v>
      </c>
      <c r="BF267" s="9">
        <f t="shared" si="193"/>
        <v>492.18107</v>
      </c>
      <c r="BG267" s="9">
        <f t="shared" si="193"/>
        <v>492.18107</v>
      </c>
      <c r="BH267" s="9">
        <f t="shared" si="193"/>
        <v>492.18107</v>
      </c>
      <c r="BI267" s="9">
        <f t="shared" si="193"/>
        <v>492.18107</v>
      </c>
      <c r="BJ267" s="9">
        <f t="shared" si="193"/>
        <v>492.18107</v>
      </c>
      <c r="BK267" s="9">
        <f t="shared" si="193"/>
        <v>492.18107</v>
      </c>
      <c r="BL267" s="9">
        <f t="shared" si="193"/>
        <v>492.18107</v>
      </c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ht="15.75" customHeight="1">
      <c r="U268" s="6">
        <v>44773.0</v>
      </c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>
        <f t="shared" ref="AV268:BM268" si="194">+$AV$53*$U$60*$X$60</f>
        <v>492.18107</v>
      </c>
      <c r="AW268" s="9">
        <f t="shared" si="194"/>
        <v>492.18107</v>
      </c>
      <c r="AX268" s="9">
        <f t="shared" si="194"/>
        <v>492.18107</v>
      </c>
      <c r="AY268" s="9">
        <f t="shared" si="194"/>
        <v>492.18107</v>
      </c>
      <c r="AZ268" s="9">
        <f t="shared" si="194"/>
        <v>492.18107</v>
      </c>
      <c r="BA268" s="9">
        <f t="shared" si="194"/>
        <v>492.18107</v>
      </c>
      <c r="BB268" s="9">
        <f t="shared" si="194"/>
        <v>492.18107</v>
      </c>
      <c r="BC268" s="9">
        <f t="shared" si="194"/>
        <v>492.18107</v>
      </c>
      <c r="BD268" s="9">
        <f t="shared" si="194"/>
        <v>492.18107</v>
      </c>
      <c r="BE268" s="9">
        <f t="shared" si="194"/>
        <v>492.18107</v>
      </c>
      <c r="BF268" s="9">
        <f t="shared" si="194"/>
        <v>492.18107</v>
      </c>
      <c r="BG268" s="9">
        <f t="shared" si="194"/>
        <v>492.18107</v>
      </c>
      <c r="BH268" s="9">
        <f t="shared" si="194"/>
        <v>492.18107</v>
      </c>
      <c r="BI268" s="9">
        <f t="shared" si="194"/>
        <v>492.18107</v>
      </c>
      <c r="BJ268" s="9">
        <f t="shared" si="194"/>
        <v>492.18107</v>
      </c>
      <c r="BK268" s="9">
        <f t="shared" si="194"/>
        <v>492.18107</v>
      </c>
      <c r="BL268" s="9">
        <f t="shared" si="194"/>
        <v>492.18107</v>
      </c>
      <c r="BM268" s="9">
        <f t="shared" si="194"/>
        <v>492.18107</v>
      </c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ht="15.75" customHeight="1">
      <c r="U269" s="6">
        <v>44804.0</v>
      </c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>
        <f t="shared" ref="AW269:BN269" si="195">+$AW$53*$U$60*$X$60</f>
        <v>787.4897119</v>
      </c>
      <c r="AX269" s="9">
        <f t="shared" si="195"/>
        <v>787.4897119</v>
      </c>
      <c r="AY269" s="9">
        <f t="shared" si="195"/>
        <v>787.4897119</v>
      </c>
      <c r="AZ269" s="9">
        <f t="shared" si="195"/>
        <v>787.4897119</v>
      </c>
      <c r="BA269" s="9">
        <f t="shared" si="195"/>
        <v>787.4897119</v>
      </c>
      <c r="BB269" s="9">
        <f t="shared" si="195"/>
        <v>787.4897119</v>
      </c>
      <c r="BC269" s="9">
        <f t="shared" si="195"/>
        <v>787.4897119</v>
      </c>
      <c r="BD269" s="9">
        <f t="shared" si="195"/>
        <v>787.4897119</v>
      </c>
      <c r="BE269" s="9">
        <f t="shared" si="195"/>
        <v>787.4897119</v>
      </c>
      <c r="BF269" s="9">
        <f t="shared" si="195"/>
        <v>787.4897119</v>
      </c>
      <c r="BG269" s="9">
        <f t="shared" si="195"/>
        <v>787.4897119</v>
      </c>
      <c r="BH269" s="9">
        <f t="shared" si="195"/>
        <v>787.4897119</v>
      </c>
      <c r="BI269" s="9">
        <f t="shared" si="195"/>
        <v>787.4897119</v>
      </c>
      <c r="BJ269" s="9">
        <f t="shared" si="195"/>
        <v>787.4897119</v>
      </c>
      <c r="BK269" s="9">
        <f t="shared" si="195"/>
        <v>787.4897119</v>
      </c>
      <c r="BL269" s="9">
        <f t="shared" si="195"/>
        <v>787.4897119</v>
      </c>
      <c r="BM269" s="9">
        <f t="shared" si="195"/>
        <v>787.4897119</v>
      </c>
      <c r="BN269" s="9">
        <f t="shared" si="195"/>
        <v>787.4897119</v>
      </c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ht="15.75" customHeight="1">
      <c r="U270" s="6">
        <v>44834.0</v>
      </c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>
        <f t="shared" ref="AX270:BO270" si="196">+$AX$53*$U$60*$X$60</f>
        <v>1476.54321</v>
      </c>
      <c r="AY270" s="9">
        <f t="shared" si="196"/>
        <v>1476.54321</v>
      </c>
      <c r="AZ270" s="9">
        <f t="shared" si="196"/>
        <v>1476.54321</v>
      </c>
      <c r="BA270" s="9">
        <f t="shared" si="196"/>
        <v>1476.54321</v>
      </c>
      <c r="BB270" s="9">
        <f t="shared" si="196"/>
        <v>1476.54321</v>
      </c>
      <c r="BC270" s="9">
        <f t="shared" si="196"/>
        <v>1476.54321</v>
      </c>
      <c r="BD270" s="9">
        <f t="shared" si="196"/>
        <v>1476.54321</v>
      </c>
      <c r="BE270" s="9">
        <f t="shared" si="196"/>
        <v>1476.54321</v>
      </c>
      <c r="BF270" s="9">
        <f t="shared" si="196"/>
        <v>1476.54321</v>
      </c>
      <c r="BG270" s="9">
        <f t="shared" si="196"/>
        <v>1476.54321</v>
      </c>
      <c r="BH270" s="9">
        <f t="shared" si="196"/>
        <v>1476.54321</v>
      </c>
      <c r="BI270" s="9">
        <f t="shared" si="196"/>
        <v>1476.54321</v>
      </c>
      <c r="BJ270" s="9">
        <f t="shared" si="196"/>
        <v>1476.54321</v>
      </c>
      <c r="BK270" s="9">
        <f t="shared" si="196"/>
        <v>1476.54321</v>
      </c>
      <c r="BL270" s="9">
        <f t="shared" si="196"/>
        <v>1476.54321</v>
      </c>
      <c r="BM270" s="9">
        <f t="shared" si="196"/>
        <v>1476.54321</v>
      </c>
      <c r="BN270" s="9">
        <f t="shared" si="196"/>
        <v>1476.54321</v>
      </c>
      <c r="BO270" s="9">
        <f t="shared" si="196"/>
        <v>1476.54321</v>
      </c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ht="15.75" customHeight="1">
      <c r="U271" s="6">
        <v>44865.0</v>
      </c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>
        <f t="shared" ref="AY271:BP271" si="197">+$AY$53*$U$60*$X$60</f>
        <v>1476.54321</v>
      </c>
      <c r="AZ271" s="9">
        <f t="shared" si="197"/>
        <v>1476.54321</v>
      </c>
      <c r="BA271" s="9">
        <f t="shared" si="197"/>
        <v>1476.54321</v>
      </c>
      <c r="BB271" s="9">
        <f t="shared" si="197"/>
        <v>1476.54321</v>
      </c>
      <c r="BC271" s="9">
        <f t="shared" si="197"/>
        <v>1476.54321</v>
      </c>
      <c r="BD271" s="9">
        <f t="shared" si="197"/>
        <v>1476.54321</v>
      </c>
      <c r="BE271" s="9">
        <f t="shared" si="197"/>
        <v>1476.54321</v>
      </c>
      <c r="BF271" s="9">
        <f t="shared" si="197"/>
        <v>1476.54321</v>
      </c>
      <c r="BG271" s="9">
        <f t="shared" si="197"/>
        <v>1476.54321</v>
      </c>
      <c r="BH271" s="9">
        <f t="shared" si="197"/>
        <v>1476.54321</v>
      </c>
      <c r="BI271" s="9">
        <f t="shared" si="197"/>
        <v>1476.54321</v>
      </c>
      <c r="BJ271" s="9">
        <f t="shared" si="197"/>
        <v>1476.54321</v>
      </c>
      <c r="BK271" s="9">
        <f t="shared" si="197"/>
        <v>1476.54321</v>
      </c>
      <c r="BL271" s="9">
        <f t="shared" si="197"/>
        <v>1476.54321</v>
      </c>
      <c r="BM271" s="9">
        <f t="shared" si="197"/>
        <v>1476.54321</v>
      </c>
      <c r="BN271" s="9">
        <f t="shared" si="197"/>
        <v>1476.54321</v>
      </c>
      <c r="BO271" s="9">
        <f t="shared" si="197"/>
        <v>1476.54321</v>
      </c>
      <c r="BP271" s="9">
        <f t="shared" si="197"/>
        <v>1476.54321</v>
      </c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ht="15.75" customHeight="1">
      <c r="U272" s="6">
        <v>44895.0</v>
      </c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>
        <f t="shared" ref="AZ272:BQ272" si="198">+$AZ$53*$U$60*$X$60</f>
        <v>759.3650794</v>
      </c>
      <c r="BA272" s="9">
        <f t="shared" si="198"/>
        <v>759.3650794</v>
      </c>
      <c r="BB272" s="9">
        <f t="shared" si="198"/>
        <v>759.3650794</v>
      </c>
      <c r="BC272" s="9">
        <f t="shared" si="198"/>
        <v>759.3650794</v>
      </c>
      <c r="BD272" s="9">
        <f t="shared" si="198"/>
        <v>759.3650794</v>
      </c>
      <c r="BE272" s="9">
        <f t="shared" si="198"/>
        <v>759.3650794</v>
      </c>
      <c r="BF272" s="9">
        <f t="shared" si="198"/>
        <v>759.3650794</v>
      </c>
      <c r="BG272" s="9">
        <f t="shared" si="198"/>
        <v>759.3650794</v>
      </c>
      <c r="BH272" s="9">
        <f t="shared" si="198"/>
        <v>759.3650794</v>
      </c>
      <c r="BI272" s="9">
        <f t="shared" si="198"/>
        <v>759.3650794</v>
      </c>
      <c r="BJ272" s="9">
        <f t="shared" si="198"/>
        <v>759.3650794</v>
      </c>
      <c r="BK272" s="9">
        <f t="shared" si="198"/>
        <v>759.3650794</v>
      </c>
      <c r="BL272" s="9">
        <f t="shared" si="198"/>
        <v>759.3650794</v>
      </c>
      <c r="BM272" s="9">
        <f t="shared" si="198"/>
        <v>759.3650794</v>
      </c>
      <c r="BN272" s="9">
        <f t="shared" si="198"/>
        <v>759.3650794</v>
      </c>
      <c r="BO272" s="9">
        <f t="shared" si="198"/>
        <v>759.3650794</v>
      </c>
      <c r="BP272" s="9">
        <f t="shared" si="198"/>
        <v>759.3650794</v>
      </c>
      <c r="BQ272" s="9">
        <f t="shared" si="198"/>
        <v>759.3650794</v>
      </c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ht="15.75" customHeight="1">
      <c r="U273" s="6">
        <v>44926.0</v>
      </c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>
        <f t="shared" ref="BA273:BR273" si="199">+$BA$53*$U$60*$X$60</f>
        <v>759.3650794</v>
      </c>
      <c r="BB273" s="9">
        <f t="shared" si="199"/>
        <v>759.3650794</v>
      </c>
      <c r="BC273" s="9">
        <f t="shared" si="199"/>
        <v>759.3650794</v>
      </c>
      <c r="BD273" s="9">
        <f t="shared" si="199"/>
        <v>759.3650794</v>
      </c>
      <c r="BE273" s="9">
        <f t="shared" si="199"/>
        <v>759.3650794</v>
      </c>
      <c r="BF273" s="9">
        <f t="shared" si="199"/>
        <v>759.3650794</v>
      </c>
      <c r="BG273" s="9">
        <f t="shared" si="199"/>
        <v>759.3650794</v>
      </c>
      <c r="BH273" s="9">
        <f t="shared" si="199"/>
        <v>759.3650794</v>
      </c>
      <c r="BI273" s="9">
        <f t="shared" si="199"/>
        <v>759.3650794</v>
      </c>
      <c r="BJ273" s="9">
        <f t="shared" si="199"/>
        <v>759.3650794</v>
      </c>
      <c r="BK273" s="9">
        <f t="shared" si="199"/>
        <v>759.3650794</v>
      </c>
      <c r="BL273" s="9">
        <f t="shared" si="199"/>
        <v>759.3650794</v>
      </c>
      <c r="BM273" s="9">
        <f t="shared" si="199"/>
        <v>759.3650794</v>
      </c>
      <c r="BN273" s="9">
        <f t="shared" si="199"/>
        <v>759.3650794</v>
      </c>
      <c r="BO273" s="9">
        <f t="shared" si="199"/>
        <v>759.3650794</v>
      </c>
      <c r="BP273" s="9">
        <f t="shared" si="199"/>
        <v>759.3650794</v>
      </c>
      <c r="BQ273" s="9">
        <f t="shared" si="199"/>
        <v>759.3650794</v>
      </c>
      <c r="BR273" s="9">
        <f t="shared" si="199"/>
        <v>759.3650794</v>
      </c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ht="15.75" customHeight="1">
      <c r="U274" s="6">
        <v>44957.0</v>
      </c>
      <c r="BB274" s="9">
        <f t="shared" ref="BB274:BS274" si="200">+$BB$53*$U$60*$X$60</f>
        <v>664.4444444</v>
      </c>
      <c r="BC274" s="9">
        <f t="shared" si="200"/>
        <v>664.4444444</v>
      </c>
      <c r="BD274" s="9">
        <f t="shared" si="200"/>
        <v>664.4444444</v>
      </c>
      <c r="BE274" s="9">
        <f t="shared" si="200"/>
        <v>664.4444444</v>
      </c>
      <c r="BF274" s="9">
        <f t="shared" si="200"/>
        <v>664.4444444</v>
      </c>
      <c r="BG274" s="9">
        <f t="shared" si="200"/>
        <v>664.4444444</v>
      </c>
      <c r="BH274" s="9">
        <f t="shared" si="200"/>
        <v>664.4444444</v>
      </c>
      <c r="BI274" s="9">
        <f t="shared" si="200"/>
        <v>664.4444444</v>
      </c>
      <c r="BJ274" s="9">
        <f t="shared" si="200"/>
        <v>664.4444444</v>
      </c>
      <c r="BK274" s="9">
        <f t="shared" si="200"/>
        <v>664.4444444</v>
      </c>
      <c r="BL274" s="9">
        <f t="shared" si="200"/>
        <v>664.4444444</v>
      </c>
      <c r="BM274" s="9">
        <f t="shared" si="200"/>
        <v>664.4444444</v>
      </c>
      <c r="BN274" s="9">
        <f t="shared" si="200"/>
        <v>664.4444444</v>
      </c>
      <c r="BO274" s="9">
        <f t="shared" si="200"/>
        <v>664.4444444</v>
      </c>
      <c r="BP274" s="9">
        <f t="shared" si="200"/>
        <v>664.4444444</v>
      </c>
      <c r="BQ274" s="9">
        <f t="shared" si="200"/>
        <v>664.4444444</v>
      </c>
      <c r="BR274" s="9">
        <f t="shared" si="200"/>
        <v>664.4444444</v>
      </c>
      <c r="BS274" s="9">
        <f t="shared" si="200"/>
        <v>664.4444444</v>
      </c>
    </row>
    <row r="275" ht="15.75" customHeight="1">
      <c r="U275" s="6">
        <v>44985.0</v>
      </c>
      <c r="BC275" s="9">
        <f t="shared" ref="BC275:BT275" si="201">+$BC$53*$U$60*$X$60</f>
        <v>332.2222222</v>
      </c>
      <c r="BD275" s="9">
        <f t="shared" si="201"/>
        <v>332.2222222</v>
      </c>
      <c r="BE275" s="9">
        <f t="shared" si="201"/>
        <v>332.2222222</v>
      </c>
      <c r="BF275" s="9">
        <f t="shared" si="201"/>
        <v>332.2222222</v>
      </c>
      <c r="BG275" s="9">
        <f t="shared" si="201"/>
        <v>332.2222222</v>
      </c>
      <c r="BH275" s="9">
        <f t="shared" si="201"/>
        <v>332.2222222</v>
      </c>
      <c r="BI275" s="9">
        <f t="shared" si="201"/>
        <v>332.2222222</v>
      </c>
      <c r="BJ275" s="9">
        <f t="shared" si="201"/>
        <v>332.2222222</v>
      </c>
      <c r="BK275" s="9">
        <f t="shared" si="201"/>
        <v>332.2222222</v>
      </c>
      <c r="BL275" s="9">
        <f t="shared" si="201"/>
        <v>332.2222222</v>
      </c>
      <c r="BM275" s="9">
        <f t="shared" si="201"/>
        <v>332.2222222</v>
      </c>
      <c r="BN275" s="9">
        <f t="shared" si="201"/>
        <v>332.2222222</v>
      </c>
      <c r="BO275" s="9">
        <f t="shared" si="201"/>
        <v>332.2222222</v>
      </c>
      <c r="BP275" s="9">
        <f t="shared" si="201"/>
        <v>332.2222222</v>
      </c>
      <c r="BQ275" s="9">
        <f t="shared" si="201"/>
        <v>332.2222222</v>
      </c>
      <c r="BR275" s="9">
        <f t="shared" si="201"/>
        <v>332.2222222</v>
      </c>
      <c r="BS275" s="9">
        <f t="shared" si="201"/>
        <v>332.2222222</v>
      </c>
      <c r="BT275" s="9">
        <f t="shared" si="201"/>
        <v>332.2222222</v>
      </c>
    </row>
    <row r="276" ht="15.75" customHeight="1">
      <c r="U276" s="6">
        <v>45016.0</v>
      </c>
      <c r="BD276" s="9">
        <f t="shared" ref="BD276:BU276" si="202">+$BD$53*$U$60*$X$60</f>
        <v>332.2222222</v>
      </c>
      <c r="BE276" s="9">
        <f t="shared" si="202"/>
        <v>332.2222222</v>
      </c>
      <c r="BF276" s="9">
        <f t="shared" si="202"/>
        <v>332.2222222</v>
      </c>
      <c r="BG276" s="9">
        <f t="shared" si="202"/>
        <v>332.2222222</v>
      </c>
      <c r="BH276" s="9">
        <f t="shared" si="202"/>
        <v>332.2222222</v>
      </c>
      <c r="BI276" s="9">
        <f t="shared" si="202"/>
        <v>332.2222222</v>
      </c>
      <c r="BJ276" s="9">
        <f t="shared" si="202"/>
        <v>332.2222222</v>
      </c>
      <c r="BK276" s="9">
        <f t="shared" si="202"/>
        <v>332.2222222</v>
      </c>
      <c r="BL276" s="9">
        <f t="shared" si="202"/>
        <v>332.2222222</v>
      </c>
      <c r="BM276" s="9">
        <f t="shared" si="202"/>
        <v>332.2222222</v>
      </c>
      <c r="BN276" s="9">
        <f t="shared" si="202"/>
        <v>332.2222222</v>
      </c>
      <c r="BO276" s="9">
        <f t="shared" si="202"/>
        <v>332.2222222</v>
      </c>
      <c r="BP276" s="9">
        <f t="shared" si="202"/>
        <v>332.2222222</v>
      </c>
      <c r="BQ276" s="9">
        <f t="shared" si="202"/>
        <v>332.2222222</v>
      </c>
      <c r="BR276" s="9">
        <f t="shared" si="202"/>
        <v>332.2222222</v>
      </c>
      <c r="BS276" s="9">
        <f t="shared" si="202"/>
        <v>332.2222222</v>
      </c>
      <c r="BT276" s="9">
        <f t="shared" si="202"/>
        <v>332.2222222</v>
      </c>
      <c r="BU276" s="9">
        <f t="shared" si="202"/>
        <v>332.2222222</v>
      </c>
    </row>
    <row r="277" ht="15.75" customHeight="1">
      <c r="U277" s="6">
        <v>45046.0</v>
      </c>
      <c r="BE277" s="9">
        <f t="shared" ref="BE277:BV277" si="203">+$BE$53*$U$60*$X$60</f>
        <v>332.2222222</v>
      </c>
      <c r="BF277" s="9">
        <f t="shared" si="203"/>
        <v>332.2222222</v>
      </c>
      <c r="BG277" s="9">
        <f t="shared" si="203"/>
        <v>332.2222222</v>
      </c>
      <c r="BH277" s="9">
        <f t="shared" si="203"/>
        <v>332.2222222</v>
      </c>
      <c r="BI277" s="9">
        <f t="shared" si="203"/>
        <v>332.2222222</v>
      </c>
      <c r="BJ277" s="9">
        <f t="shared" si="203"/>
        <v>332.2222222</v>
      </c>
      <c r="BK277" s="9">
        <f t="shared" si="203"/>
        <v>332.2222222</v>
      </c>
      <c r="BL277" s="9">
        <f t="shared" si="203"/>
        <v>332.2222222</v>
      </c>
      <c r="BM277" s="9">
        <f t="shared" si="203"/>
        <v>332.2222222</v>
      </c>
      <c r="BN277" s="9">
        <f t="shared" si="203"/>
        <v>332.2222222</v>
      </c>
      <c r="BO277" s="9">
        <f t="shared" si="203"/>
        <v>332.2222222</v>
      </c>
      <c r="BP277" s="9">
        <f t="shared" si="203"/>
        <v>332.2222222</v>
      </c>
      <c r="BQ277" s="9">
        <f t="shared" si="203"/>
        <v>332.2222222</v>
      </c>
      <c r="BR277" s="9">
        <f t="shared" si="203"/>
        <v>332.2222222</v>
      </c>
      <c r="BS277" s="9">
        <f t="shared" si="203"/>
        <v>332.2222222</v>
      </c>
      <c r="BT277" s="9">
        <f t="shared" si="203"/>
        <v>332.2222222</v>
      </c>
      <c r="BU277" s="9">
        <f t="shared" si="203"/>
        <v>332.2222222</v>
      </c>
      <c r="BV277" s="9">
        <f t="shared" si="203"/>
        <v>332.2222222</v>
      </c>
    </row>
    <row r="278" ht="15.75" customHeight="1">
      <c r="U278" s="6">
        <v>45077.0</v>
      </c>
      <c r="BF278" s="9">
        <f t="shared" ref="BF278:BW278" si="204">+$BF$53*$U$60*$X$60</f>
        <v>465.1111111</v>
      </c>
      <c r="BG278" s="9">
        <f t="shared" si="204"/>
        <v>465.1111111</v>
      </c>
      <c r="BH278" s="9">
        <f t="shared" si="204"/>
        <v>465.1111111</v>
      </c>
      <c r="BI278" s="9">
        <f t="shared" si="204"/>
        <v>465.1111111</v>
      </c>
      <c r="BJ278" s="9">
        <f t="shared" si="204"/>
        <v>465.1111111</v>
      </c>
      <c r="BK278" s="9">
        <f t="shared" si="204"/>
        <v>465.1111111</v>
      </c>
      <c r="BL278" s="9">
        <f t="shared" si="204"/>
        <v>465.1111111</v>
      </c>
      <c r="BM278" s="9">
        <f t="shared" si="204"/>
        <v>465.1111111</v>
      </c>
      <c r="BN278" s="9">
        <f t="shared" si="204"/>
        <v>465.1111111</v>
      </c>
      <c r="BO278" s="9">
        <f t="shared" si="204"/>
        <v>465.1111111</v>
      </c>
      <c r="BP278" s="9">
        <f t="shared" si="204"/>
        <v>465.1111111</v>
      </c>
      <c r="BQ278" s="9">
        <f t="shared" si="204"/>
        <v>465.1111111</v>
      </c>
      <c r="BR278" s="9">
        <f t="shared" si="204"/>
        <v>465.1111111</v>
      </c>
      <c r="BS278" s="9">
        <f t="shared" si="204"/>
        <v>465.1111111</v>
      </c>
      <c r="BT278" s="9">
        <f t="shared" si="204"/>
        <v>465.1111111</v>
      </c>
      <c r="BU278" s="9">
        <f t="shared" si="204"/>
        <v>465.1111111</v>
      </c>
      <c r="BV278" s="9">
        <f t="shared" si="204"/>
        <v>465.1111111</v>
      </c>
      <c r="BW278" s="9">
        <f t="shared" si="204"/>
        <v>465.1111111</v>
      </c>
    </row>
    <row r="279" ht="15.75" customHeight="1">
      <c r="U279" s="6">
        <v>45107.0</v>
      </c>
      <c r="BG279" s="9">
        <f t="shared" ref="BG279:BX279" si="205">+$BG$53*$U$60*$X$60</f>
        <v>465.1111111</v>
      </c>
      <c r="BH279" s="9">
        <f t="shared" si="205"/>
        <v>465.1111111</v>
      </c>
      <c r="BI279" s="9">
        <f t="shared" si="205"/>
        <v>465.1111111</v>
      </c>
      <c r="BJ279" s="9">
        <f t="shared" si="205"/>
        <v>465.1111111</v>
      </c>
      <c r="BK279" s="9">
        <f t="shared" si="205"/>
        <v>465.1111111</v>
      </c>
      <c r="BL279" s="9">
        <f t="shared" si="205"/>
        <v>465.1111111</v>
      </c>
      <c r="BM279" s="9">
        <f t="shared" si="205"/>
        <v>465.1111111</v>
      </c>
      <c r="BN279" s="9">
        <f t="shared" si="205"/>
        <v>465.1111111</v>
      </c>
      <c r="BO279" s="9">
        <f t="shared" si="205"/>
        <v>465.1111111</v>
      </c>
      <c r="BP279" s="9">
        <f t="shared" si="205"/>
        <v>465.1111111</v>
      </c>
      <c r="BQ279" s="9">
        <f t="shared" si="205"/>
        <v>465.1111111</v>
      </c>
      <c r="BR279" s="9">
        <f t="shared" si="205"/>
        <v>465.1111111</v>
      </c>
      <c r="BS279" s="9">
        <f t="shared" si="205"/>
        <v>465.1111111</v>
      </c>
      <c r="BT279" s="9">
        <f t="shared" si="205"/>
        <v>465.1111111</v>
      </c>
      <c r="BU279" s="9">
        <f t="shared" si="205"/>
        <v>465.1111111</v>
      </c>
      <c r="BV279" s="9">
        <f t="shared" si="205"/>
        <v>465.1111111</v>
      </c>
      <c r="BW279" s="9">
        <f t="shared" si="205"/>
        <v>465.1111111</v>
      </c>
      <c r="BX279" s="9">
        <f t="shared" si="205"/>
        <v>465.1111111</v>
      </c>
    </row>
    <row r="280" ht="15.75" customHeight="1">
      <c r="U280" s="6">
        <v>45138.0</v>
      </c>
      <c r="BH280" s="9">
        <f t="shared" ref="BH280:BY280" si="206">+$BH$53*$U$60*$X$60</f>
        <v>531.5555556</v>
      </c>
      <c r="BI280" s="9">
        <f t="shared" si="206"/>
        <v>531.5555556</v>
      </c>
      <c r="BJ280" s="9">
        <f t="shared" si="206"/>
        <v>531.5555556</v>
      </c>
      <c r="BK280" s="9">
        <f t="shared" si="206"/>
        <v>531.5555556</v>
      </c>
      <c r="BL280" s="9">
        <f t="shared" si="206"/>
        <v>531.5555556</v>
      </c>
      <c r="BM280" s="9">
        <f t="shared" si="206"/>
        <v>531.5555556</v>
      </c>
      <c r="BN280" s="9">
        <f t="shared" si="206"/>
        <v>531.5555556</v>
      </c>
      <c r="BO280" s="9">
        <f t="shared" si="206"/>
        <v>531.5555556</v>
      </c>
      <c r="BP280" s="9">
        <f t="shared" si="206"/>
        <v>531.5555556</v>
      </c>
      <c r="BQ280" s="9">
        <f t="shared" si="206"/>
        <v>531.5555556</v>
      </c>
      <c r="BR280" s="9">
        <f t="shared" si="206"/>
        <v>531.5555556</v>
      </c>
      <c r="BS280" s="9">
        <f t="shared" si="206"/>
        <v>531.5555556</v>
      </c>
      <c r="BT280" s="9">
        <f t="shared" si="206"/>
        <v>531.5555556</v>
      </c>
      <c r="BU280" s="9">
        <f t="shared" si="206"/>
        <v>531.5555556</v>
      </c>
      <c r="BV280" s="9">
        <f t="shared" si="206"/>
        <v>531.5555556</v>
      </c>
      <c r="BW280" s="9">
        <f t="shared" si="206"/>
        <v>531.5555556</v>
      </c>
      <c r="BX280" s="9">
        <f t="shared" si="206"/>
        <v>531.5555556</v>
      </c>
      <c r="BY280" s="9">
        <f t="shared" si="206"/>
        <v>531.5555556</v>
      </c>
    </row>
    <row r="281" ht="15.75" customHeight="1">
      <c r="U281" s="6">
        <v>45169.0</v>
      </c>
      <c r="BI281" s="9">
        <f t="shared" ref="BI281:BZ281" si="207">+$BI$53*$U$60*$X$60</f>
        <v>531.5555556</v>
      </c>
      <c r="BJ281" s="9">
        <f t="shared" si="207"/>
        <v>531.5555556</v>
      </c>
      <c r="BK281" s="9">
        <f t="shared" si="207"/>
        <v>531.5555556</v>
      </c>
      <c r="BL281" s="9">
        <f t="shared" si="207"/>
        <v>531.5555556</v>
      </c>
      <c r="BM281" s="9">
        <f t="shared" si="207"/>
        <v>531.5555556</v>
      </c>
      <c r="BN281" s="9">
        <f t="shared" si="207"/>
        <v>531.5555556</v>
      </c>
      <c r="BO281" s="9">
        <f t="shared" si="207"/>
        <v>531.5555556</v>
      </c>
      <c r="BP281" s="9">
        <f t="shared" si="207"/>
        <v>531.5555556</v>
      </c>
      <c r="BQ281" s="9">
        <f t="shared" si="207"/>
        <v>531.5555556</v>
      </c>
      <c r="BR281" s="9">
        <f t="shared" si="207"/>
        <v>531.5555556</v>
      </c>
      <c r="BS281" s="9">
        <f t="shared" si="207"/>
        <v>531.5555556</v>
      </c>
      <c r="BT281" s="9">
        <f t="shared" si="207"/>
        <v>531.5555556</v>
      </c>
      <c r="BU281" s="9">
        <f t="shared" si="207"/>
        <v>531.5555556</v>
      </c>
      <c r="BV281" s="9">
        <f t="shared" si="207"/>
        <v>531.5555556</v>
      </c>
      <c r="BW281" s="9">
        <f t="shared" si="207"/>
        <v>531.5555556</v>
      </c>
      <c r="BX281" s="9">
        <f t="shared" si="207"/>
        <v>531.5555556</v>
      </c>
      <c r="BY281" s="9">
        <f t="shared" si="207"/>
        <v>531.5555556</v>
      </c>
      <c r="BZ281" s="9">
        <f t="shared" si="207"/>
        <v>531.5555556</v>
      </c>
    </row>
    <row r="282" ht="15.75" customHeight="1">
      <c r="U282" s="6">
        <v>45199.0</v>
      </c>
      <c r="BJ282" s="9">
        <f t="shared" ref="BJ282:CA282" si="208">+$BJ$53*$U$60*$X$60</f>
        <v>531.5555556</v>
      </c>
      <c r="BK282" s="9">
        <f t="shared" si="208"/>
        <v>531.5555556</v>
      </c>
      <c r="BL282" s="9">
        <f t="shared" si="208"/>
        <v>531.5555556</v>
      </c>
      <c r="BM282" s="9">
        <f t="shared" si="208"/>
        <v>531.5555556</v>
      </c>
      <c r="BN282" s="9">
        <f t="shared" si="208"/>
        <v>531.5555556</v>
      </c>
      <c r="BO282" s="9">
        <f t="shared" si="208"/>
        <v>531.5555556</v>
      </c>
      <c r="BP282" s="9">
        <f t="shared" si="208"/>
        <v>531.5555556</v>
      </c>
      <c r="BQ282" s="9">
        <f t="shared" si="208"/>
        <v>531.5555556</v>
      </c>
      <c r="BR282" s="9">
        <f t="shared" si="208"/>
        <v>531.5555556</v>
      </c>
      <c r="BS282" s="9">
        <f t="shared" si="208"/>
        <v>531.5555556</v>
      </c>
      <c r="BT282" s="9">
        <f t="shared" si="208"/>
        <v>531.5555556</v>
      </c>
      <c r="BU282" s="9">
        <f t="shared" si="208"/>
        <v>531.5555556</v>
      </c>
      <c r="BV282" s="9">
        <f t="shared" si="208"/>
        <v>531.5555556</v>
      </c>
      <c r="BW282" s="9">
        <f t="shared" si="208"/>
        <v>531.5555556</v>
      </c>
      <c r="BX282" s="9">
        <f t="shared" si="208"/>
        <v>531.5555556</v>
      </c>
      <c r="BY282" s="9">
        <f t="shared" si="208"/>
        <v>531.5555556</v>
      </c>
      <c r="BZ282" s="9">
        <f t="shared" si="208"/>
        <v>531.5555556</v>
      </c>
      <c r="CA282" s="9">
        <f t="shared" si="208"/>
        <v>531.5555556</v>
      </c>
    </row>
    <row r="283" ht="15.75" customHeight="1">
      <c r="U283" s="6">
        <v>45230.0</v>
      </c>
      <c r="BK283" s="9">
        <f t="shared" ref="BK283:CB283" si="209">+$BK$53*$U$60*$X$60</f>
        <v>531.5555556</v>
      </c>
      <c r="BL283" s="9">
        <f t="shared" si="209"/>
        <v>531.5555556</v>
      </c>
      <c r="BM283" s="9">
        <f t="shared" si="209"/>
        <v>531.5555556</v>
      </c>
      <c r="BN283" s="9">
        <f t="shared" si="209"/>
        <v>531.5555556</v>
      </c>
      <c r="BO283" s="9">
        <f t="shared" si="209"/>
        <v>531.5555556</v>
      </c>
      <c r="BP283" s="9">
        <f t="shared" si="209"/>
        <v>531.5555556</v>
      </c>
      <c r="BQ283" s="9">
        <f t="shared" si="209"/>
        <v>531.5555556</v>
      </c>
      <c r="BR283" s="9">
        <f t="shared" si="209"/>
        <v>531.5555556</v>
      </c>
      <c r="BS283" s="9">
        <f t="shared" si="209"/>
        <v>531.5555556</v>
      </c>
      <c r="BT283" s="9">
        <f t="shared" si="209"/>
        <v>531.5555556</v>
      </c>
      <c r="BU283" s="9">
        <f t="shared" si="209"/>
        <v>531.5555556</v>
      </c>
      <c r="BV283" s="9">
        <f t="shared" si="209"/>
        <v>531.5555556</v>
      </c>
      <c r="BW283" s="9">
        <f t="shared" si="209"/>
        <v>531.5555556</v>
      </c>
      <c r="BX283" s="9">
        <f t="shared" si="209"/>
        <v>531.5555556</v>
      </c>
      <c r="BY283" s="9">
        <f t="shared" si="209"/>
        <v>531.5555556</v>
      </c>
      <c r="BZ283" s="9">
        <f t="shared" si="209"/>
        <v>531.5555556</v>
      </c>
      <c r="CA283" s="9">
        <f t="shared" si="209"/>
        <v>531.5555556</v>
      </c>
      <c r="CB283" s="9">
        <f t="shared" si="209"/>
        <v>531.5555556</v>
      </c>
    </row>
    <row r="284" ht="15.75" customHeight="1">
      <c r="U284" s="6">
        <v>45260.0</v>
      </c>
      <c r="BL284" s="9">
        <f t="shared" ref="BL284:CC284" si="210">+$BL$53*$U$60*$X$60</f>
        <v>465.1111111</v>
      </c>
      <c r="BM284" s="9">
        <f t="shared" si="210"/>
        <v>465.1111111</v>
      </c>
      <c r="BN284" s="9">
        <f t="shared" si="210"/>
        <v>465.1111111</v>
      </c>
      <c r="BO284" s="9">
        <f t="shared" si="210"/>
        <v>465.1111111</v>
      </c>
      <c r="BP284" s="9">
        <f t="shared" si="210"/>
        <v>465.1111111</v>
      </c>
      <c r="BQ284" s="9">
        <f t="shared" si="210"/>
        <v>465.1111111</v>
      </c>
      <c r="BR284" s="9">
        <f t="shared" si="210"/>
        <v>465.1111111</v>
      </c>
      <c r="BS284" s="9">
        <f t="shared" si="210"/>
        <v>465.1111111</v>
      </c>
      <c r="BT284" s="9">
        <f t="shared" si="210"/>
        <v>465.1111111</v>
      </c>
      <c r="BU284" s="9">
        <f t="shared" si="210"/>
        <v>465.1111111</v>
      </c>
      <c r="BV284" s="9">
        <f t="shared" si="210"/>
        <v>465.1111111</v>
      </c>
      <c r="BW284" s="9">
        <f t="shared" si="210"/>
        <v>465.1111111</v>
      </c>
      <c r="BX284" s="9">
        <f t="shared" si="210"/>
        <v>465.1111111</v>
      </c>
      <c r="BY284" s="9">
        <f t="shared" si="210"/>
        <v>465.1111111</v>
      </c>
      <c r="BZ284" s="9">
        <f t="shared" si="210"/>
        <v>465.1111111</v>
      </c>
      <c r="CA284" s="9">
        <f t="shared" si="210"/>
        <v>465.1111111</v>
      </c>
      <c r="CB284" s="9">
        <f t="shared" si="210"/>
        <v>465.1111111</v>
      </c>
      <c r="CC284" s="9">
        <f t="shared" si="210"/>
        <v>465.1111111</v>
      </c>
    </row>
    <row r="285" ht="15.75" customHeight="1">
      <c r="U285" s="6">
        <v>45291.0</v>
      </c>
      <c r="BM285" s="9">
        <f t="shared" ref="BM285:CD285" si="211">+$BM$53*$U$60*$X$60</f>
        <v>332.2222222</v>
      </c>
      <c r="BN285" s="9">
        <f t="shared" si="211"/>
        <v>332.2222222</v>
      </c>
      <c r="BO285" s="9">
        <f t="shared" si="211"/>
        <v>332.2222222</v>
      </c>
      <c r="BP285" s="9">
        <f t="shared" si="211"/>
        <v>332.2222222</v>
      </c>
      <c r="BQ285" s="9">
        <f t="shared" si="211"/>
        <v>332.2222222</v>
      </c>
      <c r="BR285" s="9">
        <f t="shared" si="211"/>
        <v>332.2222222</v>
      </c>
      <c r="BS285" s="9">
        <f t="shared" si="211"/>
        <v>332.2222222</v>
      </c>
      <c r="BT285" s="9">
        <f t="shared" si="211"/>
        <v>332.2222222</v>
      </c>
      <c r="BU285" s="9">
        <f t="shared" si="211"/>
        <v>332.2222222</v>
      </c>
      <c r="BV285" s="9">
        <f t="shared" si="211"/>
        <v>332.2222222</v>
      </c>
      <c r="BW285" s="9">
        <f t="shared" si="211"/>
        <v>332.2222222</v>
      </c>
      <c r="BX285" s="9">
        <f t="shared" si="211"/>
        <v>332.2222222</v>
      </c>
      <c r="BY285" s="9">
        <f t="shared" si="211"/>
        <v>332.2222222</v>
      </c>
      <c r="BZ285" s="9">
        <f t="shared" si="211"/>
        <v>332.2222222</v>
      </c>
      <c r="CA285" s="9">
        <f t="shared" si="211"/>
        <v>332.2222222</v>
      </c>
      <c r="CB285" s="9">
        <f t="shared" si="211"/>
        <v>332.2222222</v>
      </c>
      <c r="CC285" s="9">
        <f t="shared" si="211"/>
        <v>332.2222222</v>
      </c>
      <c r="CD285" s="9">
        <f t="shared" si="211"/>
        <v>332.2222222</v>
      </c>
    </row>
    <row r="286" ht="15.75" customHeight="1">
      <c r="U286" s="6">
        <v>45322.0</v>
      </c>
      <c r="BN286" s="9">
        <f t="shared" ref="BN286:CE286" si="212">+$BN$53*$U$60*$X$60</f>
        <v>531.5555556</v>
      </c>
      <c r="BO286" s="9">
        <f t="shared" si="212"/>
        <v>531.5555556</v>
      </c>
      <c r="BP286" s="9">
        <f t="shared" si="212"/>
        <v>531.5555556</v>
      </c>
      <c r="BQ286" s="9">
        <f t="shared" si="212"/>
        <v>531.5555556</v>
      </c>
      <c r="BR286" s="9">
        <f t="shared" si="212"/>
        <v>531.5555556</v>
      </c>
      <c r="BS286" s="9">
        <f t="shared" si="212"/>
        <v>531.5555556</v>
      </c>
      <c r="BT286" s="9">
        <f t="shared" si="212"/>
        <v>531.5555556</v>
      </c>
      <c r="BU286" s="9">
        <f t="shared" si="212"/>
        <v>531.5555556</v>
      </c>
      <c r="BV286" s="9">
        <f t="shared" si="212"/>
        <v>531.5555556</v>
      </c>
      <c r="BW286" s="9">
        <f t="shared" si="212"/>
        <v>531.5555556</v>
      </c>
      <c r="BX286" s="9">
        <f t="shared" si="212"/>
        <v>531.5555556</v>
      </c>
      <c r="BY286" s="9">
        <f t="shared" si="212"/>
        <v>531.5555556</v>
      </c>
      <c r="BZ286" s="9">
        <f t="shared" si="212"/>
        <v>531.5555556</v>
      </c>
      <c r="CA286" s="9">
        <f t="shared" si="212"/>
        <v>531.5555556</v>
      </c>
      <c r="CB286" s="9">
        <f t="shared" si="212"/>
        <v>531.5555556</v>
      </c>
      <c r="CC286" s="9">
        <f t="shared" si="212"/>
        <v>531.5555556</v>
      </c>
      <c r="CD286" s="9">
        <f t="shared" si="212"/>
        <v>531.5555556</v>
      </c>
      <c r="CE286" s="9">
        <f t="shared" si="212"/>
        <v>531.5555556</v>
      </c>
    </row>
    <row r="287" ht="15.75" customHeight="1">
      <c r="U287" s="6">
        <v>45351.0</v>
      </c>
      <c r="BO287" s="9">
        <f t="shared" ref="BO287:CF287" si="213">+$BO$53*$U$60*$X$60</f>
        <v>797.3333333</v>
      </c>
      <c r="BP287" s="9">
        <f t="shared" si="213"/>
        <v>797.3333333</v>
      </c>
      <c r="BQ287" s="9">
        <f t="shared" si="213"/>
        <v>797.3333333</v>
      </c>
      <c r="BR287" s="9">
        <f t="shared" si="213"/>
        <v>797.3333333</v>
      </c>
      <c r="BS287" s="9">
        <f t="shared" si="213"/>
        <v>797.3333333</v>
      </c>
      <c r="BT287" s="9">
        <f t="shared" si="213"/>
        <v>797.3333333</v>
      </c>
      <c r="BU287" s="9">
        <f t="shared" si="213"/>
        <v>797.3333333</v>
      </c>
      <c r="BV287" s="9">
        <f t="shared" si="213"/>
        <v>797.3333333</v>
      </c>
      <c r="BW287" s="9">
        <f t="shared" si="213"/>
        <v>797.3333333</v>
      </c>
      <c r="BX287" s="9">
        <f t="shared" si="213"/>
        <v>797.3333333</v>
      </c>
      <c r="BY287" s="9">
        <f t="shared" si="213"/>
        <v>797.3333333</v>
      </c>
      <c r="BZ287" s="9">
        <f t="shared" si="213"/>
        <v>797.3333333</v>
      </c>
      <c r="CA287" s="9">
        <f t="shared" si="213"/>
        <v>797.3333333</v>
      </c>
      <c r="CB287" s="9">
        <f t="shared" si="213"/>
        <v>797.3333333</v>
      </c>
      <c r="CC287" s="9">
        <f t="shared" si="213"/>
        <v>797.3333333</v>
      </c>
      <c r="CD287" s="9">
        <f t="shared" si="213"/>
        <v>797.3333333</v>
      </c>
      <c r="CE287" s="9">
        <f t="shared" si="213"/>
        <v>797.3333333</v>
      </c>
      <c r="CF287" s="9">
        <f t="shared" si="213"/>
        <v>797.3333333</v>
      </c>
    </row>
    <row r="288" ht="15.75" customHeight="1">
      <c r="U288" s="6">
        <v>45382.0</v>
      </c>
      <c r="BP288" s="9">
        <f t="shared" ref="BP288:CG288" si="214">+$BP$53*$U$60*$X$60</f>
        <v>1328.888889</v>
      </c>
      <c r="BQ288" s="9">
        <f t="shared" si="214"/>
        <v>1328.888889</v>
      </c>
      <c r="BR288" s="9">
        <f t="shared" si="214"/>
        <v>1328.888889</v>
      </c>
      <c r="BS288" s="9">
        <f t="shared" si="214"/>
        <v>1328.888889</v>
      </c>
      <c r="BT288" s="9">
        <f t="shared" si="214"/>
        <v>1328.888889</v>
      </c>
      <c r="BU288" s="9">
        <f t="shared" si="214"/>
        <v>1328.888889</v>
      </c>
      <c r="BV288" s="9">
        <f t="shared" si="214"/>
        <v>1328.888889</v>
      </c>
      <c r="BW288" s="9">
        <f t="shared" si="214"/>
        <v>1328.888889</v>
      </c>
      <c r="BX288" s="9">
        <f t="shared" si="214"/>
        <v>1328.888889</v>
      </c>
      <c r="BY288" s="9">
        <f t="shared" si="214"/>
        <v>1328.888889</v>
      </c>
      <c r="BZ288" s="9">
        <f t="shared" si="214"/>
        <v>1328.888889</v>
      </c>
      <c r="CA288" s="9">
        <f t="shared" si="214"/>
        <v>1328.888889</v>
      </c>
      <c r="CB288" s="9">
        <f t="shared" si="214"/>
        <v>1328.888889</v>
      </c>
      <c r="CC288" s="9">
        <f t="shared" si="214"/>
        <v>1328.888889</v>
      </c>
      <c r="CD288" s="9">
        <f t="shared" si="214"/>
        <v>1328.888889</v>
      </c>
      <c r="CE288" s="9">
        <f t="shared" si="214"/>
        <v>1328.888889</v>
      </c>
      <c r="CF288" s="9">
        <f t="shared" si="214"/>
        <v>1328.888889</v>
      </c>
      <c r="CG288" s="9">
        <f t="shared" si="214"/>
        <v>1328.888889</v>
      </c>
    </row>
    <row r="289" ht="15.75" customHeight="1">
      <c r="U289" s="6">
        <v>45412.0</v>
      </c>
      <c r="BQ289" s="9">
        <f t="shared" ref="BQ289:CH289" si="215">+$BQ$53*$U$60*$X$60</f>
        <v>1328.888889</v>
      </c>
      <c r="BR289" s="9">
        <f t="shared" si="215"/>
        <v>1328.888889</v>
      </c>
      <c r="BS289" s="9">
        <f t="shared" si="215"/>
        <v>1328.888889</v>
      </c>
      <c r="BT289" s="9">
        <f t="shared" si="215"/>
        <v>1328.888889</v>
      </c>
      <c r="BU289" s="9">
        <f t="shared" si="215"/>
        <v>1328.888889</v>
      </c>
      <c r="BV289" s="9">
        <f t="shared" si="215"/>
        <v>1328.888889</v>
      </c>
      <c r="BW289" s="9">
        <f t="shared" si="215"/>
        <v>1328.888889</v>
      </c>
      <c r="BX289" s="9">
        <f t="shared" si="215"/>
        <v>1328.888889</v>
      </c>
      <c r="BY289" s="9">
        <f t="shared" si="215"/>
        <v>1328.888889</v>
      </c>
      <c r="BZ289" s="9">
        <f t="shared" si="215"/>
        <v>1328.888889</v>
      </c>
      <c r="CA289" s="9">
        <f t="shared" si="215"/>
        <v>1328.888889</v>
      </c>
      <c r="CB289" s="9">
        <f t="shared" si="215"/>
        <v>1328.888889</v>
      </c>
      <c r="CC289" s="9">
        <f t="shared" si="215"/>
        <v>1328.888889</v>
      </c>
      <c r="CD289" s="9">
        <f t="shared" si="215"/>
        <v>1328.888889</v>
      </c>
      <c r="CE289" s="9">
        <f t="shared" si="215"/>
        <v>1328.888889</v>
      </c>
      <c r="CF289" s="9">
        <f t="shared" si="215"/>
        <v>1328.888889</v>
      </c>
      <c r="CG289" s="9">
        <f t="shared" si="215"/>
        <v>1328.888889</v>
      </c>
      <c r="CH289" s="9">
        <f t="shared" si="215"/>
        <v>1328.888889</v>
      </c>
    </row>
    <row r="290" ht="15.75" customHeight="1">
      <c r="U290" s="6">
        <v>45443.0</v>
      </c>
      <c r="BR290" s="9">
        <f t="shared" ref="BR290:CI290" si="216">+$BR$53*$U$60*$X$60</f>
        <v>1476.54321</v>
      </c>
      <c r="BS290" s="9">
        <f t="shared" si="216"/>
        <v>1476.54321</v>
      </c>
      <c r="BT290" s="9">
        <f t="shared" si="216"/>
        <v>1476.54321</v>
      </c>
      <c r="BU290" s="9">
        <f t="shared" si="216"/>
        <v>1476.54321</v>
      </c>
      <c r="BV290" s="9">
        <f t="shared" si="216"/>
        <v>1476.54321</v>
      </c>
      <c r="BW290" s="9">
        <f t="shared" si="216"/>
        <v>1476.54321</v>
      </c>
      <c r="BX290" s="9">
        <f t="shared" si="216"/>
        <v>1476.54321</v>
      </c>
      <c r="BY290" s="9">
        <f t="shared" si="216"/>
        <v>1476.54321</v>
      </c>
      <c r="BZ290" s="9">
        <f t="shared" si="216"/>
        <v>1476.54321</v>
      </c>
      <c r="CA290" s="9">
        <f t="shared" si="216"/>
        <v>1476.54321</v>
      </c>
      <c r="CB290" s="9">
        <f t="shared" si="216"/>
        <v>1476.54321</v>
      </c>
      <c r="CC290" s="9">
        <f t="shared" si="216"/>
        <v>1476.54321</v>
      </c>
      <c r="CD290" s="9">
        <f t="shared" si="216"/>
        <v>1476.54321</v>
      </c>
      <c r="CE290" s="9">
        <f t="shared" si="216"/>
        <v>1476.54321</v>
      </c>
      <c r="CF290" s="9">
        <f t="shared" si="216"/>
        <v>1476.54321</v>
      </c>
      <c r="CG290" s="9">
        <f t="shared" si="216"/>
        <v>1476.54321</v>
      </c>
      <c r="CH290" s="9">
        <f t="shared" si="216"/>
        <v>1476.54321</v>
      </c>
      <c r="CI290" s="9">
        <f t="shared" si="216"/>
        <v>1476.54321</v>
      </c>
    </row>
    <row r="291" ht="15.75" customHeight="1">
      <c r="U291" s="6">
        <v>45473.0</v>
      </c>
      <c r="BS291" s="9">
        <f t="shared" ref="BS291:CJ291" si="217">+$BS$53*$U$60*$X$60</f>
        <v>1476.54321</v>
      </c>
      <c r="BT291" s="9">
        <f t="shared" si="217"/>
        <v>1476.54321</v>
      </c>
      <c r="BU291" s="9">
        <f t="shared" si="217"/>
        <v>1476.54321</v>
      </c>
      <c r="BV291" s="9">
        <f t="shared" si="217"/>
        <v>1476.54321</v>
      </c>
      <c r="BW291" s="9">
        <f t="shared" si="217"/>
        <v>1476.54321</v>
      </c>
      <c r="BX291" s="9">
        <f t="shared" si="217"/>
        <v>1476.54321</v>
      </c>
      <c r="BY291" s="9">
        <f t="shared" si="217"/>
        <v>1476.54321</v>
      </c>
      <c r="BZ291" s="9">
        <f t="shared" si="217"/>
        <v>1476.54321</v>
      </c>
      <c r="CA291" s="9">
        <f t="shared" si="217"/>
        <v>1476.54321</v>
      </c>
      <c r="CB291" s="9">
        <f t="shared" si="217"/>
        <v>1476.54321</v>
      </c>
      <c r="CC291" s="9">
        <f t="shared" si="217"/>
        <v>1476.54321</v>
      </c>
      <c r="CD291" s="9">
        <f t="shared" si="217"/>
        <v>1476.54321</v>
      </c>
      <c r="CE291" s="9">
        <f t="shared" si="217"/>
        <v>1476.54321</v>
      </c>
      <c r="CF291" s="9">
        <f t="shared" si="217"/>
        <v>1476.54321</v>
      </c>
      <c r="CG291" s="9">
        <f t="shared" si="217"/>
        <v>1476.54321</v>
      </c>
      <c r="CH291" s="9">
        <f t="shared" si="217"/>
        <v>1476.54321</v>
      </c>
      <c r="CI291" s="9">
        <f t="shared" si="217"/>
        <v>1476.54321</v>
      </c>
      <c r="CJ291" s="9">
        <f t="shared" si="217"/>
        <v>1476.54321</v>
      </c>
    </row>
    <row r="292" ht="15.75" customHeight="1">
      <c r="U292" s="6">
        <v>45504.0</v>
      </c>
      <c r="BT292" s="9">
        <f t="shared" ref="BT292:CK292" si="218">+$BT$53*$U$60*$X$60</f>
        <v>1661.111111</v>
      </c>
      <c r="BU292" s="9">
        <f t="shared" si="218"/>
        <v>1661.111111</v>
      </c>
      <c r="BV292" s="9">
        <f t="shared" si="218"/>
        <v>1661.111111</v>
      </c>
      <c r="BW292" s="9">
        <f t="shared" si="218"/>
        <v>1661.111111</v>
      </c>
      <c r="BX292" s="9">
        <f t="shared" si="218"/>
        <v>1661.111111</v>
      </c>
      <c r="BY292" s="9">
        <f t="shared" si="218"/>
        <v>1661.111111</v>
      </c>
      <c r="BZ292" s="9">
        <f t="shared" si="218"/>
        <v>1661.111111</v>
      </c>
      <c r="CA292" s="9">
        <f t="shared" si="218"/>
        <v>1661.111111</v>
      </c>
      <c r="CB292" s="9">
        <f t="shared" si="218"/>
        <v>1661.111111</v>
      </c>
      <c r="CC292" s="9">
        <f t="shared" si="218"/>
        <v>1661.111111</v>
      </c>
      <c r="CD292" s="9">
        <f t="shared" si="218"/>
        <v>1661.111111</v>
      </c>
      <c r="CE292" s="9">
        <f t="shared" si="218"/>
        <v>1661.111111</v>
      </c>
      <c r="CF292" s="9">
        <f t="shared" si="218"/>
        <v>1661.111111</v>
      </c>
      <c r="CG292" s="9">
        <f t="shared" si="218"/>
        <v>1661.111111</v>
      </c>
      <c r="CH292" s="9">
        <f t="shared" si="218"/>
        <v>1661.111111</v>
      </c>
      <c r="CI292" s="9">
        <f t="shared" si="218"/>
        <v>1661.111111</v>
      </c>
      <c r="CJ292" s="9">
        <f t="shared" si="218"/>
        <v>1661.111111</v>
      </c>
      <c r="CK292" s="9">
        <f t="shared" si="218"/>
        <v>1661.111111</v>
      </c>
    </row>
    <row r="293" ht="15.75" customHeight="1">
      <c r="U293" s="6">
        <v>45535.0</v>
      </c>
      <c r="BU293" s="9">
        <f t="shared" ref="BU293:CL293" si="219">+$BU$53*$U$60*$X$60</f>
        <v>1898.412698</v>
      </c>
      <c r="BV293" s="9">
        <f t="shared" si="219"/>
        <v>1898.412698</v>
      </c>
      <c r="BW293" s="9">
        <f t="shared" si="219"/>
        <v>1898.412698</v>
      </c>
      <c r="BX293" s="9">
        <f t="shared" si="219"/>
        <v>1898.412698</v>
      </c>
      <c r="BY293" s="9">
        <f t="shared" si="219"/>
        <v>1898.412698</v>
      </c>
      <c r="BZ293" s="9">
        <f t="shared" si="219"/>
        <v>1898.412698</v>
      </c>
      <c r="CA293" s="9">
        <f t="shared" si="219"/>
        <v>1898.412698</v>
      </c>
      <c r="CB293" s="9">
        <f t="shared" si="219"/>
        <v>1898.412698</v>
      </c>
      <c r="CC293" s="9">
        <f t="shared" si="219"/>
        <v>1898.412698</v>
      </c>
      <c r="CD293" s="9">
        <f t="shared" si="219"/>
        <v>1898.412698</v>
      </c>
      <c r="CE293" s="9">
        <f t="shared" si="219"/>
        <v>1898.412698</v>
      </c>
      <c r="CF293" s="9">
        <f t="shared" si="219"/>
        <v>1898.412698</v>
      </c>
      <c r="CG293" s="9">
        <f t="shared" si="219"/>
        <v>1898.412698</v>
      </c>
      <c r="CH293" s="9">
        <f t="shared" si="219"/>
        <v>1898.412698</v>
      </c>
      <c r="CI293" s="9">
        <f t="shared" si="219"/>
        <v>1898.412698</v>
      </c>
      <c r="CJ293" s="9">
        <f t="shared" si="219"/>
        <v>1898.412698</v>
      </c>
      <c r="CK293" s="9">
        <f t="shared" si="219"/>
        <v>1898.412698</v>
      </c>
      <c r="CL293" s="9">
        <f t="shared" si="219"/>
        <v>1898.412698</v>
      </c>
    </row>
    <row r="294" ht="15.75" customHeight="1">
      <c r="U294" s="6">
        <v>45565.0</v>
      </c>
      <c r="BV294" s="9">
        <f t="shared" ref="BV294:CM294" si="220">+$BV$53*$U$60*$X$60</f>
        <v>1139.047619</v>
      </c>
      <c r="BW294" s="9">
        <f t="shared" si="220"/>
        <v>1139.047619</v>
      </c>
      <c r="BX294" s="9">
        <f t="shared" si="220"/>
        <v>1139.047619</v>
      </c>
      <c r="BY294" s="9">
        <f t="shared" si="220"/>
        <v>1139.047619</v>
      </c>
      <c r="BZ294" s="9">
        <f t="shared" si="220"/>
        <v>1139.047619</v>
      </c>
      <c r="CA294" s="9">
        <f t="shared" si="220"/>
        <v>1139.047619</v>
      </c>
      <c r="CB294" s="9">
        <f t="shared" si="220"/>
        <v>1139.047619</v>
      </c>
      <c r="CC294" s="9">
        <f t="shared" si="220"/>
        <v>1139.047619</v>
      </c>
      <c r="CD294" s="9">
        <f t="shared" si="220"/>
        <v>1139.047619</v>
      </c>
      <c r="CE294" s="9">
        <f t="shared" si="220"/>
        <v>1139.047619</v>
      </c>
      <c r="CF294" s="9">
        <f t="shared" si="220"/>
        <v>1139.047619</v>
      </c>
      <c r="CG294" s="9">
        <f t="shared" si="220"/>
        <v>1139.047619</v>
      </c>
      <c r="CH294" s="9">
        <f t="shared" si="220"/>
        <v>1139.047619</v>
      </c>
      <c r="CI294" s="9">
        <f t="shared" si="220"/>
        <v>1139.047619</v>
      </c>
      <c r="CJ294" s="9">
        <f t="shared" si="220"/>
        <v>1139.047619</v>
      </c>
      <c r="CK294" s="9">
        <f t="shared" si="220"/>
        <v>1139.047619</v>
      </c>
      <c r="CL294" s="9">
        <f t="shared" si="220"/>
        <v>1139.047619</v>
      </c>
      <c r="CM294" s="9">
        <f t="shared" si="220"/>
        <v>1139.047619</v>
      </c>
    </row>
    <row r="295" ht="15.75" customHeight="1">
      <c r="U295" s="6">
        <v>45596.0</v>
      </c>
      <c r="BW295" s="9">
        <f t="shared" ref="BW295:CN295" si="221">+$BW$53*$U$60*$X$60</f>
        <v>1139.047619</v>
      </c>
      <c r="BX295" s="9">
        <f t="shared" si="221"/>
        <v>1139.047619</v>
      </c>
      <c r="BY295" s="9">
        <f t="shared" si="221"/>
        <v>1139.047619</v>
      </c>
      <c r="BZ295" s="9">
        <f t="shared" si="221"/>
        <v>1139.047619</v>
      </c>
      <c r="CA295" s="9">
        <f t="shared" si="221"/>
        <v>1139.047619</v>
      </c>
      <c r="CB295" s="9">
        <f t="shared" si="221"/>
        <v>1139.047619</v>
      </c>
      <c r="CC295" s="9">
        <f t="shared" si="221"/>
        <v>1139.047619</v>
      </c>
      <c r="CD295" s="9">
        <f t="shared" si="221"/>
        <v>1139.047619</v>
      </c>
      <c r="CE295" s="9">
        <f t="shared" si="221"/>
        <v>1139.047619</v>
      </c>
      <c r="CF295" s="9">
        <f t="shared" si="221"/>
        <v>1139.047619</v>
      </c>
      <c r="CG295" s="9">
        <f t="shared" si="221"/>
        <v>1139.047619</v>
      </c>
      <c r="CH295" s="9">
        <f t="shared" si="221"/>
        <v>1139.047619</v>
      </c>
      <c r="CI295" s="9">
        <f t="shared" si="221"/>
        <v>1139.047619</v>
      </c>
      <c r="CJ295" s="9">
        <f t="shared" si="221"/>
        <v>1139.047619</v>
      </c>
      <c r="CK295" s="9">
        <f t="shared" si="221"/>
        <v>1139.047619</v>
      </c>
      <c r="CL295" s="9">
        <f t="shared" si="221"/>
        <v>1139.047619</v>
      </c>
      <c r="CM295" s="9">
        <f t="shared" si="221"/>
        <v>1139.047619</v>
      </c>
      <c r="CN295" s="9">
        <f t="shared" si="221"/>
        <v>1139.047619</v>
      </c>
    </row>
    <row r="296" ht="15.75" customHeight="1">
      <c r="U296" s="6">
        <v>45626.0</v>
      </c>
      <c r="BX296" s="9">
        <f t="shared" ref="BX296:CO296" si="222">+$BX$53*$U$60*$X$60</f>
        <v>996.6666667</v>
      </c>
      <c r="BY296" s="9">
        <f t="shared" si="222"/>
        <v>996.6666667</v>
      </c>
      <c r="BZ296" s="9">
        <f t="shared" si="222"/>
        <v>996.6666667</v>
      </c>
      <c r="CA296" s="9">
        <f t="shared" si="222"/>
        <v>996.6666667</v>
      </c>
      <c r="CB296" s="9">
        <f t="shared" si="222"/>
        <v>996.6666667</v>
      </c>
      <c r="CC296" s="9">
        <f t="shared" si="222"/>
        <v>996.6666667</v>
      </c>
      <c r="CD296" s="9">
        <f t="shared" si="222"/>
        <v>996.6666667</v>
      </c>
      <c r="CE296" s="9">
        <f t="shared" si="222"/>
        <v>996.6666667</v>
      </c>
      <c r="CF296" s="9">
        <f t="shared" si="222"/>
        <v>996.6666667</v>
      </c>
      <c r="CG296" s="9">
        <f t="shared" si="222"/>
        <v>996.6666667</v>
      </c>
      <c r="CH296" s="9">
        <f t="shared" si="222"/>
        <v>996.6666667</v>
      </c>
      <c r="CI296" s="9">
        <f t="shared" si="222"/>
        <v>996.6666667</v>
      </c>
      <c r="CJ296" s="9">
        <f t="shared" si="222"/>
        <v>996.6666667</v>
      </c>
      <c r="CK296" s="9">
        <f t="shared" si="222"/>
        <v>996.6666667</v>
      </c>
      <c r="CL296" s="9">
        <f t="shared" si="222"/>
        <v>996.6666667</v>
      </c>
      <c r="CM296" s="9">
        <f t="shared" si="222"/>
        <v>996.6666667</v>
      </c>
      <c r="CN296" s="9">
        <f t="shared" si="222"/>
        <v>996.6666667</v>
      </c>
      <c r="CO296" s="9">
        <f t="shared" si="222"/>
        <v>996.6666667</v>
      </c>
    </row>
    <row r="297" ht="15.75" customHeight="1">
      <c r="U297" s="6">
        <v>45657.0</v>
      </c>
      <c r="BY297" s="9">
        <f t="shared" ref="BY297:CP297" si="223">+$BY$53*$U$60*$X$60</f>
        <v>996.6666667</v>
      </c>
      <c r="BZ297" s="9">
        <f t="shared" si="223"/>
        <v>996.6666667</v>
      </c>
      <c r="CA297" s="9">
        <f t="shared" si="223"/>
        <v>996.6666667</v>
      </c>
      <c r="CB297" s="9">
        <f t="shared" si="223"/>
        <v>996.6666667</v>
      </c>
      <c r="CC297" s="9">
        <f t="shared" si="223"/>
        <v>996.6666667</v>
      </c>
      <c r="CD297" s="9">
        <f t="shared" si="223"/>
        <v>996.6666667</v>
      </c>
      <c r="CE297" s="9">
        <f t="shared" si="223"/>
        <v>996.6666667</v>
      </c>
      <c r="CF297" s="9">
        <f t="shared" si="223"/>
        <v>996.6666667</v>
      </c>
      <c r="CG297" s="9">
        <f t="shared" si="223"/>
        <v>996.6666667</v>
      </c>
      <c r="CH297" s="9">
        <f t="shared" si="223"/>
        <v>996.6666667</v>
      </c>
      <c r="CI297" s="9">
        <f t="shared" si="223"/>
        <v>996.6666667</v>
      </c>
      <c r="CJ297" s="9">
        <f t="shared" si="223"/>
        <v>996.6666667</v>
      </c>
      <c r="CK297" s="9">
        <f t="shared" si="223"/>
        <v>996.6666667</v>
      </c>
      <c r="CL297" s="9">
        <f t="shared" si="223"/>
        <v>996.6666667</v>
      </c>
      <c r="CM297" s="9">
        <f t="shared" si="223"/>
        <v>996.6666667</v>
      </c>
      <c r="CN297" s="9">
        <f t="shared" si="223"/>
        <v>996.6666667</v>
      </c>
      <c r="CO297" s="9">
        <f t="shared" si="223"/>
        <v>996.6666667</v>
      </c>
      <c r="CP297" s="9">
        <f t="shared" si="223"/>
        <v>996.6666667</v>
      </c>
    </row>
    <row r="298" ht="15.75" customHeight="1">
      <c r="U298" s="6">
        <v>45688.0</v>
      </c>
      <c r="BZ298" s="9">
        <f t="shared" ref="BZ298:CQ298" si="224">+$BZ$53*$U$60*$X$60</f>
        <v>1898.412698</v>
      </c>
      <c r="CA298" s="9">
        <f t="shared" si="224"/>
        <v>1898.412698</v>
      </c>
      <c r="CB298" s="9">
        <f t="shared" si="224"/>
        <v>1898.412698</v>
      </c>
      <c r="CC298" s="9">
        <f t="shared" si="224"/>
        <v>1898.412698</v>
      </c>
      <c r="CD298" s="9">
        <f t="shared" si="224"/>
        <v>1898.412698</v>
      </c>
      <c r="CE298" s="9">
        <f t="shared" si="224"/>
        <v>1898.412698</v>
      </c>
      <c r="CF298" s="9">
        <f t="shared" si="224"/>
        <v>1898.412698</v>
      </c>
      <c r="CG298" s="9">
        <f t="shared" si="224"/>
        <v>1898.412698</v>
      </c>
      <c r="CH298" s="9">
        <f t="shared" si="224"/>
        <v>1898.412698</v>
      </c>
      <c r="CI298" s="9">
        <f t="shared" si="224"/>
        <v>1898.412698</v>
      </c>
      <c r="CJ298" s="9">
        <f t="shared" si="224"/>
        <v>1898.412698</v>
      </c>
      <c r="CK298" s="9">
        <f t="shared" si="224"/>
        <v>1898.412698</v>
      </c>
      <c r="CL298" s="9">
        <f t="shared" si="224"/>
        <v>1898.412698</v>
      </c>
      <c r="CM298" s="9">
        <f t="shared" si="224"/>
        <v>1898.412698</v>
      </c>
      <c r="CN298" s="9">
        <f t="shared" si="224"/>
        <v>1898.412698</v>
      </c>
      <c r="CO298" s="9">
        <f t="shared" si="224"/>
        <v>1898.412698</v>
      </c>
      <c r="CP298" s="9">
        <f t="shared" si="224"/>
        <v>1898.412698</v>
      </c>
      <c r="CQ298" s="9">
        <f t="shared" si="224"/>
        <v>1898.412698</v>
      </c>
    </row>
    <row r="299" ht="15.75" customHeight="1">
      <c r="U299" s="6">
        <v>45716.0</v>
      </c>
      <c r="CA299" s="9">
        <f t="shared" ref="CA299:CR299" si="225">+$CA$53*$U$60*$X$60</f>
        <v>759.3650794</v>
      </c>
      <c r="CB299" s="9">
        <f t="shared" si="225"/>
        <v>759.3650794</v>
      </c>
      <c r="CC299" s="9">
        <f t="shared" si="225"/>
        <v>759.3650794</v>
      </c>
      <c r="CD299" s="9">
        <f t="shared" si="225"/>
        <v>759.3650794</v>
      </c>
      <c r="CE299" s="9">
        <f t="shared" si="225"/>
        <v>759.3650794</v>
      </c>
      <c r="CF299" s="9">
        <f t="shared" si="225"/>
        <v>759.3650794</v>
      </c>
      <c r="CG299" s="9">
        <f t="shared" si="225"/>
        <v>759.3650794</v>
      </c>
      <c r="CH299" s="9">
        <f t="shared" si="225"/>
        <v>759.3650794</v>
      </c>
      <c r="CI299" s="9">
        <f t="shared" si="225"/>
        <v>759.3650794</v>
      </c>
      <c r="CJ299" s="9">
        <f t="shared" si="225"/>
        <v>759.3650794</v>
      </c>
      <c r="CK299" s="9">
        <f t="shared" si="225"/>
        <v>759.3650794</v>
      </c>
      <c r="CL299" s="9">
        <f t="shared" si="225"/>
        <v>759.3650794</v>
      </c>
      <c r="CM299" s="9">
        <f t="shared" si="225"/>
        <v>759.3650794</v>
      </c>
      <c r="CN299" s="9">
        <f t="shared" si="225"/>
        <v>759.3650794</v>
      </c>
      <c r="CO299" s="9">
        <f t="shared" si="225"/>
        <v>759.3650794</v>
      </c>
      <c r="CP299" s="9">
        <f t="shared" si="225"/>
        <v>759.3650794</v>
      </c>
      <c r="CQ299" s="9">
        <f t="shared" si="225"/>
        <v>759.3650794</v>
      </c>
      <c r="CR299" s="9">
        <f t="shared" si="225"/>
        <v>759.3650794</v>
      </c>
    </row>
    <row r="300" ht="15.75" customHeight="1">
      <c r="U300" s="6">
        <v>45747.0</v>
      </c>
      <c r="CB300" s="9">
        <f t="shared" ref="CB300:CS300" si="226">+$CB$53*$U$60*$X$60</f>
        <v>759.3650794</v>
      </c>
      <c r="CC300" s="9">
        <f t="shared" si="226"/>
        <v>759.3650794</v>
      </c>
      <c r="CD300" s="9">
        <f t="shared" si="226"/>
        <v>759.3650794</v>
      </c>
      <c r="CE300" s="9">
        <f t="shared" si="226"/>
        <v>759.3650794</v>
      </c>
      <c r="CF300" s="9">
        <f t="shared" si="226"/>
        <v>759.3650794</v>
      </c>
      <c r="CG300" s="9">
        <f t="shared" si="226"/>
        <v>759.3650794</v>
      </c>
      <c r="CH300" s="9">
        <f t="shared" si="226"/>
        <v>759.3650794</v>
      </c>
      <c r="CI300" s="9">
        <f t="shared" si="226"/>
        <v>759.3650794</v>
      </c>
      <c r="CJ300" s="9">
        <f t="shared" si="226"/>
        <v>759.3650794</v>
      </c>
      <c r="CK300" s="9">
        <f t="shared" si="226"/>
        <v>759.3650794</v>
      </c>
      <c r="CL300" s="9">
        <f t="shared" si="226"/>
        <v>759.3650794</v>
      </c>
      <c r="CM300" s="9">
        <f t="shared" si="226"/>
        <v>759.3650794</v>
      </c>
      <c r="CN300" s="9">
        <f t="shared" si="226"/>
        <v>759.3650794</v>
      </c>
      <c r="CO300" s="9">
        <f t="shared" si="226"/>
        <v>759.3650794</v>
      </c>
      <c r="CP300" s="9">
        <f t="shared" si="226"/>
        <v>759.3650794</v>
      </c>
      <c r="CQ300" s="9">
        <f t="shared" si="226"/>
        <v>759.3650794</v>
      </c>
      <c r="CR300" s="9">
        <f t="shared" si="226"/>
        <v>759.3650794</v>
      </c>
      <c r="CS300" s="9">
        <f t="shared" si="226"/>
        <v>759.3650794</v>
      </c>
    </row>
    <row r="301" ht="15.75" customHeight="1">
      <c r="U301" s="6">
        <v>45777.0</v>
      </c>
      <c r="CC301" s="9">
        <f t="shared" ref="CC301:CT301" si="227">+$CC$53*$U$60*$X$60</f>
        <v>759.3650794</v>
      </c>
      <c r="CD301" s="9">
        <f t="shared" si="227"/>
        <v>759.3650794</v>
      </c>
      <c r="CE301" s="9">
        <f t="shared" si="227"/>
        <v>759.3650794</v>
      </c>
      <c r="CF301" s="9">
        <f t="shared" si="227"/>
        <v>759.3650794</v>
      </c>
      <c r="CG301" s="9">
        <f t="shared" si="227"/>
        <v>759.3650794</v>
      </c>
      <c r="CH301" s="9">
        <f t="shared" si="227"/>
        <v>759.3650794</v>
      </c>
      <c r="CI301" s="9">
        <f t="shared" si="227"/>
        <v>759.3650794</v>
      </c>
      <c r="CJ301" s="9">
        <f t="shared" si="227"/>
        <v>759.3650794</v>
      </c>
      <c r="CK301" s="9">
        <f t="shared" si="227"/>
        <v>759.3650794</v>
      </c>
      <c r="CL301" s="9">
        <f t="shared" si="227"/>
        <v>759.3650794</v>
      </c>
      <c r="CM301" s="9">
        <f t="shared" si="227"/>
        <v>759.3650794</v>
      </c>
      <c r="CN301" s="9">
        <f t="shared" si="227"/>
        <v>759.3650794</v>
      </c>
      <c r="CO301" s="9">
        <f t="shared" si="227"/>
        <v>759.3650794</v>
      </c>
      <c r="CP301" s="9">
        <f t="shared" si="227"/>
        <v>759.3650794</v>
      </c>
      <c r="CQ301" s="9">
        <f t="shared" si="227"/>
        <v>759.3650794</v>
      </c>
      <c r="CR301" s="9">
        <f t="shared" si="227"/>
        <v>759.3650794</v>
      </c>
      <c r="CS301" s="9">
        <f t="shared" si="227"/>
        <v>759.3650794</v>
      </c>
      <c r="CT301" s="9">
        <f t="shared" si="227"/>
        <v>759.3650794</v>
      </c>
    </row>
    <row r="302" ht="15.75" customHeight="1">
      <c r="U302" s="6">
        <v>45808.0</v>
      </c>
      <c r="CC302" s="92"/>
      <c r="CD302" s="9">
        <f t="shared" ref="CD302:CU302" si="228">+$CD$53*$U$60*$X$60</f>
        <v>759.3650794</v>
      </c>
      <c r="CE302" s="9">
        <f t="shared" si="228"/>
        <v>759.3650794</v>
      </c>
      <c r="CF302" s="9">
        <f t="shared" si="228"/>
        <v>759.3650794</v>
      </c>
      <c r="CG302" s="9">
        <f t="shared" si="228"/>
        <v>759.3650794</v>
      </c>
      <c r="CH302" s="9">
        <f t="shared" si="228"/>
        <v>759.3650794</v>
      </c>
      <c r="CI302" s="9">
        <f t="shared" si="228"/>
        <v>759.3650794</v>
      </c>
      <c r="CJ302" s="9">
        <f t="shared" si="228"/>
        <v>759.3650794</v>
      </c>
      <c r="CK302" s="9">
        <f t="shared" si="228"/>
        <v>759.3650794</v>
      </c>
      <c r="CL302" s="9">
        <f t="shared" si="228"/>
        <v>759.3650794</v>
      </c>
      <c r="CM302" s="9">
        <f t="shared" si="228"/>
        <v>759.3650794</v>
      </c>
      <c r="CN302" s="9">
        <f t="shared" si="228"/>
        <v>759.3650794</v>
      </c>
      <c r="CO302" s="9">
        <f t="shared" si="228"/>
        <v>759.3650794</v>
      </c>
      <c r="CP302" s="9">
        <f t="shared" si="228"/>
        <v>759.3650794</v>
      </c>
      <c r="CQ302" s="9">
        <f t="shared" si="228"/>
        <v>759.3650794</v>
      </c>
      <c r="CR302" s="9">
        <f t="shared" si="228"/>
        <v>759.3650794</v>
      </c>
      <c r="CS302" s="9">
        <f t="shared" si="228"/>
        <v>759.3650794</v>
      </c>
      <c r="CT302" s="9">
        <f t="shared" si="228"/>
        <v>759.3650794</v>
      </c>
      <c r="CU302" s="9">
        <f t="shared" si="228"/>
        <v>759.3650794</v>
      </c>
      <c r="CV302" s="92"/>
      <c r="CW302" s="92"/>
      <c r="CX302" s="92"/>
      <c r="CY302" s="92"/>
      <c r="CZ302" s="92"/>
    </row>
    <row r="303" ht="15.75" customHeight="1">
      <c r="U303" s="6">
        <v>45838.0</v>
      </c>
      <c r="CC303" s="92"/>
      <c r="CD303" s="92"/>
      <c r="CE303" s="9">
        <f t="shared" ref="CE303:CV303" si="229">+$CE$53*$U$60*$X$60</f>
        <v>759.3650794</v>
      </c>
      <c r="CF303" s="9">
        <f t="shared" si="229"/>
        <v>759.3650794</v>
      </c>
      <c r="CG303" s="9">
        <f t="shared" si="229"/>
        <v>759.3650794</v>
      </c>
      <c r="CH303" s="9">
        <f t="shared" si="229"/>
        <v>759.3650794</v>
      </c>
      <c r="CI303" s="9">
        <f t="shared" si="229"/>
        <v>759.3650794</v>
      </c>
      <c r="CJ303" s="9">
        <f t="shared" si="229"/>
        <v>759.3650794</v>
      </c>
      <c r="CK303" s="9">
        <f t="shared" si="229"/>
        <v>759.3650794</v>
      </c>
      <c r="CL303" s="9">
        <f t="shared" si="229"/>
        <v>759.3650794</v>
      </c>
      <c r="CM303" s="9">
        <f t="shared" si="229"/>
        <v>759.3650794</v>
      </c>
      <c r="CN303" s="9">
        <f t="shared" si="229"/>
        <v>759.3650794</v>
      </c>
      <c r="CO303" s="9">
        <f t="shared" si="229"/>
        <v>759.3650794</v>
      </c>
      <c r="CP303" s="9">
        <f t="shared" si="229"/>
        <v>759.3650794</v>
      </c>
      <c r="CQ303" s="9">
        <f t="shared" si="229"/>
        <v>759.3650794</v>
      </c>
      <c r="CR303" s="9">
        <f t="shared" si="229"/>
        <v>759.3650794</v>
      </c>
      <c r="CS303" s="9">
        <f t="shared" si="229"/>
        <v>759.3650794</v>
      </c>
      <c r="CT303" s="9">
        <f t="shared" si="229"/>
        <v>759.3650794</v>
      </c>
      <c r="CU303" s="9">
        <f t="shared" si="229"/>
        <v>759.3650794</v>
      </c>
      <c r="CV303" s="9">
        <f t="shared" si="229"/>
        <v>759.3650794</v>
      </c>
      <c r="CW303" s="92"/>
      <c r="CX303" s="92"/>
      <c r="CY303" s="92"/>
      <c r="CZ303" s="92"/>
    </row>
    <row r="304" ht="15.75" customHeight="1">
      <c r="U304" s="6">
        <v>45869.0</v>
      </c>
      <c r="CC304" s="92"/>
      <c r="CD304" s="92"/>
      <c r="CE304" s="92"/>
      <c r="CF304" s="9">
        <f t="shared" ref="CF304:CW304" si="230">+$CF$53*$U$60*$X$60</f>
        <v>759.3650794</v>
      </c>
      <c r="CG304" s="9">
        <f t="shared" si="230"/>
        <v>759.3650794</v>
      </c>
      <c r="CH304" s="9">
        <f t="shared" si="230"/>
        <v>759.3650794</v>
      </c>
      <c r="CI304" s="9">
        <f t="shared" si="230"/>
        <v>759.3650794</v>
      </c>
      <c r="CJ304" s="9">
        <f t="shared" si="230"/>
        <v>759.3650794</v>
      </c>
      <c r="CK304" s="9">
        <f t="shared" si="230"/>
        <v>759.3650794</v>
      </c>
      <c r="CL304" s="9">
        <f t="shared" si="230"/>
        <v>759.3650794</v>
      </c>
      <c r="CM304" s="9">
        <f t="shared" si="230"/>
        <v>759.3650794</v>
      </c>
      <c r="CN304" s="9">
        <f t="shared" si="230"/>
        <v>759.3650794</v>
      </c>
      <c r="CO304" s="9">
        <f t="shared" si="230"/>
        <v>759.3650794</v>
      </c>
      <c r="CP304" s="9">
        <f t="shared" si="230"/>
        <v>759.3650794</v>
      </c>
      <c r="CQ304" s="9">
        <f t="shared" si="230"/>
        <v>759.3650794</v>
      </c>
      <c r="CR304" s="9">
        <f t="shared" si="230"/>
        <v>759.3650794</v>
      </c>
      <c r="CS304" s="9">
        <f t="shared" si="230"/>
        <v>759.3650794</v>
      </c>
      <c r="CT304" s="9">
        <f t="shared" si="230"/>
        <v>759.3650794</v>
      </c>
      <c r="CU304" s="9">
        <f t="shared" si="230"/>
        <v>759.3650794</v>
      </c>
      <c r="CV304" s="9">
        <f t="shared" si="230"/>
        <v>759.3650794</v>
      </c>
      <c r="CW304" s="9">
        <f t="shared" si="230"/>
        <v>759.3650794</v>
      </c>
      <c r="CX304" s="92"/>
      <c r="CY304" s="92"/>
      <c r="CZ304" s="92"/>
    </row>
    <row r="305" ht="15.75" customHeight="1">
      <c r="U305" s="6">
        <v>45900.0</v>
      </c>
      <c r="CC305" s="92"/>
      <c r="CD305" s="92"/>
      <c r="CE305" s="92"/>
      <c r="CF305" s="92"/>
      <c r="CG305" s="9">
        <f t="shared" ref="CG305:CX305" si="231">+$CG$53*$U$60*$X$60</f>
        <v>759.3650794</v>
      </c>
      <c r="CH305" s="9">
        <f t="shared" si="231"/>
        <v>759.3650794</v>
      </c>
      <c r="CI305" s="9">
        <f t="shared" si="231"/>
        <v>759.3650794</v>
      </c>
      <c r="CJ305" s="9">
        <f t="shared" si="231"/>
        <v>759.3650794</v>
      </c>
      <c r="CK305" s="9">
        <f t="shared" si="231"/>
        <v>759.3650794</v>
      </c>
      <c r="CL305" s="9">
        <f t="shared" si="231"/>
        <v>759.3650794</v>
      </c>
      <c r="CM305" s="9">
        <f t="shared" si="231"/>
        <v>759.3650794</v>
      </c>
      <c r="CN305" s="9">
        <f t="shared" si="231"/>
        <v>759.3650794</v>
      </c>
      <c r="CO305" s="9">
        <f t="shared" si="231"/>
        <v>759.3650794</v>
      </c>
      <c r="CP305" s="9">
        <f t="shared" si="231"/>
        <v>759.3650794</v>
      </c>
      <c r="CQ305" s="9">
        <f t="shared" si="231"/>
        <v>759.3650794</v>
      </c>
      <c r="CR305" s="9">
        <f t="shared" si="231"/>
        <v>759.3650794</v>
      </c>
      <c r="CS305" s="9">
        <f t="shared" si="231"/>
        <v>759.3650794</v>
      </c>
      <c r="CT305" s="9">
        <f t="shared" si="231"/>
        <v>759.3650794</v>
      </c>
      <c r="CU305" s="9">
        <f t="shared" si="231"/>
        <v>759.3650794</v>
      </c>
      <c r="CV305" s="9">
        <f t="shared" si="231"/>
        <v>759.3650794</v>
      </c>
      <c r="CW305" s="9">
        <f t="shared" si="231"/>
        <v>759.3650794</v>
      </c>
      <c r="CX305" s="9">
        <f t="shared" si="231"/>
        <v>759.3650794</v>
      </c>
      <c r="CY305" s="92"/>
      <c r="CZ305" s="92"/>
    </row>
    <row r="306" ht="15.75" customHeight="1">
      <c r="U306" s="6">
        <v>45930.0</v>
      </c>
      <c r="CC306" s="92"/>
      <c r="CD306" s="92"/>
      <c r="CE306" s="92"/>
      <c r="CF306" s="92"/>
      <c r="CG306" s="92"/>
      <c r="CH306" s="9">
        <f t="shared" ref="CH306:CY306" si="232">+$CH$53*$U$60*$X$60</f>
        <v>759.3650794</v>
      </c>
      <c r="CI306" s="9">
        <f t="shared" si="232"/>
        <v>759.3650794</v>
      </c>
      <c r="CJ306" s="9">
        <f t="shared" si="232"/>
        <v>759.3650794</v>
      </c>
      <c r="CK306" s="9">
        <f t="shared" si="232"/>
        <v>759.3650794</v>
      </c>
      <c r="CL306" s="9">
        <f t="shared" si="232"/>
        <v>759.3650794</v>
      </c>
      <c r="CM306" s="9">
        <f t="shared" si="232"/>
        <v>759.3650794</v>
      </c>
      <c r="CN306" s="9">
        <f t="shared" si="232"/>
        <v>759.3650794</v>
      </c>
      <c r="CO306" s="9">
        <f t="shared" si="232"/>
        <v>759.3650794</v>
      </c>
      <c r="CP306" s="9">
        <f t="shared" si="232"/>
        <v>759.3650794</v>
      </c>
      <c r="CQ306" s="9">
        <f t="shared" si="232"/>
        <v>759.3650794</v>
      </c>
      <c r="CR306" s="9">
        <f t="shared" si="232"/>
        <v>759.3650794</v>
      </c>
      <c r="CS306" s="9">
        <f t="shared" si="232"/>
        <v>759.3650794</v>
      </c>
      <c r="CT306" s="9">
        <f t="shared" si="232"/>
        <v>759.3650794</v>
      </c>
      <c r="CU306" s="9">
        <f t="shared" si="232"/>
        <v>759.3650794</v>
      </c>
      <c r="CV306" s="9">
        <f t="shared" si="232"/>
        <v>759.3650794</v>
      </c>
      <c r="CW306" s="9">
        <f t="shared" si="232"/>
        <v>759.3650794</v>
      </c>
      <c r="CX306" s="9">
        <f t="shared" si="232"/>
        <v>759.3650794</v>
      </c>
      <c r="CY306" s="9">
        <f t="shared" si="232"/>
        <v>759.3650794</v>
      </c>
      <c r="CZ306" s="92"/>
    </row>
    <row r="307" ht="15.75" customHeight="1">
      <c r="U307" s="6">
        <v>45961.0</v>
      </c>
      <c r="CC307" s="92"/>
      <c r="CD307" s="92"/>
      <c r="CE307" s="92"/>
      <c r="CF307" s="92"/>
      <c r="CG307" s="92"/>
      <c r="CH307" s="92"/>
      <c r="CI307" s="9">
        <f t="shared" ref="CI307:CZ307" si="233">+$CI$53*$U$60*$X$60</f>
        <v>1139.047619</v>
      </c>
      <c r="CJ307" s="9">
        <f t="shared" si="233"/>
        <v>1139.047619</v>
      </c>
      <c r="CK307" s="9">
        <f t="shared" si="233"/>
        <v>1139.047619</v>
      </c>
      <c r="CL307" s="9">
        <f t="shared" si="233"/>
        <v>1139.047619</v>
      </c>
      <c r="CM307" s="9">
        <f t="shared" si="233"/>
        <v>1139.047619</v>
      </c>
      <c r="CN307" s="9">
        <f t="shared" si="233"/>
        <v>1139.047619</v>
      </c>
      <c r="CO307" s="9">
        <f t="shared" si="233"/>
        <v>1139.047619</v>
      </c>
      <c r="CP307" s="9">
        <f t="shared" si="233"/>
        <v>1139.047619</v>
      </c>
      <c r="CQ307" s="9">
        <f t="shared" si="233"/>
        <v>1139.047619</v>
      </c>
      <c r="CR307" s="9">
        <f t="shared" si="233"/>
        <v>1139.047619</v>
      </c>
      <c r="CS307" s="9">
        <f t="shared" si="233"/>
        <v>1139.047619</v>
      </c>
      <c r="CT307" s="9">
        <f t="shared" si="233"/>
        <v>1139.047619</v>
      </c>
      <c r="CU307" s="9">
        <f t="shared" si="233"/>
        <v>1139.047619</v>
      </c>
      <c r="CV307" s="9">
        <f t="shared" si="233"/>
        <v>1139.047619</v>
      </c>
      <c r="CW307" s="9">
        <f t="shared" si="233"/>
        <v>1139.047619</v>
      </c>
      <c r="CX307" s="9">
        <f t="shared" si="233"/>
        <v>1139.047619</v>
      </c>
      <c r="CY307" s="9">
        <f t="shared" si="233"/>
        <v>1139.047619</v>
      </c>
      <c r="CZ307" s="9">
        <f t="shared" si="233"/>
        <v>1139.047619</v>
      </c>
    </row>
    <row r="308" ht="15.75" customHeight="1">
      <c r="U308" s="6">
        <v>45991.0</v>
      </c>
      <c r="CC308" s="92"/>
      <c r="CD308" s="92"/>
      <c r="CE308" s="92"/>
      <c r="CF308" s="92"/>
      <c r="CG308" s="92"/>
      <c r="CH308" s="92"/>
      <c r="CI308" s="92"/>
      <c r="CJ308" s="9">
        <f t="shared" ref="CJ308:DA308" si="234">+$CJ$53*$U$60*$X$60</f>
        <v>1139.047619</v>
      </c>
      <c r="CK308" s="9">
        <f t="shared" si="234"/>
        <v>1139.047619</v>
      </c>
      <c r="CL308" s="9">
        <f t="shared" si="234"/>
        <v>1139.047619</v>
      </c>
      <c r="CM308" s="9">
        <f t="shared" si="234"/>
        <v>1139.047619</v>
      </c>
      <c r="CN308" s="9">
        <f t="shared" si="234"/>
        <v>1139.047619</v>
      </c>
      <c r="CO308" s="9">
        <f t="shared" si="234"/>
        <v>1139.047619</v>
      </c>
      <c r="CP308" s="9">
        <f t="shared" si="234"/>
        <v>1139.047619</v>
      </c>
      <c r="CQ308" s="9">
        <f t="shared" si="234"/>
        <v>1139.047619</v>
      </c>
      <c r="CR308" s="9">
        <f t="shared" si="234"/>
        <v>1139.047619</v>
      </c>
      <c r="CS308" s="9">
        <f t="shared" si="234"/>
        <v>1139.047619</v>
      </c>
      <c r="CT308" s="9">
        <f t="shared" si="234"/>
        <v>1139.047619</v>
      </c>
      <c r="CU308" s="9">
        <f t="shared" si="234"/>
        <v>1139.047619</v>
      </c>
      <c r="CV308" s="9">
        <f t="shared" si="234"/>
        <v>1139.047619</v>
      </c>
      <c r="CW308" s="9">
        <f t="shared" si="234"/>
        <v>1139.047619</v>
      </c>
      <c r="CX308" s="9">
        <f t="shared" si="234"/>
        <v>1139.047619</v>
      </c>
      <c r="CY308" s="9">
        <f t="shared" si="234"/>
        <v>1139.047619</v>
      </c>
      <c r="CZ308" s="9">
        <f t="shared" si="234"/>
        <v>1139.047619</v>
      </c>
      <c r="DA308" s="9">
        <f t="shared" si="234"/>
        <v>1139.047619</v>
      </c>
    </row>
    <row r="309" ht="15.75" customHeight="1">
      <c r="U309" s="6">
        <v>46022.0</v>
      </c>
      <c r="CC309" s="92"/>
      <c r="CD309" s="92"/>
      <c r="CE309" s="92"/>
      <c r="CF309" s="92"/>
      <c r="CG309" s="92"/>
      <c r="CH309" s="92"/>
      <c r="CI309" s="92"/>
      <c r="CJ309" s="92"/>
      <c r="CK309" s="9">
        <f t="shared" ref="CK309:DB309" si="235">+$CK$53*$U$60*$X$60</f>
        <v>1139.047619</v>
      </c>
      <c r="CL309" s="9">
        <f t="shared" si="235"/>
        <v>1139.047619</v>
      </c>
      <c r="CM309" s="9">
        <f t="shared" si="235"/>
        <v>1139.047619</v>
      </c>
      <c r="CN309" s="9">
        <f t="shared" si="235"/>
        <v>1139.047619</v>
      </c>
      <c r="CO309" s="9">
        <f t="shared" si="235"/>
        <v>1139.047619</v>
      </c>
      <c r="CP309" s="9">
        <f t="shared" si="235"/>
        <v>1139.047619</v>
      </c>
      <c r="CQ309" s="9">
        <f t="shared" si="235"/>
        <v>1139.047619</v>
      </c>
      <c r="CR309" s="9">
        <f t="shared" si="235"/>
        <v>1139.047619</v>
      </c>
      <c r="CS309" s="9">
        <f t="shared" si="235"/>
        <v>1139.047619</v>
      </c>
      <c r="CT309" s="9">
        <f t="shared" si="235"/>
        <v>1139.047619</v>
      </c>
      <c r="CU309" s="9">
        <f t="shared" si="235"/>
        <v>1139.047619</v>
      </c>
      <c r="CV309" s="9">
        <f t="shared" si="235"/>
        <v>1139.047619</v>
      </c>
      <c r="CW309" s="9">
        <f t="shared" si="235"/>
        <v>1139.047619</v>
      </c>
      <c r="CX309" s="9">
        <f t="shared" si="235"/>
        <v>1139.047619</v>
      </c>
      <c r="CY309" s="9">
        <f t="shared" si="235"/>
        <v>1139.047619</v>
      </c>
      <c r="CZ309" s="9">
        <f t="shared" si="235"/>
        <v>1139.047619</v>
      </c>
      <c r="DA309" s="9">
        <f t="shared" si="235"/>
        <v>1139.047619</v>
      </c>
      <c r="DB309" s="9">
        <f t="shared" si="235"/>
        <v>1139.047619</v>
      </c>
    </row>
    <row r="310" ht="15.75" customHeight="1">
      <c r="U310" s="6">
        <v>46053.0</v>
      </c>
      <c r="CL310" s="9">
        <f t="shared" ref="CL310:DC310" si="236">+$CL$53*$U$60*$X$60</f>
        <v>1139.047619</v>
      </c>
      <c r="CM310" s="9">
        <f t="shared" si="236"/>
        <v>1139.047619</v>
      </c>
      <c r="CN310" s="9">
        <f t="shared" si="236"/>
        <v>1139.047619</v>
      </c>
      <c r="CO310" s="9">
        <f t="shared" si="236"/>
        <v>1139.047619</v>
      </c>
      <c r="CP310" s="9">
        <f t="shared" si="236"/>
        <v>1139.047619</v>
      </c>
      <c r="CQ310" s="9">
        <f t="shared" si="236"/>
        <v>1139.047619</v>
      </c>
      <c r="CR310" s="9">
        <f t="shared" si="236"/>
        <v>1139.047619</v>
      </c>
      <c r="CS310" s="9">
        <f t="shared" si="236"/>
        <v>1139.047619</v>
      </c>
      <c r="CT310" s="9">
        <f t="shared" si="236"/>
        <v>1139.047619</v>
      </c>
      <c r="CU310" s="9">
        <f t="shared" si="236"/>
        <v>1139.047619</v>
      </c>
      <c r="CV310" s="9">
        <f t="shared" si="236"/>
        <v>1139.047619</v>
      </c>
      <c r="CW310" s="9">
        <f t="shared" si="236"/>
        <v>1139.047619</v>
      </c>
      <c r="CX310" s="9">
        <f t="shared" si="236"/>
        <v>1139.047619</v>
      </c>
      <c r="CY310" s="9">
        <f t="shared" si="236"/>
        <v>1139.047619</v>
      </c>
      <c r="CZ310" s="9">
        <f t="shared" si="236"/>
        <v>1139.047619</v>
      </c>
      <c r="DA310" s="9">
        <f t="shared" si="236"/>
        <v>1139.047619</v>
      </c>
      <c r="DB310" s="9">
        <f t="shared" si="236"/>
        <v>1139.047619</v>
      </c>
      <c r="DC310" s="9">
        <f t="shared" si="236"/>
        <v>1139.047619</v>
      </c>
    </row>
    <row r="311" ht="15.75" customHeight="1">
      <c r="U311" s="6">
        <v>46081.0</v>
      </c>
      <c r="CM311" s="9">
        <f t="shared" ref="CM311:DD311" si="237">+$CM$53*$U$60*$X$60</f>
        <v>1139.047619</v>
      </c>
      <c r="CN311" s="9">
        <f t="shared" si="237"/>
        <v>1139.047619</v>
      </c>
      <c r="CO311" s="9">
        <f t="shared" si="237"/>
        <v>1139.047619</v>
      </c>
      <c r="CP311" s="9">
        <f t="shared" si="237"/>
        <v>1139.047619</v>
      </c>
      <c r="CQ311" s="9">
        <f t="shared" si="237"/>
        <v>1139.047619</v>
      </c>
      <c r="CR311" s="9">
        <f t="shared" si="237"/>
        <v>1139.047619</v>
      </c>
      <c r="CS311" s="9">
        <f t="shared" si="237"/>
        <v>1139.047619</v>
      </c>
      <c r="CT311" s="9">
        <f t="shared" si="237"/>
        <v>1139.047619</v>
      </c>
      <c r="CU311" s="9">
        <f t="shared" si="237"/>
        <v>1139.047619</v>
      </c>
      <c r="CV311" s="9">
        <f t="shared" si="237"/>
        <v>1139.047619</v>
      </c>
      <c r="CW311" s="9">
        <f t="shared" si="237"/>
        <v>1139.047619</v>
      </c>
      <c r="CX311" s="9">
        <f t="shared" si="237"/>
        <v>1139.047619</v>
      </c>
      <c r="CY311" s="9">
        <f t="shared" si="237"/>
        <v>1139.047619</v>
      </c>
      <c r="CZ311" s="9">
        <f t="shared" si="237"/>
        <v>1139.047619</v>
      </c>
      <c r="DA311" s="9">
        <f t="shared" si="237"/>
        <v>1139.047619</v>
      </c>
      <c r="DB311" s="9">
        <f t="shared" si="237"/>
        <v>1139.047619</v>
      </c>
      <c r="DC311" s="9">
        <f t="shared" si="237"/>
        <v>1139.047619</v>
      </c>
      <c r="DD311" s="9">
        <f t="shared" si="237"/>
        <v>1139.047619</v>
      </c>
    </row>
    <row r="312" ht="15.75" customHeight="1">
      <c r="U312" s="6">
        <v>46112.0</v>
      </c>
      <c r="CN312" s="9">
        <f t="shared" ref="CN312:DE312" si="238">+$CN$53*$U$60*$X$60</f>
        <v>1518.730159</v>
      </c>
      <c r="CO312" s="9">
        <f t="shared" si="238"/>
        <v>1518.730159</v>
      </c>
      <c r="CP312" s="9">
        <f t="shared" si="238"/>
        <v>1518.730159</v>
      </c>
      <c r="CQ312" s="9">
        <f t="shared" si="238"/>
        <v>1518.730159</v>
      </c>
      <c r="CR312" s="9">
        <f t="shared" si="238"/>
        <v>1518.730159</v>
      </c>
      <c r="CS312" s="9">
        <f t="shared" si="238"/>
        <v>1518.730159</v>
      </c>
      <c r="CT312" s="9">
        <f t="shared" si="238"/>
        <v>1518.730159</v>
      </c>
      <c r="CU312" s="9">
        <f t="shared" si="238"/>
        <v>1518.730159</v>
      </c>
      <c r="CV312" s="9">
        <f t="shared" si="238"/>
        <v>1518.730159</v>
      </c>
      <c r="CW312" s="9">
        <f t="shared" si="238"/>
        <v>1518.730159</v>
      </c>
      <c r="CX312" s="9">
        <f t="shared" si="238"/>
        <v>1518.730159</v>
      </c>
      <c r="CY312" s="9">
        <f t="shared" si="238"/>
        <v>1518.730159</v>
      </c>
      <c r="CZ312" s="9">
        <f t="shared" si="238"/>
        <v>1518.730159</v>
      </c>
      <c r="DA312" s="9">
        <f t="shared" si="238"/>
        <v>1518.730159</v>
      </c>
      <c r="DB312" s="9">
        <f t="shared" si="238"/>
        <v>1518.730159</v>
      </c>
      <c r="DC312" s="9">
        <f t="shared" si="238"/>
        <v>1518.730159</v>
      </c>
      <c r="DD312" s="9">
        <f t="shared" si="238"/>
        <v>1518.730159</v>
      </c>
      <c r="DE312" s="9">
        <f t="shared" si="238"/>
        <v>1518.730159</v>
      </c>
    </row>
    <row r="313" ht="15.75" customHeight="1">
      <c r="U313" s="6">
        <v>46142.0</v>
      </c>
      <c r="CO313" s="9">
        <f t="shared" ref="CO313:DF313" si="239">+$CO$53*$U$60*$X$60</f>
        <v>1898.412698</v>
      </c>
      <c r="CP313" s="9">
        <f t="shared" si="239"/>
        <v>1898.412698</v>
      </c>
      <c r="CQ313" s="9">
        <f t="shared" si="239"/>
        <v>1898.412698</v>
      </c>
      <c r="CR313" s="9">
        <f t="shared" si="239"/>
        <v>1898.412698</v>
      </c>
      <c r="CS313" s="9">
        <f t="shared" si="239"/>
        <v>1898.412698</v>
      </c>
      <c r="CT313" s="9">
        <f t="shared" si="239"/>
        <v>1898.412698</v>
      </c>
      <c r="CU313" s="9">
        <f t="shared" si="239"/>
        <v>1898.412698</v>
      </c>
      <c r="CV313" s="9">
        <f t="shared" si="239"/>
        <v>1898.412698</v>
      </c>
      <c r="CW313" s="9">
        <f t="shared" si="239"/>
        <v>1898.412698</v>
      </c>
      <c r="CX313" s="9">
        <f t="shared" si="239"/>
        <v>1898.412698</v>
      </c>
      <c r="CY313" s="9">
        <f t="shared" si="239"/>
        <v>1898.412698</v>
      </c>
      <c r="CZ313" s="9">
        <f t="shared" si="239"/>
        <v>1898.412698</v>
      </c>
      <c r="DA313" s="9">
        <f t="shared" si="239"/>
        <v>1898.412698</v>
      </c>
      <c r="DB313" s="9">
        <f t="shared" si="239"/>
        <v>1898.412698</v>
      </c>
      <c r="DC313" s="9">
        <f t="shared" si="239"/>
        <v>1898.412698</v>
      </c>
      <c r="DD313" s="9">
        <f t="shared" si="239"/>
        <v>1898.412698</v>
      </c>
      <c r="DE313" s="9">
        <f t="shared" si="239"/>
        <v>1898.412698</v>
      </c>
      <c r="DF313" s="9">
        <f t="shared" si="239"/>
        <v>1898.412698</v>
      </c>
    </row>
    <row r="314" ht="15.75" customHeight="1">
      <c r="U314" s="6">
        <v>46173.0</v>
      </c>
      <c r="CP314" s="9">
        <f t="shared" ref="CP314:DG314" si="240">+$CP$53*$U$60*$X$60</f>
        <v>1898.412698</v>
      </c>
      <c r="CQ314" s="9">
        <f t="shared" si="240"/>
        <v>1898.412698</v>
      </c>
      <c r="CR314" s="9">
        <f t="shared" si="240"/>
        <v>1898.412698</v>
      </c>
      <c r="CS314" s="9">
        <f t="shared" si="240"/>
        <v>1898.412698</v>
      </c>
      <c r="CT314" s="9">
        <f t="shared" si="240"/>
        <v>1898.412698</v>
      </c>
      <c r="CU314" s="9">
        <f t="shared" si="240"/>
        <v>1898.412698</v>
      </c>
      <c r="CV314" s="9">
        <f t="shared" si="240"/>
        <v>1898.412698</v>
      </c>
      <c r="CW314" s="9">
        <f t="shared" si="240"/>
        <v>1898.412698</v>
      </c>
      <c r="CX314" s="9">
        <f t="shared" si="240"/>
        <v>1898.412698</v>
      </c>
      <c r="CY314" s="9">
        <f t="shared" si="240"/>
        <v>1898.412698</v>
      </c>
      <c r="CZ314" s="9">
        <f t="shared" si="240"/>
        <v>1898.412698</v>
      </c>
      <c r="DA314" s="9">
        <f t="shared" si="240"/>
        <v>1898.412698</v>
      </c>
      <c r="DB314" s="9">
        <f t="shared" si="240"/>
        <v>1898.412698</v>
      </c>
      <c r="DC314" s="9">
        <f t="shared" si="240"/>
        <v>1898.412698</v>
      </c>
      <c r="DD314" s="9">
        <f t="shared" si="240"/>
        <v>1898.412698</v>
      </c>
      <c r="DE314" s="9">
        <f t="shared" si="240"/>
        <v>1898.412698</v>
      </c>
      <c r="DF314" s="9">
        <f t="shared" si="240"/>
        <v>1898.412698</v>
      </c>
      <c r="DG314" s="9">
        <f t="shared" si="240"/>
        <v>1898.412698</v>
      </c>
    </row>
    <row r="315" ht="15.75" customHeight="1">
      <c r="U315" s="6">
        <v>46203.0</v>
      </c>
      <c r="CQ315" s="9">
        <f t="shared" ref="CQ315:DH315" si="241">+$CQ$53*$U$60*$X$60</f>
        <v>1898.412698</v>
      </c>
      <c r="CR315" s="9">
        <f t="shared" si="241"/>
        <v>1898.412698</v>
      </c>
      <c r="CS315" s="9">
        <f t="shared" si="241"/>
        <v>1898.412698</v>
      </c>
      <c r="CT315" s="9">
        <f t="shared" si="241"/>
        <v>1898.412698</v>
      </c>
      <c r="CU315" s="9">
        <f t="shared" si="241"/>
        <v>1898.412698</v>
      </c>
      <c r="CV315" s="9">
        <f t="shared" si="241"/>
        <v>1898.412698</v>
      </c>
      <c r="CW315" s="9">
        <f t="shared" si="241"/>
        <v>1898.412698</v>
      </c>
      <c r="CX315" s="9">
        <f t="shared" si="241"/>
        <v>1898.412698</v>
      </c>
      <c r="CY315" s="9">
        <f t="shared" si="241"/>
        <v>1898.412698</v>
      </c>
      <c r="CZ315" s="9">
        <f t="shared" si="241"/>
        <v>1898.412698</v>
      </c>
      <c r="DA315" s="9">
        <f t="shared" si="241"/>
        <v>1898.412698</v>
      </c>
      <c r="DB315" s="9">
        <f t="shared" si="241"/>
        <v>1898.412698</v>
      </c>
      <c r="DC315" s="9">
        <f t="shared" si="241"/>
        <v>1898.412698</v>
      </c>
      <c r="DD315" s="9">
        <f t="shared" si="241"/>
        <v>1898.412698</v>
      </c>
      <c r="DE315" s="9">
        <f t="shared" si="241"/>
        <v>1898.412698</v>
      </c>
      <c r="DF315" s="9">
        <f t="shared" si="241"/>
        <v>1898.412698</v>
      </c>
      <c r="DG315" s="9">
        <f t="shared" si="241"/>
        <v>1898.412698</v>
      </c>
      <c r="DH315" s="9">
        <f t="shared" si="241"/>
        <v>1898.412698</v>
      </c>
    </row>
    <row r="316" ht="15.75" customHeight="1">
      <c r="U316" s="6">
        <v>46234.0</v>
      </c>
      <c r="CR316" s="9">
        <f t="shared" ref="CR316:DI316" si="242">+$CR$53*$U$60*$X$60</f>
        <v>2278.095238</v>
      </c>
      <c r="CS316" s="9">
        <f t="shared" si="242"/>
        <v>2278.095238</v>
      </c>
      <c r="CT316" s="9">
        <f t="shared" si="242"/>
        <v>2278.095238</v>
      </c>
      <c r="CU316" s="9">
        <f t="shared" si="242"/>
        <v>2278.095238</v>
      </c>
      <c r="CV316" s="9">
        <f t="shared" si="242"/>
        <v>2278.095238</v>
      </c>
      <c r="CW316" s="9">
        <f t="shared" si="242"/>
        <v>2278.095238</v>
      </c>
      <c r="CX316" s="9">
        <f t="shared" si="242"/>
        <v>2278.095238</v>
      </c>
      <c r="CY316" s="9">
        <f t="shared" si="242"/>
        <v>2278.095238</v>
      </c>
      <c r="CZ316" s="9">
        <f t="shared" si="242"/>
        <v>2278.095238</v>
      </c>
      <c r="DA316" s="9">
        <f t="shared" si="242"/>
        <v>2278.095238</v>
      </c>
      <c r="DB316" s="9">
        <f t="shared" si="242"/>
        <v>2278.095238</v>
      </c>
      <c r="DC316" s="9">
        <f t="shared" si="242"/>
        <v>2278.095238</v>
      </c>
      <c r="DD316" s="9">
        <f t="shared" si="242"/>
        <v>2278.095238</v>
      </c>
      <c r="DE316" s="9">
        <f t="shared" si="242"/>
        <v>2278.095238</v>
      </c>
      <c r="DF316" s="9">
        <f t="shared" si="242"/>
        <v>2278.095238</v>
      </c>
      <c r="DG316" s="9">
        <f t="shared" si="242"/>
        <v>2278.095238</v>
      </c>
      <c r="DH316" s="9">
        <f t="shared" si="242"/>
        <v>2278.095238</v>
      </c>
      <c r="DI316" s="9">
        <f t="shared" si="242"/>
        <v>2278.095238</v>
      </c>
    </row>
    <row r="317" ht="15.75" customHeight="1">
      <c r="U317" s="6">
        <v>46265.0</v>
      </c>
      <c r="CS317" s="9">
        <f t="shared" ref="CS317:DI317" si="243">+$CS$53*$U$60*$X$60</f>
        <v>2278.095238</v>
      </c>
      <c r="CT317" s="9">
        <f t="shared" si="243"/>
        <v>2278.095238</v>
      </c>
      <c r="CU317" s="9">
        <f t="shared" si="243"/>
        <v>2278.095238</v>
      </c>
      <c r="CV317" s="9">
        <f t="shared" si="243"/>
        <v>2278.095238</v>
      </c>
      <c r="CW317" s="9">
        <f t="shared" si="243"/>
        <v>2278.095238</v>
      </c>
      <c r="CX317" s="9">
        <f t="shared" si="243"/>
        <v>2278.095238</v>
      </c>
      <c r="CY317" s="9">
        <f t="shared" si="243"/>
        <v>2278.095238</v>
      </c>
      <c r="CZ317" s="9">
        <f t="shared" si="243"/>
        <v>2278.095238</v>
      </c>
      <c r="DA317" s="9">
        <f t="shared" si="243"/>
        <v>2278.095238</v>
      </c>
      <c r="DB317" s="9">
        <f t="shared" si="243"/>
        <v>2278.095238</v>
      </c>
      <c r="DC317" s="9">
        <f t="shared" si="243"/>
        <v>2278.095238</v>
      </c>
      <c r="DD317" s="9">
        <f t="shared" si="243"/>
        <v>2278.095238</v>
      </c>
      <c r="DE317" s="9">
        <f t="shared" si="243"/>
        <v>2278.095238</v>
      </c>
      <c r="DF317" s="9">
        <f t="shared" si="243"/>
        <v>2278.095238</v>
      </c>
      <c r="DG317" s="9">
        <f t="shared" si="243"/>
        <v>2278.095238</v>
      </c>
      <c r="DH317" s="9">
        <f t="shared" si="243"/>
        <v>2278.095238</v>
      </c>
      <c r="DI317" s="9">
        <f t="shared" si="243"/>
        <v>2278.095238</v>
      </c>
    </row>
    <row r="318" ht="15.75" customHeight="1">
      <c r="U318" s="6">
        <v>46295.0</v>
      </c>
      <c r="CT318" s="9">
        <f t="shared" ref="CT318:DI318" si="244">+$CT$53*$U$60*$X$60</f>
        <v>2278.095238</v>
      </c>
      <c r="CU318" s="9">
        <f t="shared" si="244"/>
        <v>2278.095238</v>
      </c>
      <c r="CV318" s="9">
        <f t="shared" si="244"/>
        <v>2278.095238</v>
      </c>
      <c r="CW318" s="9">
        <f t="shared" si="244"/>
        <v>2278.095238</v>
      </c>
      <c r="CX318" s="9">
        <f t="shared" si="244"/>
        <v>2278.095238</v>
      </c>
      <c r="CY318" s="9">
        <f t="shared" si="244"/>
        <v>2278.095238</v>
      </c>
      <c r="CZ318" s="9">
        <f t="shared" si="244"/>
        <v>2278.095238</v>
      </c>
      <c r="DA318" s="9">
        <f t="shared" si="244"/>
        <v>2278.095238</v>
      </c>
      <c r="DB318" s="9">
        <f t="shared" si="244"/>
        <v>2278.095238</v>
      </c>
      <c r="DC318" s="9">
        <f t="shared" si="244"/>
        <v>2278.095238</v>
      </c>
      <c r="DD318" s="9">
        <f t="shared" si="244"/>
        <v>2278.095238</v>
      </c>
      <c r="DE318" s="9">
        <f t="shared" si="244"/>
        <v>2278.095238</v>
      </c>
      <c r="DF318" s="9">
        <f t="shared" si="244"/>
        <v>2278.095238</v>
      </c>
      <c r="DG318" s="9">
        <f t="shared" si="244"/>
        <v>2278.095238</v>
      </c>
      <c r="DH318" s="9">
        <f t="shared" si="244"/>
        <v>2278.095238</v>
      </c>
      <c r="DI318" s="9">
        <f t="shared" si="244"/>
        <v>2278.095238</v>
      </c>
    </row>
    <row r="319" ht="15.75" customHeight="1">
      <c r="U319" s="6">
        <v>46326.0</v>
      </c>
      <c r="CU319" s="9">
        <f t="shared" ref="CU319:DI319" si="245">+$CU$53*$U$60*$X$60</f>
        <v>2278.095238</v>
      </c>
      <c r="CV319" s="9">
        <f t="shared" si="245"/>
        <v>2278.095238</v>
      </c>
      <c r="CW319" s="9">
        <f t="shared" si="245"/>
        <v>2278.095238</v>
      </c>
      <c r="CX319" s="9">
        <f t="shared" si="245"/>
        <v>2278.095238</v>
      </c>
      <c r="CY319" s="9">
        <f t="shared" si="245"/>
        <v>2278.095238</v>
      </c>
      <c r="CZ319" s="9">
        <f t="shared" si="245"/>
        <v>2278.095238</v>
      </c>
      <c r="DA319" s="9">
        <f t="shared" si="245"/>
        <v>2278.095238</v>
      </c>
      <c r="DB319" s="9">
        <f t="shared" si="245"/>
        <v>2278.095238</v>
      </c>
      <c r="DC319" s="9">
        <f t="shared" si="245"/>
        <v>2278.095238</v>
      </c>
      <c r="DD319" s="9">
        <f t="shared" si="245"/>
        <v>2278.095238</v>
      </c>
      <c r="DE319" s="9">
        <f t="shared" si="245"/>
        <v>2278.095238</v>
      </c>
      <c r="DF319" s="9">
        <f t="shared" si="245"/>
        <v>2278.095238</v>
      </c>
      <c r="DG319" s="9">
        <f t="shared" si="245"/>
        <v>2278.095238</v>
      </c>
      <c r="DH319" s="9">
        <f t="shared" si="245"/>
        <v>2278.095238</v>
      </c>
      <c r="DI319" s="9">
        <f t="shared" si="245"/>
        <v>2278.095238</v>
      </c>
    </row>
    <row r="320" ht="15.75" customHeight="1">
      <c r="U320" s="6">
        <v>46356.0</v>
      </c>
      <c r="CV320" s="9">
        <f t="shared" ref="CV320:DI320" si="246">+$CV$53*$U$60*$X$60</f>
        <v>2278.095238</v>
      </c>
      <c r="CW320" s="9">
        <f t="shared" si="246"/>
        <v>2278.095238</v>
      </c>
      <c r="CX320" s="9">
        <f t="shared" si="246"/>
        <v>2278.095238</v>
      </c>
      <c r="CY320" s="9">
        <f t="shared" si="246"/>
        <v>2278.095238</v>
      </c>
      <c r="CZ320" s="9">
        <f t="shared" si="246"/>
        <v>2278.095238</v>
      </c>
      <c r="DA320" s="9">
        <f t="shared" si="246"/>
        <v>2278.095238</v>
      </c>
      <c r="DB320" s="9">
        <f t="shared" si="246"/>
        <v>2278.095238</v>
      </c>
      <c r="DC320" s="9">
        <f t="shared" si="246"/>
        <v>2278.095238</v>
      </c>
      <c r="DD320" s="9">
        <f t="shared" si="246"/>
        <v>2278.095238</v>
      </c>
      <c r="DE320" s="9">
        <f t="shared" si="246"/>
        <v>2278.095238</v>
      </c>
      <c r="DF320" s="9">
        <f t="shared" si="246"/>
        <v>2278.095238</v>
      </c>
      <c r="DG320" s="9">
        <f t="shared" si="246"/>
        <v>2278.095238</v>
      </c>
      <c r="DH320" s="9">
        <f t="shared" si="246"/>
        <v>2278.095238</v>
      </c>
      <c r="DI320" s="9">
        <f t="shared" si="246"/>
        <v>2278.095238</v>
      </c>
    </row>
    <row r="321" ht="15.75" customHeight="1">
      <c r="U321" s="6">
        <v>46387.0</v>
      </c>
      <c r="CW321" s="9">
        <f t="shared" ref="CW321:DI321" si="247">+$CW$53*$U$60*$X$60</f>
        <v>2278.095238</v>
      </c>
      <c r="CX321" s="9">
        <f t="shared" si="247"/>
        <v>2278.095238</v>
      </c>
      <c r="CY321" s="9">
        <f t="shared" si="247"/>
        <v>2278.095238</v>
      </c>
      <c r="CZ321" s="9">
        <f t="shared" si="247"/>
        <v>2278.095238</v>
      </c>
      <c r="DA321" s="9">
        <f t="shared" si="247"/>
        <v>2278.095238</v>
      </c>
      <c r="DB321" s="9">
        <f t="shared" si="247"/>
        <v>2278.095238</v>
      </c>
      <c r="DC321" s="9">
        <f t="shared" si="247"/>
        <v>2278.095238</v>
      </c>
      <c r="DD321" s="9">
        <f t="shared" si="247"/>
        <v>2278.095238</v>
      </c>
      <c r="DE321" s="9">
        <f t="shared" si="247"/>
        <v>2278.095238</v>
      </c>
      <c r="DF321" s="9">
        <f t="shared" si="247"/>
        <v>2278.095238</v>
      </c>
      <c r="DG321" s="9">
        <f t="shared" si="247"/>
        <v>2278.095238</v>
      </c>
      <c r="DH321" s="9">
        <f t="shared" si="247"/>
        <v>2278.095238</v>
      </c>
      <c r="DI321" s="9">
        <f t="shared" si="247"/>
        <v>2278.095238</v>
      </c>
    </row>
    <row r="322" ht="15.75" customHeight="1">
      <c r="U322" s="6">
        <v>46418.0</v>
      </c>
      <c r="CX322" s="9">
        <f t="shared" ref="CX322:DI322" si="248">+$CX$53*$U$60*$X$60</f>
        <v>2325.555556</v>
      </c>
      <c r="CY322" s="9">
        <f t="shared" si="248"/>
        <v>2325.555556</v>
      </c>
      <c r="CZ322" s="9">
        <f t="shared" si="248"/>
        <v>2325.555556</v>
      </c>
      <c r="DA322" s="9">
        <f t="shared" si="248"/>
        <v>2325.555556</v>
      </c>
      <c r="DB322" s="9">
        <f t="shared" si="248"/>
        <v>2325.555556</v>
      </c>
      <c r="DC322" s="9">
        <f t="shared" si="248"/>
        <v>2325.555556</v>
      </c>
      <c r="DD322" s="9">
        <f t="shared" si="248"/>
        <v>2325.555556</v>
      </c>
      <c r="DE322" s="9">
        <f t="shared" si="248"/>
        <v>2325.555556</v>
      </c>
      <c r="DF322" s="9">
        <f t="shared" si="248"/>
        <v>2325.555556</v>
      </c>
      <c r="DG322" s="9">
        <f t="shared" si="248"/>
        <v>2325.555556</v>
      </c>
      <c r="DH322" s="9">
        <f t="shared" si="248"/>
        <v>2325.555556</v>
      </c>
      <c r="DI322" s="9">
        <f t="shared" si="248"/>
        <v>2325.555556</v>
      </c>
    </row>
    <row r="323" ht="15.75" customHeight="1">
      <c r="U323" s="6">
        <v>46446.0</v>
      </c>
      <c r="CY323" s="9">
        <f t="shared" ref="CY323:DI323" si="249">+$CY$53*$U$60*$X$60</f>
        <v>2325.555556</v>
      </c>
      <c r="CZ323" s="9">
        <f t="shared" si="249"/>
        <v>2325.555556</v>
      </c>
      <c r="DA323" s="9">
        <f t="shared" si="249"/>
        <v>2325.555556</v>
      </c>
      <c r="DB323" s="9">
        <f t="shared" si="249"/>
        <v>2325.555556</v>
      </c>
      <c r="DC323" s="9">
        <f t="shared" si="249"/>
        <v>2325.555556</v>
      </c>
      <c r="DD323" s="9">
        <f t="shared" si="249"/>
        <v>2325.555556</v>
      </c>
      <c r="DE323" s="9">
        <f t="shared" si="249"/>
        <v>2325.555556</v>
      </c>
      <c r="DF323" s="9">
        <f t="shared" si="249"/>
        <v>2325.555556</v>
      </c>
      <c r="DG323" s="9">
        <f t="shared" si="249"/>
        <v>2325.555556</v>
      </c>
      <c r="DH323" s="9">
        <f t="shared" si="249"/>
        <v>2325.555556</v>
      </c>
      <c r="DI323" s="9">
        <f t="shared" si="249"/>
        <v>2325.555556</v>
      </c>
    </row>
    <row r="324" ht="15.75" customHeight="1">
      <c r="U324" s="6">
        <v>46477.0</v>
      </c>
      <c r="CZ324" s="9">
        <f t="shared" ref="CZ324:DI324" si="250">+$CZ$53*$U$60*$X$60</f>
        <v>2657.777778</v>
      </c>
      <c r="DA324" s="9">
        <f t="shared" si="250"/>
        <v>2657.777778</v>
      </c>
      <c r="DB324" s="9">
        <f t="shared" si="250"/>
        <v>2657.777778</v>
      </c>
      <c r="DC324" s="9">
        <f t="shared" si="250"/>
        <v>2657.777778</v>
      </c>
      <c r="DD324" s="9">
        <f t="shared" si="250"/>
        <v>2657.777778</v>
      </c>
      <c r="DE324" s="9">
        <f t="shared" si="250"/>
        <v>2657.777778</v>
      </c>
      <c r="DF324" s="9">
        <f t="shared" si="250"/>
        <v>2657.777778</v>
      </c>
      <c r="DG324" s="9">
        <f t="shared" si="250"/>
        <v>2657.777778</v>
      </c>
      <c r="DH324" s="9">
        <f t="shared" si="250"/>
        <v>2657.777778</v>
      </c>
      <c r="DI324" s="9">
        <f t="shared" si="250"/>
        <v>2657.777778</v>
      </c>
    </row>
    <row r="325" ht="15.75" customHeight="1">
      <c r="U325" s="6">
        <v>46507.0</v>
      </c>
      <c r="DA325" s="9">
        <f t="shared" ref="DA325:DI325" si="251">+$DA$53*$U$60*$X$60</f>
        <v>2657.777778</v>
      </c>
      <c r="DB325" s="9">
        <f t="shared" si="251"/>
        <v>2657.777778</v>
      </c>
      <c r="DC325" s="9">
        <f t="shared" si="251"/>
        <v>2657.777778</v>
      </c>
      <c r="DD325" s="9">
        <f t="shared" si="251"/>
        <v>2657.777778</v>
      </c>
      <c r="DE325" s="9">
        <f t="shared" si="251"/>
        <v>2657.777778</v>
      </c>
      <c r="DF325" s="9">
        <f t="shared" si="251"/>
        <v>2657.777778</v>
      </c>
      <c r="DG325" s="9">
        <f t="shared" si="251"/>
        <v>2657.777778</v>
      </c>
      <c r="DH325" s="9">
        <f t="shared" si="251"/>
        <v>2657.777778</v>
      </c>
      <c r="DI325" s="9">
        <f t="shared" si="251"/>
        <v>2657.777778</v>
      </c>
    </row>
    <row r="326" ht="15.75" customHeight="1">
      <c r="U326" s="6">
        <v>46538.0</v>
      </c>
      <c r="DB326" s="9">
        <f t="shared" ref="DB326:DI326" si="252">+$DB$53*$U$60*$X$60</f>
        <v>2657.777778</v>
      </c>
      <c r="DC326" s="9">
        <f t="shared" si="252"/>
        <v>2657.777778</v>
      </c>
      <c r="DD326" s="9">
        <f t="shared" si="252"/>
        <v>2657.777778</v>
      </c>
      <c r="DE326" s="9">
        <f t="shared" si="252"/>
        <v>2657.777778</v>
      </c>
      <c r="DF326" s="9">
        <f t="shared" si="252"/>
        <v>2657.777778</v>
      </c>
      <c r="DG326" s="9">
        <f t="shared" si="252"/>
        <v>2657.777778</v>
      </c>
      <c r="DH326" s="9">
        <f t="shared" si="252"/>
        <v>2657.777778</v>
      </c>
      <c r="DI326" s="9">
        <f t="shared" si="252"/>
        <v>2657.777778</v>
      </c>
    </row>
    <row r="327" ht="15.75" customHeight="1">
      <c r="U327" s="6">
        <v>46568.0</v>
      </c>
      <c r="DC327" s="9">
        <f t="shared" ref="DC327:DI327" si="253">+$DC$53*$U$60*$X$60</f>
        <v>2990</v>
      </c>
      <c r="DD327" s="9">
        <f t="shared" si="253"/>
        <v>2990</v>
      </c>
      <c r="DE327" s="9">
        <f t="shared" si="253"/>
        <v>2990</v>
      </c>
      <c r="DF327" s="9">
        <f t="shared" si="253"/>
        <v>2990</v>
      </c>
      <c r="DG327" s="9">
        <f t="shared" si="253"/>
        <v>2990</v>
      </c>
      <c r="DH327" s="9">
        <f t="shared" si="253"/>
        <v>2990</v>
      </c>
      <c r="DI327" s="9">
        <f t="shared" si="253"/>
        <v>2990</v>
      </c>
    </row>
    <row r="328" ht="15.75" customHeight="1">
      <c r="U328" s="6">
        <v>46599.0</v>
      </c>
      <c r="DD328" s="9">
        <f t="shared" ref="DD328:DI328" si="254">+$DD$53*$U$60*$X$60</f>
        <v>2990</v>
      </c>
      <c r="DE328" s="9">
        <f t="shared" si="254"/>
        <v>2990</v>
      </c>
      <c r="DF328" s="9">
        <f t="shared" si="254"/>
        <v>2990</v>
      </c>
      <c r="DG328" s="9">
        <f t="shared" si="254"/>
        <v>2990</v>
      </c>
      <c r="DH328" s="9">
        <f t="shared" si="254"/>
        <v>2990</v>
      </c>
      <c r="DI328" s="9">
        <f t="shared" si="254"/>
        <v>2990</v>
      </c>
    </row>
    <row r="329" ht="15.75" customHeight="1">
      <c r="U329" s="6">
        <v>46630.0</v>
      </c>
      <c r="DE329" s="9">
        <f t="shared" ref="DE329:DI329" si="255">+$DE$53*$U$60*$X$60</f>
        <v>3322.222222</v>
      </c>
      <c r="DF329" s="9">
        <f t="shared" si="255"/>
        <v>3322.222222</v>
      </c>
      <c r="DG329" s="9">
        <f t="shared" si="255"/>
        <v>3322.222222</v>
      </c>
      <c r="DH329" s="9">
        <f t="shared" si="255"/>
        <v>3322.222222</v>
      </c>
      <c r="DI329" s="9">
        <f t="shared" si="255"/>
        <v>3322.222222</v>
      </c>
    </row>
    <row r="330" ht="15.75" customHeight="1">
      <c r="U330" s="6">
        <v>46660.0</v>
      </c>
      <c r="DF330" s="9">
        <f t="shared" ref="DF330:DI330" si="256">+$DF$53*$U$60*$X$60</f>
        <v>3322.222222</v>
      </c>
      <c r="DG330" s="9">
        <f t="shared" si="256"/>
        <v>3322.222222</v>
      </c>
      <c r="DH330" s="9">
        <f t="shared" si="256"/>
        <v>3322.222222</v>
      </c>
      <c r="DI330" s="9">
        <f t="shared" si="256"/>
        <v>3322.222222</v>
      </c>
    </row>
    <row r="331" ht="15.75" customHeight="1">
      <c r="U331" s="6">
        <v>46691.0</v>
      </c>
      <c r="DG331" s="9">
        <f t="shared" ref="DG331:DI331" si="257">+$DG$53*$U$60*$X$60</f>
        <v>3322.222222</v>
      </c>
      <c r="DH331" s="9">
        <f t="shared" si="257"/>
        <v>3322.222222</v>
      </c>
      <c r="DI331" s="9">
        <f t="shared" si="257"/>
        <v>3322.222222</v>
      </c>
    </row>
    <row r="332" ht="15.75" customHeight="1">
      <c r="U332" s="6">
        <v>46721.0</v>
      </c>
      <c r="DH332" s="9">
        <f t="shared" ref="DH332:DI332" si="258">+$DH$53*$U$60*$X$60</f>
        <v>3322.222222</v>
      </c>
      <c r="DI332" s="9">
        <f t="shared" si="258"/>
        <v>3322.222222</v>
      </c>
    </row>
    <row r="333" ht="15.75" customHeight="1">
      <c r="U333" s="6">
        <v>46752.0</v>
      </c>
      <c r="DI333" s="9">
        <f>+$DI$53*$U$60*$X$60</f>
        <v>3322.222222</v>
      </c>
    </row>
    <row r="334" ht="15.75" customHeight="1">
      <c r="U334" s="6"/>
    </row>
    <row r="335" ht="15.75" customHeight="1"/>
    <row r="336" ht="15.75" customHeight="1">
      <c r="A336" s="1" t="s">
        <v>79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6">
        <f>+U241</f>
        <v>43951</v>
      </c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6">
        <v>43982.0</v>
      </c>
      <c r="V338" s="9">
        <f t="shared" ref="V338:AY338" si="259">+$V$53*$U$59*$X$59</f>
        <v>14.63194444</v>
      </c>
      <c r="W338" s="9">
        <f t="shared" si="259"/>
        <v>14.63194444</v>
      </c>
      <c r="X338" s="9">
        <f t="shared" si="259"/>
        <v>14.63194444</v>
      </c>
      <c r="Y338" s="9">
        <f t="shared" si="259"/>
        <v>14.63194444</v>
      </c>
      <c r="Z338" s="9">
        <f t="shared" si="259"/>
        <v>14.63194444</v>
      </c>
      <c r="AA338" s="9">
        <f t="shared" si="259"/>
        <v>14.63194444</v>
      </c>
      <c r="AB338" s="9">
        <f t="shared" si="259"/>
        <v>14.63194444</v>
      </c>
      <c r="AC338" s="9">
        <f t="shared" si="259"/>
        <v>14.63194444</v>
      </c>
      <c r="AD338" s="9">
        <f t="shared" si="259"/>
        <v>14.63194444</v>
      </c>
      <c r="AE338" s="9">
        <f t="shared" si="259"/>
        <v>14.63194444</v>
      </c>
      <c r="AF338" s="9">
        <f t="shared" si="259"/>
        <v>14.63194444</v>
      </c>
      <c r="AG338" s="9">
        <f t="shared" si="259"/>
        <v>14.63194444</v>
      </c>
      <c r="AH338" s="9">
        <f t="shared" si="259"/>
        <v>14.63194444</v>
      </c>
      <c r="AI338" s="9">
        <f t="shared" si="259"/>
        <v>14.63194444</v>
      </c>
      <c r="AJ338" s="9">
        <f t="shared" si="259"/>
        <v>14.63194444</v>
      </c>
      <c r="AK338" s="9">
        <f t="shared" si="259"/>
        <v>14.63194444</v>
      </c>
      <c r="AL338" s="9">
        <f t="shared" si="259"/>
        <v>14.63194444</v>
      </c>
      <c r="AM338" s="9">
        <f t="shared" si="259"/>
        <v>14.63194444</v>
      </c>
      <c r="AN338" s="9">
        <f t="shared" si="259"/>
        <v>14.63194444</v>
      </c>
      <c r="AO338" s="9">
        <f t="shared" si="259"/>
        <v>14.63194444</v>
      </c>
      <c r="AP338" s="9">
        <f t="shared" si="259"/>
        <v>14.63194444</v>
      </c>
      <c r="AQ338" s="9">
        <f t="shared" si="259"/>
        <v>14.63194444</v>
      </c>
      <c r="AR338" s="9">
        <f t="shared" si="259"/>
        <v>14.63194444</v>
      </c>
      <c r="AS338" s="9">
        <f t="shared" si="259"/>
        <v>14.63194444</v>
      </c>
      <c r="AT338" s="9">
        <f t="shared" si="259"/>
        <v>14.63194444</v>
      </c>
      <c r="AU338" s="9">
        <f t="shared" si="259"/>
        <v>14.63194444</v>
      </c>
      <c r="AV338" s="9">
        <f t="shared" si="259"/>
        <v>14.63194444</v>
      </c>
      <c r="AW338" s="9">
        <f t="shared" si="259"/>
        <v>14.63194444</v>
      </c>
      <c r="AX338" s="9">
        <f t="shared" si="259"/>
        <v>14.63194444</v>
      </c>
      <c r="AY338" s="9">
        <f t="shared" si="259"/>
        <v>14.63194444</v>
      </c>
      <c r="AZ338" s="9"/>
      <c r="BA338" s="9"/>
      <c r="BB338" s="9"/>
      <c r="BC338" s="9"/>
      <c r="BD338" s="9"/>
      <c r="BE338" s="9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6">
        <v>44012.0</v>
      </c>
      <c r="W339" s="9">
        <f t="shared" ref="W339:AZ339" si="260">+$W$53*$U$59*$X$59</f>
        <v>162.5771605</v>
      </c>
      <c r="X339" s="9">
        <f t="shared" si="260"/>
        <v>162.5771605</v>
      </c>
      <c r="Y339" s="9">
        <f t="shared" si="260"/>
        <v>162.5771605</v>
      </c>
      <c r="Z339" s="9">
        <f t="shared" si="260"/>
        <v>162.5771605</v>
      </c>
      <c r="AA339" s="9">
        <f t="shared" si="260"/>
        <v>162.5771605</v>
      </c>
      <c r="AB339" s="9">
        <f t="shared" si="260"/>
        <v>162.5771605</v>
      </c>
      <c r="AC339" s="9">
        <f t="shared" si="260"/>
        <v>162.5771605</v>
      </c>
      <c r="AD339" s="9">
        <f t="shared" si="260"/>
        <v>162.5771605</v>
      </c>
      <c r="AE339" s="9">
        <f t="shared" si="260"/>
        <v>162.5771605</v>
      </c>
      <c r="AF339" s="9">
        <f t="shared" si="260"/>
        <v>162.5771605</v>
      </c>
      <c r="AG339" s="9">
        <f t="shared" si="260"/>
        <v>162.5771605</v>
      </c>
      <c r="AH339" s="9">
        <f t="shared" si="260"/>
        <v>162.5771605</v>
      </c>
      <c r="AI339" s="9">
        <f t="shared" si="260"/>
        <v>162.5771605</v>
      </c>
      <c r="AJ339" s="9">
        <f t="shared" si="260"/>
        <v>162.5771605</v>
      </c>
      <c r="AK339" s="9">
        <f t="shared" si="260"/>
        <v>162.5771605</v>
      </c>
      <c r="AL339" s="9">
        <f t="shared" si="260"/>
        <v>162.5771605</v>
      </c>
      <c r="AM339" s="9">
        <f t="shared" si="260"/>
        <v>162.5771605</v>
      </c>
      <c r="AN339" s="9">
        <f t="shared" si="260"/>
        <v>162.5771605</v>
      </c>
      <c r="AO339" s="9">
        <f t="shared" si="260"/>
        <v>162.5771605</v>
      </c>
      <c r="AP339" s="9">
        <f t="shared" si="260"/>
        <v>162.5771605</v>
      </c>
      <c r="AQ339" s="9">
        <f t="shared" si="260"/>
        <v>162.5771605</v>
      </c>
      <c r="AR339" s="9">
        <f t="shared" si="260"/>
        <v>162.5771605</v>
      </c>
      <c r="AS339" s="9">
        <f t="shared" si="260"/>
        <v>162.5771605</v>
      </c>
      <c r="AT339" s="9">
        <f t="shared" si="260"/>
        <v>162.5771605</v>
      </c>
      <c r="AU339" s="9">
        <f t="shared" si="260"/>
        <v>162.5771605</v>
      </c>
      <c r="AV339" s="9">
        <f t="shared" si="260"/>
        <v>162.5771605</v>
      </c>
      <c r="AW339" s="9">
        <f t="shared" si="260"/>
        <v>162.5771605</v>
      </c>
      <c r="AX339" s="9">
        <f t="shared" si="260"/>
        <v>162.5771605</v>
      </c>
      <c r="AY339" s="9">
        <f t="shared" si="260"/>
        <v>162.5771605</v>
      </c>
      <c r="AZ339" s="9">
        <f t="shared" si="260"/>
        <v>162.5771605</v>
      </c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6">
        <v>44043.0</v>
      </c>
      <c r="X340" s="9">
        <f t="shared" ref="X340:BA340" si="261">+$X$53*$U$59*$X$59</f>
        <v>92.90123457</v>
      </c>
      <c r="Y340" s="9">
        <f t="shared" si="261"/>
        <v>92.90123457</v>
      </c>
      <c r="Z340" s="9">
        <f t="shared" si="261"/>
        <v>92.90123457</v>
      </c>
      <c r="AA340" s="9">
        <f t="shared" si="261"/>
        <v>92.90123457</v>
      </c>
      <c r="AB340" s="9">
        <f t="shared" si="261"/>
        <v>92.90123457</v>
      </c>
      <c r="AC340" s="9">
        <f t="shared" si="261"/>
        <v>92.90123457</v>
      </c>
      <c r="AD340" s="9">
        <f t="shared" si="261"/>
        <v>92.90123457</v>
      </c>
      <c r="AE340" s="9">
        <f t="shared" si="261"/>
        <v>92.90123457</v>
      </c>
      <c r="AF340" s="9">
        <f t="shared" si="261"/>
        <v>92.90123457</v>
      </c>
      <c r="AG340" s="9">
        <f t="shared" si="261"/>
        <v>92.90123457</v>
      </c>
      <c r="AH340" s="9">
        <f t="shared" si="261"/>
        <v>92.90123457</v>
      </c>
      <c r="AI340" s="9">
        <f t="shared" si="261"/>
        <v>92.90123457</v>
      </c>
      <c r="AJ340" s="9">
        <f t="shared" si="261"/>
        <v>92.90123457</v>
      </c>
      <c r="AK340" s="9">
        <f t="shared" si="261"/>
        <v>92.90123457</v>
      </c>
      <c r="AL340" s="9">
        <f t="shared" si="261"/>
        <v>92.90123457</v>
      </c>
      <c r="AM340" s="9">
        <f t="shared" si="261"/>
        <v>92.90123457</v>
      </c>
      <c r="AN340" s="9">
        <f t="shared" si="261"/>
        <v>92.90123457</v>
      </c>
      <c r="AO340" s="9">
        <f t="shared" si="261"/>
        <v>92.90123457</v>
      </c>
      <c r="AP340" s="9">
        <f t="shared" si="261"/>
        <v>92.90123457</v>
      </c>
      <c r="AQ340" s="9">
        <f t="shared" si="261"/>
        <v>92.90123457</v>
      </c>
      <c r="AR340" s="9">
        <f t="shared" si="261"/>
        <v>92.90123457</v>
      </c>
      <c r="AS340" s="9">
        <f t="shared" si="261"/>
        <v>92.90123457</v>
      </c>
      <c r="AT340" s="9">
        <f t="shared" si="261"/>
        <v>92.90123457</v>
      </c>
      <c r="AU340" s="9">
        <f t="shared" si="261"/>
        <v>92.90123457</v>
      </c>
      <c r="AV340" s="9">
        <f t="shared" si="261"/>
        <v>92.90123457</v>
      </c>
      <c r="AW340" s="9">
        <f t="shared" si="261"/>
        <v>92.90123457</v>
      </c>
      <c r="AX340" s="9">
        <f t="shared" si="261"/>
        <v>92.90123457</v>
      </c>
      <c r="AY340" s="9">
        <f t="shared" si="261"/>
        <v>92.90123457</v>
      </c>
      <c r="AZ340" s="9">
        <f t="shared" si="261"/>
        <v>92.90123457</v>
      </c>
      <c r="BA340" s="9">
        <f t="shared" si="261"/>
        <v>92.90123457</v>
      </c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6">
        <v>44074.0</v>
      </c>
      <c r="Y341" s="9">
        <f t="shared" ref="Y341:BB341" si="262">+$Y$53*$U$59*$X$59</f>
        <v>92.90123457</v>
      </c>
      <c r="Z341" s="9">
        <f t="shared" si="262"/>
        <v>92.90123457</v>
      </c>
      <c r="AA341" s="9">
        <f t="shared" si="262"/>
        <v>92.90123457</v>
      </c>
      <c r="AB341" s="9">
        <f t="shared" si="262"/>
        <v>92.90123457</v>
      </c>
      <c r="AC341" s="9">
        <f t="shared" si="262"/>
        <v>92.90123457</v>
      </c>
      <c r="AD341" s="9">
        <f t="shared" si="262"/>
        <v>92.90123457</v>
      </c>
      <c r="AE341" s="9">
        <f t="shared" si="262"/>
        <v>92.90123457</v>
      </c>
      <c r="AF341" s="9">
        <f t="shared" si="262"/>
        <v>92.90123457</v>
      </c>
      <c r="AG341" s="9">
        <f t="shared" si="262"/>
        <v>92.90123457</v>
      </c>
      <c r="AH341" s="9">
        <f t="shared" si="262"/>
        <v>92.90123457</v>
      </c>
      <c r="AI341" s="9">
        <f t="shared" si="262"/>
        <v>92.90123457</v>
      </c>
      <c r="AJ341" s="9">
        <f t="shared" si="262"/>
        <v>92.90123457</v>
      </c>
      <c r="AK341" s="9">
        <f t="shared" si="262"/>
        <v>92.90123457</v>
      </c>
      <c r="AL341" s="9">
        <f t="shared" si="262"/>
        <v>92.90123457</v>
      </c>
      <c r="AM341" s="9">
        <f t="shared" si="262"/>
        <v>92.90123457</v>
      </c>
      <c r="AN341" s="9">
        <f t="shared" si="262"/>
        <v>92.90123457</v>
      </c>
      <c r="AO341" s="9">
        <f t="shared" si="262"/>
        <v>92.90123457</v>
      </c>
      <c r="AP341" s="9">
        <f t="shared" si="262"/>
        <v>92.90123457</v>
      </c>
      <c r="AQ341" s="9">
        <f t="shared" si="262"/>
        <v>92.90123457</v>
      </c>
      <c r="AR341" s="9">
        <f t="shared" si="262"/>
        <v>92.90123457</v>
      </c>
      <c r="AS341" s="9">
        <f t="shared" si="262"/>
        <v>92.90123457</v>
      </c>
      <c r="AT341" s="9">
        <f t="shared" si="262"/>
        <v>92.90123457</v>
      </c>
      <c r="AU341" s="9">
        <f t="shared" si="262"/>
        <v>92.90123457</v>
      </c>
      <c r="AV341" s="9">
        <f t="shared" si="262"/>
        <v>92.90123457</v>
      </c>
      <c r="AW341" s="9">
        <f t="shared" si="262"/>
        <v>92.90123457</v>
      </c>
      <c r="AX341" s="9">
        <f t="shared" si="262"/>
        <v>92.90123457</v>
      </c>
      <c r="AY341" s="9">
        <f t="shared" si="262"/>
        <v>92.90123457</v>
      </c>
      <c r="AZ341" s="9">
        <f t="shared" si="262"/>
        <v>92.90123457</v>
      </c>
      <c r="BA341" s="9">
        <f t="shared" si="262"/>
        <v>92.90123457</v>
      </c>
      <c r="BB341" s="9">
        <f t="shared" si="262"/>
        <v>92.90123457</v>
      </c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6">
        <v>44104.0</v>
      </c>
      <c r="Z342" s="9">
        <f t="shared" ref="Z342:BC342" si="263">+$Z$53*$U$59*$X$59</f>
        <v>139.3518519</v>
      </c>
      <c r="AA342" s="9">
        <f t="shared" si="263"/>
        <v>139.3518519</v>
      </c>
      <c r="AB342" s="9">
        <f t="shared" si="263"/>
        <v>139.3518519</v>
      </c>
      <c r="AC342" s="9">
        <f t="shared" si="263"/>
        <v>139.3518519</v>
      </c>
      <c r="AD342" s="9">
        <f t="shared" si="263"/>
        <v>139.3518519</v>
      </c>
      <c r="AE342" s="9">
        <f t="shared" si="263"/>
        <v>139.3518519</v>
      </c>
      <c r="AF342" s="9">
        <f t="shared" si="263"/>
        <v>139.3518519</v>
      </c>
      <c r="AG342" s="9">
        <f t="shared" si="263"/>
        <v>139.3518519</v>
      </c>
      <c r="AH342" s="9">
        <f t="shared" si="263"/>
        <v>139.3518519</v>
      </c>
      <c r="AI342" s="9">
        <f t="shared" si="263"/>
        <v>139.3518519</v>
      </c>
      <c r="AJ342" s="9">
        <f t="shared" si="263"/>
        <v>139.3518519</v>
      </c>
      <c r="AK342" s="9">
        <f t="shared" si="263"/>
        <v>139.3518519</v>
      </c>
      <c r="AL342" s="9">
        <f t="shared" si="263"/>
        <v>139.3518519</v>
      </c>
      <c r="AM342" s="9">
        <f t="shared" si="263"/>
        <v>139.3518519</v>
      </c>
      <c r="AN342" s="9">
        <f t="shared" si="263"/>
        <v>139.3518519</v>
      </c>
      <c r="AO342" s="9">
        <f t="shared" si="263"/>
        <v>139.3518519</v>
      </c>
      <c r="AP342" s="9">
        <f t="shared" si="263"/>
        <v>139.3518519</v>
      </c>
      <c r="AQ342" s="9">
        <f t="shared" si="263"/>
        <v>139.3518519</v>
      </c>
      <c r="AR342" s="9">
        <f t="shared" si="263"/>
        <v>139.3518519</v>
      </c>
      <c r="AS342" s="9">
        <f t="shared" si="263"/>
        <v>139.3518519</v>
      </c>
      <c r="AT342" s="9">
        <f t="shared" si="263"/>
        <v>139.3518519</v>
      </c>
      <c r="AU342" s="9">
        <f t="shared" si="263"/>
        <v>139.3518519</v>
      </c>
      <c r="AV342" s="9">
        <f t="shared" si="263"/>
        <v>139.3518519</v>
      </c>
      <c r="AW342" s="9">
        <f t="shared" si="263"/>
        <v>139.3518519</v>
      </c>
      <c r="AX342" s="9">
        <f t="shared" si="263"/>
        <v>139.3518519</v>
      </c>
      <c r="AY342" s="9">
        <f t="shared" si="263"/>
        <v>139.3518519</v>
      </c>
      <c r="AZ342" s="9">
        <f t="shared" si="263"/>
        <v>139.3518519</v>
      </c>
      <c r="BA342" s="9">
        <f t="shared" si="263"/>
        <v>139.3518519</v>
      </c>
      <c r="BB342" s="9">
        <f t="shared" si="263"/>
        <v>139.3518519</v>
      </c>
      <c r="BC342" s="9">
        <f t="shared" si="263"/>
        <v>139.3518519</v>
      </c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6">
        <v>44135.0</v>
      </c>
      <c r="AA343" s="9">
        <f t="shared" ref="AA343:BD343" si="264">+$AA$53*$U$59*$X$59</f>
        <v>232.2530864</v>
      </c>
      <c r="AB343" s="9">
        <f t="shared" si="264"/>
        <v>232.2530864</v>
      </c>
      <c r="AC343" s="9">
        <f t="shared" si="264"/>
        <v>232.2530864</v>
      </c>
      <c r="AD343" s="9">
        <f t="shared" si="264"/>
        <v>232.2530864</v>
      </c>
      <c r="AE343" s="9">
        <f t="shared" si="264"/>
        <v>232.2530864</v>
      </c>
      <c r="AF343" s="9">
        <f t="shared" si="264"/>
        <v>232.2530864</v>
      </c>
      <c r="AG343" s="9">
        <f t="shared" si="264"/>
        <v>232.2530864</v>
      </c>
      <c r="AH343" s="9">
        <f t="shared" si="264"/>
        <v>232.2530864</v>
      </c>
      <c r="AI343" s="9">
        <f t="shared" si="264"/>
        <v>232.2530864</v>
      </c>
      <c r="AJ343" s="9">
        <f t="shared" si="264"/>
        <v>232.2530864</v>
      </c>
      <c r="AK343" s="9">
        <f t="shared" si="264"/>
        <v>232.2530864</v>
      </c>
      <c r="AL343" s="9">
        <f t="shared" si="264"/>
        <v>232.2530864</v>
      </c>
      <c r="AM343" s="9">
        <f t="shared" si="264"/>
        <v>232.2530864</v>
      </c>
      <c r="AN343" s="9">
        <f t="shared" si="264"/>
        <v>232.2530864</v>
      </c>
      <c r="AO343" s="9">
        <f t="shared" si="264"/>
        <v>232.2530864</v>
      </c>
      <c r="AP343" s="9">
        <f t="shared" si="264"/>
        <v>232.2530864</v>
      </c>
      <c r="AQ343" s="9">
        <f t="shared" si="264"/>
        <v>232.2530864</v>
      </c>
      <c r="AR343" s="9">
        <f t="shared" si="264"/>
        <v>232.2530864</v>
      </c>
      <c r="AS343" s="9">
        <f t="shared" si="264"/>
        <v>232.2530864</v>
      </c>
      <c r="AT343" s="9">
        <f t="shared" si="264"/>
        <v>232.2530864</v>
      </c>
      <c r="AU343" s="9">
        <f t="shared" si="264"/>
        <v>232.2530864</v>
      </c>
      <c r="AV343" s="9">
        <f t="shared" si="264"/>
        <v>232.2530864</v>
      </c>
      <c r="AW343" s="9">
        <f t="shared" si="264"/>
        <v>232.2530864</v>
      </c>
      <c r="AX343" s="9">
        <f t="shared" si="264"/>
        <v>232.2530864</v>
      </c>
      <c r="AY343" s="9">
        <f t="shared" si="264"/>
        <v>232.2530864</v>
      </c>
      <c r="AZ343" s="9">
        <f t="shared" si="264"/>
        <v>232.2530864</v>
      </c>
      <c r="BA343" s="9">
        <f t="shared" si="264"/>
        <v>232.2530864</v>
      </c>
      <c r="BB343" s="9">
        <f t="shared" si="264"/>
        <v>232.2530864</v>
      </c>
      <c r="BC343" s="9">
        <f t="shared" si="264"/>
        <v>232.2530864</v>
      </c>
      <c r="BD343" s="9">
        <f t="shared" si="264"/>
        <v>232.2530864</v>
      </c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6">
        <v>44165.0</v>
      </c>
      <c r="AB344" s="9">
        <f t="shared" ref="AB344:BE344" si="265">+$AB$53*$U$59*$X$59</f>
        <v>557.4074074</v>
      </c>
      <c r="AC344" s="9">
        <f t="shared" si="265"/>
        <v>557.4074074</v>
      </c>
      <c r="AD344" s="9">
        <f t="shared" si="265"/>
        <v>557.4074074</v>
      </c>
      <c r="AE344" s="9">
        <f t="shared" si="265"/>
        <v>557.4074074</v>
      </c>
      <c r="AF344" s="9">
        <f t="shared" si="265"/>
        <v>557.4074074</v>
      </c>
      <c r="AG344" s="9">
        <f t="shared" si="265"/>
        <v>557.4074074</v>
      </c>
      <c r="AH344" s="9">
        <f t="shared" si="265"/>
        <v>557.4074074</v>
      </c>
      <c r="AI344" s="9">
        <f t="shared" si="265"/>
        <v>557.4074074</v>
      </c>
      <c r="AJ344" s="9">
        <f t="shared" si="265"/>
        <v>557.4074074</v>
      </c>
      <c r="AK344" s="9">
        <f t="shared" si="265"/>
        <v>557.4074074</v>
      </c>
      <c r="AL344" s="9">
        <f t="shared" si="265"/>
        <v>557.4074074</v>
      </c>
      <c r="AM344" s="9">
        <f t="shared" si="265"/>
        <v>557.4074074</v>
      </c>
      <c r="AN344" s="9">
        <f t="shared" si="265"/>
        <v>557.4074074</v>
      </c>
      <c r="AO344" s="9">
        <f t="shared" si="265"/>
        <v>557.4074074</v>
      </c>
      <c r="AP344" s="9">
        <f t="shared" si="265"/>
        <v>557.4074074</v>
      </c>
      <c r="AQ344" s="9">
        <f t="shared" si="265"/>
        <v>557.4074074</v>
      </c>
      <c r="AR344" s="9">
        <f t="shared" si="265"/>
        <v>557.4074074</v>
      </c>
      <c r="AS344" s="9">
        <f t="shared" si="265"/>
        <v>557.4074074</v>
      </c>
      <c r="AT344" s="9">
        <f t="shared" si="265"/>
        <v>557.4074074</v>
      </c>
      <c r="AU344" s="9">
        <f t="shared" si="265"/>
        <v>557.4074074</v>
      </c>
      <c r="AV344" s="9">
        <f t="shared" si="265"/>
        <v>557.4074074</v>
      </c>
      <c r="AW344" s="9">
        <f t="shared" si="265"/>
        <v>557.4074074</v>
      </c>
      <c r="AX344" s="9">
        <f t="shared" si="265"/>
        <v>557.4074074</v>
      </c>
      <c r="AY344" s="9">
        <f t="shared" si="265"/>
        <v>557.4074074</v>
      </c>
      <c r="AZ344" s="9">
        <f t="shared" si="265"/>
        <v>557.4074074</v>
      </c>
      <c r="BA344" s="9">
        <f t="shared" si="265"/>
        <v>557.4074074</v>
      </c>
      <c r="BB344" s="9">
        <f t="shared" si="265"/>
        <v>557.4074074</v>
      </c>
      <c r="BC344" s="9">
        <f t="shared" si="265"/>
        <v>557.4074074</v>
      </c>
      <c r="BD344" s="9">
        <f t="shared" si="265"/>
        <v>557.4074074</v>
      </c>
      <c r="BE344" s="9">
        <f t="shared" si="265"/>
        <v>557.4074074</v>
      </c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6">
        <v>44196.0</v>
      </c>
      <c r="AC345" s="9">
        <f t="shared" ref="AC345:BF345" si="266">+$AC$53*$U$59*$X$59</f>
        <v>92.90123457</v>
      </c>
      <c r="AD345" s="9">
        <f t="shared" si="266"/>
        <v>92.90123457</v>
      </c>
      <c r="AE345" s="9">
        <f t="shared" si="266"/>
        <v>92.90123457</v>
      </c>
      <c r="AF345" s="9">
        <f t="shared" si="266"/>
        <v>92.90123457</v>
      </c>
      <c r="AG345" s="9">
        <f t="shared" si="266"/>
        <v>92.90123457</v>
      </c>
      <c r="AH345" s="9">
        <f t="shared" si="266"/>
        <v>92.90123457</v>
      </c>
      <c r="AI345" s="9">
        <f t="shared" si="266"/>
        <v>92.90123457</v>
      </c>
      <c r="AJ345" s="9">
        <f t="shared" si="266"/>
        <v>92.90123457</v>
      </c>
      <c r="AK345" s="9">
        <f t="shared" si="266"/>
        <v>92.90123457</v>
      </c>
      <c r="AL345" s="9">
        <f t="shared" si="266"/>
        <v>92.90123457</v>
      </c>
      <c r="AM345" s="9">
        <f t="shared" si="266"/>
        <v>92.90123457</v>
      </c>
      <c r="AN345" s="9">
        <f t="shared" si="266"/>
        <v>92.90123457</v>
      </c>
      <c r="AO345" s="9">
        <f t="shared" si="266"/>
        <v>92.90123457</v>
      </c>
      <c r="AP345" s="9">
        <f t="shared" si="266"/>
        <v>92.90123457</v>
      </c>
      <c r="AQ345" s="9">
        <f t="shared" si="266"/>
        <v>92.90123457</v>
      </c>
      <c r="AR345" s="9">
        <f t="shared" si="266"/>
        <v>92.90123457</v>
      </c>
      <c r="AS345" s="9">
        <f t="shared" si="266"/>
        <v>92.90123457</v>
      </c>
      <c r="AT345" s="9">
        <f t="shared" si="266"/>
        <v>92.90123457</v>
      </c>
      <c r="AU345" s="9">
        <f t="shared" si="266"/>
        <v>92.90123457</v>
      </c>
      <c r="AV345" s="9">
        <f t="shared" si="266"/>
        <v>92.90123457</v>
      </c>
      <c r="AW345" s="9">
        <f t="shared" si="266"/>
        <v>92.90123457</v>
      </c>
      <c r="AX345" s="9">
        <f t="shared" si="266"/>
        <v>92.90123457</v>
      </c>
      <c r="AY345" s="9">
        <f t="shared" si="266"/>
        <v>92.90123457</v>
      </c>
      <c r="AZ345" s="9">
        <f t="shared" si="266"/>
        <v>92.90123457</v>
      </c>
      <c r="BA345" s="9">
        <f t="shared" si="266"/>
        <v>92.90123457</v>
      </c>
      <c r="BB345" s="9">
        <f t="shared" si="266"/>
        <v>92.90123457</v>
      </c>
      <c r="BC345" s="9">
        <f t="shared" si="266"/>
        <v>92.90123457</v>
      </c>
      <c r="BD345" s="9">
        <f t="shared" si="266"/>
        <v>92.90123457</v>
      </c>
      <c r="BE345" s="9">
        <f t="shared" si="266"/>
        <v>92.90123457</v>
      </c>
      <c r="BF345" s="9">
        <f t="shared" si="266"/>
        <v>92.90123457</v>
      </c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6">
        <v>44227.0</v>
      </c>
      <c r="AD346" s="9">
        <f t="shared" ref="AD346:BG346" si="267">+$AD$53*$U$59*$X$59</f>
        <v>783.8541667</v>
      </c>
      <c r="AE346" s="9">
        <f t="shared" si="267"/>
        <v>783.8541667</v>
      </c>
      <c r="AF346" s="9">
        <f t="shared" si="267"/>
        <v>783.8541667</v>
      </c>
      <c r="AG346" s="9">
        <f t="shared" si="267"/>
        <v>783.8541667</v>
      </c>
      <c r="AH346" s="9">
        <f t="shared" si="267"/>
        <v>783.8541667</v>
      </c>
      <c r="AI346" s="9">
        <f t="shared" si="267"/>
        <v>783.8541667</v>
      </c>
      <c r="AJ346" s="9">
        <f t="shared" si="267"/>
        <v>783.8541667</v>
      </c>
      <c r="AK346" s="9">
        <f t="shared" si="267"/>
        <v>783.8541667</v>
      </c>
      <c r="AL346" s="9">
        <f t="shared" si="267"/>
        <v>783.8541667</v>
      </c>
      <c r="AM346" s="9">
        <f t="shared" si="267"/>
        <v>783.8541667</v>
      </c>
      <c r="AN346" s="9">
        <f t="shared" si="267"/>
        <v>783.8541667</v>
      </c>
      <c r="AO346" s="9">
        <f t="shared" si="267"/>
        <v>783.8541667</v>
      </c>
      <c r="AP346" s="9">
        <f t="shared" si="267"/>
        <v>783.8541667</v>
      </c>
      <c r="AQ346" s="9">
        <f t="shared" si="267"/>
        <v>783.8541667</v>
      </c>
      <c r="AR346" s="9">
        <f t="shared" si="267"/>
        <v>783.8541667</v>
      </c>
      <c r="AS346" s="9">
        <f t="shared" si="267"/>
        <v>783.8541667</v>
      </c>
      <c r="AT346" s="9">
        <f t="shared" si="267"/>
        <v>783.8541667</v>
      </c>
      <c r="AU346" s="9">
        <f t="shared" si="267"/>
        <v>783.8541667</v>
      </c>
      <c r="AV346" s="9">
        <f t="shared" si="267"/>
        <v>783.8541667</v>
      </c>
      <c r="AW346" s="9">
        <f t="shared" si="267"/>
        <v>783.8541667</v>
      </c>
      <c r="AX346" s="9">
        <f t="shared" si="267"/>
        <v>783.8541667</v>
      </c>
      <c r="AY346" s="9">
        <f t="shared" si="267"/>
        <v>783.8541667</v>
      </c>
      <c r="AZ346" s="9">
        <f t="shared" si="267"/>
        <v>783.8541667</v>
      </c>
      <c r="BA346" s="9">
        <f t="shared" si="267"/>
        <v>783.8541667</v>
      </c>
      <c r="BB346" s="9">
        <f t="shared" si="267"/>
        <v>783.8541667</v>
      </c>
      <c r="BC346" s="9">
        <f t="shared" si="267"/>
        <v>783.8541667</v>
      </c>
      <c r="BD346" s="9">
        <f t="shared" si="267"/>
        <v>783.8541667</v>
      </c>
      <c r="BE346" s="9">
        <f t="shared" si="267"/>
        <v>783.8541667</v>
      </c>
      <c r="BF346" s="9">
        <f t="shared" si="267"/>
        <v>783.8541667</v>
      </c>
      <c r="BG346" s="9">
        <f t="shared" si="267"/>
        <v>783.8541667</v>
      </c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6">
        <v>44255.0</v>
      </c>
      <c r="AE347" s="9">
        <f t="shared" ref="AE347:BH347" si="268">+$AE$53*$U$59*$X$59</f>
        <v>888.3680556</v>
      </c>
      <c r="AF347" s="9">
        <f t="shared" si="268"/>
        <v>888.3680556</v>
      </c>
      <c r="AG347" s="9">
        <f t="shared" si="268"/>
        <v>888.3680556</v>
      </c>
      <c r="AH347" s="9">
        <f t="shared" si="268"/>
        <v>888.3680556</v>
      </c>
      <c r="AI347" s="9">
        <f t="shared" si="268"/>
        <v>888.3680556</v>
      </c>
      <c r="AJ347" s="9">
        <f t="shared" si="268"/>
        <v>888.3680556</v>
      </c>
      <c r="AK347" s="9">
        <f t="shared" si="268"/>
        <v>888.3680556</v>
      </c>
      <c r="AL347" s="9">
        <f t="shared" si="268"/>
        <v>888.3680556</v>
      </c>
      <c r="AM347" s="9">
        <f t="shared" si="268"/>
        <v>888.3680556</v>
      </c>
      <c r="AN347" s="9">
        <f t="shared" si="268"/>
        <v>888.3680556</v>
      </c>
      <c r="AO347" s="9">
        <f t="shared" si="268"/>
        <v>888.3680556</v>
      </c>
      <c r="AP347" s="9">
        <f t="shared" si="268"/>
        <v>888.3680556</v>
      </c>
      <c r="AQ347" s="9">
        <f t="shared" si="268"/>
        <v>888.3680556</v>
      </c>
      <c r="AR347" s="9">
        <f t="shared" si="268"/>
        <v>888.3680556</v>
      </c>
      <c r="AS347" s="9">
        <f t="shared" si="268"/>
        <v>888.3680556</v>
      </c>
      <c r="AT347" s="9">
        <f t="shared" si="268"/>
        <v>888.3680556</v>
      </c>
      <c r="AU347" s="9">
        <f t="shared" si="268"/>
        <v>888.3680556</v>
      </c>
      <c r="AV347" s="9">
        <f t="shared" si="268"/>
        <v>888.3680556</v>
      </c>
      <c r="AW347" s="9">
        <f t="shared" si="268"/>
        <v>888.3680556</v>
      </c>
      <c r="AX347" s="9">
        <f t="shared" si="268"/>
        <v>888.3680556</v>
      </c>
      <c r="AY347" s="9">
        <f t="shared" si="268"/>
        <v>888.3680556</v>
      </c>
      <c r="AZ347" s="9">
        <f t="shared" si="268"/>
        <v>888.3680556</v>
      </c>
      <c r="BA347" s="9">
        <f t="shared" si="268"/>
        <v>888.3680556</v>
      </c>
      <c r="BB347" s="9">
        <f t="shared" si="268"/>
        <v>888.3680556</v>
      </c>
      <c r="BC347" s="9">
        <f t="shared" si="268"/>
        <v>888.3680556</v>
      </c>
      <c r="BD347" s="9">
        <f t="shared" si="268"/>
        <v>888.3680556</v>
      </c>
      <c r="BE347" s="9">
        <f t="shared" si="268"/>
        <v>888.3680556</v>
      </c>
      <c r="BF347" s="9">
        <f t="shared" si="268"/>
        <v>888.3680556</v>
      </c>
      <c r="BG347" s="9">
        <f t="shared" si="268"/>
        <v>888.3680556</v>
      </c>
      <c r="BH347" s="9">
        <f t="shared" si="268"/>
        <v>888.3680556</v>
      </c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6">
        <v>44286.0</v>
      </c>
      <c r="AF348" s="9">
        <f t="shared" ref="AF348:BI348" si="269">+$AF$53*$U$59*$X$59</f>
        <v>888.3680556</v>
      </c>
      <c r="AG348" s="9">
        <f t="shared" si="269"/>
        <v>888.3680556</v>
      </c>
      <c r="AH348" s="9">
        <f t="shared" si="269"/>
        <v>888.3680556</v>
      </c>
      <c r="AI348" s="9">
        <f t="shared" si="269"/>
        <v>888.3680556</v>
      </c>
      <c r="AJ348" s="9">
        <f t="shared" si="269"/>
        <v>888.3680556</v>
      </c>
      <c r="AK348" s="9">
        <f t="shared" si="269"/>
        <v>888.3680556</v>
      </c>
      <c r="AL348" s="9">
        <f t="shared" si="269"/>
        <v>888.3680556</v>
      </c>
      <c r="AM348" s="9">
        <f t="shared" si="269"/>
        <v>888.3680556</v>
      </c>
      <c r="AN348" s="9">
        <f t="shared" si="269"/>
        <v>888.3680556</v>
      </c>
      <c r="AO348" s="9">
        <f t="shared" si="269"/>
        <v>888.3680556</v>
      </c>
      <c r="AP348" s="9">
        <f t="shared" si="269"/>
        <v>888.3680556</v>
      </c>
      <c r="AQ348" s="9">
        <f t="shared" si="269"/>
        <v>888.3680556</v>
      </c>
      <c r="AR348" s="9">
        <f t="shared" si="269"/>
        <v>888.3680556</v>
      </c>
      <c r="AS348" s="9">
        <f t="shared" si="269"/>
        <v>888.3680556</v>
      </c>
      <c r="AT348" s="9">
        <f t="shared" si="269"/>
        <v>888.3680556</v>
      </c>
      <c r="AU348" s="9">
        <f t="shared" si="269"/>
        <v>888.3680556</v>
      </c>
      <c r="AV348" s="9">
        <f t="shared" si="269"/>
        <v>888.3680556</v>
      </c>
      <c r="AW348" s="9">
        <f t="shared" si="269"/>
        <v>888.3680556</v>
      </c>
      <c r="AX348" s="9">
        <f t="shared" si="269"/>
        <v>888.3680556</v>
      </c>
      <c r="AY348" s="9">
        <f t="shared" si="269"/>
        <v>888.3680556</v>
      </c>
      <c r="AZ348" s="9">
        <f t="shared" si="269"/>
        <v>888.3680556</v>
      </c>
      <c r="BA348" s="9">
        <f t="shared" si="269"/>
        <v>888.3680556</v>
      </c>
      <c r="BB348" s="9">
        <f t="shared" si="269"/>
        <v>888.3680556</v>
      </c>
      <c r="BC348" s="9">
        <f t="shared" si="269"/>
        <v>888.3680556</v>
      </c>
      <c r="BD348" s="9">
        <f t="shared" si="269"/>
        <v>888.3680556</v>
      </c>
      <c r="BE348" s="9">
        <f t="shared" si="269"/>
        <v>888.3680556</v>
      </c>
      <c r="BF348" s="9">
        <f t="shared" si="269"/>
        <v>888.3680556</v>
      </c>
      <c r="BG348" s="9">
        <f t="shared" si="269"/>
        <v>888.3680556</v>
      </c>
      <c r="BH348" s="9">
        <f t="shared" si="269"/>
        <v>888.3680556</v>
      </c>
      <c r="BI348" s="9">
        <f t="shared" si="269"/>
        <v>888.3680556</v>
      </c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6">
        <v>44316.0</v>
      </c>
      <c r="AG349" s="9">
        <f t="shared" ref="AG349:BJ349" si="270">+$AG$53*$U$59*$X$59</f>
        <v>696.7592593</v>
      </c>
      <c r="AH349" s="9">
        <f t="shared" si="270"/>
        <v>696.7592593</v>
      </c>
      <c r="AI349" s="9">
        <f t="shared" si="270"/>
        <v>696.7592593</v>
      </c>
      <c r="AJ349" s="9">
        <f t="shared" si="270"/>
        <v>696.7592593</v>
      </c>
      <c r="AK349" s="9">
        <f t="shared" si="270"/>
        <v>696.7592593</v>
      </c>
      <c r="AL349" s="9">
        <f t="shared" si="270"/>
        <v>696.7592593</v>
      </c>
      <c r="AM349" s="9">
        <f t="shared" si="270"/>
        <v>696.7592593</v>
      </c>
      <c r="AN349" s="9">
        <f t="shared" si="270"/>
        <v>696.7592593</v>
      </c>
      <c r="AO349" s="9">
        <f t="shared" si="270"/>
        <v>696.7592593</v>
      </c>
      <c r="AP349" s="9">
        <f t="shared" si="270"/>
        <v>696.7592593</v>
      </c>
      <c r="AQ349" s="9">
        <f t="shared" si="270"/>
        <v>696.7592593</v>
      </c>
      <c r="AR349" s="9">
        <f t="shared" si="270"/>
        <v>696.7592593</v>
      </c>
      <c r="AS349" s="9">
        <f t="shared" si="270"/>
        <v>696.7592593</v>
      </c>
      <c r="AT349" s="9">
        <f t="shared" si="270"/>
        <v>696.7592593</v>
      </c>
      <c r="AU349" s="9">
        <f t="shared" si="270"/>
        <v>696.7592593</v>
      </c>
      <c r="AV349" s="9">
        <f t="shared" si="270"/>
        <v>696.7592593</v>
      </c>
      <c r="AW349" s="9">
        <f t="shared" si="270"/>
        <v>696.7592593</v>
      </c>
      <c r="AX349" s="9">
        <f t="shared" si="270"/>
        <v>696.7592593</v>
      </c>
      <c r="AY349" s="9">
        <f t="shared" si="270"/>
        <v>696.7592593</v>
      </c>
      <c r="AZ349" s="9">
        <f t="shared" si="270"/>
        <v>696.7592593</v>
      </c>
      <c r="BA349" s="9">
        <f t="shared" si="270"/>
        <v>696.7592593</v>
      </c>
      <c r="BB349" s="9">
        <f t="shared" si="270"/>
        <v>696.7592593</v>
      </c>
      <c r="BC349" s="9">
        <f t="shared" si="270"/>
        <v>696.7592593</v>
      </c>
      <c r="BD349" s="9">
        <f t="shared" si="270"/>
        <v>696.7592593</v>
      </c>
      <c r="BE349" s="9">
        <f t="shared" si="270"/>
        <v>696.7592593</v>
      </c>
      <c r="BF349" s="9">
        <f t="shared" si="270"/>
        <v>696.7592593</v>
      </c>
      <c r="BG349" s="9">
        <f t="shared" si="270"/>
        <v>696.7592593</v>
      </c>
      <c r="BH349" s="9">
        <f t="shared" si="270"/>
        <v>696.7592593</v>
      </c>
      <c r="BI349" s="9">
        <f t="shared" si="270"/>
        <v>696.7592593</v>
      </c>
      <c r="BJ349" s="9">
        <f t="shared" si="270"/>
        <v>696.7592593</v>
      </c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6">
        <v>44347.0</v>
      </c>
      <c r="AH350" s="9">
        <f t="shared" ref="AH350:BK350" si="271">+$AH$53*$U$59*$X$59</f>
        <v>464.5061728</v>
      </c>
      <c r="AI350" s="9">
        <f t="shared" si="271"/>
        <v>464.5061728</v>
      </c>
      <c r="AJ350" s="9">
        <f t="shared" si="271"/>
        <v>464.5061728</v>
      </c>
      <c r="AK350" s="9">
        <f t="shared" si="271"/>
        <v>464.5061728</v>
      </c>
      <c r="AL350" s="9">
        <f t="shared" si="271"/>
        <v>464.5061728</v>
      </c>
      <c r="AM350" s="9">
        <f t="shared" si="271"/>
        <v>464.5061728</v>
      </c>
      <c r="AN350" s="9">
        <f t="shared" si="271"/>
        <v>464.5061728</v>
      </c>
      <c r="AO350" s="9">
        <f t="shared" si="271"/>
        <v>464.5061728</v>
      </c>
      <c r="AP350" s="9">
        <f t="shared" si="271"/>
        <v>464.5061728</v>
      </c>
      <c r="AQ350" s="9">
        <f t="shared" si="271"/>
        <v>464.5061728</v>
      </c>
      <c r="AR350" s="9">
        <f t="shared" si="271"/>
        <v>464.5061728</v>
      </c>
      <c r="AS350" s="9">
        <f t="shared" si="271"/>
        <v>464.5061728</v>
      </c>
      <c r="AT350" s="9">
        <f t="shared" si="271"/>
        <v>464.5061728</v>
      </c>
      <c r="AU350" s="9">
        <f t="shared" si="271"/>
        <v>464.5061728</v>
      </c>
      <c r="AV350" s="9">
        <f t="shared" si="271"/>
        <v>464.5061728</v>
      </c>
      <c r="AW350" s="9">
        <f t="shared" si="271"/>
        <v>464.5061728</v>
      </c>
      <c r="AX350" s="9">
        <f t="shared" si="271"/>
        <v>464.5061728</v>
      </c>
      <c r="AY350" s="9">
        <f t="shared" si="271"/>
        <v>464.5061728</v>
      </c>
      <c r="AZ350" s="9">
        <f t="shared" si="271"/>
        <v>464.5061728</v>
      </c>
      <c r="BA350" s="9">
        <f t="shared" si="271"/>
        <v>464.5061728</v>
      </c>
      <c r="BB350" s="9">
        <f t="shared" si="271"/>
        <v>464.5061728</v>
      </c>
      <c r="BC350" s="9">
        <f t="shared" si="271"/>
        <v>464.5061728</v>
      </c>
      <c r="BD350" s="9">
        <f t="shared" si="271"/>
        <v>464.5061728</v>
      </c>
      <c r="BE350" s="9">
        <f t="shared" si="271"/>
        <v>464.5061728</v>
      </c>
      <c r="BF350" s="9">
        <f t="shared" si="271"/>
        <v>464.5061728</v>
      </c>
      <c r="BG350" s="9">
        <f t="shared" si="271"/>
        <v>464.5061728</v>
      </c>
      <c r="BH350" s="9">
        <f t="shared" si="271"/>
        <v>464.5061728</v>
      </c>
      <c r="BI350" s="9">
        <f t="shared" si="271"/>
        <v>464.5061728</v>
      </c>
      <c r="BJ350" s="9">
        <f t="shared" si="271"/>
        <v>464.5061728</v>
      </c>
      <c r="BK350" s="9">
        <f t="shared" si="271"/>
        <v>464.5061728</v>
      </c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6">
        <v>44377.0</v>
      </c>
      <c r="AI351" s="9">
        <f t="shared" ref="AI351:BL351" si="272">+$AI$53*$U$59*$X$59</f>
        <v>464.5061728</v>
      </c>
      <c r="AJ351" s="9">
        <f t="shared" si="272"/>
        <v>464.5061728</v>
      </c>
      <c r="AK351" s="9">
        <f t="shared" si="272"/>
        <v>464.5061728</v>
      </c>
      <c r="AL351" s="9">
        <f t="shared" si="272"/>
        <v>464.5061728</v>
      </c>
      <c r="AM351" s="9">
        <f t="shared" si="272"/>
        <v>464.5061728</v>
      </c>
      <c r="AN351" s="9">
        <f t="shared" si="272"/>
        <v>464.5061728</v>
      </c>
      <c r="AO351" s="9">
        <f t="shared" si="272"/>
        <v>464.5061728</v>
      </c>
      <c r="AP351" s="9">
        <f t="shared" si="272"/>
        <v>464.5061728</v>
      </c>
      <c r="AQ351" s="9">
        <f t="shared" si="272"/>
        <v>464.5061728</v>
      </c>
      <c r="AR351" s="9">
        <f t="shared" si="272"/>
        <v>464.5061728</v>
      </c>
      <c r="AS351" s="9">
        <f t="shared" si="272"/>
        <v>464.5061728</v>
      </c>
      <c r="AT351" s="9">
        <f t="shared" si="272"/>
        <v>464.5061728</v>
      </c>
      <c r="AU351" s="9">
        <f t="shared" si="272"/>
        <v>464.5061728</v>
      </c>
      <c r="AV351" s="9">
        <f t="shared" si="272"/>
        <v>464.5061728</v>
      </c>
      <c r="AW351" s="9">
        <f t="shared" si="272"/>
        <v>464.5061728</v>
      </c>
      <c r="AX351" s="9">
        <f t="shared" si="272"/>
        <v>464.5061728</v>
      </c>
      <c r="AY351" s="9">
        <f t="shared" si="272"/>
        <v>464.5061728</v>
      </c>
      <c r="AZ351" s="9">
        <f t="shared" si="272"/>
        <v>464.5061728</v>
      </c>
      <c r="BA351" s="9">
        <f t="shared" si="272"/>
        <v>464.5061728</v>
      </c>
      <c r="BB351" s="9">
        <f t="shared" si="272"/>
        <v>464.5061728</v>
      </c>
      <c r="BC351" s="9">
        <f t="shared" si="272"/>
        <v>464.5061728</v>
      </c>
      <c r="BD351" s="9">
        <f t="shared" si="272"/>
        <v>464.5061728</v>
      </c>
      <c r="BE351" s="9">
        <f t="shared" si="272"/>
        <v>464.5061728</v>
      </c>
      <c r="BF351" s="9">
        <f t="shared" si="272"/>
        <v>464.5061728</v>
      </c>
      <c r="BG351" s="9">
        <f t="shared" si="272"/>
        <v>464.5061728</v>
      </c>
      <c r="BH351" s="9">
        <f t="shared" si="272"/>
        <v>464.5061728</v>
      </c>
      <c r="BI351" s="9">
        <f t="shared" si="272"/>
        <v>464.5061728</v>
      </c>
      <c r="BJ351" s="9">
        <f t="shared" si="272"/>
        <v>464.5061728</v>
      </c>
      <c r="BK351" s="9">
        <f t="shared" si="272"/>
        <v>464.5061728</v>
      </c>
      <c r="BL351" s="9">
        <f t="shared" si="272"/>
        <v>464.5061728</v>
      </c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6">
        <v>44408.0</v>
      </c>
      <c r="AJ352" s="9">
        <f t="shared" ref="AJ352:BM352" si="273">+$AJ$53*$U$59*$X$59</f>
        <v>464.5061728</v>
      </c>
      <c r="AK352" s="9">
        <f t="shared" si="273"/>
        <v>464.5061728</v>
      </c>
      <c r="AL352" s="9">
        <f t="shared" si="273"/>
        <v>464.5061728</v>
      </c>
      <c r="AM352" s="9">
        <f t="shared" si="273"/>
        <v>464.5061728</v>
      </c>
      <c r="AN352" s="9">
        <f t="shared" si="273"/>
        <v>464.5061728</v>
      </c>
      <c r="AO352" s="9">
        <f t="shared" si="273"/>
        <v>464.5061728</v>
      </c>
      <c r="AP352" s="9">
        <f t="shared" si="273"/>
        <v>464.5061728</v>
      </c>
      <c r="AQ352" s="9">
        <f t="shared" si="273"/>
        <v>464.5061728</v>
      </c>
      <c r="AR352" s="9">
        <f t="shared" si="273"/>
        <v>464.5061728</v>
      </c>
      <c r="AS352" s="9">
        <f t="shared" si="273"/>
        <v>464.5061728</v>
      </c>
      <c r="AT352" s="9">
        <f t="shared" si="273"/>
        <v>464.5061728</v>
      </c>
      <c r="AU352" s="9">
        <f t="shared" si="273"/>
        <v>464.5061728</v>
      </c>
      <c r="AV352" s="9">
        <f t="shared" si="273"/>
        <v>464.5061728</v>
      </c>
      <c r="AW352" s="9">
        <f t="shared" si="273"/>
        <v>464.5061728</v>
      </c>
      <c r="AX352" s="9">
        <f t="shared" si="273"/>
        <v>464.5061728</v>
      </c>
      <c r="AY352" s="9">
        <f t="shared" si="273"/>
        <v>464.5061728</v>
      </c>
      <c r="AZ352" s="9">
        <f t="shared" si="273"/>
        <v>464.5061728</v>
      </c>
      <c r="BA352" s="9">
        <f t="shared" si="273"/>
        <v>464.5061728</v>
      </c>
      <c r="BB352" s="9">
        <f t="shared" si="273"/>
        <v>464.5061728</v>
      </c>
      <c r="BC352" s="9">
        <f t="shared" si="273"/>
        <v>464.5061728</v>
      </c>
      <c r="BD352" s="9">
        <f t="shared" si="273"/>
        <v>464.5061728</v>
      </c>
      <c r="BE352" s="9">
        <f t="shared" si="273"/>
        <v>464.5061728</v>
      </c>
      <c r="BF352" s="9">
        <f t="shared" si="273"/>
        <v>464.5061728</v>
      </c>
      <c r="BG352" s="9">
        <f t="shared" si="273"/>
        <v>464.5061728</v>
      </c>
      <c r="BH352" s="9">
        <f t="shared" si="273"/>
        <v>464.5061728</v>
      </c>
      <c r="BI352" s="9">
        <f t="shared" si="273"/>
        <v>464.5061728</v>
      </c>
      <c r="BJ352" s="9">
        <f t="shared" si="273"/>
        <v>464.5061728</v>
      </c>
      <c r="BK352" s="9">
        <f t="shared" si="273"/>
        <v>464.5061728</v>
      </c>
      <c r="BL352" s="9">
        <f t="shared" si="273"/>
        <v>464.5061728</v>
      </c>
      <c r="BM352" s="9">
        <f t="shared" si="273"/>
        <v>464.5061728</v>
      </c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6">
        <v>44439.0</v>
      </c>
      <c r="AK353" s="9">
        <f t="shared" ref="AK353:BN353" si="274">+$AK$53*$U$59*$X$59</f>
        <v>696.7592593</v>
      </c>
      <c r="AL353" s="9">
        <f t="shared" si="274"/>
        <v>696.7592593</v>
      </c>
      <c r="AM353" s="9">
        <f t="shared" si="274"/>
        <v>696.7592593</v>
      </c>
      <c r="AN353" s="9">
        <f t="shared" si="274"/>
        <v>696.7592593</v>
      </c>
      <c r="AO353" s="9">
        <f t="shared" si="274"/>
        <v>696.7592593</v>
      </c>
      <c r="AP353" s="9">
        <f t="shared" si="274"/>
        <v>696.7592593</v>
      </c>
      <c r="AQ353" s="9">
        <f t="shared" si="274"/>
        <v>696.7592593</v>
      </c>
      <c r="AR353" s="9">
        <f t="shared" si="274"/>
        <v>696.7592593</v>
      </c>
      <c r="AS353" s="9">
        <f t="shared" si="274"/>
        <v>696.7592593</v>
      </c>
      <c r="AT353" s="9">
        <f t="shared" si="274"/>
        <v>696.7592593</v>
      </c>
      <c r="AU353" s="9">
        <f t="shared" si="274"/>
        <v>696.7592593</v>
      </c>
      <c r="AV353" s="9">
        <f t="shared" si="274"/>
        <v>696.7592593</v>
      </c>
      <c r="AW353" s="9">
        <f t="shared" si="274"/>
        <v>696.7592593</v>
      </c>
      <c r="AX353" s="9">
        <f t="shared" si="274"/>
        <v>696.7592593</v>
      </c>
      <c r="AY353" s="9">
        <f t="shared" si="274"/>
        <v>696.7592593</v>
      </c>
      <c r="AZ353" s="9">
        <f t="shared" si="274"/>
        <v>696.7592593</v>
      </c>
      <c r="BA353" s="9">
        <f t="shared" si="274"/>
        <v>696.7592593</v>
      </c>
      <c r="BB353" s="9">
        <f t="shared" si="274"/>
        <v>696.7592593</v>
      </c>
      <c r="BC353" s="9">
        <f t="shared" si="274"/>
        <v>696.7592593</v>
      </c>
      <c r="BD353" s="9">
        <f t="shared" si="274"/>
        <v>696.7592593</v>
      </c>
      <c r="BE353" s="9">
        <f t="shared" si="274"/>
        <v>696.7592593</v>
      </c>
      <c r="BF353" s="9">
        <f t="shared" si="274"/>
        <v>696.7592593</v>
      </c>
      <c r="BG353" s="9">
        <f t="shared" si="274"/>
        <v>696.7592593</v>
      </c>
      <c r="BH353" s="9">
        <f t="shared" si="274"/>
        <v>696.7592593</v>
      </c>
      <c r="BI353" s="9">
        <f t="shared" si="274"/>
        <v>696.7592593</v>
      </c>
      <c r="BJ353" s="9">
        <f t="shared" si="274"/>
        <v>696.7592593</v>
      </c>
      <c r="BK353" s="9">
        <f t="shared" si="274"/>
        <v>696.7592593</v>
      </c>
      <c r="BL353" s="9">
        <f t="shared" si="274"/>
        <v>696.7592593</v>
      </c>
      <c r="BM353" s="9">
        <f t="shared" si="274"/>
        <v>696.7592593</v>
      </c>
      <c r="BN353" s="9">
        <f t="shared" si="274"/>
        <v>696.7592593</v>
      </c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6">
        <v>44469.0</v>
      </c>
      <c r="AL354" s="9">
        <f t="shared" ref="AL354:BO354" si="275">+$AL$53*$U$59*$X$59</f>
        <v>929.0123457</v>
      </c>
      <c r="AM354" s="9">
        <f t="shared" si="275"/>
        <v>929.0123457</v>
      </c>
      <c r="AN354" s="9">
        <f t="shared" si="275"/>
        <v>929.0123457</v>
      </c>
      <c r="AO354" s="9">
        <f t="shared" si="275"/>
        <v>929.0123457</v>
      </c>
      <c r="AP354" s="9">
        <f t="shared" si="275"/>
        <v>929.0123457</v>
      </c>
      <c r="AQ354" s="9">
        <f t="shared" si="275"/>
        <v>929.0123457</v>
      </c>
      <c r="AR354" s="9">
        <f t="shared" si="275"/>
        <v>929.0123457</v>
      </c>
      <c r="AS354" s="9">
        <f t="shared" si="275"/>
        <v>929.0123457</v>
      </c>
      <c r="AT354" s="9">
        <f t="shared" si="275"/>
        <v>929.0123457</v>
      </c>
      <c r="AU354" s="9">
        <f t="shared" si="275"/>
        <v>929.0123457</v>
      </c>
      <c r="AV354" s="9">
        <f t="shared" si="275"/>
        <v>929.0123457</v>
      </c>
      <c r="AW354" s="9">
        <f t="shared" si="275"/>
        <v>929.0123457</v>
      </c>
      <c r="AX354" s="9">
        <f t="shared" si="275"/>
        <v>929.0123457</v>
      </c>
      <c r="AY354" s="9">
        <f t="shared" si="275"/>
        <v>929.0123457</v>
      </c>
      <c r="AZ354" s="9">
        <f t="shared" si="275"/>
        <v>929.0123457</v>
      </c>
      <c r="BA354" s="9">
        <f t="shared" si="275"/>
        <v>929.0123457</v>
      </c>
      <c r="BB354" s="9">
        <f t="shared" si="275"/>
        <v>929.0123457</v>
      </c>
      <c r="BC354" s="9">
        <f t="shared" si="275"/>
        <v>929.0123457</v>
      </c>
      <c r="BD354" s="9">
        <f t="shared" si="275"/>
        <v>929.0123457</v>
      </c>
      <c r="BE354" s="9">
        <f t="shared" si="275"/>
        <v>929.0123457</v>
      </c>
      <c r="BF354" s="9">
        <f t="shared" si="275"/>
        <v>929.0123457</v>
      </c>
      <c r="BG354" s="9">
        <f t="shared" si="275"/>
        <v>929.0123457</v>
      </c>
      <c r="BH354" s="9">
        <f t="shared" si="275"/>
        <v>929.0123457</v>
      </c>
      <c r="BI354" s="9">
        <f t="shared" si="275"/>
        <v>929.0123457</v>
      </c>
      <c r="BJ354" s="9">
        <f t="shared" si="275"/>
        <v>929.0123457</v>
      </c>
      <c r="BK354" s="9">
        <f t="shared" si="275"/>
        <v>929.0123457</v>
      </c>
      <c r="BL354" s="9">
        <f t="shared" si="275"/>
        <v>929.0123457</v>
      </c>
      <c r="BM354" s="9">
        <f t="shared" si="275"/>
        <v>929.0123457</v>
      </c>
      <c r="BN354" s="9">
        <f t="shared" si="275"/>
        <v>929.0123457</v>
      </c>
      <c r="BO354" s="9">
        <f t="shared" si="275"/>
        <v>929.0123457</v>
      </c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6">
        <v>44500.0</v>
      </c>
      <c r="AM355" s="9">
        <f t="shared" ref="AM355:BP355" si="276">+$AM$53*$U$59*$X$59</f>
        <v>1393.518519</v>
      </c>
      <c r="AN355" s="9">
        <f t="shared" si="276"/>
        <v>1393.518519</v>
      </c>
      <c r="AO355" s="9">
        <f t="shared" si="276"/>
        <v>1393.518519</v>
      </c>
      <c r="AP355" s="9">
        <f t="shared" si="276"/>
        <v>1393.518519</v>
      </c>
      <c r="AQ355" s="9">
        <f t="shared" si="276"/>
        <v>1393.518519</v>
      </c>
      <c r="AR355" s="9">
        <f t="shared" si="276"/>
        <v>1393.518519</v>
      </c>
      <c r="AS355" s="9">
        <f t="shared" si="276"/>
        <v>1393.518519</v>
      </c>
      <c r="AT355" s="9">
        <f t="shared" si="276"/>
        <v>1393.518519</v>
      </c>
      <c r="AU355" s="9">
        <f t="shared" si="276"/>
        <v>1393.518519</v>
      </c>
      <c r="AV355" s="9">
        <f t="shared" si="276"/>
        <v>1393.518519</v>
      </c>
      <c r="AW355" s="9">
        <f t="shared" si="276"/>
        <v>1393.518519</v>
      </c>
      <c r="AX355" s="9">
        <f t="shared" si="276"/>
        <v>1393.518519</v>
      </c>
      <c r="AY355" s="9">
        <f t="shared" si="276"/>
        <v>1393.518519</v>
      </c>
      <c r="AZ355" s="9">
        <f t="shared" si="276"/>
        <v>1393.518519</v>
      </c>
      <c r="BA355" s="9">
        <f t="shared" si="276"/>
        <v>1393.518519</v>
      </c>
      <c r="BB355" s="9">
        <f t="shared" si="276"/>
        <v>1393.518519</v>
      </c>
      <c r="BC355" s="9">
        <f t="shared" si="276"/>
        <v>1393.518519</v>
      </c>
      <c r="BD355" s="9">
        <f t="shared" si="276"/>
        <v>1393.518519</v>
      </c>
      <c r="BE355" s="9">
        <f t="shared" si="276"/>
        <v>1393.518519</v>
      </c>
      <c r="BF355" s="9">
        <f t="shared" si="276"/>
        <v>1393.518519</v>
      </c>
      <c r="BG355" s="9">
        <f t="shared" si="276"/>
        <v>1393.518519</v>
      </c>
      <c r="BH355" s="9">
        <f t="shared" si="276"/>
        <v>1393.518519</v>
      </c>
      <c r="BI355" s="9">
        <f t="shared" si="276"/>
        <v>1393.518519</v>
      </c>
      <c r="BJ355" s="9">
        <f t="shared" si="276"/>
        <v>1393.518519</v>
      </c>
      <c r="BK355" s="9">
        <f t="shared" si="276"/>
        <v>1393.518519</v>
      </c>
      <c r="BL355" s="9">
        <f t="shared" si="276"/>
        <v>1393.518519</v>
      </c>
      <c r="BM355" s="9">
        <f t="shared" si="276"/>
        <v>1393.518519</v>
      </c>
      <c r="BN355" s="9">
        <f t="shared" si="276"/>
        <v>1393.518519</v>
      </c>
      <c r="BO355" s="9">
        <f t="shared" si="276"/>
        <v>1393.518519</v>
      </c>
      <c r="BP355" s="9">
        <f t="shared" si="276"/>
        <v>1393.518519</v>
      </c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6">
        <v>44530.0</v>
      </c>
      <c r="AN356" s="9">
        <f t="shared" ref="AN356:BQ356" si="277">+$AN$53*$U$59*$X$59</f>
        <v>334.4444444</v>
      </c>
      <c r="AO356" s="9">
        <f t="shared" si="277"/>
        <v>334.4444444</v>
      </c>
      <c r="AP356" s="9">
        <f t="shared" si="277"/>
        <v>334.4444444</v>
      </c>
      <c r="AQ356" s="9">
        <f t="shared" si="277"/>
        <v>334.4444444</v>
      </c>
      <c r="AR356" s="9">
        <f t="shared" si="277"/>
        <v>334.4444444</v>
      </c>
      <c r="AS356" s="9">
        <f t="shared" si="277"/>
        <v>334.4444444</v>
      </c>
      <c r="AT356" s="9">
        <f t="shared" si="277"/>
        <v>334.4444444</v>
      </c>
      <c r="AU356" s="9">
        <f t="shared" si="277"/>
        <v>334.4444444</v>
      </c>
      <c r="AV356" s="9">
        <f t="shared" si="277"/>
        <v>334.4444444</v>
      </c>
      <c r="AW356" s="9">
        <f t="shared" si="277"/>
        <v>334.4444444</v>
      </c>
      <c r="AX356" s="9">
        <f t="shared" si="277"/>
        <v>334.4444444</v>
      </c>
      <c r="AY356" s="9">
        <f t="shared" si="277"/>
        <v>334.4444444</v>
      </c>
      <c r="AZ356" s="9">
        <f t="shared" si="277"/>
        <v>334.4444444</v>
      </c>
      <c r="BA356" s="9">
        <f t="shared" si="277"/>
        <v>334.4444444</v>
      </c>
      <c r="BB356" s="9">
        <f t="shared" si="277"/>
        <v>334.4444444</v>
      </c>
      <c r="BC356" s="9">
        <f t="shared" si="277"/>
        <v>334.4444444</v>
      </c>
      <c r="BD356" s="9">
        <f t="shared" si="277"/>
        <v>334.4444444</v>
      </c>
      <c r="BE356" s="9">
        <f t="shared" si="277"/>
        <v>334.4444444</v>
      </c>
      <c r="BF356" s="9">
        <f t="shared" si="277"/>
        <v>334.4444444</v>
      </c>
      <c r="BG356" s="9">
        <f t="shared" si="277"/>
        <v>334.4444444</v>
      </c>
      <c r="BH356" s="9">
        <f t="shared" si="277"/>
        <v>334.4444444</v>
      </c>
      <c r="BI356" s="9">
        <f t="shared" si="277"/>
        <v>334.4444444</v>
      </c>
      <c r="BJ356" s="9">
        <f t="shared" si="277"/>
        <v>334.4444444</v>
      </c>
      <c r="BK356" s="9">
        <f t="shared" si="277"/>
        <v>334.4444444</v>
      </c>
      <c r="BL356" s="9">
        <f t="shared" si="277"/>
        <v>334.4444444</v>
      </c>
      <c r="BM356" s="9">
        <f t="shared" si="277"/>
        <v>334.4444444</v>
      </c>
      <c r="BN356" s="9">
        <f t="shared" si="277"/>
        <v>334.4444444</v>
      </c>
      <c r="BO356" s="9">
        <f t="shared" si="277"/>
        <v>334.4444444</v>
      </c>
      <c r="BP356" s="9">
        <f t="shared" si="277"/>
        <v>334.4444444</v>
      </c>
      <c r="BQ356" s="9">
        <f t="shared" si="277"/>
        <v>334.4444444</v>
      </c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6">
        <v>44561.0</v>
      </c>
      <c r="AO357" s="9">
        <f t="shared" ref="AO357:BR357" si="278">+$AO$53*$U$59*$X$59</f>
        <v>334.4444444</v>
      </c>
      <c r="AP357" s="9">
        <f t="shared" si="278"/>
        <v>334.4444444</v>
      </c>
      <c r="AQ357" s="9">
        <f t="shared" si="278"/>
        <v>334.4444444</v>
      </c>
      <c r="AR357" s="9">
        <f t="shared" si="278"/>
        <v>334.4444444</v>
      </c>
      <c r="AS357" s="9">
        <f t="shared" si="278"/>
        <v>334.4444444</v>
      </c>
      <c r="AT357" s="9">
        <f t="shared" si="278"/>
        <v>334.4444444</v>
      </c>
      <c r="AU357" s="9">
        <f t="shared" si="278"/>
        <v>334.4444444</v>
      </c>
      <c r="AV357" s="9">
        <f t="shared" si="278"/>
        <v>334.4444444</v>
      </c>
      <c r="AW357" s="9">
        <f t="shared" si="278"/>
        <v>334.4444444</v>
      </c>
      <c r="AX357" s="9">
        <f t="shared" si="278"/>
        <v>334.4444444</v>
      </c>
      <c r="AY357" s="9">
        <f t="shared" si="278"/>
        <v>334.4444444</v>
      </c>
      <c r="AZ357" s="9">
        <f t="shared" si="278"/>
        <v>334.4444444</v>
      </c>
      <c r="BA357" s="9">
        <f t="shared" si="278"/>
        <v>334.4444444</v>
      </c>
      <c r="BB357" s="9">
        <f t="shared" si="278"/>
        <v>334.4444444</v>
      </c>
      <c r="BC357" s="9">
        <f t="shared" si="278"/>
        <v>334.4444444</v>
      </c>
      <c r="BD357" s="9">
        <f t="shared" si="278"/>
        <v>334.4444444</v>
      </c>
      <c r="BE357" s="9">
        <f t="shared" si="278"/>
        <v>334.4444444</v>
      </c>
      <c r="BF357" s="9">
        <f t="shared" si="278"/>
        <v>334.4444444</v>
      </c>
      <c r="BG357" s="9">
        <f t="shared" si="278"/>
        <v>334.4444444</v>
      </c>
      <c r="BH357" s="9">
        <f t="shared" si="278"/>
        <v>334.4444444</v>
      </c>
      <c r="BI357" s="9">
        <f t="shared" si="278"/>
        <v>334.4444444</v>
      </c>
      <c r="BJ357" s="9">
        <f t="shared" si="278"/>
        <v>334.4444444</v>
      </c>
      <c r="BK357" s="9">
        <f t="shared" si="278"/>
        <v>334.4444444</v>
      </c>
      <c r="BL357" s="9">
        <f t="shared" si="278"/>
        <v>334.4444444</v>
      </c>
      <c r="BM357" s="9">
        <f t="shared" si="278"/>
        <v>334.4444444</v>
      </c>
      <c r="BN357" s="9">
        <f t="shared" si="278"/>
        <v>334.4444444</v>
      </c>
      <c r="BO357" s="9">
        <f t="shared" si="278"/>
        <v>334.4444444</v>
      </c>
      <c r="BP357" s="9">
        <f t="shared" si="278"/>
        <v>334.4444444</v>
      </c>
      <c r="BQ357" s="9">
        <f t="shared" si="278"/>
        <v>334.4444444</v>
      </c>
      <c r="BR357" s="9">
        <f t="shared" si="278"/>
        <v>334.4444444</v>
      </c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6">
        <v>44592.0</v>
      </c>
      <c r="AP358" s="9">
        <f t="shared" ref="AP358:BS358" si="279">+$AP$53*$U$59*$X$59</f>
        <v>464.5061728</v>
      </c>
      <c r="AQ358" s="9">
        <f t="shared" si="279"/>
        <v>464.5061728</v>
      </c>
      <c r="AR358" s="9">
        <f t="shared" si="279"/>
        <v>464.5061728</v>
      </c>
      <c r="AS358" s="9">
        <f t="shared" si="279"/>
        <v>464.5061728</v>
      </c>
      <c r="AT358" s="9">
        <f t="shared" si="279"/>
        <v>464.5061728</v>
      </c>
      <c r="AU358" s="9">
        <f t="shared" si="279"/>
        <v>464.5061728</v>
      </c>
      <c r="AV358" s="9">
        <f t="shared" si="279"/>
        <v>464.5061728</v>
      </c>
      <c r="AW358" s="9">
        <f t="shared" si="279"/>
        <v>464.5061728</v>
      </c>
      <c r="AX358" s="9">
        <f t="shared" si="279"/>
        <v>464.5061728</v>
      </c>
      <c r="AY358" s="9">
        <f t="shared" si="279"/>
        <v>464.5061728</v>
      </c>
      <c r="AZ358" s="9">
        <f t="shared" si="279"/>
        <v>464.5061728</v>
      </c>
      <c r="BA358" s="9">
        <f t="shared" si="279"/>
        <v>464.5061728</v>
      </c>
      <c r="BB358" s="9">
        <f t="shared" si="279"/>
        <v>464.5061728</v>
      </c>
      <c r="BC358" s="9">
        <f t="shared" si="279"/>
        <v>464.5061728</v>
      </c>
      <c r="BD358" s="9">
        <f t="shared" si="279"/>
        <v>464.5061728</v>
      </c>
      <c r="BE358" s="9">
        <f t="shared" si="279"/>
        <v>464.5061728</v>
      </c>
      <c r="BF358" s="9">
        <f t="shared" si="279"/>
        <v>464.5061728</v>
      </c>
      <c r="BG358" s="9">
        <f t="shared" si="279"/>
        <v>464.5061728</v>
      </c>
      <c r="BH358" s="9">
        <f t="shared" si="279"/>
        <v>464.5061728</v>
      </c>
      <c r="BI358" s="9">
        <f t="shared" si="279"/>
        <v>464.5061728</v>
      </c>
      <c r="BJ358" s="9">
        <f t="shared" si="279"/>
        <v>464.5061728</v>
      </c>
      <c r="BK358" s="9">
        <f t="shared" si="279"/>
        <v>464.5061728</v>
      </c>
      <c r="BL358" s="9">
        <f t="shared" si="279"/>
        <v>464.5061728</v>
      </c>
      <c r="BM358" s="9">
        <f t="shared" si="279"/>
        <v>464.5061728</v>
      </c>
      <c r="BN358" s="9">
        <f t="shared" si="279"/>
        <v>464.5061728</v>
      </c>
      <c r="BO358" s="9">
        <f t="shared" si="279"/>
        <v>464.5061728</v>
      </c>
      <c r="BP358" s="9">
        <f t="shared" si="279"/>
        <v>464.5061728</v>
      </c>
      <c r="BQ358" s="9">
        <f t="shared" si="279"/>
        <v>464.5061728</v>
      </c>
      <c r="BR358" s="9">
        <f t="shared" si="279"/>
        <v>464.5061728</v>
      </c>
      <c r="BS358" s="9">
        <f t="shared" si="279"/>
        <v>464.5061728</v>
      </c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6">
        <v>44620.0</v>
      </c>
      <c r="AQ359" s="9">
        <f t="shared" ref="AQ359:BT359" si="280">+$AQ$53*$U$59*$X$59</f>
        <v>464.5061728</v>
      </c>
      <c r="AR359" s="9">
        <f t="shared" si="280"/>
        <v>464.5061728</v>
      </c>
      <c r="AS359" s="9">
        <f t="shared" si="280"/>
        <v>464.5061728</v>
      </c>
      <c r="AT359" s="9">
        <f t="shared" si="280"/>
        <v>464.5061728</v>
      </c>
      <c r="AU359" s="9">
        <f t="shared" si="280"/>
        <v>464.5061728</v>
      </c>
      <c r="AV359" s="9">
        <f t="shared" si="280"/>
        <v>464.5061728</v>
      </c>
      <c r="AW359" s="9">
        <f t="shared" si="280"/>
        <v>464.5061728</v>
      </c>
      <c r="AX359" s="9">
        <f t="shared" si="280"/>
        <v>464.5061728</v>
      </c>
      <c r="AY359" s="9">
        <f t="shared" si="280"/>
        <v>464.5061728</v>
      </c>
      <c r="AZ359" s="9">
        <f t="shared" si="280"/>
        <v>464.5061728</v>
      </c>
      <c r="BA359" s="9">
        <f t="shared" si="280"/>
        <v>464.5061728</v>
      </c>
      <c r="BB359" s="9">
        <f t="shared" si="280"/>
        <v>464.5061728</v>
      </c>
      <c r="BC359" s="9">
        <f t="shared" si="280"/>
        <v>464.5061728</v>
      </c>
      <c r="BD359" s="9">
        <f t="shared" si="280"/>
        <v>464.5061728</v>
      </c>
      <c r="BE359" s="9">
        <f t="shared" si="280"/>
        <v>464.5061728</v>
      </c>
      <c r="BF359" s="9">
        <f t="shared" si="280"/>
        <v>464.5061728</v>
      </c>
      <c r="BG359" s="9">
        <f t="shared" si="280"/>
        <v>464.5061728</v>
      </c>
      <c r="BH359" s="9">
        <f t="shared" si="280"/>
        <v>464.5061728</v>
      </c>
      <c r="BI359" s="9">
        <f t="shared" si="280"/>
        <v>464.5061728</v>
      </c>
      <c r="BJ359" s="9">
        <f t="shared" si="280"/>
        <v>464.5061728</v>
      </c>
      <c r="BK359" s="9">
        <f t="shared" si="280"/>
        <v>464.5061728</v>
      </c>
      <c r="BL359" s="9">
        <f t="shared" si="280"/>
        <v>464.5061728</v>
      </c>
      <c r="BM359" s="9">
        <f t="shared" si="280"/>
        <v>464.5061728</v>
      </c>
      <c r="BN359" s="9">
        <f t="shared" si="280"/>
        <v>464.5061728</v>
      </c>
      <c r="BO359" s="9">
        <f t="shared" si="280"/>
        <v>464.5061728</v>
      </c>
      <c r="BP359" s="9">
        <f t="shared" si="280"/>
        <v>464.5061728</v>
      </c>
      <c r="BQ359" s="9">
        <f t="shared" si="280"/>
        <v>464.5061728</v>
      </c>
      <c r="BR359" s="9">
        <f t="shared" si="280"/>
        <v>464.5061728</v>
      </c>
      <c r="BS359" s="9">
        <f t="shared" si="280"/>
        <v>464.5061728</v>
      </c>
      <c r="BT359" s="9">
        <f t="shared" si="280"/>
        <v>464.5061728</v>
      </c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6">
        <v>44651.0</v>
      </c>
      <c r="AR360" s="9">
        <f t="shared" ref="AR360:BU360" si="281">+$AR$53*$U$59*$X$59</f>
        <v>464.5061728</v>
      </c>
      <c r="AS360" s="9">
        <f t="shared" si="281"/>
        <v>464.5061728</v>
      </c>
      <c r="AT360" s="9">
        <f t="shared" si="281"/>
        <v>464.5061728</v>
      </c>
      <c r="AU360" s="9">
        <f t="shared" si="281"/>
        <v>464.5061728</v>
      </c>
      <c r="AV360" s="9">
        <f t="shared" si="281"/>
        <v>464.5061728</v>
      </c>
      <c r="AW360" s="9">
        <f t="shared" si="281"/>
        <v>464.5061728</v>
      </c>
      <c r="AX360" s="9">
        <f t="shared" si="281"/>
        <v>464.5061728</v>
      </c>
      <c r="AY360" s="9">
        <f t="shared" si="281"/>
        <v>464.5061728</v>
      </c>
      <c r="AZ360" s="9">
        <f t="shared" si="281"/>
        <v>464.5061728</v>
      </c>
      <c r="BA360" s="9">
        <f t="shared" si="281"/>
        <v>464.5061728</v>
      </c>
      <c r="BB360" s="9">
        <f t="shared" si="281"/>
        <v>464.5061728</v>
      </c>
      <c r="BC360" s="9">
        <f t="shared" si="281"/>
        <v>464.5061728</v>
      </c>
      <c r="BD360" s="9">
        <f t="shared" si="281"/>
        <v>464.5061728</v>
      </c>
      <c r="BE360" s="9">
        <f t="shared" si="281"/>
        <v>464.5061728</v>
      </c>
      <c r="BF360" s="9">
        <f t="shared" si="281"/>
        <v>464.5061728</v>
      </c>
      <c r="BG360" s="9">
        <f t="shared" si="281"/>
        <v>464.5061728</v>
      </c>
      <c r="BH360" s="9">
        <f t="shared" si="281"/>
        <v>464.5061728</v>
      </c>
      <c r="BI360" s="9">
        <f t="shared" si="281"/>
        <v>464.5061728</v>
      </c>
      <c r="BJ360" s="9">
        <f t="shared" si="281"/>
        <v>464.5061728</v>
      </c>
      <c r="BK360" s="9">
        <f t="shared" si="281"/>
        <v>464.5061728</v>
      </c>
      <c r="BL360" s="9">
        <f t="shared" si="281"/>
        <v>464.5061728</v>
      </c>
      <c r="BM360" s="9">
        <f t="shared" si="281"/>
        <v>464.5061728</v>
      </c>
      <c r="BN360" s="9">
        <f t="shared" si="281"/>
        <v>464.5061728</v>
      </c>
      <c r="BO360" s="9">
        <f t="shared" si="281"/>
        <v>464.5061728</v>
      </c>
      <c r="BP360" s="9">
        <f t="shared" si="281"/>
        <v>464.5061728</v>
      </c>
      <c r="BQ360" s="9">
        <f t="shared" si="281"/>
        <v>464.5061728</v>
      </c>
      <c r="BR360" s="9">
        <f t="shared" si="281"/>
        <v>464.5061728</v>
      </c>
      <c r="BS360" s="9">
        <f t="shared" si="281"/>
        <v>464.5061728</v>
      </c>
      <c r="BT360" s="9">
        <f t="shared" si="281"/>
        <v>464.5061728</v>
      </c>
      <c r="BU360" s="9">
        <f t="shared" si="281"/>
        <v>464.5061728</v>
      </c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6">
        <v>44681.0</v>
      </c>
      <c r="AS361" s="9">
        <f t="shared" ref="AS361:BV361" si="282">+$AS$53*$U$59*$X$59</f>
        <v>464.5061728</v>
      </c>
      <c r="AT361" s="9">
        <f t="shared" si="282"/>
        <v>464.5061728</v>
      </c>
      <c r="AU361" s="9">
        <f t="shared" si="282"/>
        <v>464.5061728</v>
      </c>
      <c r="AV361" s="9">
        <f t="shared" si="282"/>
        <v>464.5061728</v>
      </c>
      <c r="AW361" s="9">
        <f t="shared" si="282"/>
        <v>464.5061728</v>
      </c>
      <c r="AX361" s="9">
        <f t="shared" si="282"/>
        <v>464.5061728</v>
      </c>
      <c r="AY361" s="9">
        <f t="shared" si="282"/>
        <v>464.5061728</v>
      </c>
      <c r="AZ361" s="9">
        <f t="shared" si="282"/>
        <v>464.5061728</v>
      </c>
      <c r="BA361" s="9">
        <f t="shared" si="282"/>
        <v>464.5061728</v>
      </c>
      <c r="BB361" s="9">
        <f t="shared" si="282"/>
        <v>464.5061728</v>
      </c>
      <c r="BC361" s="9">
        <f t="shared" si="282"/>
        <v>464.5061728</v>
      </c>
      <c r="BD361" s="9">
        <f t="shared" si="282"/>
        <v>464.5061728</v>
      </c>
      <c r="BE361" s="9">
        <f t="shared" si="282"/>
        <v>464.5061728</v>
      </c>
      <c r="BF361" s="9">
        <f t="shared" si="282"/>
        <v>464.5061728</v>
      </c>
      <c r="BG361" s="9">
        <f t="shared" si="282"/>
        <v>464.5061728</v>
      </c>
      <c r="BH361" s="9">
        <f t="shared" si="282"/>
        <v>464.5061728</v>
      </c>
      <c r="BI361" s="9">
        <f t="shared" si="282"/>
        <v>464.5061728</v>
      </c>
      <c r="BJ361" s="9">
        <f t="shared" si="282"/>
        <v>464.5061728</v>
      </c>
      <c r="BK361" s="9">
        <f t="shared" si="282"/>
        <v>464.5061728</v>
      </c>
      <c r="BL361" s="9">
        <f t="shared" si="282"/>
        <v>464.5061728</v>
      </c>
      <c r="BM361" s="9">
        <f t="shared" si="282"/>
        <v>464.5061728</v>
      </c>
      <c r="BN361" s="9">
        <f t="shared" si="282"/>
        <v>464.5061728</v>
      </c>
      <c r="BO361" s="9">
        <f t="shared" si="282"/>
        <v>464.5061728</v>
      </c>
      <c r="BP361" s="9">
        <f t="shared" si="282"/>
        <v>464.5061728</v>
      </c>
      <c r="BQ361" s="9">
        <f t="shared" si="282"/>
        <v>464.5061728</v>
      </c>
      <c r="BR361" s="9">
        <f t="shared" si="282"/>
        <v>464.5061728</v>
      </c>
      <c r="BS361" s="9">
        <f t="shared" si="282"/>
        <v>464.5061728</v>
      </c>
      <c r="BT361" s="9">
        <f t="shared" si="282"/>
        <v>464.5061728</v>
      </c>
      <c r="BU361" s="9">
        <f t="shared" si="282"/>
        <v>464.5061728</v>
      </c>
      <c r="BV361" s="9">
        <f t="shared" si="282"/>
        <v>464.5061728</v>
      </c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6">
        <v>44712.0</v>
      </c>
      <c r="AT362" s="9">
        <f t="shared" ref="AT362:BW362" si="283">+$AT$53*$U$59*$X$59</f>
        <v>464.5061728</v>
      </c>
      <c r="AU362" s="9">
        <f t="shared" si="283"/>
        <v>464.5061728</v>
      </c>
      <c r="AV362" s="9">
        <f t="shared" si="283"/>
        <v>464.5061728</v>
      </c>
      <c r="AW362" s="9">
        <f t="shared" si="283"/>
        <v>464.5061728</v>
      </c>
      <c r="AX362" s="9">
        <f t="shared" si="283"/>
        <v>464.5061728</v>
      </c>
      <c r="AY362" s="9">
        <f t="shared" si="283"/>
        <v>464.5061728</v>
      </c>
      <c r="AZ362" s="9">
        <f t="shared" si="283"/>
        <v>464.5061728</v>
      </c>
      <c r="BA362" s="9">
        <f t="shared" si="283"/>
        <v>464.5061728</v>
      </c>
      <c r="BB362" s="9">
        <f t="shared" si="283"/>
        <v>464.5061728</v>
      </c>
      <c r="BC362" s="9">
        <f t="shared" si="283"/>
        <v>464.5061728</v>
      </c>
      <c r="BD362" s="9">
        <f t="shared" si="283"/>
        <v>464.5061728</v>
      </c>
      <c r="BE362" s="9">
        <f t="shared" si="283"/>
        <v>464.5061728</v>
      </c>
      <c r="BF362" s="9">
        <f t="shared" si="283"/>
        <v>464.5061728</v>
      </c>
      <c r="BG362" s="9">
        <f t="shared" si="283"/>
        <v>464.5061728</v>
      </c>
      <c r="BH362" s="9">
        <f t="shared" si="283"/>
        <v>464.5061728</v>
      </c>
      <c r="BI362" s="9">
        <f t="shared" si="283"/>
        <v>464.5061728</v>
      </c>
      <c r="BJ362" s="9">
        <f t="shared" si="283"/>
        <v>464.5061728</v>
      </c>
      <c r="BK362" s="9">
        <f t="shared" si="283"/>
        <v>464.5061728</v>
      </c>
      <c r="BL362" s="9">
        <f t="shared" si="283"/>
        <v>464.5061728</v>
      </c>
      <c r="BM362" s="9">
        <f t="shared" si="283"/>
        <v>464.5061728</v>
      </c>
      <c r="BN362" s="9">
        <f t="shared" si="283"/>
        <v>464.5061728</v>
      </c>
      <c r="BO362" s="9">
        <f t="shared" si="283"/>
        <v>464.5061728</v>
      </c>
      <c r="BP362" s="9">
        <f t="shared" si="283"/>
        <v>464.5061728</v>
      </c>
      <c r="BQ362" s="9">
        <f t="shared" si="283"/>
        <v>464.5061728</v>
      </c>
      <c r="BR362" s="9">
        <f t="shared" si="283"/>
        <v>464.5061728</v>
      </c>
      <c r="BS362" s="9">
        <f t="shared" si="283"/>
        <v>464.5061728</v>
      </c>
      <c r="BT362" s="9">
        <f t="shared" si="283"/>
        <v>464.5061728</v>
      </c>
      <c r="BU362" s="9">
        <f t="shared" si="283"/>
        <v>464.5061728</v>
      </c>
      <c r="BV362" s="9">
        <f t="shared" si="283"/>
        <v>464.5061728</v>
      </c>
      <c r="BW362" s="9">
        <f t="shared" si="283"/>
        <v>464.5061728</v>
      </c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6">
        <v>44742.0</v>
      </c>
      <c r="AU363" s="9">
        <f t="shared" ref="AU363:BX363" si="284">+$AU$53*$U$59*$X$59</f>
        <v>232.2530864</v>
      </c>
      <c r="AV363" s="9">
        <f t="shared" si="284"/>
        <v>232.2530864</v>
      </c>
      <c r="AW363" s="9">
        <f t="shared" si="284"/>
        <v>232.2530864</v>
      </c>
      <c r="AX363" s="9">
        <f t="shared" si="284"/>
        <v>232.2530864</v>
      </c>
      <c r="AY363" s="9">
        <f t="shared" si="284"/>
        <v>232.2530864</v>
      </c>
      <c r="AZ363" s="9">
        <f t="shared" si="284"/>
        <v>232.2530864</v>
      </c>
      <c r="BA363" s="9">
        <f t="shared" si="284"/>
        <v>232.2530864</v>
      </c>
      <c r="BB363" s="9">
        <f t="shared" si="284"/>
        <v>232.2530864</v>
      </c>
      <c r="BC363" s="9">
        <f t="shared" si="284"/>
        <v>232.2530864</v>
      </c>
      <c r="BD363" s="9">
        <f t="shared" si="284"/>
        <v>232.2530864</v>
      </c>
      <c r="BE363" s="9">
        <f t="shared" si="284"/>
        <v>232.2530864</v>
      </c>
      <c r="BF363" s="9">
        <f t="shared" si="284"/>
        <v>232.2530864</v>
      </c>
      <c r="BG363" s="9">
        <f t="shared" si="284"/>
        <v>232.2530864</v>
      </c>
      <c r="BH363" s="9">
        <f t="shared" si="284"/>
        <v>232.2530864</v>
      </c>
      <c r="BI363" s="9">
        <f t="shared" si="284"/>
        <v>232.2530864</v>
      </c>
      <c r="BJ363" s="9">
        <f t="shared" si="284"/>
        <v>232.2530864</v>
      </c>
      <c r="BK363" s="9">
        <f t="shared" si="284"/>
        <v>232.2530864</v>
      </c>
      <c r="BL363" s="9">
        <f t="shared" si="284"/>
        <v>232.2530864</v>
      </c>
      <c r="BM363" s="9">
        <f t="shared" si="284"/>
        <v>232.2530864</v>
      </c>
      <c r="BN363" s="9">
        <f t="shared" si="284"/>
        <v>232.2530864</v>
      </c>
      <c r="BO363" s="9">
        <f t="shared" si="284"/>
        <v>232.2530864</v>
      </c>
      <c r="BP363" s="9">
        <f t="shared" si="284"/>
        <v>232.2530864</v>
      </c>
      <c r="BQ363" s="9">
        <f t="shared" si="284"/>
        <v>232.2530864</v>
      </c>
      <c r="BR363" s="9">
        <f t="shared" si="284"/>
        <v>232.2530864</v>
      </c>
      <c r="BS363" s="9">
        <f t="shared" si="284"/>
        <v>232.2530864</v>
      </c>
      <c r="BT363" s="9">
        <f t="shared" si="284"/>
        <v>232.2530864</v>
      </c>
      <c r="BU363" s="9">
        <f t="shared" si="284"/>
        <v>232.2530864</v>
      </c>
      <c r="BV363" s="9">
        <f t="shared" si="284"/>
        <v>232.2530864</v>
      </c>
      <c r="BW363" s="9">
        <f t="shared" si="284"/>
        <v>232.2530864</v>
      </c>
      <c r="BX363" s="9">
        <f t="shared" si="284"/>
        <v>232.2530864</v>
      </c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6">
        <v>44773.0</v>
      </c>
      <c r="AV364" s="9">
        <f t="shared" ref="AV364:BY364" si="285">+$AV$53*$U$59*$X$59</f>
        <v>232.2530864</v>
      </c>
      <c r="AW364" s="9">
        <f t="shared" si="285"/>
        <v>232.2530864</v>
      </c>
      <c r="AX364" s="9">
        <f t="shared" si="285"/>
        <v>232.2530864</v>
      </c>
      <c r="AY364" s="9">
        <f t="shared" si="285"/>
        <v>232.2530864</v>
      </c>
      <c r="AZ364" s="9">
        <f t="shared" si="285"/>
        <v>232.2530864</v>
      </c>
      <c r="BA364" s="9">
        <f t="shared" si="285"/>
        <v>232.2530864</v>
      </c>
      <c r="BB364" s="9">
        <f t="shared" si="285"/>
        <v>232.2530864</v>
      </c>
      <c r="BC364" s="9">
        <f t="shared" si="285"/>
        <v>232.2530864</v>
      </c>
      <c r="BD364" s="9">
        <f t="shared" si="285"/>
        <v>232.2530864</v>
      </c>
      <c r="BE364" s="9">
        <f t="shared" si="285"/>
        <v>232.2530864</v>
      </c>
      <c r="BF364" s="9">
        <f t="shared" si="285"/>
        <v>232.2530864</v>
      </c>
      <c r="BG364" s="9">
        <f t="shared" si="285"/>
        <v>232.2530864</v>
      </c>
      <c r="BH364" s="9">
        <f t="shared" si="285"/>
        <v>232.2530864</v>
      </c>
      <c r="BI364" s="9">
        <f t="shared" si="285"/>
        <v>232.2530864</v>
      </c>
      <c r="BJ364" s="9">
        <f t="shared" si="285"/>
        <v>232.2530864</v>
      </c>
      <c r="BK364" s="9">
        <f t="shared" si="285"/>
        <v>232.2530864</v>
      </c>
      <c r="BL364" s="9">
        <f t="shared" si="285"/>
        <v>232.2530864</v>
      </c>
      <c r="BM364" s="9">
        <f t="shared" si="285"/>
        <v>232.2530864</v>
      </c>
      <c r="BN364" s="9">
        <f t="shared" si="285"/>
        <v>232.2530864</v>
      </c>
      <c r="BO364" s="9">
        <f t="shared" si="285"/>
        <v>232.2530864</v>
      </c>
      <c r="BP364" s="9">
        <f t="shared" si="285"/>
        <v>232.2530864</v>
      </c>
      <c r="BQ364" s="9">
        <f t="shared" si="285"/>
        <v>232.2530864</v>
      </c>
      <c r="BR364" s="9">
        <f t="shared" si="285"/>
        <v>232.2530864</v>
      </c>
      <c r="BS364" s="9">
        <f t="shared" si="285"/>
        <v>232.2530864</v>
      </c>
      <c r="BT364" s="9">
        <f t="shared" si="285"/>
        <v>232.2530864</v>
      </c>
      <c r="BU364" s="9">
        <f t="shared" si="285"/>
        <v>232.2530864</v>
      </c>
      <c r="BV364" s="9">
        <f t="shared" si="285"/>
        <v>232.2530864</v>
      </c>
      <c r="BW364" s="9">
        <f t="shared" si="285"/>
        <v>232.2530864</v>
      </c>
      <c r="BX364" s="9">
        <f t="shared" si="285"/>
        <v>232.2530864</v>
      </c>
      <c r="BY364" s="9">
        <f t="shared" si="285"/>
        <v>232.2530864</v>
      </c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6">
        <v>44804.0</v>
      </c>
      <c r="AW365" s="9">
        <f t="shared" ref="AW365:BZ365" si="286">+$AW$53*$U$59*$X$59</f>
        <v>371.6049383</v>
      </c>
      <c r="AX365" s="9">
        <f t="shared" si="286"/>
        <v>371.6049383</v>
      </c>
      <c r="AY365" s="9">
        <f t="shared" si="286"/>
        <v>371.6049383</v>
      </c>
      <c r="AZ365" s="9">
        <f t="shared" si="286"/>
        <v>371.6049383</v>
      </c>
      <c r="BA365" s="9">
        <f t="shared" si="286"/>
        <v>371.6049383</v>
      </c>
      <c r="BB365" s="9">
        <f t="shared" si="286"/>
        <v>371.6049383</v>
      </c>
      <c r="BC365" s="9">
        <f t="shared" si="286"/>
        <v>371.6049383</v>
      </c>
      <c r="BD365" s="9">
        <f t="shared" si="286"/>
        <v>371.6049383</v>
      </c>
      <c r="BE365" s="9">
        <f t="shared" si="286"/>
        <v>371.6049383</v>
      </c>
      <c r="BF365" s="9">
        <f t="shared" si="286"/>
        <v>371.6049383</v>
      </c>
      <c r="BG365" s="9">
        <f t="shared" si="286"/>
        <v>371.6049383</v>
      </c>
      <c r="BH365" s="9">
        <f t="shared" si="286"/>
        <v>371.6049383</v>
      </c>
      <c r="BI365" s="9">
        <f t="shared" si="286"/>
        <v>371.6049383</v>
      </c>
      <c r="BJ365" s="9">
        <f t="shared" si="286"/>
        <v>371.6049383</v>
      </c>
      <c r="BK365" s="9">
        <f t="shared" si="286"/>
        <v>371.6049383</v>
      </c>
      <c r="BL365" s="9">
        <f t="shared" si="286"/>
        <v>371.6049383</v>
      </c>
      <c r="BM365" s="9">
        <f t="shared" si="286"/>
        <v>371.6049383</v>
      </c>
      <c r="BN365" s="9">
        <f t="shared" si="286"/>
        <v>371.6049383</v>
      </c>
      <c r="BO365" s="9">
        <f t="shared" si="286"/>
        <v>371.6049383</v>
      </c>
      <c r="BP365" s="9">
        <f t="shared" si="286"/>
        <v>371.6049383</v>
      </c>
      <c r="BQ365" s="9">
        <f t="shared" si="286"/>
        <v>371.6049383</v>
      </c>
      <c r="BR365" s="9">
        <f t="shared" si="286"/>
        <v>371.6049383</v>
      </c>
      <c r="BS365" s="9">
        <f t="shared" si="286"/>
        <v>371.6049383</v>
      </c>
      <c r="BT365" s="9">
        <f t="shared" si="286"/>
        <v>371.6049383</v>
      </c>
      <c r="BU365" s="9">
        <f t="shared" si="286"/>
        <v>371.6049383</v>
      </c>
      <c r="BV365" s="9">
        <f t="shared" si="286"/>
        <v>371.6049383</v>
      </c>
      <c r="BW365" s="9">
        <f t="shared" si="286"/>
        <v>371.6049383</v>
      </c>
      <c r="BX365" s="9">
        <f t="shared" si="286"/>
        <v>371.6049383</v>
      </c>
      <c r="BY365" s="9">
        <f t="shared" si="286"/>
        <v>371.6049383</v>
      </c>
      <c r="BZ365" s="9">
        <f t="shared" si="286"/>
        <v>371.6049383</v>
      </c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6">
        <v>44834.0</v>
      </c>
      <c r="AX366" s="9">
        <f t="shared" ref="AX366:CA366" si="287">+$AX$53*$U$59*$X$59</f>
        <v>696.7592593</v>
      </c>
      <c r="AY366" s="9">
        <f t="shared" si="287"/>
        <v>696.7592593</v>
      </c>
      <c r="AZ366" s="9">
        <f t="shared" si="287"/>
        <v>696.7592593</v>
      </c>
      <c r="BA366" s="9">
        <f t="shared" si="287"/>
        <v>696.7592593</v>
      </c>
      <c r="BB366" s="9">
        <f t="shared" si="287"/>
        <v>696.7592593</v>
      </c>
      <c r="BC366" s="9">
        <f t="shared" si="287"/>
        <v>696.7592593</v>
      </c>
      <c r="BD366" s="9">
        <f t="shared" si="287"/>
        <v>696.7592593</v>
      </c>
      <c r="BE366" s="9">
        <f t="shared" si="287"/>
        <v>696.7592593</v>
      </c>
      <c r="BF366" s="9">
        <f t="shared" si="287"/>
        <v>696.7592593</v>
      </c>
      <c r="BG366" s="9">
        <f t="shared" si="287"/>
        <v>696.7592593</v>
      </c>
      <c r="BH366" s="9">
        <f t="shared" si="287"/>
        <v>696.7592593</v>
      </c>
      <c r="BI366" s="9">
        <f t="shared" si="287"/>
        <v>696.7592593</v>
      </c>
      <c r="BJ366" s="9">
        <f t="shared" si="287"/>
        <v>696.7592593</v>
      </c>
      <c r="BK366" s="9">
        <f t="shared" si="287"/>
        <v>696.7592593</v>
      </c>
      <c r="BL366" s="9">
        <f t="shared" si="287"/>
        <v>696.7592593</v>
      </c>
      <c r="BM366" s="9">
        <f t="shared" si="287"/>
        <v>696.7592593</v>
      </c>
      <c r="BN366" s="9">
        <f t="shared" si="287"/>
        <v>696.7592593</v>
      </c>
      <c r="BO366" s="9">
        <f t="shared" si="287"/>
        <v>696.7592593</v>
      </c>
      <c r="BP366" s="9">
        <f t="shared" si="287"/>
        <v>696.7592593</v>
      </c>
      <c r="BQ366" s="9">
        <f t="shared" si="287"/>
        <v>696.7592593</v>
      </c>
      <c r="BR366" s="9">
        <f t="shared" si="287"/>
        <v>696.7592593</v>
      </c>
      <c r="BS366" s="9">
        <f t="shared" si="287"/>
        <v>696.7592593</v>
      </c>
      <c r="BT366" s="9">
        <f t="shared" si="287"/>
        <v>696.7592593</v>
      </c>
      <c r="BU366" s="9">
        <f t="shared" si="287"/>
        <v>696.7592593</v>
      </c>
      <c r="BV366" s="9">
        <f t="shared" si="287"/>
        <v>696.7592593</v>
      </c>
      <c r="BW366" s="9">
        <f t="shared" si="287"/>
        <v>696.7592593</v>
      </c>
      <c r="BX366" s="9">
        <f t="shared" si="287"/>
        <v>696.7592593</v>
      </c>
      <c r="BY366" s="9">
        <f t="shared" si="287"/>
        <v>696.7592593</v>
      </c>
      <c r="BZ366" s="9">
        <f t="shared" si="287"/>
        <v>696.7592593</v>
      </c>
      <c r="CA366" s="9">
        <f t="shared" si="287"/>
        <v>696.7592593</v>
      </c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6">
        <v>44865.0</v>
      </c>
      <c r="AY367" s="9">
        <f t="shared" ref="AY367:CB367" si="288">+$AY$53*$U$59*$X$59</f>
        <v>696.7592593</v>
      </c>
      <c r="AZ367" s="9">
        <f t="shared" si="288"/>
        <v>696.7592593</v>
      </c>
      <c r="BA367" s="9">
        <f t="shared" si="288"/>
        <v>696.7592593</v>
      </c>
      <c r="BB367" s="9">
        <f t="shared" si="288"/>
        <v>696.7592593</v>
      </c>
      <c r="BC367" s="9">
        <f t="shared" si="288"/>
        <v>696.7592593</v>
      </c>
      <c r="BD367" s="9">
        <f t="shared" si="288"/>
        <v>696.7592593</v>
      </c>
      <c r="BE367" s="9">
        <f t="shared" si="288"/>
        <v>696.7592593</v>
      </c>
      <c r="BF367" s="9">
        <f t="shared" si="288"/>
        <v>696.7592593</v>
      </c>
      <c r="BG367" s="9">
        <f t="shared" si="288"/>
        <v>696.7592593</v>
      </c>
      <c r="BH367" s="9">
        <f t="shared" si="288"/>
        <v>696.7592593</v>
      </c>
      <c r="BI367" s="9">
        <f t="shared" si="288"/>
        <v>696.7592593</v>
      </c>
      <c r="BJ367" s="9">
        <f t="shared" si="288"/>
        <v>696.7592593</v>
      </c>
      <c r="BK367" s="9">
        <f t="shared" si="288"/>
        <v>696.7592593</v>
      </c>
      <c r="BL367" s="9">
        <f t="shared" si="288"/>
        <v>696.7592593</v>
      </c>
      <c r="BM367" s="9">
        <f t="shared" si="288"/>
        <v>696.7592593</v>
      </c>
      <c r="BN367" s="9">
        <f t="shared" si="288"/>
        <v>696.7592593</v>
      </c>
      <c r="BO367" s="9">
        <f t="shared" si="288"/>
        <v>696.7592593</v>
      </c>
      <c r="BP367" s="9">
        <f t="shared" si="288"/>
        <v>696.7592593</v>
      </c>
      <c r="BQ367" s="9">
        <f t="shared" si="288"/>
        <v>696.7592593</v>
      </c>
      <c r="BR367" s="9">
        <f t="shared" si="288"/>
        <v>696.7592593</v>
      </c>
      <c r="BS367" s="9">
        <f t="shared" si="288"/>
        <v>696.7592593</v>
      </c>
      <c r="BT367" s="9">
        <f t="shared" si="288"/>
        <v>696.7592593</v>
      </c>
      <c r="BU367" s="9">
        <f t="shared" si="288"/>
        <v>696.7592593</v>
      </c>
      <c r="BV367" s="9">
        <f t="shared" si="288"/>
        <v>696.7592593</v>
      </c>
      <c r="BW367" s="9">
        <f t="shared" si="288"/>
        <v>696.7592593</v>
      </c>
      <c r="BX367" s="9">
        <f t="shared" si="288"/>
        <v>696.7592593</v>
      </c>
      <c r="BY367" s="9">
        <f t="shared" si="288"/>
        <v>696.7592593</v>
      </c>
      <c r="BZ367" s="9">
        <f t="shared" si="288"/>
        <v>696.7592593</v>
      </c>
      <c r="CA367" s="9">
        <f t="shared" si="288"/>
        <v>696.7592593</v>
      </c>
      <c r="CB367" s="9">
        <f t="shared" si="288"/>
        <v>696.7592593</v>
      </c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6">
        <v>44895.0</v>
      </c>
      <c r="AZ368" s="9">
        <f t="shared" ref="AZ368:CC368" si="289">+$AZ$53*$U$59*$X$59</f>
        <v>358.3333333</v>
      </c>
      <c r="BA368" s="9">
        <f t="shared" si="289"/>
        <v>358.3333333</v>
      </c>
      <c r="BB368" s="9">
        <f t="shared" si="289"/>
        <v>358.3333333</v>
      </c>
      <c r="BC368" s="9">
        <f t="shared" si="289"/>
        <v>358.3333333</v>
      </c>
      <c r="BD368" s="9">
        <f t="shared" si="289"/>
        <v>358.3333333</v>
      </c>
      <c r="BE368" s="9">
        <f t="shared" si="289"/>
        <v>358.3333333</v>
      </c>
      <c r="BF368" s="9">
        <f t="shared" si="289"/>
        <v>358.3333333</v>
      </c>
      <c r="BG368" s="9">
        <f t="shared" si="289"/>
        <v>358.3333333</v>
      </c>
      <c r="BH368" s="9">
        <f t="shared" si="289"/>
        <v>358.3333333</v>
      </c>
      <c r="BI368" s="9">
        <f t="shared" si="289"/>
        <v>358.3333333</v>
      </c>
      <c r="BJ368" s="9">
        <f t="shared" si="289"/>
        <v>358.3333333</v>
      </c>
      <c r="BK368" s="9">
        <f t="shared" si="289"/>
        <v>358.3333333</v>
      </c>
      <c r="BL368" s="9">
        <f t="shared" si="289"/>
        <v>358.3333333</v>
      </c>
      <c r="BM368" s="9">
        <f t="shared" si="289"/>
        <v>358.3333333</v>
      </c>
      <c r="BN368" s="9">
        <f t="shared" si="289"/>
        <v>358.3333333</v>
      </c>
      <c r="BO368" s="9">
        <f t="shared" si="289"/>
        <v>358.3333333</v>
      </c>
      <c r="BP368" s="9">
        <f t="shared" si="289"/>
        <v>358.3333333</v>
      </c>
      <c r="BQ368" s="9">
        <f t="shared" si="289"/>
        <v>358.3333333</v>
      </c>
      <c r="BR368" s="9">
        <f t="shared" si="289"/>
        <v>358.3333333</v>
      </c>
      <c r="BS368" s="9">
        <f t="shared" si="289"/>
        <v>358.3333333</v>
      </c>
      <c r="BT368" s="9">
        <f t="shared" si="289"/>
        <v>358.3333333</v>
      </c>
      <c r="BU368" s="9">
        <f t="shared" si="289"/>
        <v>358.3333333</v>
      </c>
      <c r="BV368" s="9">
        <f t="shared" si="289"/>
        <v>358.3333333</v>
      </c>
      <c r="BW368" s="9">
        <f t="shared" si="289"/>
        <v>358.3333333</v>
      </c>
      <c r="BX368" s="9">
        <f t="shared" si="289"/>
        <v>358.3333333</v>
      </c>
      <c r="BY368" s="9">
        <f t="shared" si="289"/>
        <v>358.3333333</v>
      </c>
      <c r="BZ368" s="9">
        <f t="shared" si="289"/>
        <v>358.3333333</v>
      </c>
      <c r="CA368" s="9">
        <f t="shared" si="289"/>
        <v>358.3333333</v>
      </c>
      <c r="CB368" s="9">
        <f t="shared" si="289"/>
        <v>358.3333333</v>
      </c>
      <c r="CC368" s="9">
        <f t="shared" si="289"/>
        <v>358.3333333</v>
      </c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6">
        <v>44926.0</v>
      </c>
      <c r="BA369" s="9">
        <f t="shared" ref="BA369:CD369" si="290">+$BA$53*$U$59*$X$59</f>
        <v>358.3333333</v>
      </c>
      <c r="BB369" s="9">
        <f t="shared" si="290"/>
        <v>358.3333333</v>
      </c>
      <c r="BC369" s="9">
        <f t="shared" si="290"/>
        <v>358.3333333</v>
      </c>
      <c r="BD369" s="9">
        <f t="shared" si="290"/>
        <v>358.3333333</v>
      </c>
      <c r="BE369" s="9">
        <f t="shared" si="290"/>
        <v>358.3333333</v>
      </c>
      <c r="BF369" s="9">
        <f t="shared" si="290"/>
        <v>358.3333333</v>
      </c>
      <c r="BG369" s="9">
        <f t="shared" si="290"/>
        <v>358.3333333</v>
      </c>
      <c r="BH369" s="9">
        <f t="shared" si="290"/>
        <v>358.3333333</v>
      </c>
      <c r="BI369" s="9">
        <f t="shared" si="290"/>
        <v>358.3333333</v>
      </c>
      <c r="BJ369" s="9">
        <f t="shared" si="290"/>
        <v>358.3333333</v>
      </c>
      <c r="BK369" s="9">
        <f t="shared" si="290"/>
        <v>358.3333333</v>
      </c>
      <c r="BL369" s="9">
        <f t="shared" si="290"/>
        <v>358.3333333</v>
      </c>
      <c r="BM369" s="9">
        <f t="shared" si="290"/>
        <v>358.3333333</v>
      </c>
      <c r="BN369" s="9">
        <f t="shared" si="290"/>
        <v>358.3333333</v>
      </c>
      <c r="BO369" s="9">
        <f t="shared" si="290"/>
        <v>358.3333333</v>
      </c>
      <c r="BP369" s="9">
        <f t="shared" si="290"/>
        <v>358.3333333</v>
      </c>
      <c r="BQ369" s="9">
        <f t="shared" si="290"/>
        <v>358.3333333</v>
      </c>
      <c r="BR369" s="9">
        <f t="shared" si="290"/>
        <v>358.3333333</v>
      </c>
      <c r="BS369" s="9">
        <f t="shared" si="290"/>
        <v>358.3333333</v>
      </c>
      <c r="BT369" s="9">
        <f t="shared" si="290"/>
        <v>358.3333333</v>
      </c>
      <c r="BU369" s="9">
        <f t="shared" si="290"/>
        <v>358.3333333</v>
      </c>
      <c r="BV369" s="9">
        <f t="shared" si="290"/>
        <v>358.3333333</v>
      </c>
      <c r="BW369" s="9">
        <f t="shared" si="290"/>
        <v>358.3333333</v>
      </c>
      <c r="BX369" s="9">
        <f t="shared" si="290"/>
        <v>358.3333333</v>
      </c>
      <c r="BY369" s="9">
        <f t="shared" si="290"/>
        <v>358.3333333</v>
      </c>
      <c r="BZ369" s="9">
        <f t="shared" si="290"/>
        <v>358.3333333</v>
      </c>
      <c r="CA369" s="9">
        <f t="shared" si="290"/>
        <v>358.3333333</v>
      </c>
      <c r="CB369" s="9">
        <f t="shared" si="290"/>
        <v>358.3333333</v>
      </c>
      <c r="CC369" s="9">
        <f t="shared" si="290"/>
        <v>358.3333333</v>
      </c>
      <c r="CD369" s="9">
        <f t="shared" si="290"/>
        <v>358.3333333</v>
      </c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6">
        <v>44957.0</v>
      </c>
      <c r="BB370" s="9">
        <f t="shared" ref="BB370:CE370" si="291">+$BB$53*$U$59*$X$59</f>
        <v>313.5416667</v>
      </c>
      <c r="BC370" s="9">
        <f t="shared" si="291"/>
        <v>313.5416667</v>
      </c>
      <c r="BD370" s="9">
        <f t="shared" si="291"/>
        <v>313.5416667</v>
      </c>
      <c r="BE370" s="9">
        <f t="shared" si="291"/>
        <v>313.5416667</v>
      </c>
      <c r="BF370" s="9">
        <f t="shared" si="291"/>
        <v>313.5416667</v>
      </c>
      <c r="BG370" s="9">
        <f t="shared" si="291"/>
        <v>313.5416667</v>
      </c>
      <c r="BH370" s="9">
        <f t="shared" si="291"/>
        <v>313.5416667</v>
      </c>
      <c r="BI370" s="9">
        <f t="shared" si="291"/>
        <v>313.5416667</v>
      </c>
      <c r="BJ370" s="9">
        <f t="shared" si="291"/>
        <v>313.5416667</v>
      </c>
      <c r="BK370" s="9">
        <f t="shared" si="291"/>
        <v>313.5416667</v>
      </c>
      <c r="BL370" s="9">
        <f t="shared" si="291"/>
        <v>313.5416667</v>
      </c>
      <c r="BM370" s="9">
        <f t="shared" si="291"/>
        <v>313.5416667</v>
      </c>
      <c r="BN370" s="9">
        <f t="shared" si="291"/>
        <v>313.5416667</v>
      </c>
      <c r="BO370" s="9">
        <f t="shared" si="291"/>
        <v>313.5416667</v>
      </c>
      <c r="BP370" s="9">
        <f t="shared" si="291"/>
        <v>313.5416667</v>
      </c>
      <c r="BQ370" s="9">
        <f t="shared" si="291"/>
        <v>313.5416667</v>
      </c>
      <c r="BR370" s="9">
        <f t="shared" si="291"/>
        <v>313.5416667</v>
      </c>
      <c r="BS370" s="9">
        <f t="shared" si="291"/>
        <v>313.5416667</v>
      </c>
      <c r="BT370" s="9">
        <f t="shared" si="291"/>
        <v>313.5416667</v>
      </c>
      <c r="BU370" s="9">
        <f t="shared" si="291"/>
        <v>313.5416667</v>
      </c>
      <c r="BV370" s="9">
        <f t="shared" si="291"/>
        <v>313.5416667</v>
      </c>
      <c r="BW370" s="9">
        <f t="shared" si="291"/>
        <v>313.5416667</v>
      </c>
      <c r="BX370" s="9">
        <f t="shared" si="291"/>
        <v>313.5416667</v>
      </c>
      <c r="BY370" s="9">
        <f t="shared" si="291"/>
        <v>313.5416667</v>
      </c>
      <c r="BZ370" s="9">
        <f t="shared" si="291"/>
        <v>313.5416667</v>
      </c>
      <c r="CA370" s="9">
        <f t="shared" si="291"/>
        <v>313.5416667</v>
      </c>
      <c r="CB370" s="9">
        <f t="shared" si="291"/>
        <v>313.5416667</v>
      </c>
      <c r="CC370" s="9">
        <f t="shared" si="291"/>
        <v>313.5416667</v>
      </c>
      <c r="CD370" s="9">
        <f t="shared" si="291"/>
        <v>313.5416667</v>
      </c>
      <c r="CE370" s="9">
        <f t="shared" si="291"/>
        <v>313.5416667</v>
      </c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6">
        <v>44985.0</v>
      </c>
      <c r="BC371" s="9">
        <f t="shared" ref="BC371:CF371" si="292">+$BC$53*$U$59*$X$59</f>
        <v>156.7708333</v>
      </c>
      <c r="BD371" s="9">
        <f t="shared" si="292"/>
        <v>156.7708333</v>
      </c>
      <c r="BE371" s="9">
        <f t="shared" si="292"/>
        <v>156.7708333</v>
      </c>
      <c r="BF371" s="9">
        <f t="shared" si="292"/>
        <v>156.7708333</v>
      </c>
      <c r="BG371" s="9">
        <f t="shared" si="292"/>
        <v>156.7708333</v>
      </c>
      <c r="BH371" s="9">
        <f t="shared" si="292"/>
        <v>156.7708333</v>
      </c>
      <c r="BI371" s="9">
        <f t="shared" si="292"/>
        <v>156.7708333</v>
      </c>
      <c r="BJ371" s="9">
        <f t="shared" si="292"/>
        <v>156.7708333</v>
      </c>
      <c r="BK371" s="9">
        <f t="shared" si="292"/>
        <v>156.7708333</v>
      </c>
      <c r="BL371" s="9">
        <f t="shared" si="292"/>
        <v>156.7708333</v>
      </c>
      <c r="BM371" s="9">
        <f t="shared" si="292"/>
        <v>156.7708333</v>
      </c>
      <c r="BN371" s="9">
        <f t="shared" si="292"/>
        <v>156.7708333</v>
      </c>
      <c r="BO371" s="9">
        <f t="shared" si="292"/>
        <v>156.7708333</v>
      </c>
      <c r="BP371" s="9">
        <f t="shared" si="292"/>
        <v>156.7708333</v>
      </c>
      <c r="BQ371" s="9">
        <f t="shared" si="292"/>
        <v>156.7708333</v>
      </c>
      <c r="BR371" s="9">
        <f t="shared" si="292"/>
        <v>156.7708333</v>
      </c>
      <c r="BS371" s="9">
        <f t="shared" si="292"/>
        <v>156.7708333</v>
      </c>
      <c r="BT371" s="9">
        <f t="shared" si="292"/>
        <v>156.7708333</v>
      </c>
      <c r="BU371" s="9">
        <f t="shared" si="292"/>
        <v>156.7708333</v>
      </c>
      <c r="BV371" s="9">
        <f t="shared" si="292"/>
        <v>156.7708333</v>
      </c>
      <c r="BW371" s="9">
        <f t="shared" si="292"/>
        <v>156.7708333</v>
      </c>
      <c r="BX371" s="9">
        <f t="shared" si="292"/>
        <v>156.7708333</v>
      </c>
      <c r="BY371" s="9">
        <f t="shared" si="292"/>
        <v>156.7708333</v>
      </c>
      <c r="BZ371" s="9">
        <f t="shared" si="292"/>
        <v>156.7708333</v>
      </c>
      <c r="CA371" s="9">
        <f t="shared" si="292"/>
        <v>156.7708333</v>
      </c>
      <c r="CB371" s="9">
        <f t="shared" si="292"/>
        <v>156.7708333</v>
      </c>
      <c r="CC371" s="9">
        <f t="shared" si="292"/>
        <v>156.7708333</v>
      </c>
      <c r="CD371" s="9">
        <f t="shared" si="292"/>
        <v>156.7708333</v>
      </c>
      <c r="CE371" s="9">
        <f t="shared" si="292"/>
        <v>156.7708333</v>
      </c>
      <c r="CF371" s="9">
        <f t="shared" si="292"/>
        <v>156.7708333</v>
      </c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6">
        <v>45016.0</v>
      </c>
      <c r="BD372" s="9">
        <f t="shared" ref="BD372:CG372" si="293">+$BD$53*$U$59*$X$59</f>
        <v>156.7708333</v>
      </c>
      <c r="BE372" s="9">
        <f t="shared" si="293"/>
        <v>156.7708333</v>
      </c>
      <c r="BF372" s="9">
        <f t="shared" si="293"/>
        <v>156.7708333</v>
      </c>
      <c r="BG372" s="9">
        <f t="shared" si="293"/>
        <v>156.7708333</v>
      </c>
      <c r="BH372" s="9">
        <f t="shared" si="293"/>
        <v>156.7708333</v>
      </c>
      <c r="BI372" s="9">
        <f t="shared" si="293"/>
        <v>156.7708333</v>
      </c>
      <c r="BJ372" s="9">
        <f t="shared" si="293"/>
        <v>156.7708333</v>
      </c>
      <c r="BK372" s="9">
        <f t="shared" si="293"/>
        <v>156.7708333</v>
      </c>
      <c r="BL372" s="9">
        <f t="shared" si="293"/>
        <v>156.7708333</v>
      </c>
      <c r="BM372" s="9">
        <f t="shared" si="293"/>
        <v>156.7708333</v>
      </c>
      <c r="BN372" s="9">
        <f t="shared" si="293"/>
        <v>156.7708333</v>
      </c>
      <c r="BO372" s="9">
        <f t="shared" si="293"/>
        <v>156.7708333</v>
      </c>
      <c r="BP372" s="9">
        <f t="shared" si="293"/>
        <v>156.7708333</v>
      </c>
      <c r="BQ372" s="9">
        <f t="shared" si="293"/>
        <v>156.7708333</v>
      </c>
      <c r="BR372" s="9">
        <f t="shared" si="293"/>
        <v>156.7708333</v>
      </c>
      <c r="BS372" s="9">
        <f t="shared" si="293"/>
        <v>156.7708333</v>
      </c>
      <c r="BT372" s="9">
        <f t="shared" si="293"/>
        <v>156.7708333</v>
      </c>
      <c r="BU372" s="9">
        <f t="shared" si="293"/>
        <v>156.7708333</v>
      </c>
      <c r="BV372" s="9">
        <f t="shared" si="293"/>
        <v>156.7708333</v>
      </c>
      <c r="BW372" s="9">
        <f t="shared" si="293"/>
        <v>156.7708333</v>
      </c>
      <c r="BX372" s="9">
        <f t="shared" si="293"/>
        <v>156.7708333</v>
      </c>
      <c r="BY372" s="9">
        <f t="shared" si="293"/>
        <v>156.7708333</v>
      </c>
      <c r="BZ372" s="9">
        <f t="shared" si="293"/>
        <v>156.7708333</v>
      </c>
      <c r="CA372" s="9">
        <f t="shared" si="293"/>
        <v>156.7708333</v>
      </c>
      <c r="CB372" s="9">
        <f t="shared" si="293"/>
        <v>156.7708333</v>
      </c>
      <c r="CC372" s="9">
        <f t="shared" si="293"/>
        <v>156.7708333</v>
      </c>
      <c r="CD372" s="9">
        <f t="shared" si="293"/>
        <v>156.7708333</v>
      </c>
      <c r="CE372" s="9">
        <f t="shared" si="293"/>
        <v>156.7708333</v>
      </c>
      <c r="CF372" s="9">
        <f t="shared" si="293"/>
        <v>156.7708333</v>
      </c>
      <c r="CG372" s="9">
        <f t="shared" si="293"/>
        <v>156.7708333</v>
      </c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6">
        <v>45046.0</v>
      </c>
      <c r="BE373" s="9">
        <f t="shared" ref="BE373:CH373" si="294">+$BE$53*$U$59*$X$59</f>
        <v>156.7708333</v>
      </c>
      <c r="BF373" s="9">
        <f t="shared" si="294"/>
        <v>156.7708333</v>
      </c>
      <c r="BG373" s="9">
        <f t="shared" si="294"/>
        <v>156.7708333</v>
      </c>
      <c r="BH373" s="9">
        <f t="shared" si="294"/>
        <v>156.7708333</v>
      </c>
      <c r="BI373" s="9">
        <f t="shared" si="294"/>
        <v>156.7708333</v>
      </c>
      <c r="BJ373" s="9">
        <f t="shared" si="294"/>
        <v>156.7708333</v>
      </c>
      <c r="BK373" s="9">
        <f t="shared" si="294"/>
        <v>156.7708333</v>
      </c>
      <c r="BL373" s="9">
        <f t="shared" si="294"/>
        <v>156.7708333</v>
      </c>
      <c r="BM373" s="9">
        <f t="shared" si="294"/>
        <v>156.7708333</v>
      </c>
      <c r="BN373" s="9">
        <f t="shared" si="294"/>
        <v>156.7708333</v>
      </c>
      <c r="BO373" s="9">
        <f t="shared" si="294"/>
        <v>156.7708333</v>
      </c>
      <c r="BP373" s="9">
        <f t="shared" si="294"/>
        <v>156.7708333</v>
      </c>
      <c r="BQ373" s="9">
        <f t="shared" si="294"/>
        <v>156.7708333</v>
      </c>
      <c r="BR373" s="9">
        <f t="shared" si="294"/>
        <v>156.7708333</v>
      </c>
      <c r="BS373" s="9">
        <f t="shared" si="294"/>
        <v>156.7708333</v>
      </c>
      <c r="BT373" s="9">
        <f t="shared" si="294"/>
        <v>156.7708333</v>
      </c>
      <c r="BU373" s="9">
        <f t="shared" si="294"/>
        <v>156.7708333</v>
      </c>
      <c r="BV373" s="9">
        <f t="shared" si="294"/>
        <v>156.7708333</v>
      </c>
      <c r="BW373" s="9">
        <f t="shared" si="294"/>
        <v>156.7708333</v>
      </c>
      <c r="BX373" s="9">
        <f t="shared" si="294"/>
        <v>156.7708333</v>
      </c>
      <c r="BY373" s="9">
        <f t="shared" si="294"/>
        <v>156.7708333</v>
      </c>
      <c r="BZ373" s="9">
        <f t="shared" si="294"/>
        <v>156.7708333</v>
      </c>
      <c r="CA373" s="9">
        <f t="shared" si="294"/>
        <v>156.7708333</v>
      </c>
      <c r="CB373" s="9">
        <f t="shared" si="294"/>
        <v>156.7708333</v>
      </c>
      <c r="CC373" s="9">
        <f t="shared" si="294"/>
        <v>156.7708333</v>
      </c>
      <c r="CD373" s="9">
        <f t="shared" si="294"/>
        <v>156.7708333</v>
      </c>
      <c r="CE373" s="9">
        <f t="shared" si="294"/>
        <v>156.7708333</v>
      </c>
      <c r="CF373" s="9">
        <f t="shared" si="294"/>
        <v>156.7708333</v>
      </c>
      <c r="CG373" s="9">
        <f t="shared" si="294"/>
        <v>156.7708333</v>
      </c>
      <c r="CH373" s="9">
        <f t="shared" si="294"/>
        <v>156.7708333</v>
      </c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6">
        <v>45077.0</v>
      </c>
      <c r="BF374" s="9">
        <f t="shared" ref="BF374:CI374" si="295">+$BF$53*$U$59*$X$59</f>
        <v>219.4791667</v>
      </c>
      <c r="BG374" s="9">
        <f t="shared" si="295"/>
        <v>219.4791667</v>
      </c>
      <c r="BH374" s="9">
        <f t="shared" si="295"/>
        <v>219.4791667</v>
      </c>
      <c r="BI374" s="9">
        <f t="shared" si="295"/>
        <v>219.4791667</v>
      </c>
      <c r="BJ374" s="9">
        <f t="shared" si="295"/>
        <v>219.4791667</v>
      </c>
      <c r="BK374" s="9">
        <f t="shared" si="295"/>
        <v>219.4791667</v>
      </c>
      <c r="BL374" s="9">
        <f t="shared" si="295"/>
        <v>219.4791667</v>
      </c>
      <c r="BM374" s="9">
        <f t="shared" si="295"/>
        <v>219.4791667</v>
      </c>
      <c r="BN374" s="9">
        <f t="shared" si="295"/>
        <v>219.4791667</v>
      </c>
      <c r="BO374" s="9">
        <f t="shared" si="295"/>
        <v>219.4791667</v>
      </c>
      <c r="BP374" s="9">
        <f t="shared" si="295"/>
        <v>219.4791667</v>
      </c>
      <c r="BQ374" s="9">
        <f t="shared" si="295"/>
        <v>219.4791667</v>
      </c>
      <c r="BR374" s="9">
        <f t="shared" si="295"/>
        <v>219.4791667</v>
      </c>
      <c r="BS374" s="9">
        <f t="shared" si="295"/>
        <v>219.4791667</v>
      </c>
      <c r="BT374" s="9">
        <f t="shared" si="295"/>
        <v>219.4791667</v>
      </c>
      <c r="BU374" s="9">
        <f t="shared" si="295"/>
        <v>219.4791667</v>
      </c>
      <c r="BV374" s="9">
        <f t="shared" si="295"/>
        <v>219.4791667</v>
      </c>
      <c r="BW374" s="9">
        <f t="shared" si="295"/>
        <v>219.4791667</v>
      </c>
      <c r="BX374" s="9">
        <f t="shared" si="295"/>
        <v>219.4791667</v>
      </c>
      <c r="BY374" s="9">
        <f t="shared" si="295"/>
        <v>219.4791667</v>
      </c>
      <c r="BZ374" s="9">
        <f t="shared" si="295"/>
        <v>219.4791667</v>
      </c>
      <c r="CA374" s="9">
        <f t="shared" si="295"/>
        <v>219.4791667</v>
      </c>
      <c r="CB374" s="9">
        <f t="shared" si="295"/>
        <v>219.4791667</v>
      </c>
      <c r="CC374" s="9">
        <f t="shared" si="295"/>
        <v>219.4791667</v>
      </c>
      <c r="CD374" s="9">
        <f t="shared" si="295"/>
        <v>219.4791667</v>
      </c>
      <c r="CE374" s="9">
        <f t="shared" si="295"/>
        <v>219.4791667</v>
      </c>
      <c r="CF374" s="9">
        <f t="shared" si="295"/>
        <v>219.4791667</v>
      </c>
      <c r="CG374" s="9">
        <f t="shared" si="295"/>
        <v>219.4791667</v>
      </c>
      <c r="CH374" s="9">
        <f t="shared" si="295"/>
        <v>219.4791667</v>
      </c>
      <c r="CI374" s="9">
        <f t="shared" si="295"/>
        <v>219.4791667</v>
      </c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6">
        <v>45107.0</v>
      </c>
      <c r="BG375" s="9">
        <f t="shared" ref="BG375:CJ375" si="296">+$BG$53*$U$59*$X$59</f>
        <v>219.4791667</v>
      </c>
      <c r="BH375" s="9">
        <f t="shared" si="296"/>
        <v>219.4791667</v>
      </c>
      <c r="BI375" s="9">
        <f t="shared" si="296"/>
        <v>219.4791667</v>
      </c>
      <c r="BJ375" s="9">
        <f t="shared" si="296"/>
        <v>219.4791667</v>
      </c>
      <c r="BK375" s="9">
        <f t="shared" si="296"/>
        <v>219.4791667</v>
      </c>
      <c r="BL375" s="9">
        <f t="shared" si="296"/>
        <v>219.4791667</v>
      </c>
      <c r="BM375" s="9">
        <f t="shared" si="296"/>
        <v>219.4791667</v>
      </c>
      <c r="BN375" s="9">
        <f t="shared" si="296"/>
        <v>219.4791667</v>
      </c>
      <c r="BO375" s="9">
        <f t="shared" si="296"/>
        <v>219.4791667</v>
      </c>
      <c r="BP375" s="9">
        <f t="shared" si="296"/>
        <v>219.4791667</v>
      </c>
      <c r="BQ375" s="9">
        <f t="shared" si="296"/>
        <v>219.4791667</v>
      </c>
      <c r="BR375" s="9">
        <f t="shared" si="296"/>
        <v>219.4791667</v>
      </c>
      <c r="BS375" s="9">
        <f t="shared" si="296"/>
        <v>219.4791667</v>
      </c>
      <c r="BT375" s="9">
        <f t="shared" si="296"/>
        <v>219.4791667</v>
      </c>
      <c r="BU375" s="9">
        <f t="shared" si="296"/>
        <v>219.4791667</v>
      </c>
      <c r="BV375" s="9">
        <f t="shared" si="296"/>
        <v>219.4791667</v>
      </c>
      <c r="BW375" s="9">
        <f t="shared" si="296"/>
        <v>219.4791667</v>
      </c>
      <c r="BX375" s="9">
        <f t="shared" si="296"/>
        <v>219.4791667</v>
      </c>
      <c r="BY375" s="9">
        <f t="shared" si="296"/>
        <v>219.4791667</v>
      </c>
      <c r="BZ375" s="9">
        <f t="shared" si="296"/>
        <v>219.4791667</v>
      </c>
      <c r="CA375" s="9">
        <f t="shared" si="296"/>
        <v>219.4791667</v>
      </c>
      <c r="CB375" s="9">
        <f t="shared" si="296"/>
        <v>219.4791667</v>
      </c>
      <c r="CC375" s="9">
        <f t="shared" si="296"/>
        <v>219.4791667</v>
      </c>
      <c r="CD375" s="9">
        <f t="shared" si="296"/>
        <v>219.4791667</v>
      </c>
      <c r="CE375" s="9">
        <f t="shared" si="296"/>
        <v>219.4791667</v>
      </c>
      <c r="CF375" s="9">
        <f t="shared" si="296"/>
        <v>219.4791667</v>
      </c>
      <c r="CG375" s="9">
        <f t="shared" si="296"/>
        <v>219.4791667</v>
      </c>
      <c r="CH375" s="9">
        <f t="shared" si="296"/>
        <v>219.4791667</v>
      </c>
      <c r="CI375" s="9">
        <f t="shared" si="296"/>
        <v>219.4791667</v>
      </c>
      <c r="CJ375" s="9">
        <f t="shared" si="296"/>
        <v>219.4791667</v>
      </c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6">
        <v>45138.0</v>
      </c>
      <c r="BH376" s="9">
        <f t="shared" ref="BH376:CK376" si="297">+$BH$53*$U$59*$X$59</f>
        <v>250.8333333</v>
      </c>
      <c r="BI376" s="9">
        <f t="shared" si="297"/>
        <v>250.8333333</v>
      </c>
      <c r="BJ376" s="9">
        <f t="shared" si="297"/>
        <v>250.8333333</v>
      </c>
      <c r="BK376" s="9">
        <f t="shared" si="297"/>
        <v>250.8333333</v>
      </c>
      <c r="BL376" s="9">
        <f t="shared" si="297"/>
        <v>250.8333333</v>
      </c>
      <c r="BM376" s="9">
        <f t="shared" si="297"/>
        <v>250.8333333</v>
      </c>
      <c r="BN376" s="9">
        <f t="shared" si="297"/>
        <v>250.8333333</v>
      </c>
      <c r="BO376" s="9">
        <f t="shared" si="297"/>
        <v>250.8333333</v>
      </c>
      <c r="BP376" s="9">
        <f t="shared" si="297"/>
        <v>250.8333333</v>
      </c>
      <c r="BQ376" s="9">
        <f t="shared" si="297"/>
        <v>250.8333333</v>
      </c>
      <c r="BR376" s="9">
        <f t="shared" si="297"/>
        <v>250.8333333</v>
      </c>
      <c r="BS376" s="9">
        <f t="shared" si="297"/>
        <v>250.8333333</v>
      </c>
      <c r="BT376" s="9">
        <f t="shared" si="297"/>
        <v>250.8333333</v>
      </c>
      <c r="BU376" s="9">
        <f t="shared" si="297"/>
        <v>250.8333333</v>
      </c>
      <c r="BV376" s="9">
        <f t="shared" si="297"/>
        <v>250.8333333</v>
      </c>
      <c r="BW376" s="9">
        <f t="shared" si="297"/>
        <v>250.8333333</v>
      </c>
      <c r="BX376" s="9">
        <f t="shared" si="297"/>
        <v>250.8333333</v>
      </c>
      <c r="BY376" s="9">
        <f t="shared" si="297"/>
        <v>250.8333333</v>
      </c>
      <c r="BZ376" s="9">
        <f t="shared" si="297"/>
        <v>250.8333333</v>
      </c>
      <c r="CA376" s="9">
        <f t="shared" si="297"/>
        <v>250.8333333</v>
      </c>
      <c r="CB376" s="9">
        <f t="shared" si="297"/>
        <v>250.8333333</v>
      </c>
      <c r="CC376" s="9">
        <f t="shared" si="297"/>
        <v>250.8333333</v>
      </c>
      <c r="CD376" s="9">
        <f t="shared" si="297"/>
        <v>250.8333333</v>
      </c>
      <c r="CE376" s="9">
        <f t="shared" si="297"/>
        <v>250.8333333</v>
      </c>
      <c r="CF376" s="9">
        <f t="shared" si="297"/>
        <v>250.8333333</v>
      </c>
      <c r="CG376" s="9">
        <f t="shared" si="297"/>
        <v>250.8333333</v>
      </c>
      <c r="CH376" s="9">
        <f t="shared" si="297"/>
        <v>250.8333333</v>
      </c>
      <c r="CI376" s="9">
        <f t="shared" si="297"/>
        <v>250.8333333</v>
      </c>
      <c r="CJ376" s="9">
        <f t="shared" si="297"/>
        <v>250.8333333</v>
      </c>
      <c r="CK376" s="9">
        <f t="shared" si="297"/>
        <v>250.8333333</v>
      </c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6">
        <v>45169.0</v>
      </c>
      <c r="BI377" s="9">
        <f t="shared" ref="BI377:CL377" si="298">+$BI$53*$U$59*$X$59</f>
        <v>250.8333333</v>
      </c>
      <c r="BJ377" s="9">
        <f t="shared" si="298"/>
        <v>250.8333333</v>
      </c>
      <c r="BK377" s="9">
        <f t="shared" si="298"/>
        <v>250.8333333</v>
      </c>
      <c r="BL377" s="9">
        <f t="shared" si="298"/>
        <v>250.8333333</v>
      </c>
      <c r="BM377" s="9">
        <f t="shared" si="298"/>
        <v>250.8333333</v>
      </c>
      <c r="BN377" s="9">
        <f t="shared" si="298"/>
        <v>250.8333333</v>
      </c>
      <c r="BO377" s="9">
        <f t="shared" si="298"/>
        <v>250.8333333</v>
      </c>
      <c r="BP377" s="9">
        <f t="shared" si="298"/>
        <v>250.8333333</v>
      </c>
      <c r="BQ377" s="9">
        <f t="shared" si="298"/>
        <v>250.8333333</v>
      </c>
      <c r="BR377" s="9">
        <f t="shared" si="298"/>
        <v>250.8333333</v>
      </c>
      <c r="BS377" s="9">
        <f t="shared" si="298"/>
        <v>250.8333333</v>
      </c>
      <c r="BT377" s="9">
        <f t="shared" si="298"/>
        <v>250.8333333</v>
      </c>
      <c r="BU377" s="9">
        <f t="shared" si="298"/>
        <v>250.8333333</v>
      </c>
      <c r="BV377" s="9">
        <f t="shared" si="298"/>
        <v>250.8333333</v>
      </c>
      <c r="BW377" s="9">
        <f t="shared" si="298"/>
        <v>250.8333333</v>
      </c>
      <c r="BX377" s="9">
        <f t="shared" si="298"/>
        <v>250.8333333</v>
      </c>
      <c r="BY377" s="9">
        <f t="shared" si="298"/>
        <v>250.8333333</v>
      </c>
      <c r="BZ377" s="9">
        <f t="shared" si="298"/>
        <v>250.8333333</v>
      </c>
      <c r="CA377" s="9">
        <f t="shared" si="298"/>
        <v>250.8333333</v>
      </c>
      <c r="CB377" s="9">
        <f t="shared" si="298"/>
        <v>250.8333333</v>
      </c>
      <c r="CC377" s="9">
        <f t="shared" si="298"/>
        <v>250.8333333</v>
      </c>
      <c r="CD377" s="9">
        <f t="shared" si="298"/>
        <v>250.8333333</v>
      </c>
      <c r="CE377" s="9">
        <f t="shared" si="298"/>
        <v>250.8333333</v>
      </c>
      <c r="CF377" s="9">
        <f t="shared" si="298"/>
        <v>250.8333333</v>
      </c>
      <c r="CG377" s="9">
        <f t="shared" si="298"/>
        <v>250.8333333</v>
      </c>
      <c r="CH377" s="9">
        <f t="shared" si="298"/>
        <v>250.8333333</v>
      </c>
      <c r="CI377" s="9">
        <f t="shared" si="298"/>
        <v>250.8333333</v>
      </c>
      <c r="CJ377" s="9">
        <f t="shared" si="298"/>
        <v>250.8333333</v>
      </c>
      <c r="CK377" s="9">
        <f t="shared" si="298"/>
        <v>250.8333333</v>
      </c>
      <c r="CL377" s="9">
        <f t="shared" si="298"/>
        <v>250.8333333</v>
      </c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6">
        <v>45199.0</v>
      </c>
      <c r="BJ378" s="9">
        <f t="shared" ref="BJ378:CM378" si="299">+$BJ$53*$U$59*$X$59</f>
        <v>250.8333333</v>
      </c>
      <c r="BK378" s="9">
        <f t="shared" si="299"/>
        <v>250.8333333</v>
      </c>
      <c r="BL378" s="9">
        <f t="shared" si="299"/>
        <v>250.8333333</v>
      </c>
      <c r="BM378" s="9">
        <f t="shared" si="299"/>
        <v>250.8333333</v>
      </c>
      <c r="BN378" s="9">
        <f t="shared" si="299"/>
        <v>250.8333333</v>
      </c>
      <c r="BO378" s="9">
        <f t="shared" si="299"/>
        <v>250.8333333</v>
      </c>
      <c r="BP378" s="9">
        <f t="shared" si="299"/>
        <v>250.8333333</v>
      </c>
      <c r="BQ378" s="9">
        <f t="shared" si="299"/>
        <v>250.8333333</v>
      </c>
      <c r="BR378" s="9">
        <f t="shared" si="299"/>
        <v>250.8333333</v>
      </c>
      <c r="BS378" s="9">
        <f t="shared" si="299"/>
        <v>250.8333333</v>
      </c>
      <c r="BT378" s="9">
        <f t="shared" si="299"/>
        <v>250.8333333</v>
      </c>
      <c r="BU378" s="9">
        <f t="shared" si="299"/>
        <v>250.8333333</v>
      </c>
      <c r="BV378" s="9">
        <f t="shared" si="299"/>
        <v>250.8333333</v>
      </c>
      <c r="BW378" s="9">
        <f t="shared" si="299"/>
        <v>250.8333333</v>
      </c>
      <c r="BX378" s="9">
        <f t="shared" si="299"/>
        <v>250.8333333</v>
      </c>
      <c r="BY378" s="9">
        <f t="shared" si="299"/>
        <v>250.8333333</v>
      </c>
      <c r="BZ378" s="9">
        <f t="shared" si="299"/>
        <v>250.8333333</v>
      </c>
      <c r="CA378" s="9">
        <f t="shared" si="299"/>
        <v>250.8333333</v>
      </c>
      <c r="CB378" s="9">
        <f t="shared" si="299"/>
        <v>250.8333333</v>
      </c>
      <c r="CC378" s="9">
        <f t="shared" si="299"/>
        <v>250.8333333</v>
      </c>
      <c r="CD378" s="9">
        <f t="shared" si="299"/>
        <v>250.8333333</v>
      </c>
      <c r="CE378" s="9">
        <f t="shared" si="299"/>
        <v>250.8333333</v>
      </c>
      <c r="CF378" s="9">
        <f t="shared" si="299"/>
        <v>250.8333333</v>
      </c>
      <c r="CG378" s="9">
        <f t="shared" si="299"/>
        <v>250.8333333</v>
      </c>
      <c r="CH378" s="9">
        <f t="shared" si="299"/>
        <v>250.8333333</v>
      </c>
      <c r="CI378" s="9">
        <f t="shared" si="299"/>
        <v>250.8333333</v>
      </c>
      <c r="CJ378" s="9">
        <f t="shared" si="299"/>
        <v>250.8333333</v>
      </c>
      <c r="CK378" s="9">
        <f t="shared" si="299"/>
        <v>250.8333333</v>
      </c>
      <c r="CL378" s="9">
        <f t="shared" si="299"/>
        <v>250.8333333</v>
      </c>
      <c r="CM378" s="9">
        <f t="shared" si="299"/>
        <v>250.8333333</v>
      </c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6">
        <v>45230.0</v>
      </c>
      <c r="BK379" s="9">
        <f t="shared" ref="BK379:CN379" si="300">+$BK$53*$U$59*$X$59</f>
        <v>250.8333333</v>
      </c>
      <c r="BL379" s="9">
        <f t="shared" si="300"/>
        <v>250.8333333</v>
      </c>
      <c r="BM379" s="9">
        <f t="shared" si="300"/>
        <v>250.8333333</v>
      </c>
      <c r="BN379" s="9">
        <f t="shared" si="300"/>
        <v>250.8333333</v>
      </c>
      <c r="BO379" s="9">
        <f t="shared" si="300"/>
        <v>250.8333333</v>
      </c>
      <c r="BP379" s="9">
        <f t="shared" si="300"/>
        <v>250.8333333</v>
      </c>
      <c r="BQ379" s="9">
        <f t="shared" si="300"/>
        <v>250.8333333</v>
      </c>
      <c r="BR379" s="9">
        <f t="shared" si="300"/>
        <v>250.8333333</v>
      </c>
      <c r="BS379" s="9">
        <f t="shared" si="300"/>
        <v>250.8333333</v>
      </c>
      <c r="BT379" s="9">
        <f t="shared" si="300"/>
        <v>250.8333333</v>
      </c>
      <c r="BU379" s="9">
        <f t="shared" si="300"/>
        <v>250.8333333</v>
      </c>
      <c r="BV379" s="9">
        <f t="shared" si="300"/>
        <v>250.8333333</v>
      </c>
      <c r="BW379" s="9">
        <f t="shared" si="300"/>
        <v>250.8333333</v>
      </c>
      <c r="BX379" s="9">
        <f t="shared" si="300"/>
        <v>250.8333333</v>
      </c>
      <c r="BY379" s="9">
        <f t="shared" si="300"/>
        <v>250.8333333</v>
      </c>
      <c r="BZ379" s="9">
        <f t="shared" si="300"/>
        <v>250.8333333</v>
      </c>
      <c r="CA379" s="9">
        <f t="shared" si="300"/>
        <v>250.8333333</v>
      </c>
      <c r="CB379" s="9">
        <f t="shared" si="300"/>
        <v>250.8333333</v>
      </c>
      <c r="CC379" s="9">
        <f t="shared" si="300"/>
        <v>250.8333333</v>
      </c>
      <c r="CD379" s="9">
        <f t="shared" si="300"/>
        <v>250.8333333</v>
      </c>
      <c r="CE379" s="9">
        <f t="shared" si="300"/>
        <v>250.8333333</v>
      </c>
      <c r="CF379" s="9">
        <f t="shared" si="300"/>
        <v>250.8333333</v>
      </c>
      <c r="CG379" s="9">
        <f t="shared" si="300"/>
        <v>250.8333333</v>
      </c>
      <c r="CH379" s="9">
        <f t="shared" si="300"/>
        <v>250.8333333</v>
      </c>
      <c r="CI379" s="9">
        <f t="shared" si="300"/>
        <v>250.8333333</v>
      </c>
      <c r="CJ379" s="9">
        <f t="shared" si="300"/>
        <v>250.8333333</v>
      </c>
      <c r="CK379" s="9">
        <f t="shared" si="300"/>
        <v>250.8333333</v>
      </c>
      <c r="CL379" s="9">
        <f t="shared" si="300"/>
        <v>250.8333333</v>
      </c>
      <c r="CM379" s="9">
        <f t="shared" si="300"/>
        <v>250.8333333</v>
      </c>
      <c r="CN379" s="9">
        <f t="shared" si="300"/>
        <v>250.8333333</v>
      </c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6">
        <v>45260.0</v>
      </c>
      <c r="BL380" s="9">
        <f t="shared" ref="BL380:CO380" si="301">+$BL$53*$U$59*$X$59</f>
        <v>219.4791667</v>
      </c>
      <c r="BM380" s="9">
        <f t="shared" si="301"/>
        <v>219.4791667</v>
      </c>
      <c r="BN380" s="9">
        <f t="shared" si="301"/>
        <v>219.4791667</v>
      </c>
      <c r="BO380" s="9">
        <f t="shared" si="301"/>
        <v>219.4791667</v>
      </c>
      <c r="BP380" s="9">
        <f t="shared" si="301"/>
        <v>219.4791667</v>
      </c>
      <c r="BQ380" s="9">
        <f t="shared" si="301"/>
        <v>219.4791667</v>
      </c>
      <c r="BR380" s="9">
        <f t="shared" si="301"/>
        <v>219.4791667</v>
      </c>
      <c r="BS380" s="9">
        <f t="shared" si="301"/>
        <v>219.4791667</v>
      </c>
      <c r="BT380" s="9">
        <f t="shared" si="301"/>
        <v>219.4791667</v>
      </c>
      <c r="BU380" s="9">
        <f t="shared" si="301"/>
        <v>219.4791667</v>
      </c>
      <c r="BV380" s="9">
        <f t="shared" si="301"/>
        <v>219.4791667</v>
      </c>
      <c r="BW380" s="9">
        <f t="shared" si="301"/>
        <v>219.4791667</v>
      </c>
      <c r="BX380" s="9">
        <f t="shared" si="301"/>
        <v>219.4791667</v>
      </c>
      <c r="BY380" s="9">
        <f t="shared" si="301"/>
        <v>219.4791667</v>
      </c>
      <c r="BZ380" s="9">
        <f t="shared" si="301"/>
        <v>219.4791667</v>
      </c>
      <c r="CA380" s="9">
        <f t="shared" si="301"/>
        <v>219.4791667</v>
      </c>
      <c r="CB380" s="9">
        <f t="shared" si="301"/>
        <v>219.4791667</v>
      </c>
      <c r="CC380" s="9">
        <f t="shared" si="301"/>
        <v>219.4791667</v>
      </c>
      <c r="CD380" s="9">
        <f t="shared" si="301"/>
        <v>219.4791667</v>
      </c>
      <c r="CE380" s="9">
        <f t="shared" si="301"/>
        <v>219.4791667</v>
      </c>
      <c r="CF380" s="9">
        <f t="shared" si="301"/>
        <v>219.4791667</v>
      </c>
      <c r="CG380" s="9">
        <f t="shared" si="301"/>
        <v>219.4791667</v>
      </c>
      <c r="CH380" s="9">
        <f t="shared" si="301"/>
        <v>219.4791667</v>
      </c>
      <c r="CI380" s="9">
        <f t="shared" si="301"/>
        <v>219.4791667</v>
      </c>
      <c r="CJ380" s="9">
        <f t="shared" si="301"/>
        <v>219.4791667</v>
      </c>
      <c r="CK380" s="9">
        <f t="shared" si="301"/>
        <v>219.4791667</v>
      </c>
      <c r="CL380" s="9">
        <f t="shared" si="301"/>
        <v>219.4791667</v>
      </c>
      <c r="CM380" s="9">
        <f t="shared" si="301"/>
        <v>219.4791667</v>
      </c>
      <c r="CN380" s="9">
        <f t="shared" si="301"/>
        <v>219.4791667</v>
      </c>
      <c r="CO380" s="9">
        <f t="shared" si="301"/>
        <v>219.4791667</v>
      </c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6">
        <v>45291.0</v>
      </c>
      <c r="BM381" s="9">
        <f t="shared" ref="BM381:CP381" si="302">+$BM$53*$U$59*$X$59</f>
        <v>156.7708333</v>
      </c>
      <c r="BN381" s="9">
        <f t="shared" si="302"/>
        <v>156.7708333</v>
      </c>
      <c r="BO381" s="9">
        <f t="shared" si="302"/>
        <v>156.7708333</v>
      </c>
      <c r="BP381" s="9">
        <f t="shared" si="302"/>
        <v>156.7708333</v>
      </c>
      <c r="BQ381" s="9">
        <f t="shared" si="302"/>
        <v>156.7708333</v>
      </c>
      <c r="BR381" s="9">
        <f t="shared" si="302"/>
        <v>156.7708333</v>
      </c>
      <c r="BS381" s="9">
        <f t="shared" si="302"/>
        <v>156.7708333</v>
      </c>
      <c r="BT381" s="9">
        <f t="shared" si="302"/>
        <v>156.7708333</v>
      </c>
      <c r="BU381" s="9">
        <f t="shared" si="302"/>
        <v>156.7708333</v>
      </c>
      <c r="BV381" s="9">
        <f t="shared" si="302"/>
        <v>156.7708333</v>
      </c>
      <c r="BW381" s="9">
        <f t="shared" si="302"/>
        <v>156.7708333</v>
      </c>
      <c r="BX381" s="9">
        <f t="shared" si="302"/>
        <v>156.7708333</v>
      </c>
      <c r="BY381" s="9">
        <f t="shared" si="302"/>
        <v>156.7708333</v>
      </c>
      <c r="BZ381" s="9">
        <f t="shared" si="302"/>
        <v>156.7708333</v>
      </c>
      <c r="CA381" s="9">
        <f t="shared" si="302"/>
        <v>156.7708333</v>
      </c>
      <c r="CB381" s="9">
        <f t="shared" si="302"/>
        <v>156.7708333</v>
      </c>
      <c r="CC381" s="9">
        <f t="shared" si="302"/>
        <v>156.7708333</v>
      </c>
      <c r="CD381" s="9">
        <f t="shared" si="302"/>
        <v>156.7708333</v>
      </c>
      <c r="CE381" s="9">
        <f t="shared" si="302"/>
        <v>156.7708333</v>
      </c>
      <c r="CF381" s="9">
        <f t="shared" si="302"/>
        <v>156.7708333</v>
      </c>
      <c r="CG381" s="9">
        <f t="shared" si="302"/>
        <v>156.7708333</v>
      </c>
      <c r="CH381" s="9">
        <f t="shared" si="302"/>
        <v>156.7708333</v>
      </c>
      <c r="CI381" s="9">
        <f t="shared" si="302"/>
        <v>156.7708333</v>
      </c>
      <c r="CJ381" s="9">
        <f t="shared" si="302"/>
        <v>156.7708333</v>
      </c>
      <c r="CK381" s="9">
        <f t="shared" si="302"/>
        <v>156.7708333</v>
      </c>
      <c r="CL381" s="9">
        <f t="shared" si="302"/>
        <v>156.7708333</v>
      </c>
      <c r="CM381" s="9">
        <f t="shared" si="302"/>
        <v>156.7708333</v>
      </c>
      <c r="CN381" s="9">
        <f t="shared" si="302"/>
        <v>156.7708333</v>
      </c>
      <c r="CO381" s="9">
        <f t="shared" si="302"/>
        <v>156.7708333</v>
      </c>
      <c r="CP381" s="9">
        <f t="shared" si="302"/>
        <v>156.7708333</v>
      </c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6">
        <v>45322.0</v>
      </c>
      <c r="BN382" s="9">
        <f t="shared" ref="BN382:CQ382" si="303">+$BN$53*$U$59*$X$59</f>
        <v>250.8333333</v>
      </c>
      <c r="BO382" s="9">
        <f t="shared" si="303"/>
        <v>250.8333333</v>
      </c>
      <c r="BP382" s="9">
        <f t="shared" si="303"/>
        <v>250.8333333</v>
      </c>
      <c r="BQ382" s="9">
        <f t="shared" si="303"/>
        <v>250.8333333</v>
      </c>
      <c r="BR382" s="9">
        <f t="shared" si="303"/>
        <v>250.8333333</v>
      </c>
      <c r="BS382" s="9">
        <f t="shared" si="303"/>
        <v>250.8333333</v>
      </c>
      <c r="BT382" s="9">
        <f t="shared" si="303"/>
        <v>250.8333333</v>
      </c>
      <c r="BU382" s="9">
        <f t="shared" si="303"/>
        <v>250.8333333</v>
      </c>
      <c r="BV382" s="9">
        <f t="shared" si="303"/>
        <v>250.8333333</v>
      </c>
      <c r="BW382" s="9">
        <f t="shared" si="303"/>
        <v>250.8333333</v>
      </c>
      <c r="BX382" s="9">
        <f t="shared" si="303"/>
        <v>250.8333333</v>
      </c>
      <c r="BY382" s="9">
        <f t="shared" si="303"/>
        <v>250.8333333</v>
      </c>
      <c r="BZ382" s="9">
        <f t="shared" si="303"/>
        <v>250.8333333</v>
      </c>
      <c r="CA382" s="9">
        <f t="shared" si="303"/>
        <v>250.8333333</v>
      </c>
      <c r="CB382" s="9">
        <f t="shared" si="303"/>
        <v>250.8333333</v>
      </c>
      <c r="CC382" s="9">
        <f t="shared" si="303"/>
        <v>250.8333333</v>
      </c>
      <c r="CD382" s="9">
        <f t="shared" si="303"/>
        <v>250.8333333</v>
      </c>
      <c r="CE382" s="9">
        <f t="shared" si="303"/>
        <v>250.8333333</v>
      </c>
      <c r="CF382" s="9">
        <f t="shared" si="303"/>
        <v>250.8333333</v>
      </c>
      <c r="CG382" s="9">
        <f t="shared" si="303"/>
        <v>250.8333333</v>
      </c>
      <c r="CH382" s="9">
        <f t="shared" si="303"/>
        <v>250.8333333</v>
      </c>
      <c r="CI382" s="9">
        <f t="shared" si="303"/>
        <v>250.8333333</v>
      </c>
      <c r="CJ382" s="9">
        <f t="shared" si="303"/>
        <v>250.8333333</v>
      </c>
      <c r="CK382" s="9">
        <f t="shared" si="303"/>
        <v>250.8333333</v>
      </c>
      <c r="CL382" s="9">
        <f t="shared" si="303"/>
        <v>250.8333333</v>
      </c>
      <c r="CM382" s="9">
        <f t="shared" si="303"/>
        <v>250.8333333</v>
      </c>
      <c r="CN382" s="9">
        <f t="shared" si="303"/>
        <v>250.8333333</v>
      </c>
      <c r="CO382" s="9">
        <f t="shared" si="303"/>
        <v>250.8333333</v>
      </c>
      <c r="CP382" s="9">
        <f t="shared" si="303"/>
        <v>250.8333333</v>
      </c>
      <c r="CQ382" s="9">
        <f t="shared" si="303"/>
        <v>250.8333333</v>
      </c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6">
        <v>45351.0</v>
      </c>
      <c r="BO383" s="9">
        <f t="shared" ref="BO383:CR383" si="304">+$BO$53*$U$59*$X$59</f>
        <v>376.25</v>
      </c>
      <c r="BP383" s="9">
        <f t="shared" si="304"/>
        <v>376.25</v>
      </c>
      <c r="BQ383" s="9">
        <f t="shared" si="304"/>
        <v>376.25</v>
      </c>
      <c r="BR383" s="9">
        <f t="shared" si="304"/>
        <v>376.25</v>
      </c>
      <c r="BS383" s="9">
        <f t="shared" si="304"/>
        <v>376.25</v>
      </c>
      <c r="BT383" s="9">
        <f t="shared" si="304"/>
        <v>376.25</v>
      </c>
      <c r="BU383" s="9">
        <f t="shared" si="304"/>
        <v>376.25</v>
      </c>
      <c r="BV383" s="9">
        <f t="shared" si="304"/>
        <v>376.25</v>
      </c>
      <c r="BW383" s="9">
        <f t="shared" si="304"/>
        <v>376.25</v>
      </c>
      <c r="BX383" s="9">
        <f t="shared" si="304"/>
        <v>376.25</v>
      </c>
      <c r="BY383" s="9">
        <f t="shared" si="304"/>
        <v>376.25</v>
      </c>
      <c r="BZ383" s="9">
        <f t="shared" si="304"/>
        <v>376.25</v>
      </c>
      <c r="CA383" s="9">
        <f t="shared" si="304"/>
        <v>376.25</v>
      </c>
      <c r="CB383" s="9">
        <f t="shared" si="304"/>
        <v>376.25</v>
      </c>
      <c r="CC383" s="9">
        <f t="shared" si="304"/>
        <v>376.25</v>
      </c>
      <c r="CD383" s="9">
        <f t="shared" si="304"/>
        <v>376.25</v>
      </c>
      <c r="CE383" s="9">
        <f t="shared" si="304"/>
        <v>376.25</v>
      </c>
      <c r="CF383" s="9">
        <f t="shared" si="304"/>
        <v>376.25</v>
      </c>
      <c r="CG383" s="9">
        <f t="shared" si="304"/>
        <v>376.25</v>
      </c>
      <c r="CH383" s="9">
        <f t="shared" si="304"/>
        <v>376.25</v>
      </c>
      <c r="CI383" s="9">
        <f t="shared" si="304"/>
        <v>376.25</v>
      </c>
      <c r="CJ383" s="9">
        <f t="shared" si="304"/>
        <v>376.25</v>
      </c>
      <c r="CK383" s="9">
        <f t="shared" si="304"/>
        <v>376.25</v>
      </c>
      <c r="CL383" s="9">
        <f t="shared" si="304"/>
        <v>376.25</v>
      </c>
      <c r="CM383" s="9">
        <f t="shared" si="304"/>
        <v>376.25</v>
      </c>
      <c r="CN383" s="9">
        <f t="shared" si="304"/>
        <v>376.25</v>
      </c>
      <c r="CO383" s="9">
        <f t="shared" si="304"/>
        <v>376.25</v>
      </c>
      <c r="CP383" s="9">
        <f t="shared" si="304"/>
        <v>376.25</v>
      </c>
      <c r="CQ383" s="9">
        <f t="shared" si="304"/>
        <v>376.25</v>
      </c>
      <c r="CR383" s="9">
        <f t="shared" si="304"/>
        <v>376.25</v>
      </c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6">
        <v>45382.0</v>
      </c>
      <c r="BP384" s="9">
        <f t="shared" ref="BP384:CS384" si="305">+$BP$53*$U$59*$X$59</f>
        <v>627.0833333</v>
      </c>
      <c r="BQ384" s="9">
        <f t="shared" si="305"/>
        <v>627.0833333</v>
      </c>
      <c r="BR384" s="9">
        <f t="shared" si="305"/>
        <v>627.0833333</v>
      </c>
      <c r="BS384" s="9">
        <f t="shared" si="305"/>
        <v>627.0833333</v>
      </c>
      <c r="BT384" s="9">
        <f t="shared" si="305"/>
        <v>627.0833333</v>
      </c>
      <c r="BU384" s="9">
        <f t="shared" si="305"/>
        <v>627.0833333</v>
      </c>
      <c r="BV384" s="9">
        <f t="shared" si="305"/>
        <v>627.0833333</v>
      </c>
      <c r="BW384" s="9">
        <f t="shared" si="305"/>
        <v>627.0833333</v>
      </c>
      <c r="BX384" s="9">
        <f t="shared" si="305"/>
        <v>627.0833333</v>
      </c>
      <c r="BY384" s="9">
        <f t="shared" si="305"/>
        <v>627.0833333</v>
      </c>
      <c r="BZ384" s="9">
        <f t="shared" si="305"/>
        <v>627.0833333</v>
      </c>
      <c r="CA384" s="9">
        <f t="shared" si="305"/>
        <v>627.0833333</v>
      </c>
      <c r="CB384" s="9">
        <f t="shared" si="305"/>
        <v>627.0833333</v>
      </c>
      <c r="CC384" s="9">
        <f t="shared" si="305"/>
        <v>627.0833333</v>
      </c>
      <c r="CD384" s="9">
        <f t="shared" si="305"/>
        <v>627.0833333</v>
      </c>
      <c r="CE384" s="9">
        <f t="shared" si="305"/>
        <v>627.0833333</v>
      </c>
      <c r="CF384" s="9">
        <f t="shared" si="305"/>
        <v>627.0833333</v>
      </c>
      <c r="CG384" s="9">
        <f t="shared" si="305"/>
        <v>627.0833333</v>
      </c>
      <c r="CH384" s="9">
        <f t="shared" si="305"/>
        <v>627.0833333</v>
      </c>
      <c r="CI384" s="9">
        <f t="shared" si="305"/>
        <v>627.0833333</v>
      </c>
      <c r="CJ384" s="9">
        <f t="shared" si="305"/>
        <v>627.0833333</v>
      </c>
      <c r="CK384" s="9">
        <f t="shared" si="305"/>
        <v>627.0833333</v>
      </c>
      <c r="CL384" s="9">
        <f t="shared" si="305"/>
        <v>627.0833333</v>
      </c>
      <c r="CM384" s="9">
        <f t="shared" si="305"/>
        <v>627.0833333</v>
      </c>
      <c r="CN384" s="9">
        <f t="shared" si="305"/>
        <v>627.0833333</v>
      </c>
      <c r="CO384" s="9">
        <f t="shared" si="305"/>
        <v>627.0833333</v>
      </c>
      <c r="CP384" s="9">
        <f t="shared" si="305"/>
        <v>627.0833333</v>
      </c>
      <c r="CQ384" s="9">
        <f t="shared" si="305"/>
        <v>627.0833333</v>
      </c>
      <c r="CR384" s="9">
        <f t="shared" si="305"/>
        <v>627.0833333</v>
      </c>
      <c r="CS384" s="9">
        <f t="shared" si="305"/>
        <v>627.0833333</v>
      </c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6">
        <v>45412.0</v>
      </c>
      <c r="BQ385" s="9">
        <f t="shared" ref="BQ385:CT385" si="306">+$BQ$53*$U$59*$X$59</f>
        <v>627.0833333</v>
      </c>
      <c r="BR385" s="9">
        <f t="shared" si="306"/>
        <v>627.0833333</v>
      </c>
      <c r="BS385" s="9">
        <f t="shared" si="306"/>
        <v>627.0833333</v>
      </c>
      <c r="BT385" s="9">
        <f t="shared" si="306"/>
        <v>627.0833333</v>
      </c>
      <c r="BU385" s="9">
        <f t="shared" si="306"/>
        <v>627.0833333</v>
      </c>
      <c r="BV385" s="9">
        <f t="shared" si="306"/>
        <v>627.0833333</v>
      </c>
      <c r="BW385" s="9">
        <f t="shared" si="306"/>
        <v>627.0833333</v>
      </c>
      <c r="BX385" s="9">
        <f t="shared" si="306"/>
        <v>627.0833333</v>
      </c>
      <c r="BY385" s="9">
        <f t="shared" si="306"/>
        <v>627.0833333</v>
      </c>
      <c r="BZ385" s="9">
        <f t="shared" si="306"/>
        <v>627.0833333</v>
      </c>
      <c r="CA385" s="9">
        <f t="shared" si="306"/>
        <v>627.0833333</v>
      </c>
      <c r="CB385" s="9">
        <f t="shared" si="306"/>
        <v>627.0833333</v>
      </c>
      <c r="CC385" s="9">
        <f t="shared" si="306"/>
        <v>627.0833333</v>
      </c>
      <c r="CD385" s="9">
        <f t="shared" si="306"/>
        <v>627.0833333</v>
      </c>
      <c r="CE385" s="9">
        <f t="shared" si="306"/>
        <v>627.0833333</v>
      </c>
      <c r="CF385" s="9">
        <f t="shared" si="306"/>
        <v>627.0833333</v>
      </c>
      <c r="CG385" s="9">
        <f t="shared" si="306"/>
        <v>627.0833333</v>
      </c>
      <c r="CH385" s="9">
        <f t="shared" si="306"/>
        <v>627.0833333</v>
      </c>
      <c r="CI385" s="9">
        <f t="shared" si="306"/>
        <v>627.0833333</v>
      </c>
      <c r="CJ385" s="9">
        <f t="shared" si="306"/>
        <v>627.0833333</v>
      </c>
      <c r="CK385" s="9">
        <f t="shared" si="306"/>
        <v>627.0833333</v>
      </c>
      <c r="CL385" s="9">
        <f t="shared" si="306"/>
        <v>627.0833333</v>
      </c>
      <c r="CM385" s="9">
        <f t="shared" si="306"/>
        <v>627.0833333</v>
      </c>
      <c r="CN385" s="9">
        <f t="shared" si="306"/>
        <v>627.0833333</v>
      </c>
      <c r="CO385" s="9">
        <f t="shared" si="306"/>
        <v>627.0833333</v>
      </c>
      <c r="CP385" s="9">
        <f t="shared" si="306"/>
        <v>627.0833333</v>
      </c>
      <c r="CQ385" s="9">
        <f t="shared" si="306"/>
        <v>627.0833333</v>
      </c>
      <c r="CR385" s="9">
        <f t="shared" si="306"/>
        <v>627.0833333</v>
      </c>
      <c r="CS385" s="9">
        <f t="shared" si="306"/>
        <v>627.0833333</v>
      </c>
      <c r="CT385" s="9">
        <f t="shared" si="306"/>
        <v>627.0833333</v>
      </c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6">
        <v>45443.0</v>
      </c>
      <c r="BR386" s="9">
        <f t="shared" ref="BR386:CU386" si="307">+$BR$53*$U$59*$X$59</f>
        <v>696.7592593</v>
      </c>
      <c r="BS386" s="9">
        <f t="shared" si="307"/>
        <v>696.7592593</v>
      </c>
      <c r="BT386" s="9">
        <f t="shared" si="307"/>
        <v>696.7592593</v>
      </c>
      <c r="BU386" s="9">
        <f t="shared" si="307"/>
        <v>696.7592593</v>
      </c>
      <c r="BV386" s="9">
        <f t="shared" si="307"/>
        <v>696.7592593</v>
      </c>
      <c r="BW386" s="9">
        <f t="shared" si="307"/>
        <v>696.7592593</v>
      </c>
      <c r="BX386" s="9">
        <f t="shared" si="307"/>
        <v>696.7592593</v>
      </c>
      <c r="BY386" s="9">
        <f t="shared" si="307"/>
        <v>696.7592593</v>
      </c>
      <c r="BZ386" s="9">
        <f t="shared" si="307"/>
        <v>696.7592593</v>
      </c>
      <c r="CA386" s="9">
        <f t="shared" si="307"/>
        <v>696.7592593</v>
      </c>
      <c r="CB386" s="9">
        <f t="shared" si="307"/>
        <v>696.7592593</v>
      </c>
      <c r="CC386" s="9">
        <f t="shared" si="307"/>
        <v>696.7592593</v>
      </c>
      <c r="CD386" s="9">
        <f t="shared" si="307"/>
        <v>696.7592593</v>
      </c>
      <c r="CE386" s="9">
        <f t="shared" si="307"/>
        <v>696.7592593</v>
      </c>
      <c r="CF386" s="9">
        <f t="shared" si="307"/>
        <v>696.7592593</v>
      </c>
      <c r="CG386" s="9">
        <f t="shared" si="307"/>
        <v>696.7592593</v>
      </c>
      <c r="CH386" s="9">
        <f t="shared" si="307"/>
        <v>696.7592593</v>
      </c>
      <c r="CI386" s="9">
        <f t="shared" si="307"/>
        <v>696.7592593</v>
      </c>
      <c r="CJ386" s="9">
        <f t="shared" si="307"/>
        <v>696.7592593</v>
      </c>
      <c r="CK386" s="9">
        <f t="shared" si="307"/>
        <v>696.7592593</v>
      </c>
      <c r="CL386" s="9">
        <f t="shared" si="307"/>
        <v>696.7592593</v>
      </c>
      <c r="CM386" s="9">
        <f t="shared" si="307"/>
        <v>696.7592593</v>
      </c>
      <c r="CN386" s="9">
        <f t="shared" si="307"/>
        <v>696.7592593</v>
      </c>
      <c r="CO386" s="9">
        <f t="shared" si="307"/>
        <v>696.7592593</v>
      </c>
      <c r="CP386" s="9">
        <f t="shared" si="307"/>
        <v>696.7592593</v>
      </c>
      <c r="CQ386" s="9">
        <f t="shared" si="307"/>
        <v>696.7592593</v>
      </c>
      <c r="CR386" s="9">
        <f t="shared" si="307"/>
        <v>696.7592593</v>
      </c>
      <c r="CS386" s="9">
        <f t="shared" si="307"/>
        <v>696.7592593</v>
      </c>
      <c r="CT386" s="9">
        <f t="shared" si="307"/>
        <v>696.7592593</v>
      </c>
      <c r="CU386" s="9">
        <f t="shared" si="307"/>
        <v>696.7592593</v>
      </c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6">
        <v>45473.0</v>
      </c>
      <c r="BS387" s="9">
        <f t="shared" ref="BS387:CV387" si="308">+$BS$53*$U$59*$X$59</f>
        <v>696.7592593</v>
      </c>
      <c r="BT387" s="9">
        <f t="shared" si="308"/>
        <v>696.7592593</v>
      </c>
      <c r="BU387" s="9">
        <f t="shared" si="308"/>
        <v>696.7592593</v>
      </c>
      <c r="BV387" s="9">
        <f t="shared" si="308"/>
        <v>696.7592593</v>
      </c>
      <c r="BW387" s="9">
        <f t="shared" si="308"/>
        <v>696.7592593</v>
      </c>
      <c r="BX387" s="9">
        <f t="shared" si="308"/>
        <v>696.7592593</v>
      </c>
      <c r="BY387" s="9">
        <f t="shared" si="308"/>
        <v>696.7592593</v>
      </c>
      <c r="BZ387" s="9">
        <f t="shared" si="308"/>
        <v>696.7592593</v>
      </c>
      <c r="CA387" s="9">
        <f t="shared" si="308"/>
        <v>696.7592593</v>
      </c>
      <c r="CB387" s="9">
        <f t="shared" si="308"/>
        <v>696.7592593</v>
      </c>
      <c r="CC387" s="9">
        <f t="shared" si="308"/>
        <v>696.7592593</v>
      </c>
      <c r="CD387" s="9">
        <f t="shared" si="308"/>
        <v>696.7592593</v>
      </c>
      <c r="CE387" s="9">
        <f t="shared" si="308"/>
        <v>696.7592593</v>
      </c>
      <c r="CF387" s="9">
        <f t="shared" si="308"/>
        <v>696.7592593</v>
      </c>
      <c r="CG387" s="9">
        <f t="shared" si="308"/>
        <v>696.7592593</v>
      </c>
      <c r="CH387" s="9">
        <f t="shared" si="308"/>
        <v>696.7592593</v>
      </c>
      <c r="CI387" s="9">
        <f t="shared" si="308"/>
        <v>696.7592593</v>
      </c>
      <c r="CJ387" s="9">
        <f t="shared" si="308"/>
        <v>696.7592593</v>
      </c>
      <c r="CK387" s="9">
        <f t="shared" si="308"/>
        <v>696.7592593</v>
      </c>
      <c r="CL387" s="9">
        <f t="shared" si="308"/>
        <v>696.7592593</v>
      </c>
      <c r="CM387" s="9">
        <f t="shared" si="308"/>
        <v>696.7592593</v>
      </c>
      <c r="CN387" s="9">
        <f t="shared" si="308"/>
        <v>696.7592593</v>
      </c>
      <c r="CO387" s="9">
        <f t="shared" si="308"/>
        <v>696.7592593</v>
      </c>
      <c r="CP387" s="9">
        <f t="shared" si="308"/>
        <v>696.7592593</v>
      </c>
      <c r="CQ387" s="9">
        <f t="shared" si="308"/>
        <v>696.7592593</v>
      </c>
      <c r="CR387" s="9">
        <f t="shared" si="308"/>
        <v>696.7592593</v>
      </c>
      <c r="CS387" s="9">
        <f t="shared" si="308"/>
        <v>696.7592593</v>
      </c>
      <c r="CT387" s="9">
        <f t="shared" si="308"/>
        <v>696.7592593</v>
      </c>
      <c r="CU387" s="9">
        <f t="shared" si="308"/>
        <v>696.7592593</v>
      </c>
      <c r="CV387" s="9">
        <f t="shared" si="308"/>
        <v>696.7592593</v>
      </c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6">
        <v>45504.0</v>
      </c>
      <c r="BT388" s="9">
        <f t="shared" ref="BT388:CW388" si="309">+$BT$53*$U$59*$X$59</f>
        <v>783.8541667</v>
      </c>
      <c r="BU388" s="9">
        <f t="shared" si="309"/>
        <v>783.8541667</v>
      </c>
      <c r="BV388" s="9">
        <f t="shared" si="309"/>
        <v>783.8541667</v>
      </c>
      <c r="BW388" s="9">
        <f t="shared" si="309"/>
        <v>783.8541667</v>
      </c>
      <c r="BX388" s="9">
        <f t="shared" si="309"/>
        <v>783.8541667</v>
      </c>
      <c r="BY388" s="9">
        <f t="shared" si="309"/>
        <v>783.8541667</v>
      </c>
      <c r="BZ388" s="9">
        <f t="shared" si="309"/>
        <v>783.8541667</v>
      </c>
      <c r="CA388" s="9">
        <f t="shared" si="309"/>
        <v>783.8541667</v>
      </c>
      <c r="CB388" s="9">
        <f t="shared" si="309"/>
        <v>783.8541667</v>
      </c>
      <c r="CC388" s="9">
        <f t="shared" si="309"/>
        <v>783.8541667</v>
      </c>
      <c r="CD388" s="9">
        <f t="shared" si="309"/>
        <v>783.8541667</v>
      </c>
      <c r="CE388" s="9">
        <f t="shared" si="309"/>
        <v>783.8541667</v>
      </c>
      <c r="CF388" s="9">
        <f t="shared" si="309"/>
        <v>783.8541667</v>
      </c>
      <c r="CG388" s="9">
        <f t="shared" si="309"/>
        <v>783.8541667</v>
      </c>
      <c r="CH388" s="9">
        <f t="shared" si="309"/>
        <v>783.8541667</v>
      </c>
      <c r="CI388" s="9">
        <f t="shared" si="309"/>
        <v>783.8541667</v>
      </c>
      <c r="CJ388" s="9">
        <f t="shared" si="309"/>
        <v>783.8541667</v>
      </c>
      <c r="CK388" s="9">
        <f t="shared" si="309"/>
        <v>783.8541667</v>
      </c>
      <c r="CL388" s="9">
        <f t="shared" si="309"/>
        <v>783.8541667</v>
      </c>
      <c r="CM388" s="9">
        <f t="shared" si="309"/>
        <v>783.8541667</v>
      </c>
      <c r="CN388" s="9">
        <f t="shared" si="309"/>
        <v>783.8541667</v>
      </c>
      <c r="CO388" s="9">
        <f t="shared" si="309"/>
        <v>783.8541667</v>
      </c>
      <c r="CP388" s="9">
        <f t="shared" si="309"/>
        <v>783.8541667</v>
      </c>
      <c r="CQ388" s="9">
        <f t="shared" si="309"/>
        <v>783.8541667</v>
      </c>
      <c r="CR388" s="9">
        <f t="shared" si="309"/>
        <v>783.8541667</v>
      </c>
      <c r="CS388" s="9">
        <f t="shared" si="309"/>
        <v>783.8541667</v>
      </c>
      <c r="CT388" s="9">
        <f t="shared" si="309"/>
        <v>783.8541667</v>
      </c>
      <c r="CU388" s="9">
        <f t="shared" si="309"/>
        <v>783.8541667</v>
      </c>
      <c r="CV388" s="9">
        <f t="shared" si="309"/>
        <v>783.8541667</v>
      </c>
      <c r="CW388" s="9">
        <f t="shared" si="309"/>
        <v>783.8541667</v>
      </c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6">
        <v>45535.0</v>
      </c>
      <c r="BU389" s="9">
        <f t="shared" ref="BU389:CX389" si="310">+$BU$53*$U$59*$X$59</f>
        <v>895.8333333</v>
      </c>
      <c r="BV389" s="9">
        <f t="shared" si="310"/>
        <v>895.8333333</v>
      </c>
      <c r="BW389" s="9">
        <f t="shared" si="310"/>
        <v>895.8333333</v>
      </c>
      <c r="BX389" s="9">
        <f t="shared" si="310"/>
        <v>895.8333333</v>
      </c>
      <c r="BY389" s="9">
        <f t="shared" si="310"/>
        <v>895.8333333</v>
      </c>
      <c r="BZ389" s="9">
        <f t="shared" si="310"/>
        <v>895.8333333</v>
      </c>
      <c r="CA389" s="9">
        <f t="shared" si="310"/>
        <v>895.8333333</v>
      </c>
      <c r="CB389" s="9">
        <f t="shared" si="310"/>
        <v>895.8333333</v>
      </c>
      <c r="CC389" s="9">
        <f t="shared" si="310"/>
        <v>895.8333333</v>
      </c>
      <c r="CD389" s="9">
        <f t="shared" si="310"/>
        <v>895.8333333</v>
      </c>
      <c r="CE389" s="9">
        <f t="shared" si="310"/>
        <v>895.8333333</v>
      </c>
      <c r="CF389" s="9">
        <f t="shared" si="310"/>
        <v>895.8333333</v>
      </c>
      <c r="CG389" s="9">
        <f t="shared" si="310"/>
        <v>895.8333333</v>
      </c>
      <c r="CH389" s="9">
        <f t="shared" si="310"/>
        <v>895.8333333</v>
      </c>
      <c r="CI389" s="9">
        <f t="shared" si="310"/>
        <v>895.8333333</v>
      </c>
      <c r="CJ389" s="9">
        <f t="shared" si="310"/>
        <v>895.8333333</v>
      </c>
      <c r="CK389" s="9">
        <f t="shared" si="310"/>
        <v>895.8333333</v>
      </c>
      <c r="CL389" s="9">
        <f t="shared" si="310"/>
        <v>895.8333333</v>
      </c>
      <c r="CM389" s="9">
        <f t="shared" si="310"/>
        <v>895.8333333</v>
      </c>
      <c r="CN389" s="9">
        <f t="shared" si="310"/>
        <v>895.8333333</v>
      </c>
      <c r="CO389" s="9">
        <f t="shared" si="310"/>
        <v>895.8333333</v>
      </c>
      <c r="CP389" s="9">
        <f t="shared" si="310"/>
        <v>895.8333333</v>
      </c>
      <c r="CQ389" s="9">
        <f t="shared" si="310"/>
        <v>895.8333333</v>
      </c>
      <c r="CR389" s="9">
        <f t="shared" si="310"/>
        <v>895.8333333</v>
      </c>
      <c r="CS389" s="9">
        <f t="shared" si="310"/>
        <v>895.8333333</v>
      </c>
      <c r="CT389" s="9">
        <f t="shared" si="310"/>
        <v>895.8333333</v>
      </c>
      <c r="CU389" s="9">
        <f t="shared" si="310"/>
        <v>895.8333333</v>
      </c>
      <c r="CV389" s="9">
        <f t="shared" si="310"/>
        <v>895.8333333</v>
      </c>
      <c r="CW389" s="9">
        <f t="shared" si="310"/>
        <v>895.8333333</v>
      </c>
      <c r="CX389" s="9">
        <f t="shared" si="310"/>
        <v>895.8333333</v>
      </c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6">
        <v>45565.0</v>
      </c>
      <c r="BV390" s="9">
        <f t="shared" ref="BV390:CY390" si="311">+$BV$53*$U$59*$X$59</f>
        <v>537.5</v>
      </c>
      <c r="BW390" s="9">
        <f t="shared" si="311"/>
        <v>537.5</v>
      </c>
      <c r="BX390" s="9">
        <f t="shared" si="311"/>
        <v>537.5</v>
      </c>
      <c r="BY390" s="9">
        <f t="shared" si="311"/>
        <v>537.5</v>
      </c>
      <c r="BZ390" s="9">
        <f t="shared" si="311"/>
        <v>537.5</v>
      </c>
      <c r="CA390" s="9">
        <f t="shared" si="311"/>
        <v>537.5</v>
      </c>
      <c r="CB390" s="9">
        <f t="shared" si="311"/>
        <v>537.5</v>
      </c>
      <c r="CC390" s="9">
        <f t="shared" si="311"/>
        <v>537.5</v>
      </c>
      <c r="CD390" s="9">
        <f t="shared" si="311"/>
        <v>537.5</v>
      </c>
      <c r="CE390" s="9">
        <f t="shared" si="311"/>
        <v>537.5</v>
      </c>
      <c r="CF390" s="9">
        <f t="shared" si="311"/>
        <v>537.5</v>
      </c>
      <c r="CG390" s="9">
        <f t="shared" si="311"/>
        <v>537.5</v>
      </c>
      <c r="CH390" s="9">
        <f t="shared" si="311"/>
        <v>537.5</v>
      </c>
      <c r="CI390" s="9">
        <f t="shared" si="311"/>
        <v>537.5</v>
      </c>
      <c r="CJ390" s="9">
        <f t="shared" si="311"/>
        <v>537.5</v>
      </c>
      <c r="CK390" s="9">
        <f t="shared" si="311"/>
        <v>537.5</v>
      </c>
      <c r="CL390" s="9">
        <f t="shared" si="311"/>
        <v>537.5</v>
      </c>
      <c r="CM390" s="9">
        <f t="shared" si="311"/>
        <v>537.5</v>
      </c>
      <c r="CN390" s="9">
        <f t="shared" si="311"/>
        <v>537.5</v>
      </c>
      <c r="CO390" s="9">
        <f t="shared" si="311"/>
        <v>537.5</v>
      </c>
      <c r="CP390" s="9">
        <f t="shared" si="311"/>
        <v>537.5</v>
      </c>
      <c r="CQ390" s="9">
        <f t="shared" si="311"/>
        <v>537.5</v>
      </c>
      <c r="CR390" s="9">
        <f t="shared" si="311"/>
        <v>537.5</v>
      </c>
      <c r="CS390" s="9">
        <f t="shared" si="311"/>
        <v>537.5</v>
      </c>
      <c r="CT390" s="9">
        <f t="shared" si="311"/>
        <v>537.5</v>
      </c>
      <c r="CU390" s="9">
        <f t="shared" si="311"/>
        <v>537.5</v>
      </c>
      <c r="CV390" s="9">
        <f t="shared" si="311"/>
        <v>537.5</v>
      </c>
      <c r="CW390" s="9">
        <f t="shared" si="311"/>
        <v>537.5</v>
      </c>
      <c r="CX390" s="9">
        <f t="shared" si="311"/>
        <v>537.5</v>
      </c>
      <c r="CY390" s="9">
        <f t="shared" si="311"/>
        <v>537.5</v>
      </c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6">
        <v>45596.0</v>
      </c>
      <c r="BW391" s="9">
        <f t="shared" ref="BW391:CZ391" si="312">+$BW$53*$U$59*$X$59</f>
        <v>537.5</v>
      </c>
      <c r="BX391" s="9">
        <f t="shared" si="312"/>
        <v>537.5</v>
      </c>
      <c r="BY391" s="9">
        <f t="shared" si="312"/>
        <v>537.5</v>
      </c>
      <c r="BZ391" s="9">
        <f t="shared" si="312"/>
        <v>537.5</v>
      </c>
      <c r="CA391" s="9">
        <f t="shared" si="312"/>
        <v>537.5</v>
      </c>
      <c r="CB391" s="9">
        <f t="shared" si="312"/>
        <v>537.5</v>
      </c>
      <c r="CC391" s="9">
        <f t="shared" si="312"/>
        <v>537.5</v>
      </c>
      <c r="CD391" s="9">
        <f t="shared" si="312"/>
        <v>537.5</v>
      </c>
      <c r="CE391" s="9">
        <f t="shared" si="312"/>
        <v>537.5</v>
      </c>
      <c r="CF391" s="9">
        <f t="shared" si="312"/>
        <v>537.5</v>
      </c>
      <c r="CG391" s="9">
        <f t="shared" si="312"/>
        <v>537.5</v>
      </c>
      <c r="CH391" s="9">
        <f t="shared" si="312"/>
        <v>537.5</v>
      </c>
      <c r="CI391" s="9">
        <f t="shared" si="312"/>
        <v>537.5</v>
      </c>
      <c r="CJ391" s="9">
        <f t="shared" si="312"/>
        <v>537.5</v>
      </c>
      <c r="CK391" s="9">
        <f t="shared" si="312"/>
        <v>537.5</v>
      </c>
      <c r="CL391" s="9">
        <f t="shared" si="312"/>
        <v>537.5</v>
      </c>
      <c r="CM391" s="9">
        <f t="shared" si="312"/>
        <v>537.5</v>
      </c>
      <c r="CN391" s="9">
        <f t="shared" si="312"/>
        <v>537.5</v>
      </c>
      <c r="CO391" s="9">
        <f t="shared" si="312"/>
        <v>537.5</v>
      </c>
      <c r="CP391" s="9">
        <f t="shared" si="312"/>
        <v>537.5</v>
      </c>
      <c r="CQ391" s="9">
        <f t="shared" si="312"/>
        <v>537.5</v>
      </c>
      <c r="CR391" s="9">
        <f t="shared" si="312"/>
        <v>537.5</v>
      </c>
      <c r="CS391" s="9">
        <f t="shared" si="312"/>
        <v>537.5</v>
      </c>
      <c r="CT391" s="9">
        <f t="shared" si="312"/>
        <v>537.5</v>
      </c>
      <c r="CU391" s="9">
        <f t="shared" si="312"/>
        <v>537.5</v>
      </c>
      <c r="CV391" s="9">
        <f t="shared" si="312"/>
        <v>537.5</v>
      </c>
      <c r="CW391" s="9">
        <f t="shared" si="312"/>
        <v>537.5</v>
      </c>
      <c r="CX391" s="9">
        <f t="shared" si="312"/>
        <v>537.5</v>
      </c>
      <c r="CY391" s="9">
        <f t="shared" si="312"/>
        <v>537.5</v>
      </c>
      <c r="CZ391" s="9">
        <f t="shared" si="312"/>
        <v>537.5</v>
      </c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6">
        <v>45626.0</v>
      </c>
      <c r="BX392" s="9">
        <f t="shared" ref="BX392:DA392" si="313">+$BX$53*$U$59*$X$59</f>
        <v>470.3125</v>
      </c>
      <c r="BY392" s="9">
        <f t="shared" si="313"/>
        <v>470.3125</v>
      </c>
      <c r="BZ392" s="9">
        <f t="shared" si="313"/>
        <v>470.3125</v>
      </c>
      <c r="CA392" s="9">
        <f t="shared" si="313"/>
        <v>470.3125</v>
      </c>
      <c r="CB392" s="9">
        <f t="shared" si="313"/>
        <v>470.3125</v>
      </c>
      <c r="CC392" s="9">
        <f t="shared" si="313"/>
        <v>470.3125</v>
      </c>
      <c r="CD392" s="9">
        <f t="shared" si="313"/>
        <v>470.3125</v>
      </c>
      <c r="CE392" s="9">
        <f t="shared" si="313"/>
        <v>470.3125</v>
      </c>
      <c r="CF392" s="9">
        <f t="shared" si="313"/>
        <v>470.3125</v>
      </c>
      <c r="CG392" s="9">
        <f t="shared" si="313"/>
        <v>470.3125</v>
      </c>
      <c r="CH392" s="9">
        <f t="shared" si="313"/>
        <v>470.3125</v>
      </c>
      <c r="CI392" s="9">
        <f t="shared" si="313"/>
        <v>470.3125</v>
      </c>
      <c r="CJ392" s="9">
        <f t="shared" si="313"/>
        <v>470.3125</v>
      </c>
      <c r="CK392" s="9">
        <f t="shared" si="313"/>
        <v>470.3125</v>
      </c>
      <c r="CL392" s="9">
        <f t="shared" si="313"/>
        <v>470.3125</v>
      </c>
      <c r="CM392" s="9">
        <f t="shared" si="313"/>
        <v>470.3125</v>
      </c>
      <c r="CN392" s="9">
        <f t="shared" si="313"/>
        <v>470.3125</v>
      </c>
      <c r="CO392" s="9">
        <f t="shared" si="313"/>
        <v>470.3125</v>
      </c>
      <c r="CP392" s="9">
        <f t="shared" si="313"/>
        <v>470.3125</v>
      </c>
      <c r="CQ392" s="9">
        <f t="shared" si="313"/>
        <v>470.3125</v>
      </c>
      <c r="CR392" s="9">
        <f t="shared" si="313"/>
        <v>470.3125</v>
      </c>
      <c r="CS392" s="9">
        <f t="shared" si="313"/>
        <v>470.3125</v>
      </c>
      <c r="CT392" s="9">
        <f t="shared" si="313"/>
        <v>470.3125</v>
      </c>
      <c r="CU392" s="9">
        <f t="shared" si="313"/>
        <v>470.3125</v>
      </c>
      <c r="CV392" s="9">
        <f t="shared" si="313"/>
        <v>470.3125</v>
      </c>
      <c r="CW392" s="9">
        <f t="shared" si="313"/>
        <v>470.3125</v>
      </c>
      <c r="CX392" s="9">
        <f t="shared" si="313"/>
        <v>470.3125</v>
      </c>
      <c r="CY392" s="9">
        <f t="shared" si="313"/>
        <v>470.3125</v>
      </c>
      <c r="CZ392" s="9">
        <f t="shared" si="313"/>
        <v>470.3125</v>
      </c>
      <c r="DA392" s="9">
        <f t="shared" si="313"/>
        <v>470.3125</v>
      </c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6">
        <v>45657.0</v>
      </c>
      <c r="BY393" s="9">
        <f t="shared" ref="BY393:DB393" si="314">+$BY$53*$U$59*$X$59</f>
        <v>470.3125</v>
      </c>
      <c r="BZ393" s="9">
        <f t="shared" si="314"/>
        <v>470.3125</v>
      </c>
      <c r="CA393" s="9">
        <f t="shared" si="314"/>
        <v>470.3125</v>
      </c>
      <c r="CB393" s="9">
        <f t="shared" si="314"/>
        <v>470.3125</v>
      </c>
      <c r="CC393" s="9">
        <f t="shared" si="314"/>
        <v>470.3125</v>
      </c>
      <c r="CD393" s="9">
        <f t="shared" si="314"/>
        <v>470.3125</v>
      </c>
      <c r="CE393" s="9">
        <f t="shared" si="314"/>
        <v>470.3125</v>
      </c>
      <c r="CF393" s="9">
        <f t="shared" si="314"/>
        <v>470.3125</v>
      </c>
      <c r="CG393" s="9">
        <f t="shared" si="314"/>
        <v>470.3125</v>
      </c>
      <c r="CH393" s="9">
        <f t="shared" si="314"/>
        <v>470.3125</v>
      </c>
      <c r="CI393" s="9">
        <f t="shared" si="314"/>
        <v>470.3125</v>
      </c>
      <c r="CJ393" s="9">
        <f t="shared" si="314"/>
        <v>470.3125</v>
      </c>
      <c r="CK393" s="9">
        <f t="shared" si="314"/>
        <v>470.3125</v>
      </c>
      <c r="CL393" s="9">
        <f t="shared" si="314"/>
        <v>470.3125</v>
      </c>
      <c r="CM393" s="9">
        <f t="shared" si="314"/>
        <v>470.3125</v>
      </c>
      <c r="CN393" s="9">
        <f t="shared" si="314"/>
        <v>470.3125</v>
      </c>
      <c r="CO393" s="9">
        <f t="shared" si="314"/>
        <v>470.3125</v>
      </c>
      <c r="CP393" s="9">
        <f t="shared" si="314"/>
        <v>470.3125</v>
      </c>
      <c r="CQ393" s="9">
        <f t="shared" si="314"/>
        <v>470.3125</v>
      </c>
      <c r="CR393" s="9">
        <f t="shared" si="314"/>
        <v>470.3125</v>
      </c>
      <c r="CS393" s="9">
        <f t="shared" si="314"/>
        <v>470.3125</v>
      </c>
      <c r="CT393" s="9">
        <f t="shared" si="314"/>
        <v>470.3125</v>
      </c>
      <c r="CU393" s="9">
        <f t="shared" si="314"/>
        <v>470.3125</v>
      </c>
      <c r="CV393" s="9">
        <f t="shared" si="314"/>
        <v>470.3125</v>
      </c>
      <c r="CW393" s="9">
        <f t="shared" si="314"/>
        <v>470.3125</v>
      </c>
      <c r="CX393" s="9">
        <f t="shared" si="314"/>
        <v>470.3125</v>
      </c>
      <c r="CY393" s="9">
        <f t="shared" si="314"/>
        <v>470.3125</v>
      </c>
      <c r="CZ393" s="9">
        <f t="shared" si="314"/>
        <v>470.3125</v>
      </c>
      <c r="DA393" s="9">
        <f t="shared" si="314"/>
        <v>470.3125</v>
      </c>
      <c r="DB393" s="9">
        <f t="shared" si="314"/>
        <v>470.3125</v>
      </c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6">
        <v>45688.0</v>
      </c>
      <c r="BZ394" s="9">
        <f t="shared" ref="BZ394:DC394" si="315">+$BZ$53*$U$59*$X$59</f>
        <v>895.8333333</v>
      </c>
      <c r="CA394" s="9">
        <f t="shared" si="315"/>
        <v>895.8333333</v>
      </c>
      <c r="CB394" s="9">
        <f t="shared" si="315"/>
        <v>895.8333333</v>
      </c>
      <c r="CC394" s="9">
        <f t="shared" si="315"/>
        <v>895.8333333</v>
      </c>
      <c r="CD394" s="9">
        <f t="shared" si="315"/>
        <v>895.8333333</v>
      </c>
      <c r="CE394" s="9">
        <f t="shared" si="315"/>
        <v>895.8333333</v>
      </c>
      <c r="CF394" s="9">
        <f t="shared" si="315"/>
        <v>895.8333333</v>
      </c>
      <c r="CG394" s="9">
        <f t="shared" si="315"/>
        <v>895.8333333</v>
      </c>
      <c r="CH394" s="9">
        <f t="shared" si="315"/>
        <v>895.8333333</v>
      </c>
      <c r="CI394" s="9">
        <f t="shared" si="315"/>
        <v>895.8333333</v>
      </c>
      <c r="CJ394" s="9">
        <f t="shared" si="315"/>
        <v>895.8333333</v>
      </c>
      <c r="CK394" s="9">
        <f t="shared" si="315"/>
        <v>895.8333333</v>
      </c>
      <c r="CL394" s="9">
        <f t="shared" si="315"/>
        <v>895.8333333</v>
      </c>
      <c r="CM394" s="9">
        <f t="shared" si="315"/>
        <v>895.8333333</v>
      </c>
      <c r="CN394" s="9">
        <f t="shared" si="315"/>
        <v>895.8333333</v>
      </c>
      <c r="CO394" s="9">
        <f t="shared" si="315"/>
        <v>895.8333333</v>
      </c>
      <c r="CP394" s="9">
        <f t="shared" si="315"/>
        <v>895.8333333</v>
      </c>
      <c r="CQ394" s="9">
        <f t="shared" si="315"/>
        <v>895.8333333</v>
      </c>
      <c r="CR394" s="9">
        <f t="shared" si="315"/>
        <v>895.8333333</v>
      </c>
      <c r="CS394" s="9">
        <f t="shared" si="315"/>
        <v>895.8333333</v>
      </c>
      <c r="CT394" s="9">
        <f t="shared" si="315"/>
        <v>895.8333333</v>
      </c>
      <c r="CU394" s="9">
        <f t="shared" si="315"/>
        <v>895.8333333</v>
      </c>
      <c r="CV394" s="9">
        <f t="shared" si="315"/>
        <v>895.8333333</v>
      </c>
      <c r="CW394" s="9">
        <f t="shared" si="315"/>
        <v>895.8333333</v>
      </c>
      <c r="CX394" s="9">
        <f t="shared" si="315"/>
        <v>895.8333333</v>
      </c>
      <c r="CY394" s="9">
        <f t="shared" si="315"/>
        <v>895.8333333</v>
      </c>
      <c r="CZ394" s="9">
        <f t="shared" si="315"/>
        <v>895.8333333</v>
      </c>
      <c r="DA394" s="9">
        <f t="shared" si="315"/>
        <v>895.8333333</v>
      </c>
      <c r="DB394" s="9">
        <f t="shared" si="315"/>
        <v>895.8333333</v>
      </c>
      <c r="DC394" s="9">
        <f t="shared" si="315"/>
        <v>895.8333333</v>
      </c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6">
        <v>45716.0</v>
      </c>
      <c r="CA395" s="9">
        <f t="shared" ref="CA395:DD395" si="316">+$CA$53*$U$59*$X$59</f>
        <v>358.3333333</v>
      </c>
      <c r="CB395" s="9">
        <f t="shared" si="316"/>
        <v>358.3333333</v>
      </c>
      <c r="CC395" s="9">
        <f t="shared" si="316"/>
        <v>358.3333333</v>
      </c>
      <c r="CD395" s="9">
        <f t="shared" si="316"/>
        <v>358.3333333</v>
      </c>
      <c r="CE395" s="9">
        <f t="shared" si="316"/>
        <v>358.3333333</v>
      </c>
      <c r="CF395" s="9">
        <f t="shared" si="316"/>
        <v>358.3333333</v>
      </c>
      <c r="CG395" s="9">
        <f t="shared" si="316"/>
        <v>358.3333333</v>
      </c>
      <c r="CH395" s="9">
        <f t="shared" si="316"/>
        <v>358.3333333</v>
      </c>
      <c r="CI395" s="9">
        <f t="shared" si="316"/>
        <v>358.3333333</v>
      </c>
      <c r="CJ395" s="9">
        <f t="shared" si="316"/>
        <v>358.3333333</v>
      </c>
      <c r="CK395" s="9">
        <f t="shared" si="316"/>
        <v>358.3333333</v>
      </c>
      <c r="CL395" s="9">
        <f t="shared" si="316"/>
        <v>358.3333333</v>
      </c>
      <c r="CM395" s="9">
        <f t="shared" si="316"/>
        <v>358.3333333</v>
      </c>
      <c r="CN395" s="9">
        <f t="shared" si="316"/>
        <v>358.3333333</v>
      </c>
      <c r="CO395" s="9">
        <f t="shared" si="316"/>
        <v>358.3333333</v>
      </c>
      <c r="CP395" s="9">
        <f t="shared" si="316"/>
        <v>358.3333333</v>
      </c>
      <c r="CQ395" s="9">
        <f t="shared" si="316"/>
        <v>358.3333333</v>
      </c>
      <c r="CR395" s="9">
        <f t="shared" si="316"/>
        <v>358.3333333</v>
      </c>
      <c r="CS395" s="9">
        <f t="shared" si="316"/>
        <v>358.3333333</v>
      </c>
      <c r="CT395" s="9">
        <f t="shared" si="316"/>
        <v>358.3333333</v>
      </c>
      <c r="CU395" s="9">
        <f t="shared" si="316"/>
        <v>358.3333333</v>
      </c>
      <c r="CV395" s="9">
        <f t="shared" si="316"/>
        <v>358.3333333</v>
      </c>
      <c r="CW395" s="9">
        <f t="shared" si="316"/>
        <v>358.3333333</v>
      </c>
      <c r="CX395" s="9">
        <f t="shared" si="316"/>
        <v>358.3333333</v>
      </c>
      <c r="CY395" s="9">
        <f t="shared" si="316"/>
        <v>358.3333333</v>
      </c>
      <c r="CZ395" s="9">
        <f t="shared" si="316"/>
        <v>358.3333333</v>
      </c>
      <c r="DA395" s="9">
        <f t="shared" si="316"/>
        <v>358.3333333</v>
      </c>
      <c r="DB395" s="9">
        <f t="shared" si="316"/>
        <v>358.3333333</v>
      </c>
      <c r="DC395" s="9">
        <f t="shared" si="316"/>
        <v>358.3333333</v>
      </c>
      <c r="DD395" s="9">
        <f t="shared" si="316"/>
        <v>358.3333333</v>
      </c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6">
        <v>45747.0</v>
      </c>
      <c r="CB396" s="9">
        <f t="shared" ref="CB396:DE396" si="317">+$CB$53*$U$59*$X$59</f>
        <v>358.3333333</v>
      </c>
      <c r="CC396" s="9">
        <f t="shared" si="317"/>
        <v>358.3333333</v>
      </c>
      <c r="CD396" s="9">
        <f t="shared" si="317"/>
        <v>358.3333333</v>
      </c>
      <c r="CE396" s="9">
        <f t="shared" si="317"/>
        <v>358.3333333</v>
      </c>
      <c r="CF396" s="9">
        <f t="shared" si="317"/>
        <v>358.3333333</v>
      </c>
      <c r="CG396" s="9">
        <f t="shared" si="317"/>
        <v>358.3333333</v>
      </c>
      <c r="CH396" s="9">
        <f t="shared" si="317"/>
        <v>358.3333333</v>
      </c>
      <c r="CI396" s="9">
        <f t="shared" si="317"/>
        <v>358.3333333</v>
      </c>
      <c r="CJ396" s="9">
        <f t="shared" si="317"/>
        <v>358.3333333</v>
      </c>
      <c r="CK396" s="9">
        <f t="shared" si="317"/>
        <v>358.3333333</v>
      </c>
      <c r="CL396" s="9">
        <f t="shared" si="317"/>
        <v>358.3333333</v>
      </c>
      <c r="CM396" s="9">
        <f t="shared" si="317"/>
        <v>358.3333333</v>
      </c>
      <c r="CN396" s="9">
        <f t="shared" si="317"/>
        <v>358.3333333</v>
      </c>
      <c r="CO396" s="9">
        <f t="shared" si="317"/>
        <v>358.3333333</v>
      </c>
      <c r="CP396" s="9">
        <f t="shared" si="317"/>
        <v>358.3333333</v>
      </c>
      <c r="CQ396" s="9">
        <f t="shared" si="317"/>
        <v>358.3333333</v>
      </c>
      <c r="CR396" s="9">
        <f t="shared" si="317"/>
        <v>358.3333333</v>
      </c>
      <c r="CS396" s="9">
        <f t="shared" si="317"/>
        <v>358.3333333</v>
      </c>
      <c r="CT396" s="9">
        <f t="shared" si="317"/>
        <v>358.3333333</v>
      </c>
      <c r="CU396" s="9">
        <f t="shared" si="317"/>
        <v>358.3333333</v>
      </c>
      <c r="CV396" s="9">
        <f t="shared" si="317"/>
        <v>358.3333333</v>
      </c>
      <c r="CW396" s="9">
        <f t="shared" si="317"/>
        <v>358.3333333</v>
      </c>
      <c r="CX396" s="9">
        <f t="shared" si="317"/>
        <v>358.3333333</v>
      </c>
      <c r="CY396" s="9">
        <f t="shared" si="317"/>
        <v>358.3333333</v>
      </c>
      <c r="CZ396" s="9">
        <f t="shared" si="317"/>
        <v>358.3333333</v>
      </c>
      <c r="DA396" s="9">
        <f t="shared" si="317"/>
        <v>358.3333333</v>
      </c>
      <c r="DB396" s="9">
        <f t="shared" si="317"/>
        <v>358.3333333</v>
      </c>
      <c r="DC396" s="9">
        <f t="shared" si="317"/>
        <v>358.3333333</v>
      </c>
      <c r="DD396" s="9">
        <f t="shared" si="317"/>
        <v>358.3333333</v>
      </c>
      <c r="DE396" s="9">
        <f t="shared" si="317"/>
        <v>358.3333333</v>
      </c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6">
        <v>45777.0</v>
      </c>
      <c r="CC397" s="9">
        <f t="shared" ref="CC397:DF397" si="318">+$CC$53*$U$59*$X$59</f>
        <v>358.3333333</v>
      </c>
      <c r="CD397" s="9">
        <f t="shared" si="318"/>
        <v>358.3333333</v>
      </c>
      <c r="CE397" s="9">
        <f t="shared" si="318"/>
        <v>358.3333333</v>
      </c>
      <c r="CF397" s="9">
        <f t="shared" si="318"/>
        <v>358.3333333</v>
      </c>
      <c r="CG397" s="9">
        <f t="shared" si="318"/>
        <v>358.3333333</v>
      </c>
      <c r="CH397" s="9">
        <f t="shared" si="318"/>
        <v>358.3333333</v>
      </c>
      <c r="CI397" s="9">
        <f t="shared" si="318"/>
        <v>358.3333333</v>
      </c>
      <c r="CJ397" s="9">
        <f t="shared" si="318"/>
        <v>358.3333333</v>
      </c>
      <c r="CK397" s="9">
        <f t="shared" si="318"/>
        <v>358.3333333</v>
      </c>
      <c r="CL397" s="9">
        <f t="shared" si="318"/>
        <v>358.3333333</v>
      </c>
      <c r="CM397" s="9">
        <f t="shared" si="318"/>
        <v>358.3333333</v>
      </c>
      <c r="CN397" s="9">
        <f t="shared" si="318"/>
        <v>358.3333333</v>
      </c>
      <c r="CO397" s="9">
        <f t="shared" si="318"/>
        <v>358.3333333</v>
      </c>
      <c r="CP397" s="9">
        <f t="shared" si="318"/>
        <v>358.3333333</v>
      </c>
      <c r="CQ397" s="9">
        <f t="shared" si="318"/>
        <v>358.3333333</v>
      </c>
      <c r="CR397" s="9">
        <f t="shared" si="318"/>
        <v>358.3333333</v>
      </c>
      <c r="CS397" s="9">
        <f t="shared" si="318"/>
        <v>358.3333333</v>
      </c>
      <c r="CT397" s="9">
        <f t="shared" si="318"/>
        <v>358.3333333</v>
      </c>
      <c r="CU397" s="9">
        <f t="shared" si="318"/>
        <v>358.3333333</v>
      </c>
      <c r="CV397" s="9">
        <f t="shared" si="318"/>
        <v>358.3333333</v>
      </c>
      <c r="CW397" s="9">
        <f t="shared" si="318"/>
        <v>358.3333333</v>
      </c>
      <c r="CX397" s="9">
        <f t="shared" si="318"/>
        <v>358.3333333</v>
      </c>
      <c r="CY397" s="9">
        <f t="shared" si="318"/>
        <v>358.3333333</v>
      </c>
      <c r="CZ397" s="9">
        <f t="shared" si="318"/>
        <v>358.3333333</v>
      </c>
      <c r="DA397" s="9">
        <f t="shared" si="318"/>
        <v>358.3333333</v>
      </c>
      <c r="DB397" s="9">
        <f t="shared" si="318"/>
        <v>358.3333333</v>
      </c>
      <c r="DC397" s="9">
        <f t="shared" si="318"/>
        <v>358.3333333</v>
      </c>
      <c r="DD397" s="9">
        <f t="shared" si="318"/>
        <v>358.3333333</v>
      </c>
      <c r="DE397" s="9">
        <f t="shared" si="318"/>
        <v>358.3333333</v>
      </c>
      <c r="DF397" s="9">
        <f t="shared" si="318"/>
        <v>358.3333333</v>
      </c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6">
        <v>45808.0</v>
      </c>
      <c r="CD398" s="9">
        <f t="shared" ref="CD398:DG398" si="319">+$CD$53*$U$59*$X$59</f>
        <v>358.3333333</v>
      </c>
      <c r="CE398" s="9">
        <f t="shared" si="319"/>
        <v>358.3333333</v>
      </c>
      <c r="CF398" s="9">
        <f t="shared" si="319"/>
        <v>358.3333333</v>
      </c>
      <c r="CG398" s="9">
        <f t="shared" si="319"/>
        <v>358.3333333</v>
      </c>
      <c r="CH398" s="9">
        <f t="shared" si="319"/>
        <v>358.3333333</v>
      </c>
      <c r="CI398" s="9">
        <f t="shared" si="319"/>
        <v>358.3333333</v>
      </c>
      <c r="CJ398" s="9">
        <f t="shared" si="319"/>
        <v>358.3333333</v>
      </c>
      <c r="CK398" s="9">
        <f t="shared" si="319"/>
        <v>358.3333333</v>
      </c>
      <c r="CL398" s="9">
        <f t="shared" si="319"/>
        <v>358.3333333</v>
      </c>
      <c r="CM398" s="9">
        <f t="shared" si="319"/>
        <v>358.3333333</v>
      </c>
      <c r="CN398" s="9">
        <f t="shared" si="319"/>
        <v>358.3333333</v>
      </c>
      <c r="CO398" s="9">
        <f t="shared" si="319"/>
        <v>358.3333333</v>
      </c>
      <c r="CP398" s="9">
        <f t="shared" si="319"/>
        <v>358.3333333</v>
      </c>
      <c r="CQ398" s="9">
        <f t="shared" si="319"/>
        <v>358.3333333</v>
      </c>
      <c r="CR398" s="9">
        <f t="shared" si="319"/>
        <v>358.3333333</v>
      </c>
      <c r="CS398" s="9">
        <f t="shared" si="319"/>
        <v>358.3333333</v>
      </c>
      <c r="CT398" s="9">
        <f t="shared" si="319"/>
        <v>358.3333333</v>
      </c>
      <c r="CU398" s="9">
        <f t="shared" si="319"/>
        <v>358.3333333</v>
      </c>
      <c r="CV398" s="9">
        <f t="shared" si="319"/>
        <v>358.3333333</v>
      </c>
      <c r="CW398" s="9">
        <f t="shared" si="319"/>
        <v>358.3333333</v>
      </c>
      <c r="CX398" s="9">
        <f t="shared" si="319"/>
        <v>358.3333333</v>
      </c>
      <c r="CY398" s="9">
        <f t="shared" si="319"/>
        <v>358.3333333</v>
      </c>
      <c r="CZ398" s="9">
        <f t="shared" si="319"/>
        <v>358.3333333</v>
      </c>
      <c r="DA398" s="9">
        <f t="shared" si="319"/>
        <v>358.3333333</v>
      </c>
      <c r="DB398" s="9">
        <f t="shared" si="319"/>
        <v>358.3333333</v>
      </c>
      <c r="DC398" s="9">
        <f t="shared" si="319"/>
        <v>358.3333333</v>
      </c>
      <c r="DD398" s="9">
        <f t="shared" si="319"/>
        <v>358.3333333</v>
      </c>
      <c r="DE398" s="9">
        <f t="shared" si="319"/>
        <v>358.3333333</v>
      </c>
      <c r="DF398" s="9">
        <f t="shared" si="319"/>
        <v>358.3333333</v>
      </c>
      <c r="DG398" s="9">
        <f t="shared" si="319"/>
        <v>358.3333333</v>
      </c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6">
        <v>45838.0</v>
      </c>
      <c r="CE399" s="9">
        <f t="shared" ref="CE399:DH399" si="320">+$CE$53*$U$59*$X$59</f>
        <v>358.3333333</v>
      </c>
      <c r="CF399" s="9">
        <f t="shared" si="320"/>
        <v>358.3333333</v>
      </c>
      <c r="CG399" s="9">
        <f t="shared" si="320"/>
        <v>358.3333333</v>
      </c>
      <c r="CH399" s="9">
        <f t="shared" si="320"/>
        <v>358.3333333</v>
      </c>
      <c r="CI399" s="9">
        <f t="shared" si="320"/>
        <v>358.3333333</v>
      </c>
      <c r="CJ399" s="9">
        <f t="shared" si="320"/>
        <v>358.3333333</v>
      </c>
      <c r="CK399" s="9">
        <f t="shared" si="320"/>
        <v>358.3333333</v>
      </c>
      <c r="CL399" s="9">
        <f t="shared" si="320"/>
        <v>358.3333333</v>
      </c>
      <c r="CM399" s="9">
        <f t="shared" si="320"/>
        <v>358.3333333</v>
      </c>
      <c r="CN399" s="9">
        <f t="shared" si="320"/>
        <v>358.3333333</v>
      </c>
      <c r="CO399" s="9">
        <f t="shared" si="320"/>
        <v>358.3333333</v>
      </c>
      <c r="CP399" s="9">
        <f t="shared" si="320"/>
        <v>358.3333333</v>
      </c>
      <c r="CQ399" s="9">
        <f t="shared" si="320"/>
        <v>358.3333333</v>
      </c>
      <c r="CR399" s="9">
        <f t="shared" si="320"/>
        <v>358.3333333</v>
      </c>
      <c r="CS399" s="9">
        <f t="shared" si="320"/>
        <v>358.3333333</v>
      </c>
      <c r="CT399" s="9">
        <f t="shared" si="320"/>
        <v>358.3333333</v>
      </c>
      <c r="CU399" s="9">
        <f t="shared" si="320"/>
        <v>358.3333333</v>
      </c>
      <c r="CV399" s="9">
        <f t="shared" si="320"/>
        <v>358.3333333</v>
      </c>
      <c r="CW399" s="9">
        <f t="shared" si="320"/>
        <v>358.3333333</v>
      </c>
      <c r="CX399" s="9">
        <f t="shared" si="320"/>
        <v>358.3333333</v>
      </c>
      <c r="CY399" s="9">
        <f t="shared" si="320"/>
        <v>358.3333333</v>
      </c>
      <c r="CZ399" s="9">
        <f t="shared" si="320"/>
        <v>358.3333333</v>
      </c>
      <c r="DA399" s="9">
        <f t="shared" si="320"/>
        <v>358.3333333</v>
      </c>
      <c r="DB399" s="9">
        <f t="shared" si="320"/>
        <v>358.3333333</v>
      </c>
      <c r="DC399" s="9">
        <f t="shared" si="320"/>
        <v>358.3333333</v>
      </c>
      <c r="DD399" s="9">
        <f t="shared" si="320"/>
        <v>358.3333333</v>
      </c>
      <c r="DE399" s="9">
        <f t="shared" si="320"/>
        <v>358.3333333</v>
      </c>
      <c r="DF399" s="9">
        <f t="shared" si="320"/>
        <v>358.3333333</v>
      </c>
      <c r="DG399" s="9">
        <f t="shared" si="320"/>
        <v>358.3333333</v>
      </c>
      <c r="DH399" s="9">
        <f t="shared" si="320"/>
        <v>358.3333333</v>
      </c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6">
        <v>45869.0</v>
      </c>
      <c r="CF400" s="9">
        <f t="shared" ref="CF400:DI400" si="321">+$CF$53*$U$59*$X$59</f>
        <v>358.3333333</v>
      </c>
      <c r="CG400" s="9">
        <f t="shared" si="321"/>
        <v>358.3333333</v>
      </c>
      <c r="CH400" s="9">
        <f t="shared" si="321"/>
        <v>358.3333333</v>
      </c>
      <c r="CI400" s="9">
        <f t="shared" si="321"/>
        <v>358.3333333</v>
      </c>
      <c r="CJ400" s="9">
        <f t="shared" si="321"/>
        <v>358.3333333</v>
      </c>
      <c r="CK400" s="9">
        <f t="shared" si="321"/>
        <v>358.3333333</v>
      </c>
      <c r="CL400" s="9">
        <f t="shared" si="321"/>
        <v>358.3333333</v>
      </c>
      <c r="CM400" s="9">
        <f t="shared" si="321"/>
        <v>358.3333333</v>
      </c>
      <c r="CN400" s="9">
        <f t="shared" si="321"/>
        <v>358.3333333</v>
      </c>
      <c r="CO400" s="9">
        <f t="shared" si="321"/>
        <v>358.3333333</v>
      </c>
      <c r="CP400" s="9">
        <f t="shared" si="321"/>
        <v>358.3333333</v>
      </c>
      <c r="CQ400" s="9">
        <f t="shared" si="321"/>
        <v>358.3333333</v>
      </c>
      <c r="CR400" s="9">
        <f t="shared" si="321"/>
        <v>358.3333333</v>
      </c>
      <c r="CS400" s="9">
        <f t="shared" si="321"/>
        <v>358.3333333</v>
      </c>
      <c r="CT400" s="9">
        <f t="shared" si="321"/>
        <v>358.3333333</v>
      </c>
      <c r="CU400" s="9">
        <f t="shared" si="321"/>
        <v>358.3333333</v>
      </c>
      <c r="CV400" s="9">
        <f t="shared" si="321"/>
        <v>358.3333333</v>
      </c>
      <c r="CW400" s="9">
        <f t="shared" si="321"/>
        <v>358.3333333</v>
      </c>
      <c r="CX400" s="9">
        <f t="shared" si="321"/>
        <v>358.3333333</v>
      </c>
      <c r="CY400" s="9">
        <f t="shared" si="321"/>
        <v>358.3333333</v>
      </c>
      <c r="CZ400" s="9">
        <f t="shared" si="321"/>
        <v>358.3333333</v>
      </c>
      <c r="DA400" s="9">
        <f t="shared" si="321"/>
        <v>358.3333333</v>
      </c>
      <c r="DB400" s="9">
        <f t="shared" si="321"/>
        <v>358.3333333</v>
      </c>
      <c r="DC400" s="9">
        <f t="shared" si="321"/>
        <v>358.3333333</v>
      </c>
      <c r="DD400" s="9">
        <f t="shared" si="321"/>
        <v>358.3333333</v>
      </c>
      <c r="DE400" s="9">
        <f t="shared" si="321"/>
        <v>358.3333333</v>
      </c>
      <c r="DF400" s="9">
        <f t="shared" si="321"/>
        <v>358.3333333</v>
      </c>
      <c r="DG400" s="9">
        <f t="shared" si="321"/>
        <v>358.3333333</v>
      </c>
      <c r="DH400" s="9">
        <f t="shared" si="321"/>
        <v>358.3333333</v>
      </c>
      <c r="DI400" s="9">
        <f t="shared" si="321"/>
        <v>358.3333333</v>
      </c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6">
        <v>45900.0</v>
      </c>
      <c r="CG401" s="9">
        <f t="shared" ref="CG401:DI401" si="322">+$CG$53*$U$59*$X$59</f>
        <v>358.3333333</v>
      </c>
      <c r="CH401" s="9">
        <f t="shared" si="322"/>
        <v>358.3333333</v>
      </c>
      <c r="CI401" s="9">
        <f t="shared" si="322"/>
        <v>358.3333333</v>
      </c>
      <c r="CJ401" s="9">
        <f t="shared" si="322"/>
        <v>358.3333333</v>
      </c>
      <c r="CK401" s="9">
        <f t="shared" si="322"/>
        <v>358.3333333</v>
      </c>
      <c r="CL401" s="9">
        <f t="shared" si="322"/>
        <v>358.3333333</v>
      </c>
      <c r="CM401" s="9">
        <f t="shared" si="322"/>
        <v>358.3333333</v>
      </c>
      <c r="CN401" s="9">
        <f t="shared" si="322"/>
        <v>358.3333333</v>
      </c>
      <c r="CO401" s="9">
        <f t="shared" si="322"/>
        <v>358.3333333</v>
      </c>
      <c r="CP401" s="9">
        <f t="shared" si="322"/>
        <v>358.3333333</v>
      </c>
      <c r="CQ401" s="9">
        <f t="shared" si="322"/>
        <v>358.3333333</v>
      </c>
      <c r="CR401" s="9">
        <f t="shared" si="322"/>
        <v>358.3333333</v>
      </c>
      <c r="CS401" s="9">
        <f t="shared" si="322"/>
        <v>358.3333333</v>
      </c>
      <c r="CT401" s="9">
        <f t="shared" si="322"/>
        <v>358.3333333</v>
      </c>
      <c r="CU401" s="9">
        <f t="shared" si="322"/>
        <v>358.3333333</v>
      </c>
      <c r="CV401" s="9">
        <f t="shared" si="322"/>
        <v>358.3333333</v>
      </c>
      <c r="CW401" s="9">
        <f t="shared" si="322"/>
        <v>358.3333333</v>
      </c>
      <c r="CX401" s="9">
        <f t="shared" si="322"/>
        <v>358.3333333</v>
      </c>
      <c r="CY401" s="9">
        <f t="shared" si="322"/>
        <v>358.3333333</v>
      </c>
      <c r="CZ401" s="9">
        <f t="shared" si="322"/>
        <v>358.3333333</v>
      </c>
      <c r="DA401" s="9">
        <f t="shared" si="322"/>
        <v>358.3333333</v>
      </c>
      <c r="DB401" s="9">
        <f t="shared" si="322"/>
        <v>358.3333333</v>
      </c>
      <c r="DC401" s="9">
        <f t="shared" si="322"/>
        <v>358.3333333</v>
      </c>
      <c r="DD401" s="9">
        <f t="shared" si="322"/>
        <v>358.3333333</v>
      </c>
      <c r="DE401" s="9">
        <f t="shared" si="322"/>
        <v>358.3333333</v>
      </c>
      <c r="DF401" s="9">
        <f t="shared" si="322"/>
        <v>358.3333333</v>
      </c>
      <c r="DG401" s="9">
        <f t="shared" si="322"/>
        <v>358.3333333</v>
      </c>
      <c r="DH401" s="9">
        <f t="shared" si="322"/>
        <v>358.3333333</v>
      </c>
      <c r="DI401" s="9">
        <f t="shared" si="322"/>
        <v>358.3333333</v>
      </c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6">
        <v>45930.0</v>
      </c>
      <c r="CH402" s="9">
        <f t="shared" ref="CH402:DI402" si="323">+$CH$53*$U$59*$X$59</f>
        <v>358.3333333</v>
      </c>
      <c r="CI402" s="9">
        <f t="shared" si="323"/>
        <v>358.3333333</v>
      </c>
      <c r="CJ402" s="9">
        <f t="shared" si="323"/>
        <v>358.3333333</v>
      </c>
      <c r="CK402" s="9">
        <f t="shared" si="323"/>
        <v>358.3333333</v>
      </c>
      <c r="CL402" s="9">
        <f t="shared" si="323"/>
        <v>358.3333333</v>
      </c>
      <c r="CM402" s="9">
        <f t="shared" si="323"/>
        <v>358.3333333</v>
      </c>
      <c r="CN402" s="9">
        <f t="shared" si="323"/>
        <v>358.3333333</v>
      </c>
      <c r="CO402" s="9">
        <f t="shared" si="323"/>
        <v>358.3333333</v>
      </c>
      <c r="CP402" s="9">
        <f t="shared" si="323"/>
        <v>358.3333333</v>
      </c>
      <c r="CQ402" s="9">
        <f t="shared" si="323"/>
        <v>358.3333333</v>
      </c>
      <c r="CR402" s="9">
        <f t="shared" si="323"/>
        <v>358.3333333</v>
      </c>
      <c r="CS402" s="9">
        <f t="shared" si="323"/>
        <v>358.3333333</v>
      </c>
      <c r="CT402" s="9">
        <f t="shared" si="323"/>
        <v>358.3333333</v>
      </c>
      <c r="CU402" s="9">
        <f t="shared" si="323"/>
        <v>358.3333333</v>
      </c>
      <c r="CV402" s="9">
        <f t="shared" si="323"/>
        <v>358.3333333</v>
      </c>
      <c r="CW402" s="9">
        <f t="shared" si="323"/>
        <v>358.3333333</v>
      </c>
      <c r="CX402" s="9">
        <f t="shared" si="323"/>
        <v>358.3333333</v>
      </c>
      <c r="CY402" s="9">
        <f t="shared" si="323"/>
        <v>358.3333333</v>
      </c>
      <c r="CZ402" s="9">
        <f t="shared" si="323"/>
        <v>358.3333333</v>
      </c>
      <c r="DA402" s="9">
        <f t="shared" si="323"/>
        <v>358.3333333</v>
      </c>
      <c r="DB402" s="9">
        <f t="shared" si="323"/>
        <v>358.3333333</v>
      </c>
      <c r="DC402" s="9">
        <f t="shared" si="323"/>
        <v>358.3333333</v>
      </c>
      <c r="DD402" s="9">
        <f t="shared" si="323"/>
        <v>358.3333333</v>
      </c>
      <c r="DE402" s="9">
        <f t="shared" si="323"/>
        <v>358.3333333</v>
      </c>
      <c r="DF402" s="9">
        <f t="shared" si="323"/>
        <v>358.3333333</v>
      </c>
      <c r="DG402" s="9">
        <f t="shared" si="323"/>
        <v>358.3333333</v>
      </c>
      <c r="DH402" s="9">
        <f t="shared" si="323"/>
        <v>358.3333333</v>
      </c>
      <c r="DI402" s="9">
        <f t="shared" si="323"/>
        <v>358.3333333</v>
      </c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6">
        <v>45961.0</v>
      </c>
      <c r="CI403" s="9">
        <f t="shared" ref="CI403:DI403" si="324">+$CI$53*$U$59*$X$59</f>
        <v>537.5</v>
      </c>
      <c r="CJ403" s="9">
        <f t="shared" si="324"/>
        <v>537.5</v>
      </c>
      <c r="CK403" s="9">
        <f t="shared" si="324"/>
        <v>537.5</v>
      </c>
      <c r="CL403" s="9">
        <f t="shared" si="324"/>
        <v>537.5</v>
      </c>
      <c r="CM403" s="9">
        <f t="shared" si="324"/>
        <v>537.5</v>
      </c>
      <c r="CN403" s="9">
        <f t="shared" si="324"/>
        <v>537.5</v>
      </c>
      <c r="CO403" s="9">
        <f t="shared" si="324"/>
        <v>537.5</v>
      </c>
      <c r="CP403" s="9">
        <f t="shared" si="324"/>
        <v>537.5</v>
      </c>
      <c r="CQ403" s="9">
        <f t="shared" si="324"/>
        <v>537.5</v>
      </c>
      <c r="CR403" s="9">
        <f t="shared" si="324"/>
        <v>537.5</v>
      </c>
      <c r="CS403" s="9">
        <f t="shared" si="324"/>
        <v>537.5</v>
      </c>
      <c r="CT403" s="9">
        <f t="shared" si="324"/>
        <v>537.5</v>
      </c>
      <c r="CU403" s="9">
        <f t="shared" si="324"/>
        <v>537.5</v>
      </c>
      <c r="CV403" s="9">
        <f t="shared" si="324"/>
        <v>537.5</v>
      </c>
      <c r="CW403" s="9">
        <f t="shared" si="324"/>
        <v>537.5</v>
      </c>
      <c r="CX403" s="9">
        <f t="shared" si="324"/>
        <v>537.5</v>
      </c>
      <c r="CY403" s="9">
        <f t="shared" si="324"/>
        <v>537.5</v>
      </c>
      <c r="CZ403" s="9">
        <f t="shared" si="324"/>
        <v>537.5</v>
      </c>
      <c r="DA403" s="9">
        <f t="shared" si="324"/>
        <v>537.5</v>
      </c>
      <c r="DB403" s="9">
        <f t="shared" si="324"/>
        <v>537.5</v>
      </c>
      <c r="DC403" s="9">
        <f t="shared" si="324"/>
        <v>537.5</v>
      </c>
      <c r="DD403" s="9">
        <f t="shared" si="324"/>
        <v>537.5</v>
      </c>
      <c r="DE403" s="9">
        <f t="shared" si="324"/>
        <v>537.5</v>
      </c>
      <c r="DF403" s="9">
        <f t="shared" si="324"/>
        <v>537.5</v>
      </c>
      <c r="DG403" s="9">
        <f t="shared" si="324"/>
        <v>537.5</v>
      </c>
      <c r="DH403" s="9">
        <f t="shared" si="324"/>
        <v>537.5</v>
      </c>
      <c r="DI403" s="9">
        <f t="shared" si="324"/>
        <v>537.5</v>
      </c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6">
        <v>45991.0</v>
      </c>
      <c r="CJ404" s="9">
        <f t="shared" ref="CJ404:DI404" si="325">+$CJ$53*$U$59*$X$59</f>
        <v>537.5</v>
      </c>
      <c r="CK404" s="9">
        <f t="shared" si="325"/>
        <v>537.5</v>
      </c>
      <c r="CL404" s="9">
        <f t="shared" si="325"/>
        <v>537.5</v>
      </c>
      <c r="CM404" s="9">
        <f t="shared" si="325"/>
        <v>537.5</v>
      </c>
      <c r="CN404" s="9">
        <f t="shared" si="325"/>
        <v>537.5</v>
      </c>
      <c r="CO404" s="9">
        <f t="shared" si="325"/>
        <v>537.5</v>
      </c>
      <c r="CP404" s="9">
        <f t="shared" si="325"/>
        <v>537.5</v>
      </c>
      <c r="CQ404" s="9">
        <f t="shared" si="325"/>
        <v>537.5</v>
      </c>
      <c r="CR404" s="9">
        <f t="shared" si="325"/>
        <v>537.5</v>
      </c>
      <c r="CS404" s="9">
        <f t="shared" si="325"/>
        <v>537.5</v>
      </c>
      <c r="CT404" s="9">
        <f t="shared" si="325"/>
        <v>537.5</v>
      </c>
      <c r="CU404" s="9">
        <f t="shared" si="325"/>
        <v>537.5</v>
      </c>
      <c r="CV404" s="9">
        <f t="shared" si="325"/>
        <v>537.5</v>
      </c>
      <c r="CW404" s="9">
        <f t="shared" si="325"/>
        <v>537.5</v>
      </c>
      <c r="CX404" s="9">
        <f t="shared" si="325"/>
        <v>537.5</v>
      </c>
      <c r="CY404" s="9">
        <f t="shared" si="325"/>
        <v>537.5</v>
      </c>
      <c r="CZ404" s="9">
        <f t="shared" si="325"/>
        <v>537.5</v>
      </c>
      <c r="DA404" s="9">
        <f t="shared" si="325"/>
        <v>537.5</v>
      </c>
      <c r="DB404" s="9">
        <f t="shared" si="325"/>
        <v>537.5</v>
      </c>
      <c r="DC404" s="9">
        <f t="shared" si="325"/>
        <v>537.5</v>
      </c>
      <c r="DD404" s="9">
        <f t="shared" si="325"/>
        <v>537.5</v>
      </c>
      <c r="DE404" s="9">
        <f t="shared" si="325"/>
        <v>537.5</v>
      </c>
      <c r="DF404" s="9">
        <f t="shared" si="325"/>
        <v>537.5</v>
      </c>
      <c r="DG404" s="9">
        <f t="shared" si="325"/>
        <v>537.5</v>
      </c>
      <c r="DH404" s="9">
        <f t="shared" si="325"/>
        <v>537.5</v>
      </c>
      <c r="DI404" s="9">
        <f t="shared" si="325"/>
        <v>537.5</v>
      </c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6">
        <v>46022.0</v>
      </c>
      <c r="CK405" s="9">
        <f t="shared" ref="CK405:DI405" si="326">+$CK$53*$U$59*$X$59</f>
        <v>537.5</v>
      </c>
      <c r="CL405" s="9">
        <f t="shared" si="326"/>
        <v>537.5</v>
      </c>
      <c r="CM405" s="9">
        <f t="shared" si="326"/>
        <v>537.5</v>
      </c>
      <c r="CN405" s="9">
        <f t="shared" si="326"/>
        <v>537.5</v>
      </c>
      <c r="CO405" s="9">
        <f t="shared" si="326"/>
        <v>537.5</v>
      </c>
      <c r="CP405" s="9">
        <f t="shared" si="326"/>
        <v>537.5</v>
      </c>
      <c r="CQ405" s="9">
        <f t="shared" si="326"/>
        <v>537.5</v>
      </c>
      <c r="CR405" s="9">
        <f t="shared" si="326"/>
        <v>537.5</v>
      </c>
      <c r="CS405" s="9">
        <f t="shared" si="326"/>
        <v>537.5</v>
      </c>
      <c r="CT405" s="9">
        <f t="shared" si="326"/>
        <v>537.5</v>
      </c>
      <c r="CU405" s="9">
        <f t="shared" si="326"/>
        <v>537.5</v>
      </c>
      <c r="CV405" s="9">
        <f t="shared" si="326"/>
        <v>537.5</v>
      </c>
      <c r="CW405" s="9">
        <f t="shared" si="326"/>
        <v>537.5</v>
      </c>
      <c r="CX405" s="9">
        <f t="shared" si="326"/>
        <v>537.5</v>
      </c>
      <c r="CY405" s="9">
        <f t="shared" si="326"/>
        <v>537.5</v>
      </c>
      <c r="CZ405" s="9">
        <f t="shared" si="326"/>
        <v>537.5</v>
      </c>
      <c r="DA405" s="9">
        <f t="shared" si="326"/>
        <v>537.5</v>
      </c>
      <c r="DB405" s="9">
        <f t="shared" si="326"/>
        <v>537.5</v>
      </c>
      <c r="DC405" s="9">
        <f t="shared" si="326"/>
        <v>537.5</v>
      </c>
      <c r="DD405" s="9">
        <f t="shared" si="326"/>
        <v>537.5</v>
      </c>
      <c r="DE405" s="9">
        <f t="shared" si="326"/>
        <v>537.5</v>
      </c>
      <c r="DF405" s="9">
        <f t="shared" si="326"/>
        <v>537.5</v>
      </c>
      <c r="DG405" s="9">
        <f t="shared" si="326"/>
        <v>537.5</v>
      </c>
      <c r="DH405" s="9">
        <f t="shared" si="326"/>
        <v>537.5</v>
      </c>
      <c r="DI405" s="9">
        <f t="shared" si="326"/>
        <v>537.5</v>
      </c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6">
        <v>46053.0</v>
      </c>
      <c r="CL406" s="9">
        <f t="shared" ref="CL406:DI406" si="327">+$CL$53*$U$59*$X$59</f>
        <v>537.5</v>
      </c>
      <c r="CM406" s="9">
        <f t="shared" si="327"/>
        <v>537.5</v>
      </c>
      <c r="CN406" s="9">
        <f t="shared" si="327"/>
        <v>537.5</v>
      </c>
      <c r="CO406" s="9">
        <f t="shared" si="327"/>
        <v>537.5</v>
      </c>
      <c r="CP406" s="9">
        <f t="shared" si="327"/>
        <v>537.5</v>
      </c>
      <c r="CQ406" s="9">
        <f t="shared" si="327"/>
        <v>537.5</v>
      </c>
      <c r="CR406" s="9">
        <f t="shared" si="327"/>
        <v>537.5</v>
      </c>
      <c r="CS406" s="9">
        <f t="shared" si="327"/>
        <v>537.5</v>
      </c>
      <c r="CT406" s="9">
        <f t="shared" si="327"/>
        <v>537.5</v>
      </c>
      <c r="CU406" s="9">
        <f t="shared" si="327"/>
        <v>537.5</v>
      </c>
      <c r="CV406" s="9">
        <f t="shared" si="327"/>
        <v>537.5</v>
      </c>
      <c r="CW406" s="9">
        <f t="shared" si="327"/>
        <v>537.5</v>
      </c>
      <c r="CX406" s="9">
        <f t="shared" si="327"/>
        <v>537.5</v>
      </c>
      <c r="CY406" s="9">
        <f t="shared" si="327"/>
        <v>537.5</v>
      </c>
      <c r="CZ406" s="9">
        <f t="shared" si="327"/>
        <v>537.5</v>
      </c>
      <c r="DA406" s="9">
        <f t="shared" si="327"/>
        <v>537.5</v>
      </c>
      <c r="DB406" s="9">
        <f t="shared" si="327"/>
        <v>537.5</v>
      </c>
      <c r="DC406" s="9">
        <f t="shared" si="327"/>
        <v>537.5</v>
      </c>
      <c r="DD406" s="9">
        <f t="shared" si="327"/>
        <v>537.5</v>
      </c>
      <c r="DE406" s="9">
        <f t="shared" si="327"/>
        <v>537.5</v>
      </c>
      <c r="DF406" s="9">
        <f t="shared" si="327"/>
        <v>537.5</v>
      </c>
      <c r="DG406" s="9">
        <f t="shared" si="327"/>
        <v>537.5</v>
      </c>
      <c r="DH406" s="9">
        <f t="shared" si="327"/>
        <v>537.5</v>
      </c>
      <c r="DI406" s="9">
        <f t="shared" si="327"/>
        <v>537.5</v>
      </c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6">
        <v>46081.0</v>
      </c>
      <c r="CM407" s="9">
        <f t="shared" ref="CM407:DI407" si="328">+$CM$53*$U$59*$X$59</f>
        <v>537.5</v>
      </c>
      <c r="CN407" s="9">
        <f t="shared" si="328"/>
        <v>537.5</v>
      </c>
      <c r="CO407" s="9">
        <f t="shared" si="328"/>
        <v>537.5</v>
      </c>
      <c r="CP407" s="9">
        <f t="shared" si="328"/>
        <v>537.5</v>
      </c>
      <c r="CQ407" s="9">
        <f t="shared" si="328"/>
        <v>537.5</v>
      </c>
      <c r="CR407" s="9">
        <f t="shared" si="328"/>
        <v>537.5</v>
      </c>
      <c r="CS407" s="9">
        <f t="shared" si="328"/>
        <v>537.5</v>
      </c>
      <c r="CT407" s="9">
        <f t="shared" si="328"/>
        <v>537.5</v>
      </c>
      <c r="CU407" s="9">
        <f t="shared" si="328"/>
        <v>537.5</v>
      </c>
      <c r="CV407" s="9">
        <f t="shared" si="328"/>
        <v>537.5</v>
      </c>
      <c r="CW407" s="9">
        <f t="shared" si="328"/>
        <v>537.5</v>
      </c>
      <c r="CX407" s="9">
        <f t="shared" si="328"/>
        <v>537.5</v>
      </c>
      <c r="CY407" s="9">
        <f t="shared" si="328"/>
        <v>537.5</v>
      </c>
      <c r="CZ407" s="9">
        <f t="shared" si="328"/>
        <v>537.5</v>
      </c>
      <c r="DA407" s="9">
        <f t="shared" si="328"/>
        <v>537.5</v>
      </c>
      <c r="DB407" s="9">
        <f t="shared" si="328"/>
        <v>537.5</v>
      </c>
      <c r="DC407" s="9">
        <f t="shared" si="328"/>
        <v>537.5</v>
      </c>
      <c r="DD407" s="9">
        <f t="shared" si="328"/>
        <v>537.5</v>
      </c>
      <c r="DE407" s="9">
        <f t="shared" si="328"/>
        <v>537.5</v>
      </c>
      <c r="DF407" s="9">
        <f t="shared" si="328"/>
        <v>537.5</v>
      </c>
      <c r="DG407" s="9">
        <f t="shared" si="328"/>
        <v>537.5</v>
      </c>
      <c r="DH407" s="9">
        <f t="shared" si="328"/>
        <v>537.5</v>
      </c>
      <c r="DI407" s="9">
        <f t="shared" si="328"/>
        <v>537.5</v>
      </c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6">
        <v>46112.0</v>
      </c>
      <c r="CN408" s="9">
        <f t="shared" ref="CN408:DI408" si="329">+$CN$53*$U$59*$X$59</f>
        <v>716.6666667</v>
      </c>
      <c r="CO408" s="9">
        <f t="shared" si="329"/>
        <v>716.6666667</v>
      </c>
      <c r="CP408" s="9">
        <f t="shared" si="329"/>
        <v>716.6666667</v>
      </c>
      <c r="CQ408" s="9">
        <f t="shared" si="329"/>
        <v>716.6666667</v>
      </c>
      <c r="CR408" s="9">
        <f t="shared" si="329"/>
        <v>716.6666667</v>
      </c>
      <c r="CS408" s="9">
        <f t="shared" si="329"/>
        <v>716.6666667</v>
      </c>
      <c r="CT408" s="9">
        <f t="shared" si="329"/>
        <v>716.6666667</v>
      </c>
      <c r="CU408" s="9">
        <f t="shared" si="329"/>
        <v>716.6666667</v>
      </c>
      <c r="CV408" s="9">
        <f t="shared" si="329"/>
        <v>716.6666667</v>
      </c>
      <c r="CW408" s="9">
        <f t="shared" si="329"/>
        <v>716.6666667</v>
      </c>
      <c r="CX408" s="9">
        <f t="shared" si="329"/>
        <v>716.6666667</v>
      </c>
      <c r="CY408" s="9">
        <f t="shared" si="329"/>
        <v>716.6666667</v>
      </c>
      <c r="CZ408" s="9">
        <f t="shared" si="329"/>
        <v>716.6666667</v>
      </c>
      <c r="DA408" s="9">
        <f t="shared" si="329"/>
        <v>716.6666667</v>
      </c>
      <c r="DB408" s="9">
        <f t="shared" si="329"/>
        <v>716.6666667</v>
      </c>
      <c r="DC408" s="9">
        <f t="shared" si="329"/>
        <v>716.6666667</v>
      </c>
      <c r="DD408" s="9">
        <f t="shared" si="329"/>
        <v>716.6666667</v>
      </c>
      <c r="DE408" s="9">
        <f t="shared" si="329"/>
        <v>716.6666667</v>
      </c>
      <c r="DF408" s="9">
        <f t="shared" si="329"/>
        <v>716.6666667</v>
      </c>
      <c r="DG408" s="9">
        <f t="shared" si="329"/>
        <v>716.6666667</v>
      </c>
      <c r="DH408" s="9">
        <f t="shared" si="329"/>
        <v>716.6666667</v>
      </c>
      <c r="DI408" s="9">
        <f t="shared" si="329"/>
        <v>716.6666667</v>
      </c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6">
        <v>46142.0</v>
      </c>
      <c r="CO409" s="9">
        <f t="shared" ref="CO409:DI409" si="330">+$CO$53*$U$59*$X$59</f>
        <v>895.8333333</v>
      </c>
      <c r="CP409" s="9">
        <f t="shared" si="330"/>
        <v>895.8333333</v>
      </c>
      <c r="CQ409" s="9">
        <f t="shared" si="330"/>
        <v>895.8333333</v>
      </c>
      <c r="CR409" s="9">
        <f t="shared" si="330"/>
        <v>895.8333333</v>
      </c>
      <c r="CS409" s="9">
        <f t="shared" si="330"/>
        <v>895.8333333</v>
      </c>
      <c r="CT409" s="9">
        <f t="shared" si="330"/>
        <v>895.8333333</v>
      </c>
      <c r="CU409" s="9">
        <f t="shared" si="330"/>
        <v>895.8333333</v>
      </c>
      <c r="CV409" s="9">
        <f t="shared" si="330"/>
        <v>895.8333333</v>
      </c>
      <c r="CW409" s="9">
        <f t="shared" si="330"/>
        <v>895.8333333</v>
      </c>
      <c r="CX409" s="9">
        <f t="shared" si="330"/>
        <v>895.8333333</v>
      </c>
      <c r="CY409" s="9">
        <f t="shared" si="330"/>
        <v>895.8333333</v>
      </c>
      <c r="CZ409" s="9">
        <f t="shared" si="330"/>
        <v>895.8333333</v>
      </c>
      <c r="DA409" s="9">
        <f t="shared" si="330"/>
        <v>895.8333333</v>
      </c>
      <c r="DB409" s="9">
        <f t="shared" si="330"/>
        <v>895.8333333</v>
      </c>
      <c r="DC409" s="9">
        <f t="shared" si="330"/>
        <v>895.8333333</v>
      </c>
      <c r="DD409" s="9">
        <f t="shared" si="330"/>
        <v>895.8333333</v>
      </c>
      <c r="DE409" s="9">
        <f t="shared" si="330"/>
        <v>895.8333333</v>
      </c>
      <c r="DF409" s="9">
        <f t="shared" si="330"/>
        <v>895.8333333</v>
      </c>
      <c r="DG409" s="9">
        <f t="shared" si="330"/>
        <v>895.8333333</v>
      </c>
      <c r="DH409" s="9">
        <f t="shared" si="330"/>
        <v>895.8333333</v>
      </c>
      <c r="DI409" s="9">
        <f t="shared" si="330"/>
        <v>895.8333333</v>
      </c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6">
        <v>46173.0</v>
      </c>
      <c r="CP410" s="9">
        <f t="shared" ref="CP410:DI410" si="331">+$CP$53*$U$59*$X$59</f>
        <v>895.8333333</v>
      </c>
      <c r="CQ410" s="9">
        <f t="shared" si="331"/>
        <v>895.8333333</v>
      </c>
      <c r="CR410" s="9">
        <f t="shared" si="331"/>
        <v>895.8333333</v>
      </c>
      <c r="CS410" s="9">
        <f t="shared" si="331"/>
        <v>895.8333333</v>
      </c>
      <c r="CT410" s="9">
        <f t="shared" si="331"/>
        <v>895.8333333</v>
      </c>
      <c r="CU410" s="9">
        <f t="shared" si="331"/>
        <v>895.8333333</v>
      </c>
      <c r="CV410" s="9">
        <f t="shared" si="331"/>
        <v>895.8333333</v>
      </c>
      <c r="CW410" s="9">
        <f t="shared" si="331"/>
        <v>895.8333333</v>
      </c>
      <c r="CX410" s="9">
        <f t="shared" si="331"/>
        <v>895.8333333</v>
      </c>
      <c r="CY410" s="9">
        <f t="shared" si="331"/>
        <v>895.8333333</v>
      </c>
      <c r="CZ410" s="9">
        <f t="shared" si="331"/>
        <v>895.8333333</v>
      </c>
      <c r="DA410" s="9">
        <f t="shared" si="331"/>
        <v>895.8333333</v>
      </c>
      <c r="DB410" s="9">
        <f t="shared" si="331"/>
        <v>895.8333333</v>
      </c>
      <c r="DC410" s="9">
        <f t="shared" si="331"/>
        <v>895.8333333</v>
      </c>
      <c r="DD410" s="9">
        <f t="shared" si="331"/>
        <v>895.8333333</v>
      </c>
      <c r="DE410" s="9">
        <f t="shared" si="331"/>
        <v>895.8333333</v>
      </c>
      <c r="DF410" s="9">
        <f t="shared" si="331"/>
        <v>895.8333333</v>
      </c>
      <c r="DG410" s="9">
        <f t="shared" si="331"/>
        <v>895.8333333</v>
      </c>
      <c r="DH410" s="9">
        <f t="shared" si="331"/>
        <v>895.8333333</v>
      </c>
      <c r="DI410" s="9">
        <f t="shared" si="331"/>
        <v>895.8333333</v>
      </c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6">
        <v>46203.0</v>
      </c>
      <c r="CQ411" s="9">
        <f t="shared" ref="CQ411:DI411" si="332">+$CQ$53*$U$59*$X$59</f>
        <v>895.8333333</v>
      </c>
      <c r="CR411" s="9">
        <f t="shared" si="332"/>
        <v>895.8333333</v>
      </c>
      <c r="CS411" s="9">
        <f t="shared" si="332"/>
        <v>895.8333333</v>
      </c>
      <c r="CT411" s="9">
        <f t="shared" si="332"/>
        <v>895.8333333</v>
      </c>
      <c r="CU411" s="9">
        <f t="shared" si="332"/>
        <v>895.8333333</v>
      </c>
      <c r="CV411" s="9">
        <f t="shared" si="332"/>
        <v>895.8333333</v>
      </c>
      <c r="CW411" s="9">
        <f t="shared" si="332"/>
        <v>895.8333333</v>
      </c>
      <c r="CX411" s="9">
        <f t="shared" si="332"/>
        <v>895.8333333</v>
      </c>
      <c r="CY411" s="9">
        <f t="shared" si="332"/>
        <v>895.8333333</v>
      </c>
      <c r="CZ411" s="9">
        <f t="shared" si="332"/>
        <v>895.8333333</v>
      </c>
      <c r="DA411" s="9">
        <f t="shared" si="332"/>
        <v>895.8333333</v>
      </c>
      <c r="DB411" s="9">
        <f t="shared" si="332"/>
        <v>895.8333333</v>
      </c>
      <c r="DC411" s="9">
        <f t="shared" si="332"/>
        <v>895.8333333</v>
      </c>
      <c r="DD411" s="9">
        <f t="shared" si="332"/>
        <v>895.8333333</v>
      </c>
      <c r="DE411" s="9">
        <f t="shared" si="332"/>
        <v>895.8333333</v>
      </c>
      <c r="DF411" s="9">
        <f t="shared" si="332"/>
        <v>895.8333333</v>
      </c>
      <c r="DG411" s="9">
        <f t="shared" si="332"/>
        <v>895.8333333</v>
      </c>
      <c r="DH411" s="9">
        <f t="shared" si="332"/>
        <v>895.8333333</v>
      </c>
      <c r="DI411" s="9">
        <f t="shared" si="332"/>
        <v>895.8333333</v>
      </c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6">
        <v>46234.0</v>
      </c>
      <c r="CR412" s="9">
        <f t="shared" ref="CR412:DI412" si="333">+$CR$53*$U$59*$X$59</f>
        <v>1075</v>
      </c>
      <c r="CS412" s="9">
        <f t="shared" si="333"/>
        <v>1075</v>
      </c>
      <c r="CT412" s="9">
        <f t="shared" si="333"/>
        <v>1075</v>
      </c>
      <c r="CU412" s="9">
        <f t="shared" si="333"/>
        <v>1075</v>
      </c>
      <c r="CV412" s="9">
        <f t="shared" si="333"/>
        <v>1075</v>
      </c>
      <c r="CW412" s="9">
        <f t="shared" si="333"/>
        <v>1075</v>
      </c>
      <c r="CX412" s="9">
        <f t="shared" si="333"/>
        <v>1075</v>
      </c>
      <c r="CY412" s="9">
        <f t="shared" si="333"/>
        <v>1075</v>
      </c>
      <c r="CZ412" s="9">
        <f t="shared" si="333"/>
        <v>1075</v>
      </c>
      <c r="DA412" s="9">
        <f t="shared" si="333"/>
        <v>1075</v>
      </c>
      <c r="DB412" s="9">
        <f t="shared" si="333"/>
        <v>1075</v>
      </c>
      <c r="DC412" s="9">
        <f t="shared" si="333"/>
        <v>1075</v>
      </c>
      <c r="DD412" s="9">
        <f t="shared" si="333"/>
        <v>1075</v>
      </c>
      <c r="DE412" s="9">
        <f t="shared" si="333"/>
        <v>1075</v>
      </c>
      <c r="DF412" s="9">
        <f t="shared" si="333"/>
        <v>1075</v>
      </c>
      <c r="DG412" s="9">
        <f t="shared" si="333"/>
        <v>1075</v>
      </c>
      <c r="DH412" s="9">
        <f t="shared" si="333"/>
        <v>1075</v>
      </c>
      <c r="DI412" s="9">
        <f t="shared" si="333"/>
        <v>1075</v>
      </c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6">
        <v>46265.0</v>
      </c>
      <c r="CS413" s="9">
        <f t="shared" ref="CS413:DI413" si="334">+$CS$53*$U$59*$X$59</f>
        <v>1075</v>
      </c>
      <c r="CT413" s="9">
        <f t="shared" si="334"/>
        <v>1075</v>
      </c>
      <c r="CU413" s="9">
        <f t="shared" si="334"/>
        <v>1075</v>
      </c>
      <c r="CV413" s="9">
        <f t="shared" si="334"/>
        <v>1075</v>
      </c>
      <c r="CW413" s="9">
        <f t="shared" si="334"/>
        <v>1075</v>
      </c>
      <c r="CX413" s="9">
        <f t="shared" si="334"/>
        <v>1075</v>
      </c>
      <c r="CY413" s="9">
        <f t="shared" si="334"/>
        <v>1075</v>
      </c>
      <c r="CZ413" s="9">
        <f t="shared" si="334"/>
        <v>1075</v>
      </c>
      <c r="DA413" s="9">
        <f t="shared" si="334"/>
        <v>1075</v>
      </c>
      <c r="DB413" s="9">
        <f t="shared" si="334"/>
        <v>1075</v>
      </c>
      <c r="DC413" s="9">
        <f t="shared" si="334"/>
        <v>1075</v>
      </c>
      <c r="DD413" s="9">
        <f t="shared" si="334"/>
        <v>1075</v>
      </c>
      <c r="DE413" s="9">
        <f t="shared" si="334"/>
        <v>1075</v>
      </c>
      <c r="DF413" s="9">
        <f t="shared" si="334"/>
        <v>1075</v>
      </c>
      <c r="DG413" s="9">
        <f t="shared" si="334"/>
        <v>1075</v>
      </c>
      <c r="DH413" s="9">
        <f t="shared" si="334"/>
        <v>1075</v>
      </c>
      <c r="DI413" s="9">
        <f t="shared" si="334"/>
        <v>1075</v>
      </c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6">
        <v>46295.0</v>
      </c>
      <c r="CT414" s="9">
        <f t="shared" ref="CT414:DI414" si="335">+$CT$53*$U$59*$X$59</f>
        <v>1075</v>
      </c>
      <c r="CU414" s="9">
        <f t="shared" si="335"/>
        <v>1075</v>
      </c>
      <c r="CV414" s="9">
        <f t="shared" si="335"/>
        <v>1075</v>
      </c>
      <c r="CW414" s="9">
        <f t="shared" si="335"/>
        <v>1075</v>
      </c>
      <c r="CX414" s="9">
        <f t="shared" si="335"/>
        <v>1075</v>
      </c>
      <c r="CY414" s="9">
        <f t="shared" si="335"/>
        <v>1075</v>
      </c>
      <c r="CZ414" s="9">
        <f t="shared" si="335"/>
        <v>1075</v>
      </c>
      <c r="DA414" s="9">
        <f t="shared" si="335"/>
        <v>1075</v>
      </c>
      <c r="DB414" s="9">
        <f t="shared" si="335"/>
        <v>1075</v>
      </c>
      <c r="DC414" s="9">
        <f t="shared" si="335"/>
        <v>1075</v>
      </c>
      <c r="DD414" s="9">
        <f t="shared" si="335"/>
        <v>1075</v>
      </c>
      <c r="DE414" s="9">
        <f t="shared" si="335"/>
        <v>1075</v>
      </c>
      <c r="DF414" s="9">
        <f t="shared" si="335"/>
        <v>1075</v>
      </c>
      <c r="DG414" s="9">
        <f t="shared" si="335"/>
        <v>1075</v>
      </c>
      <c r="DH414" s="9">
        <f t="shared" si="335"/>
        <v>1075</v>
      </c>
      <c r="DI414" s="9">
        <f t="shared" si="335"/>
        <v>1075</v>
      </c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6">
        <v>46326.0</v>
      </c>
      <c r="CU415" s="9">
        <f t="shared" ref="CU415:DI415" si="336">+$CU$53*$U$59*$X$59</f>
        <v>1075</v>
      </c>
      <c r="CV415" s="9">
        <f t="shared" si="336"/>
        <v>1075</v>
      </c>
      <c r="CW415" s="9">
        <f t="shared" si="336"/>
        <v>1075</v>
      </c>
      <c r="CX415" s="9">
        <f t="shared" si="336"/>
        <v>1075</v>
      </c>
      <c r="CY415" s="9">
        <f t="shared" si="336"/>
        <v>1075</v>
      </c>
      <c r="CZ415" s="9">
        <f t="shared" si="336"/>
        <v>1075</v>
      </c>
      <c r="DA415" s="9">
        <f t="shared" si="336"/>
        <v>1075</v>
      </c>
      <c r="DB415" s="9">
        <f t="shared" si="336"/>
        <v>1075</v>
      </c>
      <c r="DC415" s="9">
        <f t="shared" si="336"/>
        <v>1075</v>
      </c>
      <c r="DD415" s="9">
        <f t="shared" si="336"/>
        <v>1075</v>
      </c>
      <c r="DE415" s="9">
        <f t="shared" si="336"/>
        <v>1075</v>
      </c>
      <c r="DF415" s="9">
        <f t="shared" si="336"/>
        <v>1075</v>
      </c>
      <c r="DG415" s="9">
        <f t="shared" si="336"/>
        <v>1075</v>
      </c>
      <c r="DH415" s="9">
        <f t="shared" si="336"/>
        <v>1075</v>
      </c>
      <c r="DI415" s="9">
        <f t="shared" si="336"/>
        <v>1075</v>
      </c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6">
        <v>46356.0</v>
      </c>
      <c r="CV416" s="9">
        <f t="shared" ref="CV416:DI416" si="337">+$CV$53*$U$59*$X$59</f>
        <v>1075</v>
      </c>
      <c r="CW416" s="9">
        <f t="shared" si="337"/>
        <v>1075</v>
      </c>
      <c r="CX416" s="9">
        <f t="shared" si="337"/>
        <v>1075</v>
      </c>
      <c r="CY416" s="9">
        <f t="shared" si="337"/>
        <v>1075</v>
      </c>
      <c r="CZ416" s="9">
        <f t="shared" si="337"/>
        <v>1075</v>
      </c>
      <c r="DA416" s="9">
        <f t="shared" si="337"/>
        <v>1075</v>
      </c>
      <c r="DB416" s="9">
        <f t="shared" si="337"/>
        <v>1075</v>
      </c>
      <c r="DC416" s="9">
        <f t="shared" si="337"/>
        <v>1075</v>
      </c>
      <c r="DD416" s="9">
        <f t="shared" si="337"/>
        <v>1075</v>
      </c>
      <c r="DE416" s="9">
        <f t="shared" si="337"/>
        <v>1075</v>
      </c>
      <c r="DF416" s="9">
        <f t="shared" si="337"/>
        <v>1075</v>
      </c>
      <c r="DG416" s="9">
        <f t="shared" si="337"/>
        <v>1075</v>
      </c>
      <c r="DH416" s="9">
        <f t="shared" si="337"/>
        <v>1075</v>
      </c>
      <c r="DI416" s="9">
        <f t="shared" si="337"/>
        <v>1075</v>
      </c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6">
        <v>46387.0</v>
      </c>
      <c r="CW417" s="9">
        <f t="shared" ref="CW417:DI417" si="338">+$CW$53*$U$59*$X$59</f>
        <v>1075</v>
      </c>
      <c r="CX417" s="9">
        <f t="shared" si="338"/>
        <v>1075</v>
      </c>
      <c r="CY417" s="9">
        <f t="shared" si="338"/>
        <v>1075</v>
      </c>
      <c r="CZ417" s="9">
        <f t="shared" si="338"/>
        <v>1075</v>
      </c>
      <c r="DA417" s="9">
        <f t="shared" si="338"/>
        <v>1075</v>
      </c>
      <c r="DB417" s="9">
        <f t="shared" si="338"/>
        <v>1075</v>
      </c>
      <c r="DC417" s="9">
        <f t="shared" si="338"/>
        <v>1075</v>
      </c>
      <c r="DD417" s="9">
        <f t="shared" si="338"/>
        <v>1075</v>
      </c>
      <c r="DE417" s="9">
        <f t="shared" si="338"/>
        <v>1075</v>
      </c>
      <c r="DF417" s="9">
        <f t="shared" si="338"/>
        <v>1075</v>
      </c>
      <c r="DG417" s="9">
        <f t="shared" si="338"/>
        <v>1075</v>
      </c>
      <c r="DH417" s="9">
        <f t="shared" si="338"/>
        <v>1075</v>
      </c>
      <c r="DI417" s="9">
        <f t="shared" si="338"/>
        <v>1075</v>
      </c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6">
        <v>46418.0</v>
      </c>
      <c r="CX418" s="9">
        <f t="shared" ref="CX418:DI418" si="339">+$CX$53*$U$59*$X$59</f>
        <v>1097.395833</v>
      </c>
      <c r="CY418" s="9">
        <f t="shared" si="339"/>
        <v>1097.395833</v>
      </c>
      <c r="CZ418" s="9">
        <f t="shared" si="339"/>
        <v>1097.395833</v>
      </c>
      <c r="DA418" s="9">
        <f t="shared" si="339"/>
        <v>1097.395833</v>
      </c>
      <c r="DB418" s="9">
        <f t="shared" si="339"/>
        <v>1097.395833</v>
      </c>
      <c r="DC418" s="9">
        <f t="shared" si="339"/>
        <v>1097.395833</v>
      </c>
      <c r="DD418" s="9">
        <f t="shared" si="339"/>
        <v>1097.395833</v>
      </c>
      <c r="DE418" s="9">
        <f t="shared" si="339"/>
        <v>1097.395833</v>
      </c>
      <c r="DF418" s="9">
        <f t="shared" si="339"/>
        <v>1097.395833</v>
      </c>
      <c r="DG418" s="9">
        <f t="shared" si="339"/>
        <v>1097.395833</v>
      </c>
      <c r="DH418" s="9">
        <f t="shared" si="339"/>
        <v>1097.395833</v>
      </c>
      <c r="DI418" s="9">
        <f t="shared" si="339"/>
        <v>1097.395833</v>
      </c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6">
        <v>46446.0</v>
      </c>
      <c r="CY419" s="9">
        <f t="shared" ref="CY419:DI419" si="340">+$CY$53*$U$59*$X$59</f>
        <v>1097.395833</v>
      </c>
      <c r="CZ419" s="9">
        <f t="shared" si="340"/>
        <v>1097.395833</v>
      </c>
      <c r="DA419" s="9">
        <f t="shared" si="340"/>
        <v>1097.395833</v>
      </c>
      <c r="DB419" s="9">
        <f t="shared" si="340"/>
        <v>1097.395833</v>
      </c>
      <c r="DC419" s="9">
        <f t="shared" si="340"/>
        <v>1097.395833</v>
      </c>
      <c r="DD419" s="9">
        <f t="shared" si="340"/>
        <v>1097.395833</v>
      </c>
      <c r="DE419" s="9">
        <f t="shared" si="340"/>
        <v>1097.395833</v>
      </c>
      <c r="DF419" s="9">
        <f t="shared" si="340"/>
        <v>1097.395833</v>
      </c>
      <c r="DG419" s="9">
        <f t="shared" si="340"/>
        <v>1097.395833</v>
      </c>
      <c r="DH419" s="9">
        <f t="shared" si="340"/>
        <v>1097.395833</v>
      </c>
      <c r="DI419" s="9">
        <f t="shared" si="340"/>
        <v>1097.395833</v>
      </c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6">
        <v>46477.0</v>
      </c>
      <c r="CZ420" s="9">
        <f t="shared" ref="CZ420:DI420" si="341">+$CZ$53*$U$59*$X$59</f>
        <v>1254.166667</v>
      </c>
      <c r="DA420" s="9">
        <f t="shared" si="341"/>
        <v>1254.166667</v>
      </c>
      <c r="DB420" s="9">
        <f t="shared" si="341"/>
        <v>1254.166667</v>
      </c>
      <c r="DC420" s="9">
        <f t="shared" si="341"/>
        <v>1254.166667</v>
      </c>
      <c r="DD420" s="9">
        <f t="shared" si="341"/>
        <v>1254.166667</v>
      </c>
      <c r="DE420" s="9">
        <f t="shared" si="341"/>
        <v>1254.166667</v>
      </c>
      <c r="DF420" s="9">
        <f t="shared" si="341"/>
        <v>1254.166667</v>
      </c>
      <c r="DG420" s="9">
        <f t="shared" si="341"/>
        <v>1254.166667</v>
      </c>
      <c r="DH420" s="9">
        <f t="shared" si="341"/>
        <v>1254.166667</v>
      </c>
      <c r="DI420" s="9">
        <f t="shared" si="341"/>
        <v>1254.166667</v>
      </c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6">
        <v>46507.0</v>
      </c>
      <c r="DA421" s="9">
        <f t="shared" ref="DA421:DI421" si="342">+$DA$53*$U$59*$X$59</f>
        <v>1254.166667</v>
      </c>
      <c r="DB421" s="9">
        <f t="shared" si="342"/>
        <v>1254.166667</v>
      </c>
      <c r="DC421" s="9">
        <f t="shared" si="342"/>
        <v>1254.166667</v>
      </c>
      <c r="DD421" s="9">
        <f t="shared" si="342"/>
        <v>1254.166667</v>
      </c>
      <c r="DE421" s="9">
        <f t="shared" si="342"/>
        <v>1254.166667</v>
      </c>
      <c r="DF421" s="9">
        <f t="shared" si="342"/>
        <v>1254.166667</v>
      </c>
      <c r="DG421" s="9">
        <f t="shared" si="342"/>
        <v>1254.166667</v>
      </c>
      <c r="DH421" s="9">
        <f t="shared" si="342"/>
        <v>1254.166667</v>
      </c>
      <c r="DI421" s="9">
        <f t="shared" si="342"/>
        <v>1254.166667</v>
      </c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6">
        <v>46538.0</v>
      </c>
      <c r="DB422" s="9">
        <f t="shared" ref="DB422:DI422" si="343">+$DB$53*$U$59*$X$59</f>
        <v>1254.166667</v>
      </c>
      <c r="DC422" s="9">
        <f t="shared" si="343"/>
        <v>1254.166667</v>
      </c>
      <c r="DD422" s="9">
        <f t="shared" si="343"/>
        <v>1254.166667</v>
      </c>
      <c r="DE422" s="9">
        <f t="shared" si="343"/>
        <v>1254.166667</v>
      </c>
      <c r="DF422" s="9">
        <f t="shared" si="343"/>
        <v>1254.166667</v>
      </c>
      <c r="DG422" s="9">
        <f t="shared" si="343"/>
        <v>1254.166667</v>
      </c>
      <c r="DH422" s="9">
        <f t="shared" si="343"/>
        <v>1254.166667</v>
      </c>
      <c r="DI422" s="9">
        <f t="shared" si="343"/>
        <v>1254.166667</v>
      </c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6">
        <v>46568.0</v>
      </c>
      <c r="DC423" s="9">
        <f t="shared" ref="DC423:DI423" si="344">+$DC$53*$U$59*$X$59</f>
        <v>1410.9375</v>
      </c>
      <c r="DD423" s="9">
        <f t="shared" si="344"/>
        <v>1410.9375</v>
      </c>
      <c r="DE423" s="9">
        <f t="shared" si="344"/>
        <v>1410.9375</v>
      </c>
      <c r="DF423" s="9">
        <f t="shared" si="344"/>
        <v>1410.9375</v>
      </c>
      <c r="DG423" s="9">
        <f t="shared" si="344"/>
        <v>1410.9375</v>
      </c>
      <c r="DH423" s="9">
        <f t="shared" si="344"/>
        <v>1410.9375</v>
      </c>
      <c r="DI423" s="9">
        <f t="shared" si="344"/>
        <v>1410.9375</v>
      </c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6">
        <v>46599.0</v>
      </c>
      <c r="DD424" s="9">
        <f t="shared" ref="DD424:DI424" si="345">+$DD$53*$U$59*$X$59</f>
        <v>1410.9375</v>
      </c>
      <c r="DE424" s="9">
        <f t="shared" si="345"/>
        <v>1410.9375</v>
      </c>
      <c r="DF424" s="9">
        <f t="shared" si="345"/>
        <v>1410.9375</v>
      </c>
      <c r="DG424" s="9">
        <f t="shared" si="345"/>
        <v>1410.9375</v>
      </c>
      <c r="DH424" s="9">
        <f t="shared" si="345"/>
        <v>1410.9375</v>
      </c>
      <c r="DI424" s="9">
        <f t="shared" si="345"/>
        <v>1410.9375</v>
      </c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6">
        <v>46630.0</v>
      </c>
      <c r="DE425" s="9">
        <f t="shared" ref="DE425:DI425" si="346">+$DE$53*$U$59*$X$59</f>
        <v>1567.708333</v>
      </c>
      <c r="DF425" s="9">
        <f t="shared" si="346"/>
        <v>1567.708333</v>
      </c>
      <c r="DG425" s="9">
        <f t="shared" si="346"/>
        <v>1567.708333</v>
      </c>
      <c r="DH425" s="9">
        <f t="shared" si="346"/>
        <v>1567.708333</v>
      </c>
      <c r="DI425" s="9">
        <f t="shared" si="346"/>
        <v>1567.708333</v>
      </c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6">
        <v>46660.0</v>
      </c>
      <c r="DF426" s="9">
        <f t="shared" ref="DF426:DI426" si="347">+$DF$53*$U$59*$X$59</f>
        <v>1567.708333</v>
      </c>
      <c r="DG426" s="9">
        <f t="shared" si="347"/>
        <v>1567.708333</v>
      </c>
      <c r="DH426" s="9">
        <f t="shared" si="347"/>
        <v>1567.708333</v>
      </c>
      <c r="DI426" s="9">
        <f t="shared" si="347"/>
        <v>1567.708333</v>
      </c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6">
        <v>46691.0</v>
      </c>
      <c r="DG427" s="9">
        <f t="shared" ref="DG427:DI427" si="348">+$DG$53*$U$59*$X$59</f>
        <v>1567.708333</v>
      </c>
      <c r="DH427" s="9">
        <f t="shared" si="348"/>
        <v>1567.708333</v>
      </c>
      <c r="DI427" s="9">
        <f t="shared" si="348"/>
        <v>1567.708333</v>
      </c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6">
        <v>46721.0</v>
      </c>
      <c r="DH428" s="9">
        <f t="shared" ref="DH428:DI428" si="349">+$DH$53*$U$59*$X$59</f>
        <v>1567.708333</v>
      </c>
      <c r="DI428" s="9">
        <f t="shared" si="349"/>
        <v>1567.708333</v>
      </c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6">
        <v>46752.0</v>
      </c>
      <c r="DI429" s="9">
        <f>+$DI$53*$U$59*$X$59</f>
        <v>1567.708333</v>
      </c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6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6"/>
    </row>
    <row r="432" ht="15.75" customHeight="1"/>
    <row r="433" ht="15.75" customHeight="1">
      <c r="A433" s="1" t="s">
        <v>80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6">
        <f>+U337</f>
        <v>43951</v>
      </c>
      <c r="V434" s="9">
        <f t="shared" ref="V434:BK434" si="350">+$V$53*$U$58*$X$58</f>
        <v>4.927777778</v>
      </c>
      <c r="W434" s="9">
        <f t="shared" si="350"/>
        <v>4.927777778</v>
      </c>
      <c r="X434" s="9">
        <f t="shared" si="350"/>
        <v>4.927777778</v>
      </c>
      <c r="Y434" s="9">
        <f t="shared" si="350"/>
        <v>4.927777778</v>
      </c>
      <c r="Z434" s="9">
        <f t="shared" si="350"/>
        <v>4.927777778</v>
      </c>
      <c r="AA434" s="9">
        <f t="shared" si="350"/>
        <v>4.927777778</v>
      </c>
      <c r="AB434" s="9">
        <f t="shared" si="350"/>
        <v>4.927777778</v>
      </c>
      <c r="AC434" s="9">
        <f t="shared" si="350"/>
        <v>4.927777778</v>
      </c>
      <c r="AD434" s="9">
        <f t="shared" si="350"/>
        <v>4.927777778</v>
      </c>
      <c r="AE434" s="9">
        <f t="shared" si="350"/>
        <v>4.927777778</v>
      </c>
      <c r="AF434" s="9">
        <f t="shared" si="350"/>
        <v>4.927777778</v>
      </c>
      <c r="AG434" s="9">
        <f t="shared" si="350"/>
        <v>4.927777778</v>
      </c>
      <c r="AH434" s="9">
        <f t="shared" si="350"/>
        <v>4.927777778</v>
      </c>
      <c r="AI434" s="9">
        <f t="shared" si="350"/>
        <v>4.927777778</v>
      </c>
      <c r="AJ434" s="9">
        <f t="shared" si="350"/>
        <v>4.927777778</v>
      </c>
      <c r="AK434" s="9">
        <f t="shared" si="350"/>
        <v>4.927777778</v>
      </c>
      <c r="AL434" s="9">
        <f t="shared" si="350"/>
        <v>4.927777778</v>
      </c>
      <c r="AM434" s="9">
        <f t="shared" si="350"/>
        <v>4.927777778</v>
      </c>
      <c r="AN434" s="9">
        <f t="shared" si="350"/>
        <v>4.927777778</v>
      </c>
      <c r="AO434" s="9">
        <f t="shared" si="350"/>
        <v>4.927777778</v>
      </c>
      <c r="AP434" s="9">
        <f t="shared" si="350"/>
        <v>4.927777778</v>
      </c>
      <c r="AQ434" s="9">
        <f t="shared" si="350"/>
        <v>4.927777778</v>
      </c>
      <c r="AR434" s="9">
        <f t="shared" si="350"/>
        <v>4.927777778</v>
      </c>
      <c r="AS434" s="9">
        <f t="shared" si="350"/>
        <v>4.927777778</v>
      </c>
      <c r="AT434" s="9">
        <f t="shared" si="350"/>
        <v>4.927777778</v>
      </c>
      <c r="AU434" s="9">
        <f t="shared" si="350"/>
        <v>4.927777778</v>
      </c>
      <c r="AV434" s="9">
        <f t="shared" si="350"/>
        <v>4.927777778</v>
      </c>
      <c r="AW434" s="9">
        <f t="shared" si="350"/>
        <v>4.927777778</v>
      </c>
      <c r="AX434" s="9">
        <f t="shared" si="350"/>
        <v>4.927777778</v>
      </c>
      <c r="AY434" s="9">
        <f t="shared" si="350"/>
        <v>4.927777778</v>
      </c>
      <c r="AZ434" s="9">
        <f t="shared" si="350"/>
        <v>4.927777778</v>
      </c>
      <c r="BA434" s="9">
        <f t="shared" si="350"/>
        <v>4.927777778</v>
      </c>
      <c r="BB434" s="9">
        <f t="shared" si="350"/>
        <v>4.927777778</v>
      </c>
      <c r="BC434" s="9">
        <f t="shared" si="350"/>
        <v>4.927777778</v>
      </c>
      <c r="BD434" s="9">
        <f t="shared" si="350"/>
        <v>4.927777778</v>
      </c>
      <c r="BE434" s="9">
        <f t="shared" si="350"/>
        <v>4.927777778</v>
      </c>
      <c r="BF434" s="9">
        <f t="shared" si="350"/>
        <v>4.927777778</v>
      </c>
      <c r="BG434" s="9">
        <f t="shared" si="350"/>
        <v>4.927777778</v>
      </c>
      <c r="BH434" s="9">
        <f t="shared" si="350"/>
        <v>4.927777778</v>
      </c>
      <c r="BI434" s="9">
        <f t="shared" si="350"/>
        <v>4.927777778</v>
      </c>
      <c r="BJ434" s="9">
        <f t="shared" si="350"/>
        <v>4.927777778</v>
      </c>
      <c r="BK434" s="9">
        <f t="shared" si="350"/>
        <v>4.927777778</v>
      </c>
      <c r="BL434" s="9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6">
        <v>43982.0</v>
      </c>
      <c r="W435" s="9">
        <f t="shared" ref="W435:BL435" si="351">+$W$53*$U$58*$X$58</f>
        <v>54.75308642</v>
      </c>
      <c r="X435" s="9">
        <f t="shared" si="351"/>
        <v>54.75308642</v>
      </c>
      <c r="Y435" s="9">
        <f t="shared" si="351"/>
        <v>54.75308642</v>
      </c>
      <c r="Z435" s="9">
        <f t="shared" si="351"/>
        <v>54.75308642</v>
      </c>
      <c r="AA435" s="9">
        <f t="shared" si="351"/>
        <v>54.75308642</v>
      </c>
      <c r="AB435" s="9">
        <f t="shared" si="351"/>
        <v>54.75308642</v>
      </c>
      <c r="AC435" s="9">
        <f t="shared" si="351"/>
        <v>54.75308642</v>
      </c>
      <c r="AD435" s="9">
        <f t="shared" si="351"/>
        <v>54.75308642</v>
      </c>
      <c r="AE435" s="9">
        <f t="shared" si="351"/>
        <v>54.75308642</v>
      </c>
      <c r="AF435" s="9">
        <f t="shared" si="351"/>
        <v>54.75308642</v>
      </c>
      <c r="AG435" s="9">
        <f t="shared" si="351"/>
        <v>54.75308642</v>
      </c>
      <c r="AH435" s="9">
        <f t="shared" si="351"/>
        <v>54.75308642</v>
      </c>
      <c r="AI435" s="9">
        <f t="shared" si="351"/>
        <v>54.75308642</v>
      </c>
      <c r="AJ435" s="9">
        <f t="shared" si="351"/>
        <v>54.75308642</v>
      </c>
      <c r="AK435" s="9">
        <f t="shared" si="351"/>
        <v>54.75308642</v>
      </c>
      <c r="AL435" s="9">
        <f t="shared" si="351"/>
        <v>54.75308642</v>
      </c>
      <c r="AM435" s="9">
        <f t="shared" si="351"/>
        <v>54.75308642</v>
      </c>
      <c r="AN435" s="9">
        <f t="shared" si="351"/>
        <v>54.75308642</v>
      </c>
      <c r="AO435" s="9">
        <f t="shared" si="351"/>
        <v>54.75308642</v>
      </c>
      <c r="AP435" s="9">
        <f t="shared" si="351"/>
        <v>54.75308642</v>
      </c>
      <c r="AQ435" s="9">
        <f t="shared" si="351"/>
        <v>54.75308642</v>
      </c>
      <c r="AR435" s="9">
        <f t="shared" si="351"/>
        <v>54.75308642</v>
      </c>
      <c r="AS435" s="9">
        <f t="shared" si="351"/>
        <v>54.75308642</v>
      </c>
      <c r="AT435" s="9">
        <f t="shared" si="351"/>
        <v>54.75308642</v>
      </c>
      <c r="AU435" s="9">
        <f t="shared" si="351"/>
        <v>54.75308642</v>
      </c>
      <c r="AV435" s="9">
        <f t="shared" si="351"/>
        <v>54.75308642</v>
      </c>
      <c r="AW435" s="9">
        <f t="shared" si="351"/>
        <v>54.75308642</v>
      </c>
      <c r="AX435" s="9">
        <f t="shared" si="351"/>
        <v>54.75308642</v>
      </c>
      <c r="AY435" s="9">
        <f t="shared" si="351"/>
        <v>54.75308642</v>
      </c>
      <c r="AZ435" s="9">
        <f t="shared" si="351"/>
        <v>54.75308642</v>
      </c>
      <c r="BA435" s="9">
        <f t="shared" si="351"/>
        <v>54.75308642</v>
      </c>
      <c r="BB435" s="9">
        <f t="shared" si="351"/>
        <v>54.75308642</v>
      </c>
      <c r="BC435" s="9">
        <f t="shared" si="351"/>
        <v>54.75308642</v>
      </c>
      <c r="BD435" s="9">
        <f t="shared" si="351"/>
        <v>54.75308642</v>
      </c>
      <c r="BE435" s="9">
        <f t="shared" si="351"/>
        <v>54.75308642</v>
      </c>
      <c r="BF435" s="9">
        <f t="shared" si="351"/>
        <v>54.75308642</v>
      </c>
      <c r="BG435" s="9">
        <f t="shared" si="351"/>
        <v>54.75308642</v>
      </c>
      <c r="BH435" s="9">
        <f t="shared" si="351"/>
        <v>54.75308642</v>
      </c>
      <c r="BI435" s="9">
        <f t="shared" si="351"/>
        <v>54.75308642</v>
      </c>
      <c r="BJ435" s="9">
        <f t="shared" si="351"/>
        <v>54.75308642</v>
      </c>
      <c r="BK435" s="9">
        <f t="shared" si="351"/>
        <v>54.75308642</v>
      </c>
      <c r="BL435" s="9">
        <f t="shared" si="351"/>
        <v>54.75308642</v>
      </c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6">
        <v>44012.0</v>
      </c>
      <c r="X436" s="9">
        <f t="shared" ref="X436:BM436" si="352">+$X$53*$U$58*$X$58</f>
        <v>31.28747795</v>
      </c>
      <c r="Y436" s="9">
        <f t="shared" si="352"/>
        <v>31.28747795</v>
      </c>
      <c r="Z436" s="9">
        <f t="shared" si="352"/>
        <v>31.28747795</v>
      </c>
      <c r="AA436" s="9">
        <f t="shared" si="352"/>
        <v>31.28747795</v>
      </c>
      <c r="AB436" s="9">
        <f t="shared" si="352"/>
        <v>31.28747795</v>
      </c>
      <c r="AC436" s="9">
        <f t="shared" si="352"/>
        <v>31.28747795</v>
      </c>
      <c r="AD436" s="9">
        <f t="shared" si="352"/>
        <v>31.28747795</v>
      </c>
      <c r="AE436" s="9">
        <f t="shared" si="352"/>
        <v>31.28747795</v>
      </c>
      <c r="AF436" s="9">
        <f t="shared" si="352"/>
        <v>31.28747795</v>
      </c>
      <c r="AG436" s="9">
        <f t="shared" si="352"/>
        <v>31.28747795</v>
      </c>
      <c r="AH436" s="9">
        <f t="shared" si="352"/>
        <v>31.28747795</v>
      </c>
      <c r="AI436" s="9">
        <f t="shared" si="352"/>
        <v>31.28747795</v>
      </c>
      <c r="AJ436" s="9">
        <f t="shared" si="352"/>
        <v>31.28747795</v>
      </c>
      <c r="AK436" s="9">
        <f t="shared" si="352"/>
        <v>31.28747795</v>
      </c>
      <c r="AL436" s="9">
        <f t="shared" si="352"/>
        <v>31.28747795</v>
      </c>
      <c r="AM436" s="9">
        <f t="shared" si="352"/>
        <v>31.28747795</v>
      </c>
      <c r="AN436" s="9">
        <f t="shared" si="352"/>
        <v>31.28747795</v>
      </c>
      <c r="AO436" s="9">
        <f t="shared" si="352"/>
        <v>31.28747795</v>
      </c>
      <c r="AP436" s="9">
        <f t="shared" si="352"/>
        <v>31.28747795</v>
      </c>
      <c r="AQ436" s="9">
        <f t="shared" si="352"/>
        <v>31.28747795</v>
      </c>
      <c r="AR436" s="9">
        <f t="shared" si="352"/>
        <v>31.28747795</v>
      </c>
      <c r="AS436" s="9">
        <f t="shared" si="352"/>
        <v>31.28747795</v>
      </c>
      <c r="AT436" s="9">
        <f t="shared" si="352"/>
        <v>31.28747795</v>
      </c>
      <c r="AU436" s="9">
        <f t="shared" si="352"/>
        <v>31.28747795</v>
      </c>
      <c r="AV436" s="9">
        <f t="shared" si="352"/>
        <v>31.28747795</v>
      </c>
      <c r="AW436" s="9">
        <f t="shared" si="352"/>
        <v>31.28747795</v>
      </c>
      <c r="AX436" s="9">
        <f t="shared" si="352"/>
        <v>31.28747795</v>
      </c>
      <c r="AY436" s="9">
        <f t="shared" si="352"/>
        <v>31.28747795</v>
      </c>
      <c r="AZ436" s="9">
        <f t="shared" si="352"/>
        <v>31.28747795</v>
      </c>
      <c r="BA436" s="9">
        <f t="shared" si="352"/>
        <v>31.28747795</v>
      </c>
      <c r="BB436" s="9">
        <f t="shared" si="352"/>
        <v>31.28747795</v>
      </c>
      <c r="BC436" s="9">
        <f t="shared" si="352"/>
        <v>31.28747795</v>
      </c>
      <c r="BD436" s="9">
        <f t="shared" si="352"/>
        <v>31.28747795</v>
      </c>
      <c r="BE436" s="9">
        <f t="shared" si="352"/>
        <v>31.28747795</v>
      </c>
      <c r="BF436" s="9">
        <f t="shared" si="352"/>
        <v>31.28747795</v>
      </c>
      <c r="BG436" s="9">
        <f t="shared" si="352"/>
        <v>31.28747795</v>
      </c>
      <c r="BH436" s="9">
        <f t="shared" si="352"/>
        <v>31.28747795</v>
      </c>
      <c r="BI436" s="9">
        <f t="shared" si="352"/>
        <v>31.28747795</v>
      </c>
      <c r="BJ436" s="9">
        <f t="shared" si="352"/>
        <v>31.28747795</v>
      </c>
      <c r="BK436" s="9">
        <f t="shared" si="352"/>
        <v>31.28747795</v>
      </c>
      <c r="BL436" s="9">
        <f t="shared" si="352"/>
        <v>31.28747795</v>
      </c>
      <c r="BM436" s="9">
        <f t="shared" si="352"/>
        <v>31.28747795</v>
      </c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6">
        <v>44043.0</v>
      </c>
      <c r="Y437" s="9">
        <f t="shared" ref="Y437:BN437" si="353">+$Y$53*$U$58*$X$58</f>
        <v>31.28747795</v>
      </c>
      <c r="Z437" s="9">
        <f t="shared" si="353"/>
        <v>31.28747795</v>
      </c>
      <c r="AA437" s="9">
        <f t="shared" si="353"/>
        <v>31.28747795</v>
      </c>
      <c r="AB437" s="9">
        <f t="shared" si="353"/>
        <v>31.28747795</v>
      </c>
      <c r="AC437" s="9">
        <f t="shared" si="353"/>
        <v>31.28747795</v>
      </c>
      <c r="AD437" s="9">
        <f t="shared" si="353"/>
        <v>31.28747795</v>
      </c>
      <c r="AE437" s="9">
        <f t="shared" si="353"/>
        <v>31.28747795</v>
      </c>
      <c r="AF437" s="9">
        <f t="shared" si="353"/>
        <v>31.28747795</v>
      </c>
      <c r="AG437" s="9">
        <f t="shared" si="353"/>
        <v>31.28747795</v>
      </c>
      <c r="AH437" s="9">
        <f t="shared" si="353"/>
        <v>31.28747795</v>
      </c>
      <c r="AI437" s="9">
        <f t="shared" si="353"/>
        <v>31.28747795</v>
      </c>
      <c r="AJ437" s="9">
        <f t="shared" si="353"/>
        <v>31.28747795</v>
      </c>
      <c r="AK437" s="9">
        <f t="shared" si="353"/>
        <v>31.28747795</v>
      </c>
      <c r="AL437" s="9">
        <f t="shared" si="353"/>
        <v>31.28747795</v>
      </c>
      <c r="AM437" s="9">
        <f t="shared" si="353"/>
        <v>31.28747795</v>
      </c>
      <c r="AN437" s="9">
        <f t="shared" si="353"/>
        <v>31.28747795</v>
      </c>
      <c r="AO437" s="9">
        <f t="shared" si="353"/>
        <v>31.28747795</v>
      </c>
      <c r="AP437" s="9">
        <f t="shared" si="353"/>
        <v>31.28747795</v>
      </c>
      <c r="AQ437" s="9">
        <f t="shared" si="353"/>
        <v>31.28747795</v>
      </c>
      <c r="AR437" s="9">
        <f t="shared" si="353"/>
        <v>31.28747795</v>
      </c>
      <c r="AS437" s="9">
        <f t="shared" si="353"/>
        <v>31.28747795</v>
      </c>
      <c r="AT437" s="9">
        <f t="shared" si="353"/>
        <v>31.28747795</v>
      </c>
      <c r="AU437" s="9">
        <f t="shared" si="353"/>
        <v>31.28747795</v>
      </c>
      <c r="AV437" s="9">
        <f t="shared" si="353"/>
        <v>31.28747795</v>
      </c>
      <c r="AW437" s="9">
        <f t="shared" si="353"/>
        <v>31.28747795</v>
      </c>
      <c r="AX437" s="9">
        <f t="shared" si="353"/>
        <v>31.28747795</v>
      </c>
      <c r="AY437" s="9">
        <f t="shared" si="353"/>
        <v>31.28747795</v>
      </c>
      <c r="AZ437" s="9">
        <f t="shared" si="353"/>
        <v>31.28747795</v>
      </c>
      <c r="BA437" s="9">
        <f t="shared" si="353"/>
        <v>31.28747795</v>
      </c>
      <c r="BB437" s="9">
        <f t="shared" si="353"/>
        <v>31.28747795</v>
      </c>
      <c r="BC437" s="9">
        <f t="shared" si="353"/>
        <v>31.28747795</v>
      </c>
      <c r="BD437" s="9">
        <f t="shared" si="353"/>
        <v>31.28747795</v>
      </c>
      <c r="BE437" s="9">
        <f t="shared" si="353"/>
        <v>31.28747795</v>
      </c>
      <c r="BF437" s="9">
        <f t="shared" si="353"/>
        <v>31.28747795</v>
      </c>
      <c r="BG437" s="9">
        <f t="shared" si="353"/>
        <v>31.28747795</v>
      </c>
      <c r="BH437" s="9">
        <f t="shared" si="353"/>
        <v>31.28747795</v>
      </c>
      <c r="BI437" s="9">
        <f t="shared" si="353"/>
        <v>31.28747795</v>
      </c>
      <c r="BJ437" s="9">
        <f t="shared" si="353"/>
        <v>31.28747795</v>
      </c>
      <c r="BK437" s="9">
        <f t="shared" si="353"/>
        <v>31.28747795</v>
      </c>
      <c r="BL437" s="9">
        <f t="shared" si="353"/>
        <v>31.28747795</v>
      </c>
      <c r="BM437" s="9">
        <f t="shared" si="353"/>
        <v>31.28747795</v>
      </c>
      <c r="BN437" s="9">
        <f t="shared" si="353"/>
        <v>31.28747795</v>
      </c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6">
        <v>44074.0</v>
      </c>
      <c r="Z438" s="9">
        <f t="shared" ref="Z438:BO438" si="354">+$Z$53*$U$58*$X$58</f>
        <v>46.93121693</v>
      </c>
      <c r="AA438" s="9">
        <f t="shared" si="354"/>
        <v>46.93121693</v>
      </c>
      <c r="AB438" s="9">
        <f t="shared" si="354"/>
        <v>46.93121693</v>
      </c>
      <c r="AC438" s="9">
        <f t="shared" si="354"/>
        <v>46.93121693</v>
      </c>
      <c r="AD438" s="9">
        <f t="shared" si="354"/>
        <v>46.93121693</v>
      </c>
      <c r="AE438" s="9">
        <f t="shared" si="354"/>
        <v>46.93121693</v>
      </c>
      <c r="AF438" s="9">
        <f t="shared" si="354"/>
        <v>46.93121693</v>
      </c>
      <c r="AG438" s="9">
        <f t="shared" si="354"/>
        <v>46.93121693</v>
      </c>
      <c r="AH438" s="9">
        <f t="shared" si="354"/>
        <v>46.93121693</v>
      </c>
      <c r="AI438" s="9">
        <f t="shared" si="354"/>
        <v>46.93121693</v>
      </c>
      <c r="AJ438" s="9">
        <f t="shared" si="354"/>
        <v>46.93121693</v>
      </c>
      <c r="AK438" s="9">
        <f t="shared" si="354"/>
        <v>46.93121693</v>
      </c>
      <c r="AL438" s="9">
        <f t="shared" si="354"/>
        <v>46.93121693</v>
      </c>
      <c r="AM438" s="9">
        <f t="shared" si="354"/>
        <v>46.93121693</v>
      </c>
      <c r="AN438" s="9">
        <f t="shared" si="354"/>
        <v>46.93121693</v>
      </c>
      <c r="AO438" s="9">
        <f t="shared" si="354"/>
        <v>46.93121693</v>
      </c>
      <c r="AP438" s="9">
        <f t="shared" si="354"/>
        <v>46.93121693</v>
      </c>
      <c r="AQ438" s="9">
        <f t="shared" si="354"/>
        <v>46.93121693</v>
      </c>
      <c r="AR438" s="9">
        <f t="shared" si="354"/>
        <v>46.93121693</v>
      </c>
      <c r="AS438" s="9">
        <f t="shared" si="354"/>
        <v>46.93121693</v>
      </c>
      <c r="AT438" s="9">
        <f t="shared" si="354"/>
        <v>46.93121693</v>
      </c>
      <c r="AU438" s="9">
        <f t="shared" si="354"/>
        <v>46.93121693</v>
      </c>
      <c r="AV438" s="9">
        <f t="shared" si="354"/>
        <v>46.93121693</v>
      </c>
      <c r="AW438" s="9">
        <f t="shared" si="354"/>
        <v>46.93121693</v>
      </c>
      <c r="AX438" s="9">
        <f t="shared" si="354"/>
        <v>46.93121693</v>
      </c>
      <c r="AY438" s="9">
        <f t="shared" si="354"/>
        <v>46.93121693</v>
      </c>
      <c r="AZ438" s="9">
        <f t="shared" si="354"/>
        <v>46.93121693</v>
      </c>
      <c r="BA438" s="9">
        <f t="shared" si="354"/>
        <v>46.93121693</v>
      </c>
      <c r="BB438" s="9">
        <f t="shared" si="354"/>
        <v>46.93121693</v>
      </c>
      <c r="BC438" s="9">
        <f t="shared" si="354"/>
        <v>46.93121693</v>
      </c>
      <c r="BD438" s="9">
        <f t="shared" si="354"/>
        <v>46.93121693</v>
      </c>
      <c r="BE438" s="9">
        <f t="shared" si="354"/>
        <v>46.93121693</v>
      </c>
      <c r="BF438" s="9">
        <f t="shared" si="354"/>
        <v>46.93121693</v>
      </c>
      <c r="BG438" s="9">
        <f t="shared" si="354"/>
        <v>46.93121693</v>
      </c>
      <c r="BH438" s="9">
        <f t="shared" si="354"/>
        <v>46.93121693</v>
      </c>
      <c r="BI438" s="9">
        <f t="shared" si="354"/>
        <v>46.93121693</v>
      </c>
      <c r="BJ438" s="9">
        <f t="shared" si="354"/>
        <v>46.93121693</v>
      </c>
      <c r="BK438" s="9">
        <f t="shared" si="354"/>
        <v>46.93121693</v>
      </c>
      <c r="BL438" s="9">
        <f t="shared" si="354"/>
        <v>46.93121693</v>
      </c>
      <c r="BM438" s="9">
        <f t="shared" si="354"/>
        <v>46.93121693</v>
      </c>
      <c r="BN438" s="9">
        <f t="shared" si="354"/>
        <v>46.93121693</v>
      </c>
      <c r="BO438" s="9">
        <f t="shared" si="354"/>
        <v>46.93121693</v>
      </c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6">
        <v>44104.0</v>
      </c>
      <c r="AA439" s="9">
        <f t="shared" ref="AA439:BP439" si="355">+$AA$53*$U$58*$X$58</f>
        <v>78.21869489</v>
      </c>
      <c r="AB439" s="9">
        <f t="shared" si="355"/>
        <v>78.21869489</v>
      </c>
      <c r="AC439" s="9">
        <f t="shared" si="355"/>
        <v>78.21869489</v>
      </c>
      <c r="AD439" s="9">
        <f t="shared" si="355"/>
        <v>78.21869489</v>
      </c>
      <c r="AE439" s="9">
        <f t="shared" si="355"/>
        <v>78.21869489</v>
      </c>
      <c r="AF439" s="9">
        <f t="shared" si="355"/>
        <v>78.21869489</v>
      </c>
      <c r="AG439" s="9">
        <f t="shared" si="355"/>
        <v>78.21869489</v>
      </c>
      <c r="AH439" s="9">
        <f t="shared" si="355"/>
        <v>78.21869489</v>
      </c>
      <c r="AI439" s="9">
        <f t="shared" si="355"/>
        <v>78.21869489</v>
      </c>
      <c r="AJ439" s="9">
        <f t="shared" si="355"/>
        <v>78.21869489</v>
      </c>
      <c r="AK439" s="9">
        <f t="shared" si="355"/>
        <v>78.21869489</v>
      </c>
      <c r="AL439" s="9">
        <f t="shared" si="355"/>
        <v>78.21869489</v>
      </c>
      <c r="AM439" s="9">
        <f t="shared" si="355"/>
        <v>78.21869489</v>
      </c>
      <c r="AN439" s="9">
        <f t="shared" si="355"/>
        <v>78.21869489</v>
      </c>
      <c r="AO439" s="9">
        <f t="shared" si="355"/>
        <v>78.21869489</v>
      </c>
      <c r="AP439" s="9">
        <f t="shared" si="355"/>
        <v>78.21869489</v>
      </c>
      <c r="AQ439" s="9">
        <f t="shared" si="355"/>
        <v>78.21869489</v>
      </c>
      <c r="AR439" s="9">
        <f t="shared" si="355"/>
        <v>78.21869489</v>
      </c>
      <c r="AS439" s="9">
        <f t="shared" si="355"/>
        <v>78.21869489</v>
      </c>
      <c r="AT439" s="9">
        <f t="shared" si="355"/>
        <v>78.21869489</v>
      </c>
      <c r="AU439" s="9">
        <f t="shared" si="355"/>
        <v>78.21869489</v>
      </c>
      <c r="AV439" s="9">
        <f t="shared" si="355"/>
        <v>78.21869489</v>
      </c>
      <c r="AW439" s="9">
        <f t="shared" si="355"/>
        <v>78.21869489</v>
      </c>
      <c r="AX439" s="9">
        <f t="shared" si="355"/>
        <v>78.21869489</v>
      </c>
      <c r="AY439" s="9">
        <f t="shared" si="355"/>
        <v>78.21869489</v>
      </c>
      <c r="AZ439" s="9">
        <f t="shared" si="355"/>
        <v>78.21869489</v>
      </c>
      <c r="BA439" s="9">
        <f t="shared" si="355"/>
        <v>78.21869489</v>
      </c>
      <c r="BB439" s="9">
        <f t="shared" si="355"/>
        <v>78.21869489</v>
      </c>
      <c r="BC439" s="9">
        <f t="shared" si="355"/>
        <v>78.21869489</v>
      </c>
      <c r="BD439" s="9">
        <f t="shared" si="355"/>
        <v>78.21869489</v>
      </c>
      <c r="BE439" s="9">
        <f t="shared" si="355"/>
        <v>78.21869489</v>
      </c>
      <c r="BF439" s="9">
        <f t="shared" si="355"/>
        <v>78.21869489</v>
      </c>
      <c r="BG439" s="9">
        <f t="shared" si="355"/>
        <v>78.21869489</v>
      </c>
      <c r="BH439" s="9">
        <f t="shared" si="355"/>
        <v>78.21869489</v>
      </c>
      <c r="BI439" s="9">
        <f t="shared" si="355"/>
        <v>78.21869489</v>
      </c>
      <c r="BJ439" s="9">
        <f t="shared" si="355"/>
        <v>78.21869489</v>
      </c>
      <c r="BK439" s="9">
        <f t="shared" si="355"/>
        <v>78.21869489</v>
      </c>
      <c r="BL439" s="9">
        <f t="shared" si="355"/>
        <v>78.21869489</v>
      </c>
      <c r="BM439" s="9">
        <f t="shared" si="355"/>
        <v>78.21869489</v>
      </c>
      <c r="BN439" s="9">
        <f t="shared" si="355"/>
        <v>78.21869489</v>
      </c>
      <c r="BO439" s="9">
        <f t="shared" si="355"/>
        <v>78.21869489</v>
      </c>
      <c r="BP439" s="9">
        <f t="shared" si="355"/>
        <v>78.21869489</v>
      </c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6">
        <v>44135.0</v>
      </c>
      <c r="AB440" s="9">
        <f t="shared" ref="AB440:BQ440" si="356">+$AB$53*$U$58*$X$58</f>
        <v>187.7248677</v>
      </c>
      <c r="AC440" s="9">
        <f t="shared" si="356"/>
        <v>187.7248677</v>
      </c>
      <c r="AD440" s="9">
        <f t="shared" si="356"/>
        <v>187.7248677</v>
      </c>
      <c r="AE440" s="9">
        <f t="shared" si="356"/>
        <v>187.7248677</v>
      </c>
      <c r="AF440" s="9">
        <f t="shared" si="356"/>
        <v>187.7248677</v>
      </c>
      <c r="AG440" s="9">
        <f t="shared" si="356"/>
        <v>187.7248677</v>
      </c>
      <c r="AH440" s="9">
        <f t="shared" si="356"/>
        <v>187.7248677</v>
      </c>
      <c r="AI440" s="9">
        <f t="shared" si="356"/>
        <v>187.7248677</v>
      </c>
      <c r="AJ440" s="9">
        <f t="shared" si="356"/>
        <v>187.7248677</v>
      </c>
      <c r="AK440" s="9">
        <f t="shared" si="356"/>
        <v>187.7248677</v>
      </c>
      <c r="AL440" s="9">
        <f t="shared" si="356"/>
        <v>187.7248677</v>
      </c>
      <c r="AM440" s="9">
        <f t="shared" si="356"/>
        <v>187.7248677</v>
      </c>
      <c r="AN440" s="9">
        <f t="shared" si="356"/>
        <v>187.7248677</v>
      </c>
      <c r="AO440" s="9">
        <f t="shared" si="356"/>
        <v>187.7248677</v>
      </c>
      <c r="AP440" s="9">
        <f t="shared" si="356"/>
        <v>187.7248677</v>
      </c>
      <c r="AQ440" s="9">
        <f t="shared" si="356"/>
        <v>187.7248677</v>
      </c>
      <c r="AR440" s="9">
        <f t="shared" si="356"/>
        <v>187.7248677</v>
      </c>
      <c r="AS440" s="9">
        <f t="shared" si="356"/>
        <v>187.7248677</v>
      </c>
      <c r="AT440" s="9">
        <f t="shared" si="356"/>
        <v>187.7248677</v>
      </c>
      <c r="AU440" s="9">
        <f t="shared" si="356"/>
        <v>187.7248677</v>
      </c>
      <c r="AV440" s="9">
        <f t="shared" si="356"/>
        <v>187.7248677</v>
      </c>
      <c r="AW440" s="9">
        <f t="shared" si="356"/>
        <v>187.7248677</v>
      </c>
      <c r="AX440" s="9">
        <f t="shared" si="356"/>
        <v>187.7248677</v>
      </c>
      <c r="AY440" s="9">
        <f t="shared" si="356"/>
        <v>187.7248677</v>
      </c>
      <c r="AZ440" s="9">
        <f t="shared" si="356"/>
        <v>187.7248677</v>
      </c>
      <c r="BA440" s="9">
        <f t="shared" si="356"/>
        <v>187.7248677</v>
      </c>
      <c r="BB440" s="9">
        <f t="shared" si="356"/>
        <v>187.7248677</v>
      </c>
      <c r="BC440" s="9">
        <f t="shared" si="356"/>
        <v>187.7248677</v>
      </c>
      <c r="BD440" s="9">
        <f t="shared" si="356"/>
        <v>187.7248677</v>
      </c>
      <c r="BE440" s="9">
        <f t="shared" si="356"/>
        <v>187.7248677</v>
      </c>
      <c r="BF440" s="9">
        <f t="shared" si="356"/>
        <v>187.7248677</v>
      </c>
      <c r="BG440" s="9">
        <f t="shared" si="356"/>
        <v>187.7248677</v>
      </c>
      <c r="BH440" s="9">
        <f t="shared" si="356"/>
        <v>187.7248677</v>
      </c>
      <c r="BI440" s="9">
        <f t="shared" si="356"/>
        <v>187.7248677</v>
      </c>
      <c r="BJ440" s="9">
        <f t="shared" si="356"/>
        <v>187.7248677</v>
      </c>
      <c r="BK440" s="9">
        <f t="shared" si="356"/>
        <v>187.7248677</v>
      </c>
      <c r="BL440" s="9">
        <f t="shared" si="356"/>
        <v>187.7248677</v>
      </c>
      <c r="BM440" s="9">
        <f t="shared" si="356"/>
        <v>187.7248677</v>
      </c>
      <c r="BN440" s="9">
        <f t="shared" si="356"/>
        <v>187.7248677</v>
      </c>
      <c r="BO440" s="9">
        <f t="shared" si="356"/>
        <v>187.7248677</v>
      </c>
      <c r="BP440" s="9">
        <f t="shared" si="356"/>
        <v>187.7248677</v>
      </c>
      <c r="BQ440" s="9">
        <f t="shared" si="356"/>
        <v>187.7248677</v>
      </c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6">
        <v>44165.0</v>
      </c>
      <c r="AC441" s="9">
        <f t="shared" ref="AC441:BR441" si="357">+$AC$53*$U$58*$X$58</f>
        <v>31.28747795</v>
      </c>
      <c r="AD441" s="9">
        <f t="shared" si="357"/>
        <v>31.28747795</v>
      </c>
      <c r="AE441" s="9">
        <f t="shared" si="357"/>
        <v>31.28747795</v>
      </c>
      <c r="AF441" s="9">
        <f t="shared" si="357"/>
        <v>31.28747795</v>
      </c>
      <c r="AG441" s="9">
        <f t="shared" si="357"/>
        <v>31.28747795</v>
      </c>
      <c r="AH441" s="9">
        <f t="shared" si="357"/>
        <v>31.28747795</v>
      </c>
      <c r="AI441" s="9">
        <f t="shared" si="357"/>
        <v>31.28747795</v>
      </c>
      <c r="AJ441" s="9">
        <f t="shared" si="357"/>
        <v>31.28747795</v>
      </c>
      <c r="AK441" s="9">
        <f t="shared" si="357"/>
        <v>31.28747795</v>
      </c>
      <c r="AL441" s="9">
        <f t="shared" si="357"/>
        <v>31.28747795</v>
      </c>
      <c r="AM441" s="9">
        <f t="shared" si="357"/>
        <v>31.28747795</v>
      </c>
      <c r="AN441" s="9">
        <f t="shared" si="357"/>
        <v>31.28747795</v>
      </c>
      <c r="AO441" s="9">
        <f t="shared" si="357"/>
        <v>31.28747795</v>
      </c>
      <c r="AP441" s="9">
        <f t="shared" si="357"/>
        <v>31.28747795</v>
      </c>
      <c r="AQ441" s="9">
        <f t="shared" si="357"/>
        <v>31.28747795</v>
      </c>
      <c r="AR441" s="9">
        <f t="shared" si="357"/>
        <v>31.28747795</v>
      </c>
      <c r="AS441" s="9">
        <f t="shared" si="357"/>
        <v>31.28747795</v>
      </c>
      <c r="AT441" s="9">
        <f t="shared" si="357"/>
        <v>31.28747795</v>
      </c>
      <c r="AU441" s="9">
        <f t="shared" si="357"/>
        <v>31.28747795</v>
      </c>
      <c r="AV441" s="9">
        <f t="shared" si="357"/>
        <v>31.28747795</v>
      </c>
      <c r="AW441" s="9">
        <f t="shared" si="357"/>
        <v>31.28747795</v>
      </c>
      <c r="AX441" s="9">
        <f t="shared" si="357"/>
        <v>31.28747795</v>
      </c>
      <c r="AY441" s="9">
        <f t="shared" si="357"/>
        <v>31.28747795</v>
      </c>
      <c r="AZ441" s="9">
        <f t="shared" si="357"/>
        <v>31.28747795</v>
      </c>
      <c r="BA441" s="9">
        <f t="shared" si="357"/>
        <v>31.28747795</v>
      </c>
      <c r="BB441" s="9">
        <f t="shared" si="357"/>
        <v>31.28747795</v>
      </c>
      <c r="BC441" s="9">
        <f t="shared" si="357"/>
        <v>31.28747795</v>
      </c>
      <c r="BD441" s="9">
        <f t="shared" si="357"/>
        <v>31.28747795</v>
      </c>
      <c r="BE441" s="9">
        <f t="shared" si="357"/>
        <v>31.28747795</v>
      </c>
      <c r="BF441" s="9">
        <f t="shared" si="357"/>
        <v>31.28747795</v>
      </c>
      <c r="BG441" s="9">
        <f t="shared" si="357"/>
        <v>31.28747795</v>
      </c>
      <c r="BH441" s="9">
        <f t="shared" si="357"/>
        <v>31.28747795</v>
      </c>
      <c r="BI441" s="9">
        <f t="shared" si="357"/>
        <v>31.28747795</v>
      </c>
      <c r="BJ441" s="9">
        <f t="shared" si="357"/>
        <v>31.28747795</v>
      </c>
      <c r="BK441" s="9">
        <f t="shared" si="357"/>
        <v>31.28747795</v>
      </c>
      <c r="BL441" s="9">
        <f t="shared" si="357"/>
        <v>31.28747795</v>
      </c>
      <c r="BM441" s="9">
        <f t="shared" si="357"/>
        <v>31.28747795</v>
      </c>
      <c r="BN441" s="9">
        <f t="shared" si="357"/>
        <v>31.28747795</v>
      </c>
      <c r="BO441" s="9">
        <f t="shared" si="357"/>
        <v>31.28747795</v>
      </c>
      <c r="BP441" s="9">
        <f t="shared" si="357"/>
        <v>31.28747795</v>
      </c>
      <c r="BQ441" s="9">
        <f t="shared" si="357"/>
        <v>31.28747795</v>
      </c>
      <c r="BR441" s="9">
        <f t="shared" si="357"/>
        <v>31.28747795</v>
      </c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6">
        <v>44196.0</v>
      </c>
      <c r="AD442" s="9">
        <f t="shared" ref="AD442:BS442" si="358">+$AD$53*$U$58*$X$58</f>
        <v>263.9880952</v>
      </c>
      <c r="AE442" s="9">
        <f t="shared" si="358"/>
        <v>263.9880952</v>
      </c>
      <c r="AF442" s="9">
        <f t="shared" si="358"/>
        <v>263.9880952</v>
      </c>
      <c r="AG442" s="9">
        <f t="shared" si="358"/>
        <v>263.9880952</v>
      </c>
      <c r="AH442" s="9">
        <f t="shared" si="358"/>
        <v>263.9880952</v>
      </c>
      <c r="AI442" s="9">
        <f t="shared" si="358"/>
        <v>263.9880952</v>
      </c>
      <c r="AJ442" s="9">
        <f t="shared" si="358"/>
        <v>263.9880952</v>
      </c>
      <c r="AK442" s="9">
        <f t="shared" si="358"/>
        <v>263.9880952</v>
      </c>
      <c r="AL442" s="9">
        <f t="shared" si="358"/>
        <v>263.9880952</v>
      </c>
      <c r="AM442" s="9">
        <f t="shared" si="358"/>
        <v>263.9880952</v>
      </c>
      <c r="AN442" s="9">
        <f t="shared" si="358"/>
        <v>263.9880952</v>
      </c>
      <c r="AO442" s="9">
        <f t="shared" si="358"/>
        <v>263.9880952</v>
      </c>
      <c r="AP442" s="9">
        <f t="shared" si="358"/>
        <v>263.9880952</v>
      </c>
      <c r="AQ442" s="9">
        <f t="shared" si="358"/>
        <v>263.9880952</v>
      </c>
      <c r="AR442" s="9">
        <f t="shared" si="358"/>
        <v>263.9880952</v>
      </c>
      <c r="AS442" s="9">
        <f t="shared" si="358"/>
        <v>263.9880952</v>
      </c>
      <c r="AT442" s="9">
        <f t="shared" si="358"/>
        <v>263.9880952</v>
      </c>
      <c r="AU442" s="9">
        <f t="shared" si="358"/>
        <v>263.9880952</v>
      </c>
      <c r="AV442" s="9">
        <f t="shared" si="358"/>
        <v>263.9880952</v>
      </c>
      <c r="AW442" s="9">
        <f t="shared" si="358"/>
        <v>263.9880952</v>
      </c>
      <c r="AX442" s="9">
        <f t="shared" si="358"/>
        <v>263.9880952</v>
      </c>
      <c r="AY442" s="9">
        <f t="shared" si="358"/>
        <v>263.9880952</v>
      </c>
      <c r="AZ442" s="9">
        <f t="shared" si="358"/>
        <v>263.9880952</v>
      </c>
      <c r="BA442" s="9">
        <f t="shared" si="358"/>
        <v>263.9880952</v>
      </c>
      <c r="BB442" s="9">
        <f t="shared" si="358"/>
        <v>263.9880952</v>
      </c>
      <c r="BC442" s="9">
        <f t="shared" si="358"/>
        <v>263.9880952</v>
      </c>
      <c r="BD442" s="9">
        <f t="shared" si="358"/>
        <v>263.9880952</v>
      </c>
      <c r="BE442" s="9">
        <f t="shared" si="358"/>
        <v>263.9880952</v>
      </c>
      <c r="BF442" s="9">
        <f t="shared" si="358"/>
        <v>263.9880952</v>
      </c>
      <c r="BG442" s="9">
        <f t="shared" si="358"/>
        <v>263.9880952</v>
      </c>
      <c r="BH442" s="9">
        <f t="shared" si="358"/>
        <v>263.9880952</v>
      </c>
      <c r="BI442" s="9">
        <f t="shared" si="358"/>
        <v>263.9880952</v>
      </c>
      <c r="BJ442" s="9">
        <f t="shared" si="358"/>
        <v>263.9880952</v>
      </c>
      <c r="BK442" s="9">
        <f t="shared" si="358"/>
        <v>263.9880952</v>
      </c>
      <c r="BL442" s="9">
        <f t="shared" si="358"/>
        <v>263.9880952</v>
      </c>
      <c r="BM442" s="9">
        <f t="shared" si="358"/>
        <v>263.9880952</v>
      </c>
      <c r="BN442" s="9">
        <f t="shared" si="358"/>
        <v>263.9880952</v>
      </c>
      <c r="BO442" s="9">
        <f t="shared" si="358"/>
        <v>263.9880952</v>
      </c>
      <c r="BP442" s="9">
        <f t="shared" si="358"/>
        <v>263.9880952</v>
      </c>
      <c r="BQ442" s="9">
        <f t="shared" si="358"/>
        <v>263.9880952</v>
      </c>
      <c r="BR442" s="9">
        <f t="shared" si="358"/>
        <v>263.9880952</v>
      </c>
      <c r="BS442" s="9">
        <f t="shared" si="358"/>
        <v>263.9880952</v>
      </c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6">
        <v>44227.0</v>
      </c>
      <c r="AE443" s="9">
        <f t="shared" ref="AE443:BT443" si="359">+$AE$53*$U$58*$X$58</f>
        <v>299.1865079</v>
      </c>
      <c r="AF443" s="9">
        <f t="shared" si="359"/>
        <v>299.1865079</v>
      </c>
      <c r="AG443" s="9">
        <f t="shared" si="359"/>
        <v>299.1865079</v>
      </c>
      <c r="AH443" s="9">
        <f t="shared" si="359"/>
        <v>299.1865079</v>
      </c>
      <c r="AI443" s="9">
        <f t="shared" si="359"/>
        <v>299.1865079</v>
      </c>
      <c r="AJ443" s="9">
        <f t="shared" si="359"/>
        <v>299.1865079</v>
      </c>
      <c r="AK443" s="9">
        <f t="shared" si="359"/>
        <v>299.1865079</v>
      </c>
      <c r="AL443" s="9">
        <f t="shared" si="359"/>
        <v>299.1865079</v>
      </c>
      <c r="AM443" s="9">
        <f t="shared" si="359"/>
        <v>299.1865079</v>
      </c>
      <c r="AN443" s="9">
        <f t="shared" si="359"/>
        <v>299.1865079</v>
      </c>
      <c r="AO443" s="9">
        <f t="shared" si="359"/>
        <v>299.1865079</v>
      </c>
      <c r="AP443" s="9">
        <f t="shared" si="359"/>
        <v>299.1865079</v>
      </c>
      <c r="AQ443" s="9">
        <f t="shared" si="359"/>
        <v>299.1865079</v>
      </c>
      <c r="AR443" s="9">
        <f t="shared" si="359"/>
        <v>299.1865079</v>
      </c>
      <c r="AS443" s="9">
        <f t="shared" si="359"/>
        <v>299.1865079</v>
      </c>
      <c r="AT443" s="9">
        <f t="shared" si="359"/>
        <v>299.1865079</v>
      </c>
      <c r="AU443" s="9">
        <f t="shared" si="359"/>
        <v>299.1865079</v>
      </c>
      <c r="AV443" s="9">
        <f t="shared" si="359"/>
        <v>299.1865079</v>
      </c>
      <c r="AW443" s="9">
        <f t="shared" si="359"/>
        <v>299.1865079</v>
      </c>
      <c r="AX443" s="9">
        <f t="shared" si="359"/>
        <v>299.1865079</v>
      </c>
      <c r="AY443" s="9">
        <f t="shared" si="359"/>
        <v>299.1865079</v>
      </c>
      <c r="AZ443" s="9">
        <f t="shared" si="359"/>
        <v>299.1865079</v>
      </c>
      <c r="BA443" s="9">
        <f t="shared" si="359"/>
        <v>299.1865079</v>
      </c>
      <c r="BB443" s="9">
        <f t="shared" si="359"/>
        <v>299.1865079</v>
      </c>
      <c r="BC443" s="9">
        <f t="shared" si="359"/>
        <v>299.1865079</v>
      </c>
      <c r="BD443" s="9">
        <f t="shared" si="359"/>
        <v>299.1865079</v>
      </c>
      <c r="BE443" s="9">
        <f t="shared" si="359"/>
        <v>299.1865079</v>
      </c>
      <c r="BF443" s="9">
        <f t="shared" si="359"/>
        <v>299.1865079</v>
      </c>
      <c r="BG443" s="9">
        <f t="shared" si="359"/>
        <v>299.1865079</v>
      </c>
      <c r="BH443" s="9">
        <f t="shared" si="359"/>
        <v>299.1865079</v>
      </c>
      <c r="BI443" s="9">
        <f t="shared" si="359"/>
        <v>299.1865079</v>
      </c>
      <c r="BJ443" s="9">
        <f t="shared" si="359"/>
        <v>299.1865079</v>
      </c>
      <c r="BK443" s="9">
        <f t="shared" si="359"/>
        <v>299.1865079</v>
      </c>
      <c r="BL443" s="9">
        <f t="shared" si="359"/>
        <v>299.1865079</v>
      </c>
      <c r="BM443" s="9">
        <f t="shared" si="359"/>
        <v>299.1865079</v>
      </c>
      <c r="BN443" s="9">
        <f t="shared" si="359"/>
        <v>299.1865079</v>
      </c>
      <c r="BO443" s="9">
        <f t="shared" si="359"/>
        <v>299.1865079</v>
      </c>
      <c r="BP443" s="9">
        <f t="shared" si="359"/>
        <v>299.1865079</v>
      </c>
      <c r="BQ443" s="9">
        <f t="shared" si="359"/>
        <v>299.1865079</v>
      </c>
      <c r="BR443" s="9">
        <f t="shared" si="359"/>
        <v>299.1865079</v>
      </c>
      <c r="BS443" s="9">
        <f t="shared" si="359"/>
        <v>299.1865079</v>
      </c>
      <c r="BT443" s="9">
        <f t="shared" si="359"/>
        <v>299.1865079</v>
      </c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6">
        <v>44255.0</v>
      </c>
      <c r="AF444" s="9">
        <f t="shared" ref="AF444:BU444" si="360">+$AF$53*$U$58*$X$58</f>
        <v>299.1865079</v>
      </c>
      <c r="AG444" s="9">
        <f t="shared" si="360"/>
        <v>299.1865079</v>
      </c>
      <c r="AH444" s="9">
        <f t="shared" si="360"/>
        <v>299.1865079</v>
      </c>
      <c r="AI444" s="9">
        <f t="shared" si="360"/>
        <v>299.1865079</v>
      </c>
      <c r="AJ444" s="9">
        <f t="shared" si="360"/>
        <v>299.1865079</v>
      </c>
      <c r="AK444" s="9">
        <f t="shared" si="360"/>
        <v>299.1865079</v>
      </c>
      <c r="AL444" s="9">
        <f t="shared" si="360"/>
        <v>299.1865079</v>
      </c>
      <c r="AM444" s="9">
        <f t="shared" si="360"/>
        <v>299.1865079</v>
      </c>
      <c r="AN444" s="9">
        <f t="shared" si="360"/>
        <v>299.1865079</v>
      </c>
      <c r="AO444" s="9">
        <f t="shared" si="360"/>
        <v>299.1865079</v>
      </c>
      <c r="AP444" s="9">
        <f t="shared" si="360"/>
        <v>299.1865079</v>
      </c>
      <c r="AQ444" s="9">
        <f t="shared" si="360"/>
        <v>299.1865079</v>
      </c>
      <c r="AR444" s="9">
        <f t="shared" si="360"/>
        <v>299.1865079</v>
      </c>
      <c r="AS444" s="9">
        <f t="shared" si="360"/>
        <v>299.1865079</v>
      </c>
      <c r="AT444" s="9">
        <f t="shared" si="360"/>
        <v>299.1865079</v>
      </c>
      <c r="AU444" s="9">
        <f t="shared" si="360"/>
        <v>299.1865079</v>
      </c>
      <c r="AV444" s="9">
        <f t="shared" si="360"/>
        <v>299.1865079</v>
      </c>
      <c r="AW444" s="9">
        <f t="shared" si="360"/>
        <v>299.1865079</v>
      </c>
      <c r="AX444" s="9">
        <f t="shared" si="360"/>
        <v>299.1865079</v>
      </c>
      <c r="AY444" s="9">
        <f t="shared" si="360"/>
        <v>299.1865079</v>
      </c>
      <c r="AZ444" s="9">
        <f t="shared" si="360"/>
        <v>299.1865079</v>
      </c>
      <c r="BA444" s="9">
        <f t="shared" si="360"/>
        <v>299.1865079</v>
      </c>
      <c r="BB444" s="9">
        <f t="shared" si="360"/>
        <v>299.1865079</v>
      </c>
      <c r="BC444" s="9">
        <f t="shared" si="360"/>
        <v>299.1865079</v>
      </c>
      <c r="BD444" s="9">
        <f t="shared" si="360"/>
        <v>299.1865079</v>
      </c>
      <c r="BE444" s="9">
        <f t="shared" si="360"/>
        <v>299.1865079</v>
      </c>
      <c r="BF444" s="9">
        <f t="shared" si="360"/>
        <v>299.1865079</v>
      </c>
      <c r="BG444" s="9">
        <f t="shared" si="360"/>
        <v>299.1865079</v>
      </c>
      <c r="BH444" s="9">
        <f t="shared" si="360"/>
        <v>299.1865079</v>
      </c>
      <c r="BI444" s="9">
        <f t="shared" si="360"/>
        <v>299.1865079</v>
      </c>
      <c r="BJ444" s="9">
        <f t="shared" si="360"/>
        <v>299.1865079</v>
      </c>
      <c r="BK444" s="9">
        <f t="shared" si="360"/>
        <v>299.1865079</v>
      </c>
      <c r="BL444" s="9">
        <f t="shared" si="360"/>
        <v>299.1865079</v>
      </c>
      <c r="BM444" s="9">
        <f t="shared" si="360"/>
        <v>299.1865079</v>
      </c>
      <c r="BN444" s="9">
        <f t="shared" si="360"/>
        <v>299.1865079</v>
      </c>
      <c r="BO444" s="9">
        <f t="shared" si="360"/>
        <v>299.1865079</v>
      </c>
      <c r="BP444" s="9">
        <f t="shared" si="360"/>
        <v>299.1865079</v>
      </c>
      <c r="BQ444" s="9">
        <f t="shared" si="360"/>
        <v>299.1865079</v>
      </c>
      <c r="BR444" s="9">
        <f t="shared" si="360"/>
        <v>299.1865079</v>
      </c>
      <c r="BS444" s="9">
        <f t="shared" si="360"/>
        <v>299.1865079</v>
      </c>
      <c r="BT444" s="9">
        <f t="shared" si="360"/>
        <v>299.1865079</v>
      </c>
      <c r="BU444" s="9">
        <f t="shared" si="360"/>
        <v>299.1865079</v>
      </c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6">
        <v>44286.0</v>
      </c>
      <c r="AG445" s="9">
        <f t="shared" ref="AG445:BV445" si="361">+$AG$53*$U$58*$X$58</f>
        <v>234.6560847</v>
      </c>
      <c r="AH445" s="9">
        <f t="shared" si="361"/>
        <v>234.6560847</v>
      </c>
      <c r="AI445" s="9">
        <f t="shared" si="361"/>
        <v>234.6560847</v>
      </c>
      <c r="AJ445" s="9">
        <f t="shared" si="361"/>
        <v>234.6560847</v>
      </c>
      <c r="AK445" s="9">
        <f t="shared" si="361"/>
        <v>234.6560847</v>
      </c>
      <c r="AL445" s="9">
        <f t="shared" si="361"/>
        <v>234.6560847</v>
      </c>
      <c r="AM445" s="9">
        <f t="shared" si="361"/>
        <v>234.6560847</v>
      </c>
      <c r="AN445" s="9">
        <f t="shared" si="361"/>
        <v>234.6560847</v>
      </c>
      <c r="AO445" s="9">
        <f t="shared" si="361"/>
        <v>234.6560847</v>
      </c>
      <c r="AP445" s="9">
        <f t="shared" si="361"/>
        <v>234.6560847</v>
      </c>
      <c r="AQ445" s="9">
        <f t="shared" si="361"/>
        <v>234.6560847</v>
      </c>
      <c r="AR445" s="9">
        <f t="shared" si="361"/>
        <v>234.6560847</v>
      </c>
      <c r="AS445" s="9">
        <f t="shared" si="361"/>
        <v>234.6560847</v>
      </c>
      <c r="AT445" s="9">
        <f t="shared" si="361"/>
        <v>234.6560847</v>
      </c>
      <c r="AU445" s="9">
        <f t="shared" si="361"/>
        <v>234.6560847</v>
      </c>
      <c r="AV445" s="9">
        <f t="shared" si="361"/>
        <v>234.6560847</v>
      </c>
      <c r="AW445" s="9">
        <f t="shared" si="361"/>
        <v>234.6560847</v>
      </c>
      <c r="AX445" s="9">
        <f t="shared" si="361"/>
        <v>234.6560847</v>
      </c>
      <c r="AY445" s="9">
        <f t="shared" si="361"/>
        <v>234.6560847</v>
      </c>
      <c r="AZ445" s="9">
        <f t="shared" si="361"/>
        <v>234.6560847</v>
      </c>
      <c r="BA445" s="9">
        <f t="shared" si="361"/>
        <v>234.6560847</v>
      </c>
      <c r="BB445" s="9">
        <f t="shared" si="361"/>
        <v>234.6560847</v>
      </c>
      <c r="BC445" s="9">
        <f t="shared" si="361"/>
        <v>234.6560847</v>
      </c>
      <c r="BD445" s="9">
        <f t="shared" si="361"/>
        <v>234.6560847</v>
      </c>
      <c r="BE445" s="9">
        <f t="shared" si="361"/>
        <v>234.6560847</v>
      </c>
      <c r="BF445" s="9">
        <f t="shared" si="361"/>
        <v>234.6560847</v>
      </c>
      <c r="BG445" s="9">
        <f t="shared" si="361"/>
        <v>234.6560847</v>
      </c>
      <c r="BH445" s="9">
        <f t="shared" si="361"/>
        <v>234.6560847</v>
      </c>
      <c r="BI445" s="9">
        <f t="shared" si="361"/>
        <v>234.6560847</v>
      </c>
      <c r="BJ445" s="9">
        <f t="shared" si="361"/>
        <v>234.6560847</v>
      </c>
      <c r="BK445" s="9">
        <f t="shared" si="361"/>
        <v>234.6560847</v>
      </c>
      <c r="BL445" s="9">
        <f t="shared" si="361"/>
        <v>234.6560847</v>
      </c>
      <c r="BM445" s="9">
        <f t="shared" si="361"/>
        <v>234.6560847</v>
      </c>
      <c r="BN445" s="9">
        <f t="shared" si="361"/>
        <v>234.6560847</v>
      </c>
      <c r="BO445" s="9">
        <f t="shared" si="361"/>
        <v>234.6560847</v>
      </c>
      <c r="BP445" s="9">
        <f t="shared" si="361"/>
        <v>234.6560847</v>
      </c>
      <c r="BQ445" s="9">
        <f t="shared" si="361"/>
        <v>234.6560847</v>
      </c>
      <c r="BR445" s="9">
        <f t="shared" si="361"/>
        <v>234.6560847</v>
      </c>
      <c r="BS445" s="9">
        <f t="shared" si="361"/>
        <v>234.6560847</v>
      </c>
      <c r="BT445" s="9">
        <f t="shared" si="361"/>
        <v>234.6560847</v>
      </c>
      <c r="BU445" s="9">
        <f t="shared" si="361"/>
        <v>234.6560847</v>
      </c>
      <c r="BV445" s="9">
        <f t="shared" si="361"/>
        <v>234.6560847</v>
      </c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6">
        <v>44316.0</v>
      </c>
      <c r="AH446" s="9">
        <f t="shared" ref="AH446:BW446" si="362">+$AH$53*$U$58*$X$58</f>
        <v>156.4373898</v>
      </c>
      <c r="AI446" s="9">
        <f t="shared" si="362"/>
        <v>156.4373898</v>
      </c>
      <c r="AJ446" s="9">
        <f t="shared" si="362"/>
        <v>156.4373898</v>
      </c>
      <c r="AK446" s="9">
        <f t="shared" si="362"/>
        <v>156.4373898</v>
      </c>
      <c r="AL446" s="9">
        <f t="shared" si="362"/>
        <v>156.4373898</v>
      </c>
      <c r="AM446" s="9">
        <f t="shared" si="362"/>
        <v>156.4373898</v>
      </c>
      <c r="AN446" s="9">
        <f t="shared" si="362"/>
        <v>156.4373898</v>
      </c>
      <c r="AO446" s="9">
        <f t="shared" si="362"/>
        <v>156.4373898</v>
      </c>
      <c r="AP446" s="9">
        <f t="shared" si="362"/>
        <v>156.4373898</v>
      </c>
      <c r="AQ446" s="9">
        <f t="shared" si="362"/>
        <v>156.4373898</v>
      </c>
      <c r="AR446" s="9">
        <f t="shared" si="362"/>
        <v>156.4373898</v>
      </c>
      <c r="AS446" s="9">
        <f t="shared" si="362"/>
        <v>156.4373898</v>
      </c>
      <c r="AT446" s="9">
        <f t="shared" si="362"/>
        <v>156.4373898</v>
      </c>
      <c r="AU446" s="9">
        <f t="shared" si="362"/>
        <v>156.4373898</v>
      </c>
      <c r="AV446" s="9">
        <f t="shared" si="362"/>
        <v>156.4373898</v>
      </c>
      <c r="AW446" s="9">
        <f t="shared" si="362"/>
        <v>156.4373898</v>
      </c>
      <c r="AX446" s="9">
        <f t="shared" si="362"/>
        <v>156.4373898</v>
      </c>
      <c r="AY446" s="9">
        <f t="shared" si="362"/>
        <v>156.4373898</v>
      </c>
      <c r="AZ446" s="9">
        <f t="shared" si="362"/>
        <v>156.4373898</v>
      </c>
      <c r="BA446" s="9">
        <f t="shared" si="362"/>
        <v>156.4373898</v>
      </c>
      <c r="BB446" s="9">
        <f t="shared" si="362"/>
        <v>156.4373898</v>
      </c>
      <c r="BC446" s="9">
        <f t="shared" si="362"/>
        <v>156.4373898</v>
      </c>
      <c r="BD446" s="9">
        <f t="shared" si="362"/>
        <v>156.4373898</v>
      </c>
      <c r="BE446" s="9">
        <f t="shared" si="362"/>
        <v>156.4373898</v>
      </c>
      <c r="BF446" s="9">
        <f t="shared" si="362"/>
        <v>156.4373898</v>
      </c>
      <c r="BG446" s="9">
        <f t="shared" si="362"/>
        <v>156.4373898</v>
      </c>
      <c r="BH446" s="9">
        <f t="shared" si="362"/>
        <v>156.4373898</v>
      </c>
      <c r="BI446" s="9">
        <f t="shared" si="362"/>
        <v>156.4373898</v>
      </c>
      <c r="BJ446" s="9">
        <f t="shared" si="362"/>
        <v>156.4373898</v>
      </c>
      <c r="BK446" s="9">
        <f t="shared" si="362"/>
        <v>156.4373898</v>
      </c>
      <c r="BL446" s="9">
        <f t="shared" si="362"/>
        <v>156.4373898</v>
      </c>
      <c r="BM446" s="9">
        <f t="shared" si="362"/>
        <v>156.4373898</v>
      </c>
      <c r="BN446" s="9">
        <f t="shared" si="362"/>
        <v>156.4373898</v>
      </c>
      <c r="BO446" s="9">
        <f t="shared" si="362"/>
        <v>156.4373898</v>
      </c>
      <c r="BP446" s="9">
        <f t="shared" si="362"/>
        <v>156.4373898</v>
      </c>
      <c r="BQ446" s="9">
        <f t="shared" si="362"/>
        <v>156.4373898</v>
      </c>
      <c r="BR446" s="9">
        <f t="shared" si="362"/>
        <v>156.4373898</v>
      </c>
      <c r="BS446" s="9">
        <f t="shared" si="362"/>
        <v>156.4373898</v>
      </c>
      <c r="BT446" s="9">
        <f t="shared" si="362"/>
        <v>156.4373898</v>
      </c>
      <c r="BU446" s="9">
        <f t="shared" si="362"/>
        <v>156.4373898</v>
      </c>
      <c r="BV446" s="9">
        <f t="shared" si="362"/>
        <v>156.4373898</v>
      </c>
      <c r="BW446" s="9">
        <f t="shared" si="362"/>
        <v>156.4373898</v>
      </c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6">
        <v>44347.0</v>
      </c>
      <c r="AI447" s="9">
        <f t="shared" ref="AI447:BX447" si="363">+$AI$53*$U$58*$X$58</f>
        <v>156.4373898</v>
      </c>
      <c r="AJ447" s="9">
        <f t="shared" si="363"/>
        <v>156.4373898</v>
      </c>
      <c r="AK447" s="9">
        <f t="shared" si="363"/>
        <v>156.4373898</v>
      </c>
      <c r="AL447" s="9">
        <f t="shared" si="363"/>
        <v>156.4373898</v>
      </c>
      <c r="AM447" s="9">
        <f t="shared" si="363"/>
        <v>156.4373898</v>
      </c>
      <c r="AN447" s="9">
        <f t="shared" si="363"/>
        <v>156.4373898</v>
      </c>
      <c r="AO447" s="9">
        <f t="shared" si="363"/>
        <v>156.4373898</v>
      </c>
      <c r="AP447" s="9">
        <f t="shared" si="363"/>
        <v>156.4373898</v>
      </c>
      <c r="AQ447" s="9">
        <f t="shared" si="363"/>
        <v>156.4373898</v>
      </c>
      <c r="AR447" s="9">
        <f t="shared" si="363"/>
        <v>156.4373898</v>
      </c>
      <c r="AS447" s="9">
        <f t="shared" si="363"/>
        <v>156.4373898</v>
      </c>
      <c r="AT447" s="9">
        <f t="shared" si="363"/>
        <v>156.4373898</v>
      </c>
      <c r="AU447" s="9">
        <f t="shared" si="363"/>
        <v>156.4373898</v>
      </c>
      <c r="AV447" s="9">
        <f t="shared" si="363"/>
        <v>156.4373898</v>
      </c>
      <c r="AW447" s="9">
        <f t="shared" si="363"/>
        <v>156.4373898</v>
      </c>
      <c r="AX447" s="9">
        <f t="shared" si="363"/>
        <v>156.4373898</v>
      </c>
      <c r="AY447" s="9">
        <f t="shared" si="363"/>
        <v>156.4373898</v>
      </c>
      <c r="AZ447" s="9">
        <f t="shared" si="363"/>
        <v>156.4373898</v>
      </c>
      <c r="BA447" s="9">
        <f t="shared" si="363"/>
        <v>156.4373898</v>
      </c>
      <c r="BB447" s="9">
        <f t="shared" si="363"/>
        <v>156.4373898</v>
      </c>
      <c r="BC447" s="9">
        <f t="shared" si="363"/>
        <v>156.4373898</v>
      </c>
      <c r="BD447" s="9">
        <f t="shared" si="363"/>
        <v>156.4373898</v>
      </c>
      <c r="BE447" s="9">
        <f t="shared" si="363"/>
        <v>156.4373898</v>
      </c>
      <c r="BF447" s="9">
        <f t="shared" si="363"/>
        <v>156.4373898</v>
      </c>
      <c r="BG447" s="9">
        <f t="shared" si="363"/>
        <v>156.4373898</v>
      </c>
      <c r="BH447" s="9">
        <f t="shared" si="363"/>
        <v>156.4373898</v>
      </c>
      <c r="BI447" s="9">
        <f t="shared" si="363"/>
        <v>156.4373898</v>
      </c>
      <c r="BJ447" s="9">
        <f t="shared" si="363"/>
        <v>156.4373898</v>
      </c>
      <c r="BK447" s="9">
        <f t="shared" si="363"/>
        <v>156.4373898</v>
      </c>
      <c r="BL447" s="9">
        <f t="shared" si="363"/>
        <v>156.4373898</v>
      </c>
      <c r="BM447" s="9">
        <f t="shared" si="363"/>
        <v>156.4373898</v>
      </c>
      <c r="BN447" s="9">
        <f t="shared" si="363"/>
        <v>156.4373898</v>
      </c>
      <c r="BO447" s="9">
        <f t="shared" si="363"/>
        <v>156.4373898</v>
      </c>
      <c r="BP447" s="9">
        <f t="shared" si="363"/>
        <v>156.4373898</v>
      </c>
      <c r="BQ447" s="9">
        <f t="shared" si="363"/>
        <v>156.4373898</v>
      </c>
      <c r="BR447" s="9">
        <f t="shared" si="363"/>
        <v>156.4373898</v>
      </c>
      <c r="BS447" s="9">
        <f t="shared" si="363"/>
        <v>156.4373898</v>
      </c>
      <c r="BT447" s="9">
        <f t="shared" si="363"/>
        <v>156.4373898</v>
      </c>
      <c r="BU447" s="9">
        <f t="shared" si="363"/>
        <v>156.4373898</v>
      </c>
      <c r="BV447" s="9">
        <f t="shared" si="363"/>
        <v>156.4373898</v>
      </c>
      <c r="BW447" s="9">
        <f t="shared" si="363"/>
        <v>156.4373898</v>
      </c>
      <c r="BX447" s="9">
        <f t="shared" si="363"/>
        <v>156.4373898</v>
      </c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6">
        <v>44377.0</v>
      </c>
      <c r="AJ448" s="9">
        <f t="shared" ref="AJ448:BY448" si="364">+$AJ$53*$U$58*$X$58</f>
        <v>156.4373898</v>
      </c>
      <c r="AK448" s="9">
        <f t="shared" si="364"/>
        <v>156.4373898</v>
      </c>
      <c r="AL448" s="9">
        <f t="shared" si="364"/>
        <v>156.4373898</v>
      </c>
      <c r="AM448" s="9">
        <f t="shared" si="364"/>
        <v>156.4373898</v>
      </c>
      <c r="AN448" s="9">
        <f t="shared" si="364"/>
        <v>156.4373898</v>
      </c>
      <c r="AO448" s="9">
        <f t="shared" si="364"/>
        <v>156.4373898</v>
      </c>
      <c r="AP448" s="9">
        <f t="shared" si="364"/>
        <v>156.4373898</v>
      </c>
      <c r="AQ448" s="9">
        <f t="shared" si="364"/>
        <v>156.4373898</v>
      </c>
      <c r="AR448" s="9">
        <f t="shared" si="364"/>
        <v>156.4373898</v>
      </c>
      <c r="AS448" s="9">
        <f t="shared" si="364"/>
        <v>156.4373898</v>
      </c>
      <c r="AT448" s="9">
        <f t="shared" si="364"/>
        <v>156.4373898</v>
      </c>
      <c r="AU448" s="9">
        <f t="shared" si="364"/>
        <v>156.4373898</v>
      </c>
      <c r="AV448" s="9">
        <f t="shared" si="364"/>
        <v>156.4373898</v>
      </c>
      <c r="AW448" s="9">
        <f t="shared" si="364"/>
        <v>156.4373898</v>
      </c>
      <c r="AX448" s="9">
        <f t="shared" si="364"/>
        <v>156.4373898</v>
      </c>
      <c r="AY448" s="9">
        <f t="shared" si="364"/>
        <v>156.4373898</v>
      </c>
      <c r="AZ448" s="9">
        <f t="shared" si="364"/>
        <v>156.4373898</v>
      </c>
      <c r="BA448" s="9">
        <f t="shared" si="364"/>
        <v>156.4373898</v>
      </c>
      <c r="BB448" s="9">
        <f t="shared" si="364"/>
        <v>156.4373898</v>
      </c>
      <c r="BC448" s="9">
        <f t="shared" si="364"/>
        <v>156.4373898</v>
      </c>
      <c r="BD448" s="9">
        <f t="shared" si="364"/>
        <v>156.4373898</v>
      </c>
      <c r="BE448" s="9">
        <f t="shared" si="364"/>
        <v>156.4373898</v>
      </c>
      <c r="BF448" s="9">
        <f t="shared" si="364"/>
        <v>156.4373898</v>
      </c>
      <c r="BG448" s="9">
        <f t="shared" si="364"/>
        <v>156.4373898</v>
      </c>
      <c r="BH448" s="9">
        <f t="shared" si="364"/>
        <v>156.4373898</v>
      </c>
      <c r="BI448" s="9">
        <f t="shared" si="364"/>
        <v>156.4373898</v>
      </c>
      <c r="BJ448" s="9">
        <f t="shared" si="364"/>
        <v>156.4373898</v>
      </c>
      <c r="BK448" s="9">
        <f t="shared" si="364"/>
        <v>156.4373898</v>
      </c>
      <c r="BL448" s="9">
        <f t="shared" si="364"/>
        <v>156.4373898</v>
      </c>
      <c r="BM448" s="9">
        <f t="shared" si="364"/>
        <v>156.4373898</v>
      </c>
      <c r="BN448" s="9">
        <f t="shared" si="364"/>
        <v>156.4373898</v>
      </c>
      <c r="BO448" s="9">
        <f t="shared" si="364"/>
        <v>156.4373898</v>
      </c>
      <c r="BP448" s="9">
        <f t="shared" si="364"/>
        <v>156.4373898</v>
      </c>
      <c r="BQ448" s="9">
        <f t="shared" si="364"/>
        <v>156.4373898</v>
      </c>
      <c r="BR448" s="9">
        <f t="shared" si="364"/>
        <v>156.4373898</v>
      </c>
      <c r="BS448" s="9">
        <f t="shared" si="364"/>
        <v>156.4373898</v>
      </c>
      <c r="BT448" s="9">
        <f t="shared" si="364"/>
        <v>156.4373898</v>
      </c>
      <c r="BU448" s="9">
        <f t="shared" si="364"/>
        <v>156.4373898</v>
      </c>
      <c r="BV448" s="9">
        <f t="shared" si="364"/>
        <v>156.4373898</v>
      </c>
      <c r="BW448" s="9">
        <f t="shared" si="364"/>
        <v>156.4373898</v>
      </c>
      <c r="BX448" s="9">
        <f t="shared" si="364"/>
        <v>156.4373898</v>
      </c>
      <c r="BY448" s="9">
        <f t="shared" si="364"/>
        <v>156.4373898</v>
      </c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6">
        <v>44408.0</v>
      </c>
      <c r="AK449" s="9">
        <f t="shared" ref="AK449:BZ449" si="365">+$AK$53*$U$58*$X$58</f>
        <v>234.6560847</v>
      </c>
      <c r="AL449" s="9">
        <f t="shared" si="365"/>
        <v>234.6560847</v>
      </c>
      <c r="AM449" s="9">
        <f t="shared" si="365"/>
        <v>234.6560847</v>
      </c>
      <c r="AN449" s="9">
        <f t="shared" si="365"/>
        <v>234.6560847</v>
      </c>
      <c r="AO449" s="9">
        <f t="shared" si="365"/>
        <v>234.6560847</v>
      </c>
      <c r="AP449" s="9">
        <f t="shared" si="365"/>
        <v>234.6560847</v>
      </c>
      <c r="AQ449" s="9">
        <f t="shared" si="365"/>
        <v>234.6560847</v>
      </c>
      <c r="AR449" s="9">
        <f t="shared" si="365"/>
        <v>234.6560847</v>
      </c>
      <c r="AS449" s="9">
        <f t="shared" si="365"/>
        <v>234.6560847</v>
      </c>
      <c r="AT449" s="9">
        <f t="shared" si="365"/>
        <v>234.6560847</v>
      </c>
      <c r="AU449" s="9">
        <f t="shared" si="365"/>
        <v>234.6560847</v>
      </c>
      <c r="AV449" s="9">
        <f t="shared" si="365"/>
        <v>234.6560847</v>
      </c>
      <c r="AW449" s="9">
        <f t="shared" si="365"/>
        <v>234.6560847</v>
      </c>
      <c r="AX449" s="9">
        <f t="shared" si="365"/>
        <v>234.6560847</v>
      </c>
      <c r="AY449" s="9">
        <f t="shared" si="365"/>
        <v>234.6560847</v>
      </c>
      <c r="AZ449" s="9">
        <f t="shared" si="365"/>
        <v>234.6560847</v>
      </c>
      <c r="BA449" s="9">
        <f t="shared" si="365"/>
        <v>234.6560847</v>
      </c>
      <c r="BB449" s="9">
        <f t="shared" si="365"/>
        <v>234.6560847</v>
      </c>
      <c r="BC449" s="9">
        <f t="shared" si="365"/>
        <v>234.6560847</v>
      </c>
      <c r="BD449" s="9">
        <f t="shared" si="365"/>
        <v>234.6560847</v>
      </c>
      <c r="BE449" s="9">
        <f t="shared" si="365"/>
        <v>234.6560847</v>
      </c>
      <c r="BF449" s="9">
        <f t="shared" si="365"/>
        <v>234.6560847</v>
      </c>
      <c r="BG449" s="9">
        <f t="shared" si="365"/>
        <v>234.6560847</v>
      </c>
      <c r="BH449" s="9">
        <f t="shared" si="365"/>
        <v>234.6560847</v>
      </c>
      <c r="BI449" s="9">
        <f t="shared" si="365"/>
        <v>234.6560847</v>
      </c>
      <c r="BJ449" s="9">
        <f t="shared" si="365"/>
        <v>234.6560847</v>
      </c>
      <c r="BK449" s="9">
        <f t="shared" si="365"/>
        <v>234.6560847</v>
      </c>
      <c r="BL449" s="9">
        <f t="shared" si="365"/>
        <v>234.6560847</v>
      </c>
      <c r="BM449" s="9">
        <f t="shared" si="365"/>
        <v>234.6560847</v>
      </c>
      <c r="BN449" s="9">
        <f t="shared" si="365"/>
        <v>234.6560847</v>
      </c>
      <c r="BO449" s="9">
        <f t="shared" si="365"/>
        <v>234.6560847</v>
      </c>
      <c r="BP449" s="9">
        <f t="shared" si="365"/>
        <v>234.6560847</v>
      </c>
      <c r="BQ449" s="9">
        <f t="shared" si="365"/>
        <v>234.6560847</v>
      </c>
      <c r="BR449" s="9">
        <f t="shared" si="365"/>
        <v>234.6560847</v>
      </c>
      <c r="BS449" s="9">
        <f t="shared" si="365"/>
        <v>234.6560847</v>
      </c>
      <c r="BT449" s="9">
        <f t="shared" si="365"/>
        <v>234.6560847</v>
      </c>
      <c r="BU449" s="9">
        <f t="shared" si="365"/>
        <v>234.6560847</v>
      </c>
      <c r="BV449" s="9">
        <f t="shared" si="365"/>
        <v>234.6560847</v>
      </c>
      <c r="BW449" s="9">
        <f t="shared" si="365"/>
        <v>234.6560847</v>
      </c>
      <c r="BX449" s="9">
        <f t="shared" si="365"/>
        <v>234.6560847</v>
      </c>
      <c r="BY449" s="9">
        <f t="shared" si="365"/>
        <v>234.6560847</v>
      </c>
      <c r="BZ449" s="9">
        <f t="shared" si="365"/>
        <v>234.6560847</v>
      </c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6">
        <v>44439.0</v>
      </c>
      <c r="AL450" s="9">
        <f t="shared" ref="AL450:CA450" si="366">+$AL$53*$U$58*$X$58</f>
        <v>312.8747795</v>
      </c>
      <c r="AM450" s="9">
        <f t="shared" si="366"/>
        <v>312.8747795</v>
      </c>
      <c r="AN450" s="9">
        <f t="shared" si="366"/>
        <v>312.8747795</v>
      </c>
      <c r="AO450" s="9">
        <f t="shared" si="366"/>
        <v>312.8747795</v>
      </c>
      <c r="AP450" s="9">
        <f t="shared" si="366"/>
        <v>312.8747795</v>
      </c>
      <c r="AQ450" s="9">
        <f t="shared" si="366"/>
        <v>312.8747795</v>
      </c>
      <c r="AR450" s="9">
        <f t="shared" si="366"/>
        <v>312.8747795</v>
      </c>
      <c r="AS450" s="9">
        <f t="shared" si="366"/>
        <v>312.8747795</v>
      </c>
      <c r="AT450" s="9">
        <f t="shared" si="366"/>
        <v>312.8747795</v>
      </c>
      <c r="AU450" s="9">
        <f t="shared" si="366"/>
        <v>312.8747795</v>
      </c>
      <c r="AV450" s="9">
        <f t="shared" si="366"/>
        <v>312.8747795</v>
      </c>
      <c r="AW450" s="9">
        <f t="shared" si="366"/>
        <v>312.8747795</v>
      </c>
      <c r="AX450" s="9">
        <f t="shared" si="366"/>
        <v>312.8747795</v>
      </c>
      <c r="AY450" s="9">
        <f t="shared" si="366"/>
        <v>312.8747795</v>
      </c>
      <c r="AZ450" s="9">
        <f t="shared" si="366"/>
        <v>312.8747795</v>
      </c>
      <c r="BA450" s="9">
        <f t="shared" si="366"/>
        <v>312.8747795</v>
      </c>
      <c r="BB450" s="9">
        <f t="shared" si="366"/>
        <v>312.8747795</v>
      </c>
      <c r="BC450" s="9">
        <f t="shared" si="366"/>
        <v>312.8747795</v>
      </c>
      <c r="BD450" s="9">
        <f t="shared" si="366"/>
        <v>312.8747795</v>
      </c>
      <c r="BE450" s="9">
        <f t="shared" si="366"/>
        <v>312.8747795</v>
      </c>
      <c r="BF450" s="9">
        <f t="shared" si="366"/>
        <v>312.8747795</v>
      </c>
      <c r="BG450" s="9">
        <f t="shared" si="366"/>
        <v>312.8747795</v>
      </c>
      <c r="BH450" s="9">
        <f t="shared" si="366"/>
        <v>312.8747795</v>
      </c>
      <c r="BI450" s="9">
        <f t="shared" si="366"/>
        <v>312.8747795</v>
      </c>
      <c r="BJ450" s="9">
        <f t="shared" si="366"/>
        <v>312.8747795</v>
      </c>
      <c r="BK450" s="9">
        <f t="shared" si="366"/>
        <v>312.8747795</v>
      </c>
      <c r="BL450" s="9">
        <f t="shared" si="366"/>
        <v>312.8747795</v>
      </c>
      <c r="BM450" s="9">
        <f t="shared" si="366"/>
        <v>312.8747795</v>
      </c>
      <c r="BN450" s="9">
        <f t="shared" si="366"/>
        <v>312.8747795</v>
      </c>
      <c r="BO450" s="9">
        <f t="shared" si="366"/>
        <v>312.8747795</v>
      </c>
      <c r="BP450" s="9">
        <f t="shared" si="366"/>
        <v>312.8747795</v>
      </c>
      <c r="BQ450" s="9">
        <f t="shared" si="366"/>
        <v>312.8747795</v>
      </c>
      <c r="BR450" s="9">
        <f t="shared" si="366"/>
        <v>312.8747795</v>
      </c>
      <c r="BS450" s="9">
        <f t="shared" si="366"/>
        <v>312.8747795</v>
      </c>
      <c r="BT450" s="9">
        <f t="shared" si="366"/>
        <v>312.8747795</v>
      </c>
      <c r="BU450" s="9">
        <f t="shared" si="366"/>
        <v>312.8747795</v>
      </c>
      <c r="BV450" s="9">
        <f t="shared" si="366"/>
        <v>312.8747795</v>
      </c>
      <c r="BW450" s="9">
        <f t="shared" si="366"/>
        <v>312.8747795</v>
      </c>
      <c r="BX450" s="9">
        <f t="shared" si="366"/>
        <v>312.8747795</v>
      </c>
      <c r="BY450" s="9">
        <f t="shared" si="366"/>
        <v>312.8747795</v>
      </c>
      <c r="BZ450" s="9">
        <f t="shared" si="366"/>
        <v>312.8747795</v>
      </c>
      <c r="CA450" s="9">
        <f t="shared" si="366"/>
        <v>312.8747795</v>
      </c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6">
        <v>44469.0</v>
      </c>
      <c r="AM451" s="9">
        <f t="shared" ref="AM451:CB451" si="367">+$AM$53*$U$58*$X$58</f>
        <v>469.3121693</v>
      </c>
      <c r="AN451" s="9">
        <f t="shared" si="367"/>
        <v>469.3121693</v>
      </c>
      <c r="AO451" s="9">
        <f t="shared" si="367"/>
        <v>469.3121693</v>
      </c>
      <c r="AP451" s="9">
        <f t="shared" si="367"/>
        <v>469.3121693</v>
      </c>
      <c r="AQ451" s="9">
        <f t="shared" si="367"/>
        <v>469.3121693</v>
      </c>
      <c r="AR451" s="9">
        <f t="shared" si="367"/>
        <v>469.3121693</v>
      </c>
      <c r="AS451" s="9">
        <f t="shared" si="367"/>
        <v>469.3121693</v>
      </c>
      <c r="AT451" s="9">
        <f t="shared" si="367"/>
        <v>469.3121693</v>
      </c>
      <c r="AU451" s="9">
        <f t="shared" si="367"/>
        <v>469.3121693</v>
      </c>
      <c r="AV451" s="9">
        <f t="shared" si="367"/>
        <v>469.3121693</v>
      </c>
      <c r="AW451" s="9">
        <f t="shared" si="367"/>
        <v>469.3121693</v>
      </c>
      <c r="AX451" s="9">
        <f t="shared" si="367"/>
        <v>469.3121693</v>
      </c>
      <c r="AY451" s="9">
        <f t="shared" si="367"/>
        <v>469.3121693</v>
      </c>
      <c r="AZ451" s="9">
        <f t="shared" si="367"/>
        <v>469.3121693</v>
      </c>
      <c r="BA451" s="9">
        <f t="shared" si="367"/>
        <v>469.3121693</v>
      </c>
      <c r="BB451" s="9">
        <f t="shared" si="367"/>
        <v>469.3121693</v>
      </c>
      <c r="BC451" s="9">
        <f t="shared" si="367"/>
        <v>469.3121693</v>
      </c>
      <c r="BD451" s="9">
        <f t="shared" si="367"/>
        <v>469.3121693</v>
      </c>
      <c r="BE451" s="9">
        <f t="shared" si="367"/>
        <v>469.3121693</v>
      </c>
      <c r="BF451" s="9">
        <f t="shared" si="367"/>
        <v>469.3121693</v>
      </c>
      <c r="BG451" s="9">
        <f t="shared" si="367"/>
        <v>469.3121693</v>
      </c>
      <c r="BH451" s="9">
        <f t="shared" si="367"/>
        <v>469.3121693</v>
      </c>
      <c r="BI451" s="9">
        <f t="shared" si="367"/>
        <v>469.3121693</v>
      </c>
      <c r="BJ451" s="9">
        <f t="shared" si="367"/>
        <v>469.3121693</v>
      </c>
      <c r="BK451" s="9">
        <f t="shared" si="367"/>
        <v>469.3121693</v>
      </c>
      <c r="BL451" s="9">
        <f t="shared" si="367"/>
        <v>469.3121693</v>
      </c>
      <c r="BM451" s="9">
        <f t="shared" si="367"/>
        <v>469.3121693</v>
      </c>
      <c r="BN451" s="9">
        <f t="shared" si="367"/>
        <v>469.3121693</v>
      </c>
      <c r="BO451" s="9">
        <f t="shared" si="367"/>
        <v>469.3121693</v>
      </c>
      <c r="BP451" s="9">
        <f t="shared" si="367"/>
        <v>469.3121693</v>
      </c>
      <c r="BQ451" s="9">
        <f t="shared" si="367"/>
        <v>469.3121693</v>
      </c>
      <c r="BR451" s="9">
        <f t="shared" si="367"/>
        <v>469.3121693</v>
      </c>
      <c r="BS451" s="9">
        <f t="shared" si="367"/>
        <v>469.3121693</v>
      </c>
      <c r="BT451" s="9">
        <f t="shared" si="367"/>
        <v>469.3121693</v>
      </c>
      <c r="BU451" s="9">
        <f t="shared" si="367"/>
        <v>469.3121693</v>
      </c>
      <c r="BV451" s="9">
        <f t="shared" si="367"/>
        <v>469.3121693</v>
      </c>
      <c r="BW451" s="9">
        <f t="shared" si="367"/>
        <v>469.3121693</v>
      </c>
      <c r="BX451" s="9">
        <f t="shared" si="367"/>
        <v>469.3121693</v>
      </c>
      <c r="BY451" s="9">
        <f t="shared" si="367"/>
        <v>469.3121693</v>
      </c>
      <c r="BZ451" s="9">
        <f t="shared" si="367"/>
        <v>469.3121693</v>
      </c>
      <c r="CA451" s="9">
        <f t="shared" si="367"/>
        <v>469.3121693</v>
      </c>
      <c r="CB451" s="9">
        <f t="shared" si="367"/>
        <v>469.3121693</v>
      </c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6">
        <v>44500.0</v>
      </c>
      <c r="AN452" s="9">
        <f t="shared" ref="AN452:CC452" si="368">+$AN$53*$U$58*$X$58</f>
        <v>112.6349206</v>
      </c>
      <c r="AO452" s="9">
        <f t="shared" si="368"/>
        <v>112.6349206</v>
      </c>
      <c r="AP452" s="9">
        <f t="shared" si="368"/>
        <v>112.6349206</v>
      </c>
      <c r="AQ452" s="9">
        <f t="shared" si="368"/>
        <v>112.6349206</v>
      </c>
      <c r="AR452" s="9">
        <f t="shared" si="368"/>
        <v>112.6349206</v>
      </c>
      <c r="AS452" s="9">
        <f t="shared" si="368"/>
        <v>112.6349206</v>
      </c>
      <c r="AT452" s="9">
        <f t="shared" si="368"/>
        <v>112.6349206</v>
      </c>
      <c r="AU452" s="9">
        <f t="shared" si="368"/>
        <v>112.6349206</v>
      </c>
      <c r="AV452" s="9">
        <f t="shared" si="368"/>
        <v>112.6349206</v>
      </c>
      <c r="AW452" s="9">
        <f t="shared" si="368"/>
        <v>112.6349206</v>
      </c>
      <c r="AX452" s="9">
        <f t="shared" si="368"/>
        <v>112.6349206</v>
      </c>
      <c r="AY452" s="9">
        <f t="shared" si="368"/>
        <v>112.6349206</v>
      </c>
      <c r="AZ452" s="9">
        <f t="shared" si="368"/>
        <v>112.6349206</v>
      </c>
      <c r="BA452" s="9">
        <f t="shared" si="368"/>
        <v>112.6349206</v>
      </c>
      <c r="BB452" s="9">
        <f t="shared" si="368"/>
        <v>112.6349206</v>
      </c>
      <c r="BC452" s="9">
        <f t="shared" si="368"/>
        <v>112.6349206</v>
      </c>
      <c r="BD452" s="9">
        <f t="shared" si="368"/>
        <v>112.6349206</v>
      </c>
      <c r="BE452" s="9">
        <f t="shared" si="368"/>
        <v>112.6349206</v>
      </c>
      <c r="BF452" s="9">
        <f t="shared" si="368"/>
        <v>112.6349206</v>
      </c>
      <c r="BG452" s="9">
        <f t="shared" si="368"/>
        <v>112.6349206</v>
      </c>
      <c r="BH452" s="9">
        <f t="shared" si="368"/>
        <v>112.6349206</v>
      </c>
      <c r="BI452" s="9">
        <f t="shared" si="368"/>
        <v>112.6349206</v>
      </c>
      <c r="BJ452" s="9">
        <f t="shared" si="368"/>
        <v>112.6349206</v>
      </c>
      <c r="BK452" s="9">
        <f t="shared" si="368"/>
        <v>112.6349206</v>
      </c>
      <c r="BL452" s="9">
        <f t="shared" si="368"/>
        <v>112.6349206</v>
      </c>
      <c r="BM452" s="9">
        <f t="shared" si="368"/>
        <v>112.6349206</v>
      </c>
      <c r="BN452" s="9">
        <f t="shared" si="368"/>
        <v>112.6349206</v>
      </c>
      <c r="BO452" s="9">
        <f t="shared" si="368"/>
        <v>112.6349206</v>
      </c>
      <c r="BP452" s="9">
        <f t="shared" si="368"/>
        <v>112.6349206</v>
      </c>
      <c r="BQ452" s="9">
        <f t="shared" si="368"/>
        <v>112.6349206</v>
      </c>
      <c r="BR452" s="9">
        <f t="shared" si="368"/>
        <v>112.6349206</v>
      </c>
      <c r="BS452" s="9">
        <f t="shared" si="368"/>
        <v>112.6349206</v>
      </c>
      <c r="BT452" s="9">
        <f t="shared" si="368"/>
        <v>112.6349206</v>
      </c>
      <c r="BU452" s="9">
        <f t="shared" si="368"/>
        <v>112.6349206</v>
      </c>
      <c r="BV452" s="9">
        <f t="shared" si="368"/>
        <v>112.6349206</v>
      </c>
      <c r="BW452" s="9">
        <f t="shared" si="368"/>
        <v>112.6349206</v>
      </c>
      <c r="BX452" s="9">
        <f t="shared" si="368"/>
        <v>112.6349206</v>
      </c>
      <c r="BY452" s="9">
        <f t="shared" si="368"/>
        <v>112.6349206</v>
      </c>
      <c r="BZ452" s="9">
        <f t="shared" si="368"/>
        <v>112.6349206</v>
      </c>
      <c r="CA452" s="9">
        <f t="shared" si="368"/>
        <v>112.6349206</v>
      </c>
      <c r="CB452" s="9">
        <f t="shared" si="368"/>
        <v>112.6349206</v>
      </c>
      <c r="CC452" s="9">
        <f t="shared" si="368"/>
        <v>112.6349206</v>
      </c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6">
        <v>44530.0</v>
      </c>
      <c r="AO453" s="9">
        <f t="shared" ref="AO453:CD453" si="369">+$AO$53*$U$58*$X$58</f>
        <v>112.6349206</v>
      </c>
      <c r="AP453" s="9">
        <f t="shared" si="369"/>
        <v>112.6349206</v>
      </c>
      <c r="AQ453" s="9">
        <f t="shared" si="369"/>
        <v>112.6349206</v>
      </c>
      <c r="AR453" s="9">
        <f t="shared" si="369"/>
        <v>112.6349206</v>
      </c>
      <c r="AS453" s="9">
        <f t="shared" si="369"/>
        <v>112.6349206</v>
      </c>
      <c r="AT453" s="9">
        <f t="shared" si="369"/>
        <v>112.6349206</v>
      </c>
      <c r="AU453" s="9">
        <f t="shared" si="369"/>
        <v>112.6349206</v>
      </c>
      <c r="AV453" s="9">
        <f t="shared" si="369"/>
        <v>112.6349206</v>
      </c>
      <c r="AW453" s="9">
        <f t="shared" si="369"/>
        <v>112.6349206</v>
      </c>
      <c r="AX453" s="9">
        <f t="shared" si="369"/>
        <v>112.6349206</v>
      </c>
      <c r="AY453" s="9">
        <f t="shared" si="369"/>
        <v>112.6349206</v>
      </c>
      <c r="AZ453" s="9">
        <f t="shared" si="369"/>
        <v>112.6349206</v>
      </c>
      <c r="BA453" s="9">
        <f t="shared" si="369"/>
        <v>112.6349206</v>
      </c>
      <c r="BB453" s="9">
        <f t="shared" si="369"/>
        <v>112.6349206</v>
      </c>
      <c r="BC453" s="9">
        <f t="shared" si="369"/>
        <v>112.6349206</v>
      </c>
      <c r="BD453" s="9">
        <f t="shared" si="369"/>
        <v>112.6349206</v>
      </c>
      <c r="BE453" s="9">
        <f t="shared" si="369"/>
        <v>112.6349206</v>
      </c>
      <c r="BF453" s="9">
        <f t="shared" si="369"/>
        <v>112.6349206</v>
      </c>
      <c r="BG453" s="9">
        <f t="shared" si="369"/>
        <v>112.6349206</v>
      </c>
      <c r="BH453" s="9">
        <f t="shared" si="369"/>
        <v>112.6349206</v>
      </c>
      <c r="BI453" s="9">
        <f t="shared" si="369"/>
        <v>112.6349206</v>
      </c>
      <c r="BJ453" s="9">
        <f t="shared" si="369"/>
        <v>112.6349206</v>
      </c>
      <c r="BK453" s="9">
        <f t="shared" si="369"/>
        <v>112.6349206</v>
      </c>
      <c r="BL453" s="9">
        <f t="shared" si="369"/>
        <v>112.6349206</v>
      </c>
      <c r="BM453" s="9">
        <f t="shared" si="369"/>
        <v>112.6349206</v>
      </c>
      <c r="BN453" s="9">
        <f t="shared" si="369"/>
        <v>112.6349206</v>
      </c>
      <c r="BO453" s="9">
        <f t="shared" si="369"/>
        <v>112.6349206</v>
      </c>
      <c r="BP453" s="9">
        <f t="shared" si="369"/>
        <v>112.6349206</v>
      </c>
      <c r="BQ453" s="9">
        <f t="shared" si="369"/>
        <v>112.6349206</v>
      </c>
      <c r="BR453" s="9">
        <f t="shared" si="369"/>
        <v>112.6349206</v>
      </c>
      <c r="BS453" s="9">
        <f t="shared" si="369"/>
        <v>112.6349206</v>
      </c>
      <c r="BT453" s="9">
        <f t="shared" si="369"/>
        <v>112.6349206</v>
      </c>
      <c r="BU453" s="9">
        <f t="shared" si="369"/>
        <v>112.6349206</v>
      </c>
      <c r="BV453" s="9">
        <f t="shared" si="369"/>
        <v>112.6349206</v>
      </c>
      <c r="BW453" s="9">
        <f t="shared" si="369"/>
        <v>112.6349206</v>
      </c>
      <c r="BX453" s="9">
        <f t="shared" si="369"/>
        <v>112.6349206</v>
      </c>
      <c r="BY453" s="9">
        <f t="shared" si="369"/>
        <v>112.6349206</v>
      </c>
      <c r="BZ453" s="9">
        <f t="shared" si="369"/>
        <v>112.6349206</v>
      </c>
      <c r="CA453" s="9">
        <f t="shared" si="369"/>
        <v>112.6349206</v>
      </c>
      <c r="CB453" s="9">
        <f t="shared" si="369"/>
        <v>112.6349206</v>
      </c>
      <c r="CC453" s="9">
        <f t="shared" si="369"/>
        <v>112.6349206</v>
      </c>
      <c r="CD453" s="9">
        <f t="shared" si="369"/>
        <v>112.6349206</v>
      </c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6">
        <v>44561.0</v>
      </c>
      <c r="AP454" s="9">
        <f t="shared" ref="AP454:CE454" si="370">+$AP$53*$U$58*$X$58</f>
        <v>156.4373898</v>
      </c>
      <c r="AQ454" s="9">
        <f t="shared" si="370"/>
        <v>156.4373898</v>
      </c>
      <c r="AR454" s="9">
        <f t="shared" si="370"/>
        <v>156.4373898</v>
      </c>
      <c r="AS454" s="9">
        <f t="shared" si="370"/>
        <v>156.4373898</v>
      </c>
      <c r="AT454" s="9">
        <f t="shared" si="370"/>
        <v>156.4373898</v>
      </c>
      <c r="AU454" s="9">
        <f t="shared" si="370"/>
        <v>156.4373898</v>
      </c>
      <c r="AV454" s="9">
        <f t="shared" si="370"/>
        <v>156.4373898</v>
      </c>
      <c r="AW454" s="9">
        <f t="shared" si="370"/>
        <v>156.4373898</v>
      </c>
      <c r="AX454" s="9">
        <f t="shared" si="370"/>
        <v>156.4373898</v>
      </c>
      <c r="AY454" s="9">
        <f t="shared" si="370"/>
        <v>156.4373898</v>
      </c>
      <c r="AZ454" s="9">
        <f t="shared" si="370"/>
        <v>156.4373898</v>
      </c>
      <c r="BA454" s="9">
        <f t="shared" si="370"/>
        <v>156.4373898</v>
      </c>
      <c r="BB454" s="9">
        <f t="shared" si="370"/>
        <v>156.4373898</v>
      </c>
      <c r="BC454" s="9">
        <f t="shared" si="370"/>
        <v>156.4373898</v>
      </c>
      <c r="BD454" s="9">
        <f t="shared" si="370"/>
        <v>156.4373898</v>
      </c>
      <c r="BE454" s="9">
        <f t="shared" si="370"/>
        <v>156.4373898</v>
      </c>
      <c r="BF454" s="9">
        <f t="shared" si="370"/>
        <v>156.4373898</v>
      </c>
      <c r="BG454" s="9">
        <f t="shared" si="370"/>
        <v>156.4373898</v>
      </c>
      <c r="BH454" s="9">
        <f t="shared" si="370"/>
        <v>156.4373898</v>
      </c>
      <c r="BI454" s="9">
        <f t="shared" si="370"/>
        <v>156.4373898</v>
      </c>
      <c r="BJ454" s="9">
        <f t="shared" si="370"/>
        <v>156.4373898</v>
      </c>
      <c r="BK454" s="9">
        <f t="shared" si="370"/>
        <v>156.4373898</v>
      </c>
      <c r="BL454" s="9">
        <f t="shared" si="370"/>
        <v>156.4373898</v>
      </c>
      <c r="BM454" s="9">
        <f t="shared" si="370"/>
        <v>156.4373898</v>
      </c>
      <c r="BN454" s="9">
        <f t="shared" si="370"/>
        <v>156.4373898</v>
      </c>
      <c r="BO454" s="9">
        <f t="shared" si="370"/>
        <v>156.4373898</v>
      </c>
      <c r="BP454" s="9">
        <f t="shared" si="370"/>
        <v>156.4373898</v>
      </c>
      <c r="BQ454" s="9">
        <f t="shared" si="370"/>
        <v>156.4373898</v>
      </c>
      <c r="BR454" s="9">
        <f t="shared" si="370"/>
        <v>156.4373898</v>
      </c>
      <c r="BS454" s="9">
        <f t="shared" si="370"/>
        <v>156.4373898</v>
      </c>
      <c r="BT454" s="9">
        <f t="shared" si="370"/>
        <v>156.4373898</v>
      </c>
      <c r="BU454" s="9">
        <f t="shared" si="370"/>
        <v>156.4373898</v>
      </c>
      <c r="BV454" s="9">
        <f t="shared" si="370"/>
        <v>156.4373898</v>
      </c>
      <c r="BW454" s="9">
        <f t="shared" si="370"/>
        <v>156.4373898</v>
      </c>
      <c r="BX454" s="9">
        <f t="shared" si="370"/>
        <v>156.4373898</v>
      </c>
      <c r="BY454" s="9">
        <f t="shared" si="370"/>
        <v>156.4373898</v>
      </c>
      <c r="BZ454" s="9">
        <f t="shared" si="370"/>
        <v>156.4373898</v>
      </c>
      <c r="CA454" s="9">
        <f t="shared" si="370"/>
        <v>156.4373898</v>
      </c>
      <c r="CB454" s="9">
        <f t="shared" si="370"/>
        <v>156.4373898</v>
      </c>
      <c r="CC454" s="9">
        <f t="shared" si="370"/>
        <v>156.4373898</v>
      </c>
      <c r="CD454" s="9">
        <f t="shared" si="370"/>
        <v>156.4373898</v>
      </c>
      <c r="CE454" s="9">
        <f t="shared" si="370"/>
        <v>156.4373898</v>
      </c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6">
        <v>44592.0</v>
      </c>
      <c r="AQ455" s="9">
        <f t="shared" ref="AQ455:CF455" si="371">+$AQ$53*$U$58*$X$58</f>
        <v>156.4373898</v>
      </c>
      <c r="AR455" s="9">
        <f t="shared" si="371"/>
        <v>156.4373898</v>
      </c>
      <c r="AS455" s="9">
        <f t="shared" si="371"/>
        <v>156.4373898</v>
      </c>
      <c r="AT455" s="9">
        <f t="shared" si="371"/>
        <v>156.4373898</v>
      </c>
      <c r="AU455" s="9">
        <f t="shared" si="371"/>
        <v>156.4373898</v>
      </c>
      <c r="AV455" s="9">
        <f t="shared" si="371"/>
        <v>156.4373898</v>
      </c>
      <c r="AW455" s="9">
        <f t="shared" si="371"/>
        <v>156.4373898</v>
      </c>
      <c r="AX455" s="9">
        <f t="shared" si="371"/>
        <v>156.4373898</v>
      </c>
      <c r="AY455" s="9">
        <f t="shared" si="371"/>
        <v>156.4373898</v>
      </c>
      <c r="AZ455" s="9">
        <f t="shared" si="371"/>
        <v>156.4373898</v>
      </c>
      <c r="BA455" s="9">
        <f t="shared" si="371"/>
        <v>156.4373898</v>
      </c>
      <c r="BB455" s="9">
        <f t="shared" si="371"/>
        <v>156.4373898</v>
      </c>
      <c r="BC455" s="9">
        <f t="shared" si="371"/>
        <v>156.4373898</v>
      </c>
      <c r="BD455" s="9">
        <f t="shared" si="371"/>
        <v>156.4373898</v>
      </c>
      <c r="BE455" s="9">
        <f t="shared" si="371"/>
        <v>156.4373898</v>
      </c>
      <c r="BF455" s="9">
        <f t="shared" si="371"/>
        <v>156.4373898</v>
      </c>
      <c r="BG455" s="9">
        <f t="shared" si="371"/>
        <v>156.4373898</v>
      </c>
      <c r="BH455" s="9">
        <f t="shared" si="371"/>
        <v>156.4373898</v>
      </c>
      <c r="BI455" s="9">
        <f t="shared" si="371"/>
        <v>156.4373898</v>
      </c>
      <c r="BJ455" s="9">
        <f t="shared" si="371"/>
        <v>156.4373898</v>
      </c>
      <c r="BK455" s="9">
        <f t="shared" si="371"/>
        <v>156.4373898</v>
      </c>
      <c r="BL455" s="9">
        <f t="shared" si="371"/>
        <v>156.4373898</v>
      </c>
      <c r="BM455" s="9">
        <f t="shared" si="371"/>
        <v>156.4373898</v>
      </c>
      <c r="BN455" s="9">
        <f t="shared" si="371"/>
        <v>156.4373898</v>
      </c>
      <c r="BO455" s="9">
        <f t="shared" si="371"/>
        <v>156.4373898</v>
      </c>
      <c r="BP455" s="9">
        <f t="shared" si="371"/>
        <v>156.4373898</v>
      </c>
      <c r="BQ455" s="9">
        <f t="shared" si="371"/>
        <v>156.4373898</v>
      </c>
      <c r="BR455" s="9">
        <f t="shared" si="371"/>
        <v>156.4373898</v>
      </c>
      <c r="BS455" s="9">
        <f t="shared" si="371"/>
        <v>156.4373898</v>
      </c>
      <c r="BT455" s="9">
        <f t="shared" si="371"/>
        <v>156.4373898</v>
      </c>
      <c r="BU455" s="9">
        <f t="shared" si="371"/>
        <v>156.4373898</v>
      </c>
      <c r="BV455" s="9">
        <f t="shared" si="371"/>
        <v>156.4373898</v>
      </c>
      <c r="BW455" s="9">
        <f t="shared" si="371"/>
        <v>156.4373898</v>
      </c>
      <c r="BX455" s="9">
        <f t="shared" si="371"/>
        <v>156.4373898</v>
      </c>
      <c r="BY455" s="9">
        <f t="shared" si="371"/>
        <v>156.4373898</v>
      </c>
      <c r="BZ455" s="9">
        <f t="shared" si="371"/>
        <v>156.4373898</v>
      </c>
      <c r="CA455" s="9">
        <f t="shared" si="371"/>
        <v>156.4373898</v>
      </c>
      <c r="CB455" s="9">
        <f t="shared" si="371"/>
        <v>156.4373898</v>
      </c>
      <c r="CC455" s="9">
        <f t="shared" si="371"/>
        <v>156.4373898</v>
      </c>
      <c r="CD455" s="9">
        <f t="shared" si="371"/>
        <v>156.4373898</v>
      </c>
      <c r="CE455" s="9">
        <f t="shared" si="371"/>
        <v>156.4373898</v>
      </c>
      <c r="CF455" s="9">
        <f t="shared" si="371"/>
        <v>156.4373898</v>
      </c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6">
        <v>44620.0</v>
      </c>
      <c r="AR456" s="9">
        <f t="shared" ref="AR456:CG456" si="372">+$AR$53*$U$58*$X$58</f>
        <v>156.4373898</v>
      </c>
      <c r="AS456" s="9">
        <f t="shared" si="372"/>
        <v>156.4373898</v>
      </c>
      <c r="AT456" s="9">
        <f t="shared" si="372"/>
        <v>156.4373898</v>
      </c>
      <c r="AU456" s="9">
        <f t="shared" si="372"/>
        <v>156.4373898</v>
      </c>
      <c r="AV456" s="9">
        <f t="shared" si="372"/>
        <v>156.4373898</v>
      </c>
      <c r="AW456" s="9">
        <f t="shared" si="372"/>
        <v>156.4373898</v>
      </c>
      <c r="AX456" s="9">
        <f t="shared" si="372"/>
        <v>156.4373898</v>
      </c>
      <c r="AY456" s="9">
        <f t="shared" si="372"/>
        <v>156.4373898</v>
      </c>
      <c r="AZ456" s="9">
        <f t="shared" si="372"/>
        <v>156.4373898</v>
      </c>
      <c r="BA456" s="9">
        <f t="shared" si="372"/>
        <v>156.4373898</v>
      </c>
      <c r="BB456" s="9">
        <f t="shared" si="372"/>
        <v>156.4373898</v>
      </c>
      <c r="BC456" s="9">
        <f t="shared" si="372"/>
        <v>156.4373898</v>
      </c>
      <c r="BD456" s="9">
        <f t="shared" si="372"/>
        <v>156.4373898</v>
      </c>
      <c r="BE456" s="9">
        <f t="shared" si="372"/>
        <v>156.4373898</v>
      </c>
      <c r="BF456" s="9">
        <f t="shared" si="372"/>
        <v>156.4373898</v>
      </c>
      <c r="BG456" s="9">
        <f t="shared" si="372"/>
        <v>156.4373898</v>
      </c>
      <c r="BH456" s="9">
        <f t="shared" si="372"/>
        <v>156.4373898</v>
      </c>
      <c r="BI456" s="9">
        <f t="shared" si="372"/>
        <v>156.4373898</v>
      </c>
      <c r="BJ456" s="9">
        <f t="shared" si="372"/>
        <v>156.4373898</v>
      </c>
      <c r="BK456" s="9">
        <f t="shared" si="372"/>
        <v>156.4373898</v>
      </c>
      <c r="BL456" s="9">
        <f t="shared" si="372"/>
        <v>156.4373898</v>
      </c>
      <c r="BM456" s="9">
        <f t="shared" si="372"/>
        <v>156.4373898</v>
      </c>
      <c r="BN456" s="9">
        <f t="shared" si="372"/>
        <v>156.4373898</v>
      </c>
      <c r="BO456" s="9">
        <f t="shared" si="372"/>
        <v>156.4373898</v>
      </c>
      <c r="BP456" s="9">
        <f t="shared" si="372"/>
        <v>156.4373898</v>
      </c>
      <c r="BQ456" s="9">
        <f t="shared" si="372"/>
        <v>156.4373898</v>
      </c>
      <c r="BR456" s="9">
        <f t="shared" si="372"/>
        <v>156.4373898</v>
      </c>
      <c r="BS456" s="9">
        <f t="shared" si="372"/>
        <v>156.4373898</v>
      </c>
      <c r="BT456" s="9">
        <f t="shared" si="372"/>
        <v>156.4373898</v>
      </c>
      <c r="BU456" s="9">
        <f t="shared" si="372"/>
        <v>156.4373898</v>
      </c>
      <c r="BV456" s="9">
        <f t="shared" si="372"/>
        <v>156.4373898</v>
      </c>
      <c r="BW456" s="9">
        <f t="shared" si="372"/>
        <v>156.4373898</v>
      </c>
      <c r="BX456" s="9">
        <f t="shared" si="372"/>
        <v>156.4373898</v>
      </c>
      <c r="BY456" s="9">
        <f t="shared" si="372"/>
        <v>156.4373898</v>
      </c>
      <c r="BZ456" s="9">
        <f t="shared" si="372"/>
        <v>156.4373898</v>
      </c>
      <c r="CA456" s="9">
        <f t="shared" si="372"/>
        <v>156.4373898</v>
      </c>
      <c r="CB456" s="9">
        <f t="shared" si="372"/>
        <v>156.4373898</v>
      </c>
      <c r="CC456" s="9">
        <f t="shared" si="372"/>
        <v>156.4373898</v>
      </c>
      <c r="CD456" s="9">
        <f t="shared" si="372"/>
        <v>156.4373898</v>
      </c>
      <c r="CE456" s="9">
        <f t="shared" si="372"/>
        <v>156.4373898</v>
      </c>
      <c r="CF456" s="9">
        <f t="shared" si="372"/>
        <v>156.4373898</v>
      </c>
      <c r="CG456" s="9">
        <f t="shared" si="372"/>
        <v>156.4373898</v>
      </c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6">
        <v>44651.0</v>
      </c>
      <c r="AS457" s="9">
        <f t="shared" ref="AS457:CH457" si="373">+$AS$53*$U$58*$X$58</f>
        <v>156.4373898</v>
      </c>
      <c r="AT457" s="9">
        <f t="shared" si="373"/>
        <v>156.4373898</v>
      </c>
      <c r="AU457" s="9">
        <f t="shared" si="373"/>
        <v>156.4373898</v>
      </c>
      <c r="AV457" s="9">
        <f t="shared" si="373"/>
        <v>156.4373898</v>
      </c>
      <c r="AW457" s="9">
        <f t="shared" si="373"/>
        <v>156.4373898</v>
      </c>
      <c r="AX457" s="9">
        <f t="shared" si="373"/>
        <v>156.4373898</v>
      </c>
      <c r="AY457" s="9">
        <f t="shared" si="373"/>
        <v>156.4373898</v>
      </c>
      <c r="AZ457" s="9">
        <f t="shared" si="373"/>
        <v>156.4373898</v>
      </c>
      <c r="BA457" s="9">
        <f t="shared" si="373"/>
        <v>156.4373898</v>
      </c>
      <c r="BB457" s="9">
        <f t="shared" si="373"/>
        <v>156.4373898</v>
      </c>
      <c r="BC457" s="9">
        <f t="shared" si="373"/>
        <v>156.4373898</v>
      </c>
      <c r="BD457" s="9">
        <f t="shared" si="373"/>
        <v>156.4373898</v>
      </c>
      <c r="BE457" s="9">
        <f t="shared" si="373"/>
        <v>156.4373898</v>
      </c>
      <c r="BF457" s="9">
        <f t="shared" si="373"/>
        <v>156.4373898</v>
      </c>
      <c r="BG457" s="9">
        <f t="shared" si="373"/>
        <v>156.4373898</v>
      </c>
      <c r="BH457" s="9">
        <f t="shared" si="373"/>
        <v>156.4373898</v>
      </c>
      <c r="BI457" s="9">
        <f t="shared" si="373"/>
        <v>156.4373898</v>
      </c>
      <c r="BJ457" s="9">
        <f t="shared" si="373"/>
        <v>156.4373898</v>
      </c>
      <c r="BK457" s="9">
        <f t="shared" si="373"/>
        <v>156.4373898</v>
      </c>
      <c r="BL457" s="9">
        <f t="shared" si="373"/>
        <v>156.4373898</v>
      </c>
      <c r="BM457" s="9">
        <f t="shared" si="373"/>
        <v>156.4373898</v>
      </c>
      <c r="BN457" s="9">
        <f t="shared" si="373"/>
        <v>156.4373898</v>
      </c>
      <c r="BO457" s="9">
        <f t="shared" si="373"/>
        <v>156.4373898</v>
      </c>
      <c r="BP457" s="9">
        <f t="shared" si="373"/>
        <v>156.4373898</v>
      </c>
      <c r="BQ457" s="9">
        <f t="shared" si="373"/>
        <v>156.4373898</v>
      </c>
      <c r="BR457" s="9">
        <f t="shared" si="373"/>
        <v>156.4373898</v>
      </c>
      <c r="BS457" s="9">
        <f t="shared" si="373"/>
        <v>156.4373898</v>
      </c>
      <c r="BT457" s="9">
        <f t="shared" si="373"/>
        <v>156.4373898</v>
      </c>
      <c r="BU457" s="9">
        <f t="shared" si="373"/>
        <v>156.4373898</v>
      </c>
      <c r="BV457" s="9">
        <f t="shared" si="373"/>
        <v>156.4373898</v>
      </c>
      <c r="BW457" s="9">
        <f t="shared" si="373"/>
        <v>156.4373898</v>
      </c>
      <c r="BX457" s="9">
        <f t="shared" si="373"/>
        <v>156.4373898</v>
      </c>
      <c r="BY457" s="9">
        <f t="shared" si="373"/>
        <v>156.4373898</v>
      </c>
      <c r="BZ457" s="9">
        <f t="shared" si="373"/>
        <v>156.4373898</v>
      </c>
      <c r="CA457" s="9">
        <f t="shared" si="373"/>
        <v>156.4373898</v>
      </c>
      <c r="CB457" s="9">
        <f t="shared" si="373"/>
        <v>156.4373898</v>
      </c>
      <c r="CC457" s="9">
        <f t="shared" si="373"/>
        <v>156.4373898</v>
      </c>
      <c r="CD457" s="9">
        <f t="shared" si="373"/>
        <v>156.4373898</v>
      </c>
      <c r="CE457" s="9">
        <f t="shared" si="373"/>
        <v>156.4373898</v>
      </c>
      <c r="CF457" s="9">
        <f t="shared" si="373"/>
        <v>156.4373898</v>
      </c>
      <c r="CG457" s="9">
        <f t="shared" si="373"/>
        <v>156.4373898</v>
      </c>
      <c r="CH457" s="9">
        <f t="shared" si="373"/>
        <v>156.4373898</v>
      </c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6">
        <v>44681.0</v>
      </c>
      <c r="AT458" s="9">
        <f t="shared" ref="AT458:CI458" si="374">+$AT$53*$U$58*$X$58</f>
        <v>156.4373898</v>
      </c>
      <c r="AU458" s="9">
        <f t="shared" si="374"/>
        <v>156.4373898</v>
      </c>
      <c r="AV458" s="9">
        <f t="shared" si="374"/>
        <v>156.4373898</v>
      </c>
      <c r="AW458" s="9">
        <f t="shared" si="374"/>
        <v>156.4373898</v>
      </c>
      <c r="AX458" s="9">
        <f t="shared" si="374"/>
        <v>156.4373898</v>
      </c>
      <c r="AY458" s="9">
        <f t="shared" si="374"/>
        <v>156.4373898</v>
      </c>
      <c r="AZ458" s="9">
        <f t="shared" si="374"/>
        <v>156.4373898</v>
      </c>
      <c r="BA458" s="9">
        <f t="shared" si="374"/>
        <v>156.4373898</v>
      </c>
      <c r="BB458" s="9">
        <f t="shared" si="374"/>
        <v>156.4373898</v>
      </c>
      <c r="BC458" s="9">
        <f t="shared" si="374"/>
        <v>156.4373898</v>
      </c>
      <c r="BD458" s="9">
        <f t="shared" si="374"/>
        <v>156.4373898</v>
      </c>
      <c r="BE458" s="9">
        <f t="shared" si="374"/>
        <v>156.4373898</v>
      </c>
      <c r="BF458" s="9">
        <f t="shared" si="374"/>
        <v>156.4373898</v>
      </c>
      <c r="BG458" s="9">
        <f t="shared" si="374"/>
        <v>156.4373898</v>
      </c>
      <c r="BH458" s="9">
        <f t="shared" si="374"/>
        <v>156.4373898</v>
      </c>
      <c r="BI458" s="9">
        <f t="shared" si="374"/>
        <v>156.4373898</v>
      </c>
      <c r="BJ458" s="9">
        <f t="shared" si="374"/>
        <v>156.4373898</v>
      </c>
      <c r="BK458" s="9">
        <f t="shared" si="374"/>
        <v>156.4373898</v>
      </c>
      <c r="BL458" s="9">
        <f t="shared" si="374"/>
        <v>156.4373898</v>
      </c>
      <c r="BM458" s="9">
        <f t="shared" si="374"/>
        <v>156.4373898</v>
      </c>
      <c r="BN458" s="9">
        <f t="shared" si="374"/>
        <v>156.4373898</v>
      </c>
      <c r="BO458" s="9">
        <f t="shared" si="374"/>
        <v>156.4373898</v>
      </c>
      <c r="BP458" s="9">
        <f t="shared" si="374"/>
        <v>156.4373898</v>
      </c>
      <c r="BQ458" s="9">
        <f t="shared" si="374"/>
        <v>156.4373898</v>
      </c>
      <c r="BR458" s="9">
        <f t="shared" si="374"/>
        <v>156.4373898</v>
      </c>
      <c r="BS458" s="9">
        <f t="shared" si="374"/>
        <v>156.4373898</v>
      </c>
      <c r="BT458" s="9">
        <f t="shared" si="374"/>
        <v>156.4373898</v>
      </c>
      <c r="BU458" s="9">
        <f t="shared" si="374"/>
        <v>156.4373898</v>
      </c>
      <c r="BV458" s="9">
        <f t="shared" si="374"/>
        <v>156.4373898</v>
      </c>
      <c r="BW458" s="9">
        <f t="shared" si="374"/>
        <v>156.4373898</v>
      </c>
      <c r="BX458" s="9">
        <f t="shared" si="374"/>
        <v>156.4373898</v>
      </c>
      <c r="BY458" s="9">
        <f t="shared" si="374"/>
        <v>156.4373898</v>
      </c>
      <c r="BZ458" s="9">
        <f t="shared" si="374"/>
        <v>156.4373898</v>
      </c>
      <c r="CA458" s="9">
        <f t="shared" si="374"/>
        <v>156.4373898</v>
      </c>
      <c r="CB458" s="9">
        <f t="shared" si="374"/>
        <v>156.4373898</v>
      </c>
      <c r="CC458" s="9">
        <f t="shared" si="374"/>
        <v>156.4373898</v>
      </c>
      <c r="CD458" s="9">
        <f t="shared" si="374"/>
        <v>156.4373898</v>
      </c>
      <c r="CE458" s="9">
        <f t="shared" si="374"/>
        <v>156.4373898</v>
      </c>
      <c r="CF458" s="9">
        <f t="shared" si="374"/>
        <v>156.4373898</v>
      </c>
      <c r="CG458" s="9">
        <f t="shared" si="374"/>
        <v>156.4373898</v>
      </c>
      <c r="CH458" s="9">
        <f t="shared" si="374"/>
        <v>156.4373898</v>
      </c>
      <c r="CI458" s="9">
        <f t="shared" si="374"/>
        <v>156.4373898</v>
      </c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6">
        <v>44712.0</v>
      </c>
      <c r="AU459" s="9">
        <f t="shared" ref="AU459:CJ459" si="375">+$AU$53*$U$58*$X$58</f>
        <v>78.21869489</v>
      </c>
      <c r="AV459" s="9">
        <f t="shared" si="375"/>
        <v>78.21869489</v>
      </c>
      <c r="AW459" s="9">
        <f t="shared" si="375"/>
        <v>78.21869489</v>
      </c>
      <c r="AX459" s="9">
        <f t="shared" si="375"/>
        <v>78.21869489</v>
      </c>
      <c r="AY459" s="9">
        <f t="shared" si="375"/>
        <v>78.21869489</v>
      </c>
      <c r="AZ459" s="9">
        <f t="shared" si="375"/>
        <v>78.21869489</v>
      </c>
      <c r="BA459" s="9">
        <f t="shared" si="375"/>
        <v>78.21869489</v>
      </c>
      <c r="BB459" s="9">
        <f t="shared" si="375"/>
        <v>78.21869489</v>
      </c>
      <c r="BC459" s="9">
        <f t="shared" si="375"/>
        <v>78.21869489</v>
      </c>
      <c r="BD459" s="9">
        <f t="shared" si="375"/>
        <v>78.21869489</v>
      </c>
      <c r="BE459" s="9">
        <f t="shared" si="375"/>
        <v>78.21869489</v>
      </c>
      <c r="BF459" s="9">
        <f t="shared" si="375"/>
        <v>78.21869489</v>
      </c>
      <c r="BG459" s="9">
        <f t="shared" si="375"/>
        <v>78.21869489</v>
      </c>
      <c r="BH459" s="9">
        <f t="shared" si="375"/>
        <v>78.21869489</v>
      </c>
      <c r="BI459" s="9">
        <f t="shared" si="375"/>
        <v>78.21869489</v>
      </c>
      <c r="BJ459" s="9">
        <f t="shared" si="375"/>
        <v>78.21869489</v>
      </c>
      <c r="BK459" s="9">
        <f t="shared" si="375"/>
        <v>78.21869489</v>
      </c>
      <c r="BL459" s="9">
        <f t="shared" si="375"/>
        <v>78.21869489</v>
      </c>
      <c r="BM459" s="9">
        <f t="shared" si="375"/>
        <v>78.21869489</v>
      </c>
      <c r="BN459" s="9">
        <f t="shared" si="375"/>
        <v>78.21869489</v>
      </c>
      <c r="BO459" s="9">
        <f t="shared" si="375"/>
        <v>78.21869489</v>
      </c>
      <c r="BP459" s="9">
        <f t="shared" si="375"/>
        <v>78.21869489</v>
      </c>
      <c r="BQ459" s="9">
        <f t="shared" si="375"/>
        <v>78.21869489</v>
      </c>
      <c r="BR459" s="9">
        <f t="shared" si="375"/>
        <v>78.21869489</v>
      </c>
      <c r="BS459" s="9">
        <f t="shared" si="375"/>
        <v>78.21869489</v>
      </c>
      <c r="BT459" s="9">
        <f t="shared" si="375"/>
        <v>78.21869489</v>
      </c>
      <c r="BU459" s="9">
        <f t="shared" si="375"/>
        <v>78.21869489</v>
      </c>
      <c r="BV459" s="9">
        <f t="shared" si="375"/>
        <v>78.21869489</v>
      </c>
      <c r="BW459" s="9">
        <f t="shared" si="375"/>
        <v>78.21869489</v>
      </c>
      <c r="BX459" s="9">
        <f t="shared" si="375"/>
        <v>78.21869489</v>
      </c>
      <c r="BY459" s="9">
        <f t="shared" si="375"/>
        <v>78.21869489</v>
      </c>
      <c r="BZ459" s="9">
        <f t="shared" si="375"/>
        <v>78.21869489</v>
      </c>
      <c r="CA459" s="9">
        <f t="shared" si="375"/>
        <v>78.21869489</v>
      </c>
      <c r="CB459" s="9">
        <f t="shared" si="375"/>
        <v>78.21869489</v>
      </c>
      <c r="CC459" s="9">
        <f t="shared" si="375"/>
        <v>78.21869489</v>
      </c>
      <c r="CD459" s="9">
        <f t="shared" si="375"/>
        <v>78.21869489</v>
      </c>
      <c r="CE459" s="9">
        <f t="shared" si="375"/>
        <v>78.21869489</v>
      </c>
      <c r="CF459" s="9">
        <f t="shared" si="375"/>
        <v>78.21869489</v>
      </c>
      <c r="CG459" s="9">
        <f t="shared" si="375"/>
        <v>78.21869489</v>
      </c>
      <c r="CH459" s="9">
        <f t="shared" si="375"/>
        <v>78.21869489</v>
      </c>
      <c r="CI459" s="9">
        <f t="shared" si="375"/>
        <v>78.21869489</v>
      </c>
      <c r="CJ459" s="9">
        <f t="shared" si="375"/>
        <v>78.21869489</v>
      </c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6">
        <v>44742.0</v>
      </c>
      <c r="AV460" s="9">
        <f t="shared" ref="AV460:CK460" si="376">+$AV$53*$U$58*$X$58</f>
        <v>78.21869489</v>
      </c>
      <c r="AW460" s="9">
        <f t="shared" si="376"/>
        <v>78.21869489</v>
      </c>
      <c r="AX460" s="9">
        <f t="shared" si="376"/>
        <v>78.21869489</v>
      </c>
      <c r="AY460" s="9">
        <f t="shared" si="376"/>
        <v>78.21869489</v>
      </c>
      <c r="AZ460" s="9">
        <f t="shared" si="376"/>
        <v>78.21869489</v>
      </c>
      <c r="BA460" s="9">
        <f t="shared" si="376"/>
        <v>78.21869489</v>
      </c>
      <c r="BB460" s="9">
        <f t="shared" si="376"/>
        <v>78.21869489</v>
      </c>
      <c r="BC460" s="9">
        <f t="shared" si="376"/>
        <v>78.21869489</v>
      </c>
      <c r="BD460" s="9">
        <f t="shared" si="376"/>
        <v>78.21869489</v>
      </c>
      <c r="BE460" s="9">
        <f t="shared" si="376"/>
        <v>78.21869489</v>
      </c>
      <c r="BF460" s="9">
        <f t="shared" si="376"/>
        <v>78.21869489</v>
      </c>
      <c r="BG460" s="9">
        <f t="shared" si="376"/>
        <v>78.21869489</v>
      </c>
      <c r="BH460" s="9">
        <f t="shared" si="376"/>
        <v>78.21869489</v>
      </c>
      <c r="BI460" s="9">
        <f t="shared" si="376"/>
        <v>78.21869489</v>
      </c>
      <c r="BJ460" s="9">
        <f t="shared" si="376"/>
        <v>78.21869489</v>
      </c>
      <c r="BK460" s="9">
        <f t="shared" si="376"/>
        <v>78.21869489</v>
      </c>
      <c r="BL460" s="9">
        <f t="shared" si="376"/>
        <v>78.21869489</v>
      </c>
      <c r="BM460" s="9">
        <f t="shared" si="376"/>
        <v>78.21869489</v>
      </c>
      <c r="BN460" s="9">
        <f t="shared" si="376"/>
        <v>78.21869489</v>
      </c>
      <c r="BO460" s="9">
        <f t="shared" si="376"/>
        <v>78.21869489</v>
      </c>
      <c r="BP460" s="9">
        <f t="shared" si="376"/>
        <v>78.21869489</v>
      </c>
      <c r="BQ460" s="9">
        <f t="shared" si="376"/>
        <v>78.21869489</v>
      </c>
      <c r="BR460" s="9">
        <f t="shared" si="376"/>
        <v>78.21869489</v>
      </c>
      <c r="BS460" s="9">
        <f t="shared" si="376"/>
        <v>78.21869489</v>
      </c>
      <c r="BT460" s="9">
        <f t="shared" si="376"/>
        <v>78.21869489</v>
      </c>
      <c r="BU460" s="9">
        <f t="shared" si="376"/>
        <v>78.21869489</v>
      </c>
      <c r="BV460" s="9">
        <f t="shared" si="376"/>
        <v>78.21869489</v>
      </c>
      <c r="BW460" s="9">
        <f t="shared" si="376"/>
        <v>78.21869489</v>
      </c>
      <c r="BX460" s="9">
        <f t="shared" si="376"/>
        <v>78.21869489</v>
      </c>
      <c r="BY460" s="9">
        <f t="shared" si="376"/>
        <v>78.21869489</v>
      </c>
      <c r="BZ460" s="9">
        <f t="shared" si="376"/>
        <v>78.21869489</v>
      </c>
      <c r="CA460" s="9">
        <f t="shared" si="376"/>
        <v>78.21869489</v>
      </c>
      <c r="CB460" s="9">
        <f t="shared" si="376"/>
        <v>78.21869489</v>
      </c>
      <c r="CC460" s="9">
        <f t="shared" si="376"/>
        <v>78.21869489</v>
      </c>
      <c r="CD460" s="9">
        <f t="shared" si="376"/>
        <v>78.21869489</v>
      </c>
      <c r="CE460" s="9">
        <f t="shared" si="376"/>
        <v>78.21869489</v>
      </c>
      <c r="CF460" s="9">
        <f t="shared" si="376"/>
        <v>78.21869489</v>
      </c>
      <c r="CG460" s="9">
        <f t="shared" si="376"/>
        <v>78.21869489</v>
      </c>
      <c r="CH460" s="9">
        <f t="shared" si="376"/>
        <v>78.21869489</v>
      </c>
      <c r="CI460" s="9">
        <f t="shared" si="376"/>
        <v>78.21869489</v>
      </c>
      <c r="CJ460" s="9">
        <f t="shared" si="376"/>
        <v>78.21869489</v>
      </c>
      <c r="CK460" s="9">
        <f t="shared" si="376"/>
        <v>78.21869489</v>
      </c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6">
        <v>44773.0</v>
      </c>
      <c r="AW461" s="9">
        <f t="shared" ref="AW461:CL461" si="377">+$AW$53*$U$58*$X$58</f>
        <v>125.1499118</v>
      </c>
      <c r="AX461" s="9">
        <f t="shared" si="377"/>
        <v>125.1499118</v>
      </c>
      <c r="AY461" s="9">
        <f t="shared" si="377"/>
        <v>125.1499118</v>
      </c>
      <c r="AZ461" s="9">
        <f t="shared" si="377"/>
        <v>125.1499118</v>
      </c>
      <c r="BA461" s="9">
        <f t="shared" si="377"/>
        <v>125.1499118</v>
      </c>
      <c r="BB461" s="9">
        <f t="shared" si="377"/>
        <v>125.1499118</v>
      </c>
      <c r="BC461" s="9">
        <f t="shared" si="377"/>
        <v>125.1499118</v>
      </c>
      <c r="BD461" s="9">
        <f t="shared" si="377"/>
        <v>125.1499118</v>
      </c>
      <c r="BE461" s="9">
        <f t="shared" si="377"/>
        <v>125.1499118</v>
      </c>
      <c r="BF461" s="9">
        <f t="shared" si="377"/>
        <v>125.1499118</v>
      </c>
      <c r="BG461" s="9">
        <f t="shared" si="377"/>
        <v>125.1499118</v>
      </c>
      <c r="BH461" s="9">
        <f t="shared" si="377"/>
        <v>125.1499118</v>
      </c>
      <c r="BI461" s="9">
        <f t="shared" si="377"/>
        <v>125.1499118</v>
      </c>
      <c r="BJ461" s="9">
        <f t="shared" si="377"/>
        <v>125.1499118</v>
      </c>
      <c r="BK461" s="9">
        <f t="shared" si="377"/>
        <v>125.1499118</v>
      </c>
      <c r="BL461" s="9">
        <f t="shared" si="377"/>
        <v>125.1499118</v>
      </c>
      <c r="BM461" s="9">
        <f t="shared" si="377"/>
        <v>125.1499118</v>
      </c>
      <c r="BN461" s="9">
        <f t="shared" si="377"/>
        <v>125.1499118</v>
      </c>
      <c r="BO461" s="9">
        <f t="shared" si="377"/>
        <v>125.1499118</v>
      </c>
      <c r="BP461" s="9">
        <f t="shared" si="377"/>
        <v>125.1499118</v>
      </c>
      <c r="BQ461" s="9">
        <f t="shared" si="377"/>
        <v>125.1499118</v>
      </c>
      <c r="BR461" s="9">
        <f t="shared" si="377"/>
        <v>125.1499118</v>
      </c>
      <c r="BS461" s="9">
        <f t="shared" si="377"/>
        <v>125.1499118</v>
      </c>
      <c r="BT461" s="9">
        <f t="shared" si="377"/>
        <v>125.1499118</v>
      </c>
      <c r="BU461" s="9">
        <f t="shared" si="377"/>
        <v>125.1499118</v>
      </c>
      <c r="BV461" s="9">
        <f t="shared" si="377"/>
        <v>125.1499118</v>
      </c>
      <c r="BW461" s="9">
        <f t="shared" si="377"/>
        <v>125.1499118</v>
      </c>
      <c r="BX461" s="9">
        <f t="shared" si="377"/>
        <v>125.1499118</v>
      </c>
      <c r="BY461" s="9">
        <f t="shared" si="377"/>
        <v>125.1499118</v>
      </c>
      <c r="BZ461" s="9">
        <f t="shared" si="377"/>
        <v>125.1499118</v>
      </c>
      <c r="CA461" s="9">
        <f t="shared" si="377"/>
        <v>125.1499118</v>
      </c>
      <c r="CB461" s="9">
        <f t="shared" si="377"/>
        <v>125.1499118</v>
      </c>
      <c r="CC461" s="9">
        <f t="shared" si="377"/>
        <v>125.1499118</v>
      </c>
      <c r="CD461" s="9">
        <f t="shared" si="377"/>
        <v>125.1499118</v>
      </c>
      <c r="CE461" s="9">
        <f t="shared" si="377"/>
        <v>125.1499118</v>
      </c>
      <c r="CF461" s="9">
        <f t="shared" si="377"/>
        <v>125.1499118</v>
      </c>
      <c r="CG461" s="9">
        <f t="shared" si="377"/>
        <v>125.1499118</v>
      </c>
      <c r="CH461" s="9">
        <f t="shared" si="377"/>
        <v>125.1499118</v>
      </c>
      <c r="CI461" s="9">
        <f t="shared" si="377"/>
        <v>125.1499118</v>
      </c>
      <c r="CJ461" s="9">
        <f t="shared" si="377"/>
        <v>125.1499118</v>
      </c>
      <c r="CK461" s="9">
        <f t="shared" si="377"/>
        <v>125.1499118</v>
      </c>
      <c r="CL461" s="9">
        <f t="shared" si="377"/>
        <v>125.1499118</v>
      </c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6">
        <v>44804.0</v>
      </c>
      <c r="AX462" s="9">
        <f t="shared" ref="AX462:CM462" si="378">+$AX$53*$U$58*$X$58</f>
        <v>234.6560847</v>
      </c>
      <c r="AY462" s="9">
        <f t="shared" si="378"/>
        <v>234.6560847</v>
      </c>
      <c r="AZ462" s="9">
        <f t="shared" si="378"/>
        <v>234.6560847</v>
      </c>
      <c r="BA462" s="9">
        <f t="shared" si="378"/>
        <v>234.6560847</v>
      </c>
      <c r="BB462" s="9">
        <f t="shared" si="378"/>
        <v>234.6560847</v>
      </c>
      <c r="BC462" s="9">
        <f t="shared" si="378"/>
        <v>234.6560847</v>
      </c>
      <c r="BD462" s="9">
        <f t="shared" si="378"/>
        <v>234.6560847</v>
      </c>
      <c r="BE462" s="9">
        <f t="shared" si="378"/>
        <v>234.6560847</v>
      </c>
      <c r="BF462" s="9">
        <f t="shared" si="378"/>
        <v>234.6560847</v>
      </c>
      <c r="BG462" s="9">
        <f t="shared" si="378"/>
        <v>234.6560847</v>
      </c>
      <c r="BH462" s="9">
        <f t="shared" si="378"/>
        <v>234.6560847</v>
      </c>
      <c r="BI462" s="9">
        <f t="shared" si="378"/>
        <v>234.6560847</v>
      </c>
      <c r="BJ462" s="9">
        <f t="shared" si="378"/>
        <v>234.6560847</v>
      </c>
      <c r="BK462" s="9">
        <f t="shared" si="378"/>
        <v>234.6560847</v>
      </c>
      <c r="BL462" s="9">
        <f t="shared" si="378"/>
        <v>234.6560847</v>
      </c>
      <c r="BM462" s="9">
        <f t="shared" si="378"/>
        <v>234.6560847</v>
      </c>
      <c r="BN462" s="9">
        <f t="shared" si="378"/>
        <v>234.6560847</v>
      </c>
      <c r="BO462" s="9">
        <f t="shared" si="378"/>
        <v>234.6560847</v>
      </c>
      <c r="BP462" s="9">
        <f t="shared" si="378"/>
        <v>234.6560847</v>
      </c>
      <c r="BQ462" s="9">
        <f t="shared" si="378"/>
        <v>234.6560847</v>
      </c>
      <c r="BR462" s="9">
        <f t="shared" si="378"/>
        <v>234.6560847</v>
      </c>
      <c r="BS462" s="9">
        <f t="shared" si="378"/>
        <v>234.6560847</v>
      </c>
      <c r="BT462" s="9">
        <f t="shared" si="378"/>
        <v>234.6560847</v>
      </c>
      <c r="BU462" s="9">
        <f t="shared" si="378"/>
        <v>234.6560847</v>
      </c>
      <c r="BV462" s="9">
        <f t="shared" si="378"/>
        <v>234.6560847</v>
      </c>
      <c r="BW462" s="9">
        <f t="shared" si="378"/>
        <v>234.6560847</v>
      </c>
      <c r="BX462" s="9">
        <f t="shared" si="378"/>
        <v>234.6560847</v>
      </c>
      <c r="BY462" s="9">
        <f t="shared" si="378"/>
        <v>234.6560847</v>
      </c>
      <c r="BZ462" s="9">
        <f t="shared" si="378"/>
        <v>234.6560847</v>
      </c>
      <c r="CA462" s="9">
        <f t="shared" si="378"/>
        <v>234.6560847</v>
      </c>
      <c r="CB462" s="9">
        <f t="shared" si="378"/>
        <v>234.6560847</v>
      </c>
      <c r="CC462" s="9">
        <f t="shared" si="378"/>
        <v>234.6560847</v>
      </c>
      <c r="CD462" s="9">
        <f t="shared" si="378"/>
        <v>234.6560847</v>
      </c>
      <c r="CE462" s="9">
        <f t="shared" si="378"/>
        <v>234.6560847</v>
      </c>
      <c r="CF462" s="9">
        <f t="shared" si="378"/>
        <v>234.6560847</v>
      </c>
      <c r="CG462" s="9">
        <f t="shared" si="378"/>
        <v>234.6560847</v>
      </c>
      <c r="CH462" s="9">
        <f t="shared" si="378"/>
        <v>234.6560847</v>
      </c>
      <c r="CI462" s="9">
        <f t="shared" si="378"/>
        <v>234.6560847</v>
      </c>
      <c r="CJ462" s="9">
        <f t="shared" si="378"/>
        <v>234.6560847</v>
      </c>
      <c r="CK462" s="9">
        <f t="shared" si="378"/>
        <v>234.6560847</v>
      </c>
      <c r="CL462" s="9">
        <f t="shared" si="378"/>
        <v>234.6560847</v>
      </c>
      <c r="CM462" s="9">
        <f t="shared" si="378"/>
        <v>234.6560847</v>
      </c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6">
        <v>44834.0</v>
      </c>
      <c r="AY463" s="9">
        <f t="shared" ref="AY463:CN463" si="379">+$AY$53*$U$58*$X$58</f>
        <v>234.6560847</v>
      </c>
      <c r="AZ463" s="9">
        <f t="shared" si="379"/>
        <v>234.6560847</v>
      </c>
      <c r="BA463" s="9">
        <f t="shared" si="379"/>
        <v>234.6560847</v>
      </c>
      <c r="BB463" s="9">
        <f t="shared" si="379"/>
        <v>234.6560847</v>
      </c>
      <c r="BC463" s="9">
        <f t="shared" si="379"/>
        <v>234.6560847</v>
      </c>
      <c r="BD463" s="9">
        <f t="shared" si="379"/>
        <v>234.6560847</v>
      </c>
      <c r="BE463" s="9">
        <f t="shared" si="379"/>
        <v>234.6560847</v>
      </c>
      <c r="BF463" s="9">
        <f t="shared" si="379"/>
        <v>234.6560847</v>
      </c>
      <c r="BG463" s="9">
        <f t="shared" si="379"/>
        <v>234.6560847</v>
      </c>
      <c r="BH463" s="9">
        <f t="shared" si="379"/>
        <v>234.6560847</v>
      </c>
      <c r="BI463" s="9">
        <f t="shared" si="379"/>
        <v>234.6560847</v>
      </c>
      <c r="BJ463" s="9">
        <f t="shared" si="379"/>
        <v>234.6560847</v>
      </c>
      <c r="BK463" s="9">
        <f t="shared" si="379"/>
        <v>234.6560847</v>
      </c>
      <c r="BL463" s="9">
        <f t="shared" si="379"/>
        <v>234.6560847</v>
      </c>
      <c r="BM463" s="9">
        <f t="shared" si="379"/>
        <v>234.6560847</v>
      </c>
      <c r="BN463" s="9">
        <f t="shared" si="379"/>
        <v>234.6560847</v>
      </c>
      <c r="BO463" s="9">
        <f t="shared" si="379"/>
        <v>234.6560847</v>
      </c>
      <c r="BP463" s="9">
        <f t="shared" si="379"/>
        <v>234.6560847</v>
      </c>
      <c r="BQ463" s="9">
        <f t="shared" si="379"/>
        <v>234.6560847</v>
      </c>
      <c r="BR463" s="9">
        <f t="shared" si="379"/>
        <v>234.6560847</v>
      </c>
      <c r="BS463" s="9">
        <f t="shared" si="379"/>
        <v>234.6560847</v>
      </c>
      <c r="BT463" s="9">
        <f t="shared" si="379"/>
        <v>234.6560847</v>
      </c>
      <c r="BU463" s="9">
        <f t="shared" si="379"/>
        <v>234.6560847</v>
      </c>
      <c r="BV463" s="9">
        <f t="shared" si="379"/>
        <v>234.6560847</v>
      </c>
      <c r="BW463" s="9">
        <f t="shared" si="379"/>
        <v>234.6560847</v>
      </c>
      <c r="BX463" s="9">
        <f t="shared" si="379"/>
        <v>234.6560847</v>
      </c>
      <c r="BY463" s="9">
        <f t="shared" si="379"/>
        <v>234.6560847</v>
      </c>
      <c r="BZ463" s="9">
        <f t="shared" si="379"/>
        <v>234.6560847</v>
      </c>
      <c r="CA463" s="9">
        <f t="shared" si="379"/>
        <v>234.6560847</v>
      </c>
      <c r="CB463" s="9">
        <f t="shared" si="379"/>
        <v>234.6560847</v>
      </c>
      <c r="CC463" s="9">
        <f t="shared" si="379"/>
        <v>234.6560847</v>
      </c>
      <c r="CD463" s="9">
        <f t="shared" si="379"/>
        <v>234.6560847</v>
      </c>
      <c r="CE463" s="9">
        <f t="shared" si="379"/>
        <v>234.6560847</v>
      </c>
      <c r="CF463" s="9">
        <f t="shared" si="379"/>
        <v>234.6560847</v>
      </c>
      <c r="CG463" s="9">
        <f t="shared" si="379"/>
        <v>234.6560847</v>
      </c>
      <c r="CH463" s="9">
        <f t="shared" si="379"/>
        <v>234.6560847</v>
      </c>
      <c r="CI463" s="9">
        <f t="shared" si="379"/>
        <v>234.6560847</v>
      </c>
      <c r="CJ463" s="9">
        <f t="shared" si="379"/>
        <v>234.6560847</v>
      </c>
      <c r="CK463" s="9">
        <f t="shared" si="379"/>
        <v>234.6560847</v>
      </c>
      <c r="CL463" s="9">
        <f t="shared" si="379"/>
        <v>234.6560847</v>
      </c>
      <c r="CM463" s="9">
        <f t="shared" si="379"/>
        <v>234.6560847</v>
      </c>
      <c r="CN463" s="9">
        <f t="shared" si="379"/>
        <v>234.6560847</v>
      </c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6">
        <v>44865.0</v>
      </c>
      <c r="AZ464" s="9">
        <f t="shared" ref="AZ464:CO464" si="380">+$AZ$53*$U$58*$X$58</f>
        <v>120.6802721</v>
      </c>
      <c r="BA464" s="9">
        <f t="shared" si="380"/>
        <v>120.6802721</v>
      </c>
      <c r="BB464" s="9">
        <f t="shared" si="380"/>
        <v>120.6802721</v>
      </c>
      <c r="BC464" s="9">
        <f t="shared" si="380"/>
        <v>120.6802721</v>
      </c>
      <c r="BD464" s="9">
        <f t="shared" si="380"/>
        <v>120.6802721</v>
      </c>
      <c r="BE464" s="9">
        <f t="shared" si="380"/>
        <v>120.6802721</v>
      </c>
      <c r="BF464" s="9">
        <f t="shared" si="380"/>
        <v>120.6802721</v>
      </c>
      <c r="BG464" s="9">
        <f t="shared" si="380"/>
        <v>120.6802721</v>
      </c>
      <c r="BH464" s="9">
        <f t="shared" si="380"/>
        <v>120.6802721</v>
      </c>
      <c r="BI464" s="9">
        <f t="shared" si="380"/>
        <v>120.6802721</v>
      </c>
      <c r="BJ464" s="9">
        <f t="shared" si="380"/>
        <v>120.6802721</v>
      </c>
      <c r="BK464" s="9">
        <f t="shared" si="380"/>
        <v>120.6802721</v>
      </c>
      <c r="BL464" s="9">
        <f t="shared" si="380"/>
        <v>120.6802721</v>
      </c>
      <c r="BM464" s="9">
        <f t="shared" si="380"/>
        <v>120.6802721</v>
      </c>
      <c r="BN464" s="9">
        <f t="shared" si="380"/>
        <v>120.6802721</v>
      </c>
      <c r="BO464" s="9">
        <f t="shared" si="380"/>
        <v>120.6802721</v>
      </c>
      <c r="BP464" s="9">
        <f t="shared" si="380"/>
        <v>120.6802721</v>
      </c>
      <c r="BQ464" s="9">
        <f t="shared" si="380"/>
        <v>120.6802721</v>
      </c>
      <c r="BR464" s="9">
        <f t="shared" si="380"/>
        <v>120.6802721</v>
      </c>
      <c r="BS464" s="9">
        <f t="shared" si="380"/>
        <v>120.6802721</v>
      </c>
      <c r="BT464" s="9">
        <f t="shared" si="380"/>
        <v>120.6802721</v>
      </c>
      <c r="BU464" s="9">
        <f t="shared" si="380"/>
        <v>120.6802721</v>
      </c>
      <c r="BV464" s="9">
        <f t="shared" si="380"/>
        <v>120.6802721</v>
      </c>
      <c r="BW464" s="9">
        <f t="shared" si="380"/>
        <v>120.6802721</v>
      </c>
      <c r="BX464" s="9">
        <f t="shared" si="380"/>
        <v>120.6802721</v>
      </c>
      <c r="BY464" s="9">
        <f t="shared" si="380"/>
        <v>120.6802721</v>
      </c>
      <c r="BZ464" s="9">
        <f t="shared" si="380"/>
        <v>120.6802721</v>
      </c>
      <c r="CA464" s="9">
        <f t="shared" si="380"/>
        <v>120.6802721</v>
      </c>
      <c r="CB464" s="9">
        <f t="shared" si="380"/>
        <v>120.6802721</v>
      </c>
      <c r="CC464" s="9">
        <f t="shared" si="380"/>
        <v>120.6802721</v>
      </c>
      <c r="CD464" s="9">
        <f t="shared" si="380"/>
        <v>120.6802721</v>
      </c>
      <c r="CE464" s="9">
        <f t="shared" si="380"/>
        <v>120.6802721</v>
      </c>
      <c r="CF464" s="9">
        <f t="shared" si="380"/>
        <v>120.6802721</v>
      </c>
      <c r="CG464" s="9">
        <f t="shared" si="380"/>
        <v>120.6802721</v>
      </c>
      <c r="CH464" s="9">
        <f t="shared" si="380"/>
        <v>120.6802721</v>
      </c>
      <c r="CI464" s="9">
        <f t="shared" si="380"/>
        <v>120.6802721</v>
      </c>
      <c r="CJ464" s="9">
        <f t="shared" si="380"/>
        <v>120.6802721</v>
      </c>
      <c r="CK464" s="9">
        <f t="shared" si="380"/>
        <v>120.6802721</v>
      </c>
      <c r="CL464" s="9">
        <f t="shared" si="380"/>
        <v>120.6802721</v>
      </c>
      <c r="CM464" s="9">
        <f t="shared" si="380"/>
        <v>120.6802721</v>
      </c>
      <c r="CN464" s="9">
        <f t="shared" si="380"/>
        <v>120.6802721</v>
      </c>
      <c r="CO464" s="9">
        <f t="shared" si="380"/>
        <v>120.6802721</v>
      </c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6">
        <v>44895.0</v>
      </c>
      <c r="BA465" s="9">
        <f t="shared" ref="BA465:CP465" si="381">+$BA$53*$U$58*$X$58</f>
        <v>120.6802721</v>
      </c>
      <c r="BB465" s="9">
        <f t="shared" si="381"/>
        <v>120.6802721</v>
      </c>
      <c r="BC465" s="9">
        <f t="shared" si="381"/>
        <v>120.6802721</v>
      </c>
      <c r="BD465" s="9">
        <f t="shared" si="381"/>
        <v>120.6802721</v>
      </c>
      <c r="BE465" s="9">
        <f t="shared" si="381"/>
        <v>120.6802721</v>
      </c>
      <c r="BF465" s="9">
        <f t="shared" si="381"/>
        <v>120.6802721</v>
      </c>
      <c r="BG465" s="9">
        <f t="shared" si="381"/>
        <v>120.6802721</v>
      </c>
      <c r="BH465" s="9">
        <f t="shared" si="381"/>
        <v>120.6802721</v>
      </c>
      <c r="BI465" s="9">
        <f t="shared" si="381"/>
        <v>120.6802721</v>
      </c>
      <c r="BJ465" s="9">
        <f t="shared" si="381"/>
        <v>120.6802721</v>
      </c>
      <c r="BK465" s="9">
        <f t="shared" si="381"/>
        <v>120.6802721</v>
      </c>
      <c r="BL465" s="9">
        <f t="shared" si="381"/>
        <v>120.6802721</v>
      </c>
      <c r="BM465" s="9">
        <f t="shared" si="381"/>
        <v>120.6802721</v>
      </c>
      <c r="BN465" s="9">
        <f t="shared" si="381"/>
        <v>120.6802721</v>
      </c>
      <c r="BO465" s="9">
        <f t="shared" si="381"/>
        <v>120.6802721</v>
      </c>
      <c r="BP465" s="9">
        <f t="shared" si="381"/>
        <v>120.6802721</v>
      </c>
      <c r="BQ465" s="9">
        <f t="shared" si="381"/>
        <v>120.6802721</v>
      </c>
      <c r="BR465" s="9">
        <f t="shared" si="381"/>
        <v>120.6802721</v>
      </c>
      <c r="BS465" s="9">
        <f t="shared" si="381"/>
        <v>120.6802721</v>
      </c>
      <c r="BT465" s="9">
        <f t="shared" si="381"/>
        <v>120.6802721</v>
      </c>
      <c r="BU465" s="9">
        <f t="shared" si="381"/>
        <v>120.6802721</v>
      </c>
      <c r="BV465" s="9">
        <f t="shared" si="381"/>
        <v>120.6802721</v>
      </c>
      <c r="BW465" s="9">
        <f t="shared" si="381"/>
        <v>120.6802721</v>
      </c>
      <c r="BX465" s="9">
        <f t="shared" si="381"/>
        <v>120.6802721</v>
      </c>
      <c r="BY465" s="9">
        <f t="shared" si="381"/>
        <v>120.6802721</v>
      </c>
      <c r="BZ465" s="9">
        <f t="shared" si="381"/>
        <v>120.6802721</v>
      </c>
      <c r="CA465" s="9">
        <f t="shared" si="381"/>
        <v>120.6802721</v>
      </c>
      <c r="CB465" s="9">
        <f t="shared" si="381"/>
        <v>120.6802721</v>
      </c>
      <c r="CC465" s="9">
        <f t="shared" si="381"/>
        <v>120.6802721</v>
      </c>
      <c r="CD465" s="9">
        <f t="shared" si="381"/>
        <v>120.6802721</v>
      </c>
      <c r="CE465" s="9">
        <f t="shared" si="381"/>
        <v>120.6802721</v>
      </c>
      <c r="CF465" s="9">
        <f t="shared" si="381"/>
        <v>120.6802721</v>
      </c>
      <c r="CG465" s="9">
        <f t="shared" si="381"/>
        <v>120.6802721</v>
      </c>
      <c r="CH465" s="9">
        <f t="shared" si="381"/>
        <v>120.6802721</v>
      </c>
      <c r="CI465" s="9">
        <f t="shared" si="381"/>
        <v>120.6802721</v>
      </c>
      <c r="CJ465" s="9">
        <f t="shared" si="381"/>
        <v>120.6802721</v>
      </c>
      <c r="CK465" s="9">
        <f t="shared" si="381"/>
        <v>120.6802721</v>
      </c>
      <c r="CL465" s="9">
        <f t="shared" si="381"/>
        <v>120.6802721</v>
      </c>
      <c r="CM465" s="9">
        <f t="shared" si="381"/>
        <v>120.6802721</v>
      </c>
      <c r="CN465" s="9">
        <f t="shared" si="381"/>
        <v>120.6802721</v>
      </c>
      <c r="CO465" s="9">
        <f t="shared" si="381"/>
        <v>120.6802721</v>
      </c>
      <c r="CP465" s="9">
        <f t="shared" si="381"/>
        <v>120.6802721</v>
      </c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6">
        <v>44926.0</v>
      </c>
      <c r="BB466" s="9">
        <f t="shared" ref="BB466:CQ466" si="382">+$BB$53*$U$58*$X$58</f>
        <v>105.5952381</v>
      </c>
      <c r="BC466" s="9">
        <f t="shared" si="382"/>
        <v>105.5952381</v>
      </c>
      <c r="BD466" s="9">
        <f t="shared" si="382"/>
        <v>105.5952381</v>
      </c>
      <c r="BE466" s="9">
        <f t="shared" si="382"/>
        <v>105.5952381</v>
      </c>
      <c r="BF466" s="9">
        <f t="shared" si="382"/>
        <v>105.5952381</v>
      </c>
      <c r="BG466" s="9">
        <f t="shared" si="382"/>
        <v>105.5952381</v>
      </c>
      <c r="BH466" s="9">
        <f t="shared" si="382"/>
        <v>105.5952381</v>
      </c>
      <c r="BI466" s="9">
        <f t="shared" si="382"/>
        <v>105.5952381</v>
      </c>
      <c r="BJ466" s="9">
        <f t="shared" si="382"/>
        <v>105.5952381</v>
      </c>
      <c r="BK466" s="9">
        <f t="shared" si="382"/>
        <v>105.5952381</v>
      </c>
      <c r="BL466" s="9">
        <f t="shared" si="382"/>
        <v>105.5952381</v>
      </c>
      <c r="BM466" s="9">
        <f t="shared" si="382"/>
        <v>105.5952381</v>
      </c>
      <c r="BN466" s="9">
        <f t="shared" si="382"/>
        <v>105.5952381</v>
      </c>
      <c r="BO466" s="9">
        <f t="shared" si="382"/>
        <v>105.5952381</v>
      </c>
      <c r="BP466" s="9">
        <f t="shared" si="382"/>
        <v>105.5952381</v>
      </c>
      <c r="BQ466" s="9">
        <f t="shared" si="382"/>
        <v>105.5952381</v>
      </c>
      <c r="BR466" s="9">
        <f t="shared" si="382"/>
        <v>105.5952381</v>
      </c>
      <c r="BS466" s="9">
        <f t="shared" si="382"/>
        <v>105.5952381</v>
      </c>
      <c r="BT466" s="9">
        <f t="shared" si="382"/>
        <v>105.5952381</v>
      </c>
      <c r="BU466" s="9">
        <f t="shared" si="382"/>
        <v>105.5952381</v>
      </c>
      <c r="BV466" s="9">
        <f t="shared" si="382"/>
        <v>105.5952381</v>
      </c>
      <c r="BW466" s="9">
        <f t="shared" si="382"/>
        <v>105.5952381</v>
      </c>
      <c r="BX466" s="9">
        <f t="shared" si="382"/>
        <v>105.5952381</v>
      </c>
      <c r="BY466" s="9">
        <f t="shared" si="382"/>
        <v>105.5952381</v>
      </c>
      <c r="BZ466" s="9">
        <f t="shared" si="382"/>
        <v>105.5952381</v>
      </c>
      <c r="CA466" s="9">
        <f t="shared" si="382"/>
        <v>105.5952381</v>
      </c>
      <c r="CB466" s="9">
        <f t="shared" si="382"/>
        <v>105.5952381</v>
      </c>
      <c r="CC466" s="9">
        <f t="shared" si="382"/>
        <v>105.5952381</v>
      </c>
      <c r="CD466" s="9">
        <f t="shared" si="382"/>
        <v>105.5952381</v>
      </c>
      <c r="CE466" s="9">
        <f t="shared" si="382"/>
        <v>105.5952381</v>
      </c>
      <c r="CF466" s="9">
        <f t="shared" si="382"/>
        <v>105.5952381</v>
      </c>
      <c r="CG466" s="9">
        <f t="shared" si="382"/>
        <v>105.5952381</v>
      </c>
      <c r="CH466" s="9">
        <f t="shared" si="382"/>
        <v>105.5952381</v>
      </c>
      <c r="CI466" s="9">
        <f t="shared" si="382"/>
        <v>105.5952381</v>
      </c>
      <c r="CJ466" s="9">
        <f t="shared" si="382"/>
        <v>105.5952381</v>
      </c>
      <c r="CK466" s="9">
        <f t="shared" si="382"/>
        <v>105.5952381</v>
      </c>
      <c r="CL466" s="9">
        <f t="shared" si="382"/>
        <v>105.5952381</v>
      </c>
      <c r="CM466" s="9">
        <f t="shared" si="382"/>
        <v>105.5952381</v>
      </c>
      <c r="CN466" s="9">
        <f t="shared" si="382"/>
        <v>105.5952381</v>
      </c>
      <c r="CO466" s="9">
        <f t="shared" si="382"/>
        <v>105.5952381</v>
      </c>
      <c r="CP466" s="9">
        <f t="shared" si="382"/>
        <v>105.5952381</v>
      </c>
      <c r="CQ466" s="9">
        <f t="shared" si="382"/>
        <v>105.5952381</v>
      </c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6">
        <v>44957.0</v>
      </c>
      <c r="BC467" s="9">
        <f t="shared" ref="BC467:CR467" si="383">+$BC$53*$U$58*$X$58</f>
        <v>52.79761905</v>
      </c>
      <c r="BD467" s="9">
        <f t="shared" si="383"/>
        <v>52.79761905</v>
      </c>
      <c r="BE467" s="9">
        <f t="shared" si="383"/>
        <v>52.79761905</v>
      </c>
      <c r="BF467" s="9">
        <f t="shared" si="383"/>
        <v>52.79761905</v>
      </c>
      <c r="BG467" s="9">
        <f t="shared" si="383"/>
        <v>52.79761905</v>
      </c>
      <c r="BH467" s="9">
        <f t="shared" si="383"/>
        <v>52.79761905</v>
      </c>
      <c r="BI467" s="9">
        <f t="shared" si="383"/>
        <v>52.79761905</v>
      </c>
      <c r="BJ467" s="9">
        <f t="shared" si="383"/>
        <v>52.79761905</v>
      </c>
      <c r="BK467" s="9">
        <f t="shared" si="383"/>
        <v>52.79761905</v>
      </c>
      <c r="BL467" s="9">
        <f t="shared" si="383"/>
        <v>52.79761905</v>
      </c>
      <c r="BM467" s="9">
        <f t="shared" si="383"/>
        <v>52.79761905</v>
      </c>
      <c r="BN467" s="9">
        <f t="shared" si="383"/>
        <v>52.79761905</v>
      </c>
      <c r="BO467" s="9">
        <f t="shared" si="383"/>
        <v>52.79761905</v>
      </c>
      <c r="BP467" s="9">
        <f t="shared" si="383"/>
        <v>52.79761905</v>
      </c>
      <c r="BQ467" s="9">
        <f t="shared" si="383"/>
        <v>52.79761905</v>
      </c>
      <c r="BR467" s="9">
        <f t="shared" si="383"/>
        <v>52.79761905</v>
      </c>
      <c r="BS467" s="9">
        <f t="shared" si="383"/>
        <v>52.79761905</v>
      </c>
      <c r="BT467" s="9">
        <f t="shared" si="383"/>
        <v>52.79761905</v>
      </c>
      <c r="BU467" s="9">
        <f t="shared" si="383"/>
        <v>52.79761905</v>
      </c>
      <c r="BV467" s="9">
        <f t="shared" si="383"/>
        <v>52.79761905</v>
      </c>
      <c r="BW467" s="9">
        <f t="shared" si="383"/>
        <v>52.79761905</v>
      </c>
      <c r="BX467" s="9">
        <f t="shared" si="383"/>
        <v>52.79761905</v>
      </c>
      <c r="BY467" s="9">
        <f t="shared" si="383"/>
        <v>52.79761905</v>
      </c>
      <c r="BZ467" s="9">
        <f t="shared" si="383"/>
        <v>52.79761905</v>
      </c>
      <c r="CA467" s="9">
        <f t="shared" si="383"/>
        <v>52.79761905</v>
      </c>
      <c r="CB467" s="9">
        <f t="shared" si="383"/>
        <v>52.79761905</v>
      </c>
      <c r="CC467" s="9">
        <f t="shared" si="383"/>
        <v>52.79761905</v>
      </c>
      <c r="CD467" s="9">
        <f t="shared" si="383"/>
        <v>52.79761905</v>
      </c>
      <c r="CE467" s="9">
        <f t="shared" si="383"/>
        <v>52.79761905</v>
      </c>
      <c r="CF467" s="9">
        <f t="shared" si="383"/>
        <v>52.79761905</v>
      </c>
      <c r="CG467" s="9">
        <f t="shared" si="383"/>
        <v>52.79761905</v>
      </c>
      <c r="CH467" s="9">
        <f t="shared" si="383"/>
        <v>52.79761905</v>
      </c>
      <c r="CI467" s="9">
        <f t="shared" si="383"/>
        <v>52.79761905</v>
      </c>
      <c r="CJ467" s="9">
        <f t="shared" si="383"/>
        <v>52.79761905</v>
      </c>
      <c r="CK467" s="9">
        <f t="shared" si="383"/>
        <v>52.79761905</v>
      </c>
      <c r="CL467" s="9">
        <f t="shared" si="383"/>
        <v>52.79761905</v>
      </c>
      <c r="CM467" s="9">
        <f t="shared" si="383"/>
        <v>52.79761905</v>
      </c>
      <c r="CN467" s="9">
        <f t="shared" si="383"/>
        <v>52.79761905</v>
      </c>
      <c r="CO467" s="9">
        <f t="shared" si="383"/>
        <v>52.79761905</v>
      </c>
      <c r="CP467" s="9">
        <f t="shared" si="383"/>
        <v>52.79761905</v>
      </c>
      <c r="CQ467" s="9">
        <f t="shared" si="383"/>
        <v>52.79761905</v>
      </c>
      <c r="CR467" s="9">
        <f t="shared" si="383"/>
        <v>52.79761905</v>
      </c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6">
        <v>44985.0</v>
      </c>
      <c r="BD468" s="9">
        <f t="shared" ref="BD468:CS468" si="384">+$BD$53*$U$58*$X$58</f>
        <v>52.79761905</v>
      </c>
      <c r="BE468" s="9">
        <f t="shared" si="384"/>
        <v>52.79761905</v>
      </c>
      <c r="BF468" s="9">
        <f t="shared" si="384"/>
        <v>52.79761905</v>
      </c>
      <c r="BG468" s="9">
        <f t="shared" si="384"/>
        <v>52.79761905</v>
      </c>
      <c r="BH468" s="9">
        <f t="shared" si="384"/>
        <v>52.79761905</v>
      </c>
      <c r="BI468" s="9">
        <f t="shared" si="384"/>
        <v>52.79761905</v>
      </c>
      <c r="BJ468" s="9">
        <f t="shared" si="384"/>
        <v>52.79761905</v>
      </c>
      <c r="BK468" s="9">
        <f t="shared" si="384"/>
        <v>52.79761905</v>
      </c>
      <c r="BL468" s="9">
        <f t="shared" si="384"/>
        <v>52.79761905</v>
      </c>
      <c r="BM468" s="9">
        <f t="shared" si="384"/>
        <v>52.79761905</v>
      </c>
      <c r="BN468" s="9">
        <f t="shared" si="384"/>
        <v>52.79761905</v>
      </c>
      <c r="BO468" s="9">
        <f t="shared" si="384"/>
        <v>52.79761905</v>
      </c>
      <c r="BP468" s="9">
        <f t="shared" si="384"/>
        <v>52.79761905</v>
      </c>
      <c r="BQ468" s="9">
        <f t="shared" si="384"/>
        <v>52.79761905</v>
      </c>
      <c r="BR468" s="9">
        <f t="shared" si="384"/>
        <v>52.79761905</v>
      </c>
      <c r="BS468" s="9">
        <f t="shared" si="384"/>
        <v>52.79761905</v>
      </c>
      <c r="BT468" s="9">
        <f t="shared" si="384"/>
        <v>52.79761905</v>
      </c>
      <c r="BU468" s="9">
        <f t="shared" si="384"/>
        <v>52.79761905</v>
      </c>
      <c r="BV468" s="9">
        <f t="shared" si="384"/>
        <v>52.79761905</v>
      </c>
      <c r="BW468" s="9">
        <f t="shared" si="384"/>
        <v>52.79761905</v>
      </c>
      <c r="BX468" s="9">
        <f t="shared" si="384"/>
        <v>52.79761905</v>
      </c>
      <c r="BY468" s="9">
        <f t="shared" si="384"/>
        <v>52.79761905</v>
      </c>
      <c r="BZ468" s="9">
        <f t="shared" si="384"/>
        <v>52.79761905</v>
      </c>
      <c r="CA468" s="9">
        <f t="shared" si="384"/>
        <v>52.79761905</v>
      </c>
      <c r="CB468" s="9">
        <f t="shared" si="384"/>
        <v>52.79761905</v>
      </c>
      <c r="CC468" s="9">
        <f t="shared" si="384"/>
        <v>52.79761905</v>
      </c>
      <c r="CD468" s="9">
        <f t="shared" si="384"/>
        <v>52.79761905</v>
      </c>
      <c r="CE468" s="9">
        <f t="shared" si="384"/>
        <v>52.79761905</v>
      </c>
      <c r="CF468" s="9">
        <f t="shared" si="384"/>
        <v>52.79761905</v>
      </c>
      <c r="CG468" s="9">
        <f t="shared" si="384"/>
        <v>52.79761905</v>
      </c>
      <c r="CH468" s="9">
        <f t="shared" si="384"/>
        <v>52.79761905</v>
      </c>
      <c r="CI468" s="9">
        <f t="shared" si="384"/>
        <v>52.79761905</v>
      </c>
      <c r="CJ468" s="9">
        <f t="shared" si="384"/>
        <v>52.79761905</v>
      </c>
      <c r="CK468" s="9">
        <f t="shared" si="384"/>
        <v>52.79761905</v>
      </c>
      <c r="CL468" s="9">
        <f t="shared" si="384"/>
        <v>52.79761905</v>
      </c>
      <c r="CM468" s="9">
        <f t="shared" si="384"/>
        <v>52.79761905</v>
      </c>
      <c r="CN468" s="9">
        <f t="shared" si="384"/>
        <v>52.79761905</v>
      </c>
      <c r="CO468" s="9">
        <f t="shared" si="384"/>
        <v>52.79761905</v>
      </c>
      <c r="CP468" s="9">
        <f t="shared" si="384"/>
        <v>52.79761905</v>
      </c>
      <c r="CQ468" s="9">
        <f t="shared" si="384"/>
        <v>52.79761905</v>
      </c>
      <c r="CR468" s="9">
        <f t="shared" si="384"/>
        <v>52.79761905</v>
      </c>
      <c r="CS468" s="9">
        <f t="shared" si="384"/>
        <v>52.79761905</v>
      </c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6">
        <v>45016.0</v>
      </c>
      <c r="BE469" s="9">
        <f t="shared" ref="BE469:CT469" si="385">+$BE$53*$U$58*$X$58</f>
        <v>52.79761905</v>
      </c>
      <c r="BF469" s="9">
        <f t="shared" si="385"/>
        <v>52.79761905</v>
      </c>
      <c r="BG469" s="9">
        <f t="shared" si="385"/>
        <v>52.79761905</v>
      </c>
      <c r="BH469" s="9">
        <f t="shared" si="385"/>
        <v>52.79761905</v>
      </c>
      <c r="BI469" s="9">
        <f t="shared" si="385"/>
        <v>52.79761905</v>
      </c>
      <c r="BJ469" s="9">
        <f t="shared" si="385"/>
        <v>52.79761905</v>
      </c>
      <c r="BK469" s="9">
        <f t="shared" si="385"/>
        <v>52.79761905</v>
      </c>
      <c r="BL469" s="9">
        <f t="shared" si="385"/>
        <v>52.79761905</v>
      </c>
      <c r="BM469" s="9">
        <f t="shared" si="385"/>
        <v>52.79761905</v>
      </c>
      <c r="BN469" s="9">
        <f t="shared" si="385"/>
        <v>52.79761905</v>
      </c>
      <c r="BO469" s="9">
        <f t="shared" si="385"/>
        <v>52.79761905</v>
      </c>
      <c r="BP469" s="9">
        <f t="shared" si="385"/>
        <v>52.79761905</v>
      </c>
      <c r="BQ469" s="9">
        <f t="shared" si="385"/>
        <v>52.79761905</v>
      </c>
      <c r="BR469" s="9">
        <f t="shared" si="385"/>
        <v>52.79761905</v>
      </c>
      <c r="BS469" s="9">
        <f t="shared" si="385"/>
        <v>52.79761905</v>
      </c>
      <c r="BT469" s="9">
        <f t="shared" si="385"/>
        <v>52.79761905</v>
      </c>
      <c r="BU469" s="9">
        <f t="shared" si="385"/>
        <v>52.79761905</v>
      </c>
      <c r="BV469" s="9">
        <f t="shared" si="385"/>
        <v>52.79761905</v>
      </c>
      <c r="BW469" s="9">
        <f t="shared" si="385"/>
        <v>52.79761905</v>
      </c>
      <c r="BX469" s="9">
        <f t="shared" si="385"/>
        <v>52.79761905</v>
      </c>
      <c r="BY469" s="9">
        <f t="shared" si="385"/>
        <v>52.79761905</v>
      </c>
      <c r="BZ469" s="9">
        <f t="shared" si="385"/>
        <v>52.79761905</v>
      </c>
      <c r="CA469" s="9">
        <f t="shared" si="385"/>
        <v>52.79761905</v>
      </c>
      <c r="CB469" s="9">
        <f t="shared" si="385"/>
        <v>52.79761905</v>
      </c>
      <c r="CC469" s="9">
        <f t="shared" si="385"/>
        <v>52.79761905</v>
      </c>
      <c r="CD469" s="9">
        <f t="shared" si="385"/>
        <v>52.79761905</v>
      </c>
      <c r="CE469" s="9">
        <f t="shared" si="385"/>
        <v>52.79761905</v>
      </c>
      <c r="CF469" s="9">
        <f t="shared" si="385"/>
        <v>52.79761905</v>
      </c>
      <c r="CG469" s="9">
        <f t="shared" si="385"/>
        <v>52.79761905</v>
      </c>
      <c r="CH469" s="9">
        <f t="shared" si="385"/>
        <v>52.79761905</v>
      </c>
      <c r="CI469" s="9">
        <f t="shared" si="385"/>
        <v>52.79761905</v>
      </c>
      <c r="CJ469" s="9">
        <f t="shared" si="385"/>
        <v>52.79761905</v>
      </c>
      <c r="CK469" s="9">
        <f t="shared" si="385"/>
        <v>52.79761905</v>
      </c>
      <c r="CL469" s="9">
        <f t="shared" si="385"/>
        <v>52.79761905</v>
      </c>
      <c r="CM469" s="9">
        <f t="shared" si="385"/>
        <v>52.79761905</v>
      </c>
      <c r="CN469" s="9">
        <f t="shared" si="385"/>
        <v>52.79761905</v>
      </c>
      <c r="CO469" s="9">
        <f t="shared" si="385"/>
        <v>52.79761905</v>
      </c>
      <c r="CP469" s="9">
        <f t="shared" si="385"/>
        <v>52.79761905</v>
      </c>
      <c r="CQ469" s="9">
        <f t="shared" si="385"/>
        <v>52.79761905</v>
      </c>
      <c r="CR469" s="9">
        <f t="shared" si="385"/>
        <v>52.79761905</v>
      </c>
      <c r="CS469" s="9">
        <f t="shared" si="385"/>
        <v>52.79761905</v>
      </c>
      <c r="CT469" s="9">
        <f t="shared" si="385"/>
        <v>52.79761905</v>
      </c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6">
        <v>45046.0</v>
      </c>
      <c r="BF470" s="9">
        <f t="shared" ref="BF470:CU470" si="386">+$BF$53*$U$58*$X$58</f>
        <v>73.91666667</v>
      </c>
      <c r="BG470" s="9">
        <f t="shared" si="386"/>
        <v>73.91666667</v>
      </c>
      <c r="BH470" s="9">
        <f t="shared" si="386"/>
        <v>73.91666667</v>
      </c>
      <c r="BI470" s="9">
        <f t="shared" si="386"/>
        <v>73.91666667</v>
      </c>
      <c r="BJ470" s="9">
        <f t="shared" si="386"/>
        <v>73.91666667</v>
      </c>
      <c r="BK470" s="9">
        <f t="shared" si="386"/>
        <v>73.91666667</v>
      </c>
      <c r="BL470" s="9">
        <f t="shared" si="386"/>
        <v>73.91666667</v>
      </c>
      <c r="BM470" s="9">
        <f t="shared" si="386"/>
        <v>73.91666667</v>
      </c>
      <c r="BN470" s="9">
        <f t="shared" si="386"/>
        <v>73.91666667</v>
      </c>
      <c r="BO470" s="9">
        <f t="shared" si="386"/>
        <v>73.91666667</v>
      </c>
      <c r="BP470" s="9">
        <f t="shared" si="386"/>
        <v>73.91666667</v>
      </c>
      <c r="BQ470" s="9">
        <f t="shared" si="386"/>
        <v>73.91666667</v>
      </c>
      <c r="BR470" s="9">
        <f t="shared" si="386"/>
        <v>73.91666667</v>
      </c>
      <c r="BS470" s="9">
        <f t="shared" si="386"/>
        <v>73.91666667</v>
      </c>
      <c r="BT470" s="9">
        <f t="shared" si="386"/>
        <v>73.91666667</v>
      </c>
      <c r="BU470" s="9">
        <f t="shared" si="386"/>
        <v>73.91666667</v>
      </c>
      <c r="BV470" s="9">
        <f t="shared" si="386"/>
        <v>73.91666667</v>
      </c>
      <c r="BW470" s="9">
        <f t="shared" si="386"/>
        <v>73.91666667</v>
      </c>
      <c r="BX470" s="9">
        <f t="shared" si="386"/>
        <v>73.91666667</v>
      </c>
      <c r="BY470" s="9">
        <f t="shared" si="386"/>
        <v>73.91666667</v>
      </c>
      <c r="BZ470" s="9">
        <f t="shared" si="386"/>
        <v>73.91666667</v>
      </c>
      <c r="CA470" s="9">
        <f t="shared" si="386"/>
        <v>73.91666667</v>
      </c>
      <c r="CB470" s="9">
        <f t="shared" si="386"/>
        <v>73.91666667</v>
      </c>
      <c r="CC470" s="9">
        <f t="shared" si="386"/>
        <v>73.91666667</v>
      </c>
      <c r="CD470" s="9">
        <f t="shared" si="386"/>
        <v>73.91666667</v>
      </c>
      <c r="CE470" s="9">
        <f t="shared" si="386"/>
        <v>73.91666667</v>
      </c>
      <c r="CF470" s="9">
        <f t="shared" si="386"/>
        <v>73.91666667</v>
      </c>
      <c r="CG470" s="9">
        <f t="shared" si="386"/>
        <v>73.91666667</v>
      </c>
      <c r="CH470" s="9">
        <f t="shared" si="386"/>
        <v>73.91666667</v>
      </c>
      <c r="CI470" s="9">
        <f t="shared" si="386"/>
        <v>73.91666667</v>
      </c>
      <c r="CJ470" s="9">
        <f t="shared" si="386"/>
        <v>73.91666667</v>
      </c>
      <c r="CK470" s="9">
        <f t="shared" si="386"/>
        <v>73.91666667</v>
      </c>
      <c r="CL470" s="9">
        <f t="shared" si="386"/>
        <v>73.91666667</v>
      </c>
      <c r="CM470" s="9">
        <f t="shared" si="386"/>
        <v>73.91666667</v>
      </c>
      <c r="CN470" s="9">
        <f t="shared" si="386"/>
        <v>73.91666667</v>
      </c>
      <c r="CO470" s="9">
        <f t="shared" si="386"/>
        <v>73.91666667</v>
      </c>
      <c r="CP470" s="9">
        <f t="shared" si="386"/>
        <v>73.91666667</v>
      </c>
      <c r="CQ470" s="9">
        <f t="shared" si="386"/>
        <v>73.91666667</v>
      </c>
      <c r="CR470" s="9">
        <f t="shared" si="386"/>
        <v>73.91666667</v>
      </c>
      <c r="CS470" s="9">
        <f t="shared" si="386"/>
        <v>73.91666667</v>
      </c>
      <c r="CT470" s="9">
        <f t="shared" si="386"/>
        <v>73.91666667</v>
      </c>
      <c r="CU470" s="9">
        <f t="shared" si="386"/>
        <v>73.91666667</v>
      </c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6">
        <v>45077.0</v>
      </c>
      <c r="BG471" s="9">
        <f t="shared" ref="BG471:CV471" si="387">+$BG$53*$U$58*$X$58</f>
        <v>73.91666667</v>
      </c>
      <c r="BH471" s="9">
        <f t="shared" si="387"/>
        <v>73.91666667</v>
      </c>
      <c r="BI471" s="9">
        <f t="shared" si="387"/>
        <v>73.91666667</v>
      </c>
      <c r="BJ471" s="9">
        <f t="shared" si="387"/>
        <v>73.91666667</v>
      </c>
      <c r="BK471" s="9">
        <f t="shared" si="387"/>
        <v>73.91666667</v>
      </c>
      <c r="BL471" s="9">
        <f t="shared" si="387"/>
        <v>73.91666667</v>
      </c>
      <c r="BM471" s="9">
        <f t="shared" si="387"/>
        <v>73.91666667</v>
      </c>
      <c r="BN471" s="9">
        <f t="shared" si="387"/>
        <v>73.91666667</v>
      </c>
      <c r="BO471" s="9">
        <f t="shared" si="387"/>
        <v>73.91666667</v>
      </c>
      <c r="BP471" s="9">
        <f t="shared" si="387"/>
        <v>73.91666667</v>
      </c>
      <c r="BQ471" s="9">
        <f t="shared" si="387"/>
        <v>73.91666667</v>
      </c>
      <c r="BR471" s="9">
        <f t="shared" si="387"/>
        <v>73.91666667</v>
      </c>
      <c r="BS471" s="9">
        <f t="shared" si="387"/>
        <v>73.91666667</v>
      </c>
      <c r="BT471" s="9">
        <f t="shared" si="387"/>
        <v>73.91666667</v>
      </c>
      <c r="BU471" s="9">
        <f t="shared" si="387"/>
        <v>73.91666667</v>
      </c>
      <c r="BV471" s="9">
        <f t="shared" si="387"/>
        <v>73.91666667</v>
      </c>
      <c r="BW471" s="9">
        <f t="shared" si="387"/>
        <v>73.91666667</v>
      </c>
      <c r="BX471" s="9">
        <f t="shared" si="387"/>
        <v>73.91666667</v>
      </c>
      <c r="BY471" s="9">
        <f t="shared" si="387"/>
        <v>73.91666667</v>
      </c>
      <c r="BZ471" s="9">
        <f t="shared" si="387"/>
        <v>73.91666667</v>
      </c>
      <c r="CA471" s="9">
        <f t="shared" si="387"/>
        <v>73.91666667</v>
      </c>
      <c r="CB471" s="9">
        <f t="shared" si="387"/>
        <v>73.91666667</v>
      </c>
      <c r="CC471" s="9">
        <f t="shared" si="387"/>
        <v>73.91666667</v>
      </c>
      <c r="CD471" s="9">
        <f t="shared" si="387"/>
        <v>73.91666667</v>
      </c>
      <c r="CE471" s="9">
        <f t="shared" si="387"/>
        <v>73.91666667</v>
      </c>
      <c r="CF471" s="9">
        <f t="shared" si="387"/>
        <v>73.91666667</v>
      </c>
      <c r="CG471" s="9">
        <f t="shared" si="387"/>
        <v>73.91666667</v>
      </c>
      <c r="CH471" s="9">
        <f t="shared" si="387"/>
        <v>73.91666667</v>
      </c>
      <c r="CI471" s="9">
        <f t="shared" si="387"/>
        <v>73.91666667</v>
      </c>
      <c r="CJ471" s="9">
        <f t="shared" si="387"/>
        <v>73.91666667</v>
      </c>
      <c r="CK471" s="9">
        <f t="shared" si="387"/>
        <v>73.91666667</v>
      </c>
      <c r="CL471" s="9">
        <f t="shared" si="387"/>
        <v>73.91666667</v>
      </c>
      <c r="CM471" s="9">
        <f t="shared" si="387"/>
        <v>73.91666667</v>
      </c>
      <c r="CN471" s="9">
        <f t="shared" si="387"/>
        <v>73.91666667</v>
      </c>
      <c r="CO471" s="9">
        <f t="shared" si="387"/>
        <v>73.91666667</v>
      </c>
      <c r="CP471" s="9">
        <f t="shared" si="387"/>
        <v>73.91666667</v>
      </c>
      <c r="CQ471" s="9">
        <f t="shared" si="387"/>
        <v>73.91666667</v>
      </c>
      <c r="CR471" s="9">
        <f t="shared" si="387"/>
        <v>73.91666667</v>
      </c>
      <c r="CS471" s="9">
        <f t="shared" si="387"/>
        <v>73.91666667</v>
      </c>
      <c r="CT471" s="9">
        <f t="shared" si="387"/>
        <v>73.91666667</v>
      </c>
      <c r="CU471" s="9">
        <f t="shared" si="387"/>
        <v>73.91666667</v>
      </c>
      <c r="CV471" s="9">
        <f t="shared" si="387"/>
        <v>73.91666667</v>
      </c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6">
        <v>45107.0</v>
      </c>
      <c r="BH472" s="9">
        <f t="shared" ref="BH472:CW472" si="388">+$BH$53*$U$58*$X$58</f>
        <v>84.47619048</v>
      </c>
      <c r="BI472" s="9">
        <f t="shared" si="388"/>
        <v>84.47619048</v>
      </c>
      <c r="BJ472" s="9">
        <f t="shared" si="388"/>
        <v>84.47619048</v>
      </c>
      <c r="BK472" s="9">
        <f t="shared" si="388"/>
        <v>84.47619048</v>
      </c>
      <c r="BL472" s="9">
        <f t="shared" si="388"/>
        <v>84.47619048</v>
      </c>
      <c r="BM472" s="9">
        <f t="shared" si="388"/>
        <v>84.47619048</v>
      </c>
      <c r="BN472" s="9">
        <f t="shared" si="388"/>
        <v>84.47619048</v>
      </c>
      <c r="BO472" s="9">
        <f t="shared" si="388"/>
        <v>84.47619048</v>
      </c>
      <c r="BP472" s="9">
        <f t="shared" si="388"/>
        <v>84.47619048</v>
      </c>
      <c r="BQ472" s="9">
        <f t="shared" si="388"/>
        <v>84.47619048</v>
      </c>
      <c r="BR472" s="9">
        <f t="shared" si="388"/>
        <v>84.47619048</v>
      </c>
      <c r="BS472" s="9">
        <f t="shared" si="388"/>
        <v>84.47619048</v>
      </c>
      <c r="BT472" s="9">
        <f t="shared" si="388"/>
        <v>84.47619048</v>
      </c>
      <c r="BU472" s="9">
        <f t="shared" si="388"/>
        <v>84.47619048</v>
      </c>
      <c r="BV472" s="9">
        <f t="shared" si="388"/>
        <v>84.47619048</v>
      </c>
      <c r="BW472" s="9">
        <f t="shared" si="388"/>
        <v>84.47619048</v>
      </c>
      <c r="BX472" s="9">
        <f t="shared" si="388"/>
        <v>84.47619048</v>
      </c>
      <c r="BY472" s="9">
        <f t="shared" si="388"/>
        <v>84.47619048</v>
      </c>
      <c r="BZ472" s="9">
        <f t="shared" si="388"/>
        <v>84.47619048</v>
      </c>
      <c r="CA472" s="9">
        <f t="shared" si="388"/>
        <v>84.47619048</v>
      </c>
      <c r="CB472" s="9">
        <f t="shared" si="388"/>
        <v>84.47619048</v>
      </c>
      <c r="CC472" s="9">
        <f t="shared" si="388"/>
        <v>84.47619048</v>
      </c>
      <c r="CD472" s="9">
        <f t="shared" si="388"/>
        <v>84.47619048</v>
      </c>
      <c r="CE472" s="9">
        <f t="shared" si="388"/>
        <v>84.47619048</v>
      </c>
      <c r="CF472" s="9">
        <f t="shared" si="388"/>
        <v>84.47619048</v>
      </c>
      <c r="CG472" s="9">
        <f t="shared" si="388"/>
        <v>84.47619048</v>
      </c>
      <c r="CH472" s="9">
        <f t="shared" si="388"/>
        <v>84.47619048</v>
      </c>
      <c r="CI472" s="9">
        <f t="shared" si="388"/>
        <v>84.47619048</v>
      </c>
      <c r="CJ472" s="9">
        <f t="shared" si="388"/>
        <v>84.47619048</v>
      </c>
      <c r="CK472" s="9">
        <f t="shared" si="388"/>
        <v>84.47619048</v>
      </c>
      <c r="CL472" s="9">
        <f t="shared" si="388"/>
        <v>84.47619048</v>
      </c>
      <c r="CM472" s="9">
        <f t="shared" si="388"/>
        <v>84.47619048</v>
      </c>
      <c r="CN472" s="9">
        <f t="shared" si="388"/>
        <v>84.47619048</v>
      </c>
      <c r="CO472" s="9">
        <f t="shared" si="388"/>
        <v>84.47619048</v>
      </c>
      <c r="CP472" s="9">
        <f t="shared" si="388"/>
        <v>84.47619048</v>
      </c>
      <c r="CQ472" s="9">
        <f t="shared" si="388"/>
        <v>84.47619048</v>
      </c>
      <c r="CR472" s="9">
        <f t="shared" si="388"/>
        <v>84.47619048</v>
      </c>
      <c r="CS472" s="9">
        <f t="shared" si="388"/>
        <v>84.47619048</v>
      </c>
      <c r="CT472" s="9">
        <f t="shared" si="388"/>
        <v>84.47619048</v>
      </c>
      <c r="CU472" s="9">
        <f t="shared" si="388"/>
        <v>84.47619048</v>
      </c>
      <c r="CV472" s="9">
        <f t="shared" si="388"/>
        <v>84.47619048</v>
      </c>
      <c r="CW472" s="9">
        <f t="shared" si="388"/>
        <v>84.47619048</v>
      </c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6">
        <v>45138.0</v>
      </c>
      <c r="BI473" s="9">
        <f t="shared" ref="BI473:CX473" si="389">+$BI$53*$U$58*$X$58</f>
        <v>84.47619048</v>
      </c>
      <c r="BJ473" s="9">
        <f t="shared" si="389"/>
        <v>84.47619048</v>
      </c>
      <c r="BK473" s="9">
        <f t="shared" si="389"/>
        <v>84.47619048</v>
      </c>
      <c r="BL473" s="9">
        <f t="shared" si="389"/>
        <v>84.47619048</v>
      </c>
      <c r="BM473" s="9">
        <f t="shared" si="389"/>
        <v>84.47619048</v>
      </c>
      <c r="BN473" s="9">
        <f t="shared" si="389"/>
        <v>84.47619048</v>
      </c>
      <c r="BO473" s="9">
        <f t="shared" si="389"/>
        <v>84.47619048</v>
      </c>
      <c r="BP473" s="9">
        <f t="shared" si="389"/>
        <v>84.47619048</v>
      </c>
      <c r="BQ473" s="9">
        <f t="shared" si="389"/>
        <v>84.47619048</v>
      </c>
      <c r="BR473" s="9">
        <f t="shared" si="389"/>
        <v>84.47619048</v>
      </c>
      <c r="BS473" s="9">
        <f t="shared" si="389"/>
        <v>84.47619048</v>
      </c>
      <c r="BT473" s="9">
        <f t="shared" si="389"/>
        <v>84.47619048</v>
      </c>
      <c r="BU473" s="9">
        <f t="shared" si="389"/>
        <v>84.47619048</v>
      </c>
      <c r="BV473" s="9">
        <f t="shared" si="389"/>
        <v>84.47619048</v>
      </c>
      <c r="BW473" s="9">
        <f t="shared" si="389"/>
        <v>84.47619048</v>
      </c>
      <c r="BX473" s="9">
        <f t="shared" si="389"/>
        <v>84.47619048</v>
      </c>
      <c r="BY473" s="9">
        <f t="shared" si="389"/>
        <v>84.47619048</v>
      </c>
      <c r="BZ473" s="9">
        <f t="shared" si="389"/>
        <v>84.47619048</v>
      </c>
      <c r="CA473" s="9">
        <f t="shared" si="389"/>
        <v>84.47619048</v>
      </c>
      <c r="CB473" s="9">
        <f t="shared" si="389"/>
        <v>84.47619048</v>
      </c>
      <c r="CC473" s="9">
        <f t="shared" si="389"/>
        <v>84.47619048</v>
      </c>
      <c r="CD473" s="9">
        <f t="shared" si="389"/>
        <v>84.47619048</v>
      </c>
      <c r="CE473" s="9">
        <f t="shared" si="389"/>
        <v>84.47619048</v>
      </c>
      <c r="CF473" s="9">
        <f t="shared" si="389"/>
        <v>84.47619048</v>
      </c>
      <c r="CG473" s="9">
        <f t="shared" si="389"/>
        <v>84.47619048</v>
      </c>
      <c r="CH473" s="9">
        <f t="shared" si="389"/>
        <v>84.47619048</v>
      </c>
      <c r="CI473" s="9">
        <f t="shared" si="389"/>
        <v>84.47619048</v>
      </c>
      <c r="CJ473" s="9">
        <f t="shared" si="389"/>
        <v>84.47619048</v>
      </c>
      <c r="CK473" s="9">
        <f t="shared" si="389"/>
        <v>84.47619048</v>
      </c>
      <c r="CL473" s="9">
        <f t="shared" si="389"/>
        <v>84.47619048</v>
      </c>
      <c r="CM473" s="9">
        <f t="shared" si="389"/>
        <v>84.47619048</v>
      </c>
      <c r="CN473" s="9">
        <f t="shared" si="389"/>
        <v>84.47619048</v>
      </c>
      <c r="CO473" s="9">
        <f t="shared" si="389"/>
        <v>84.47619048</v>
      </c>
      <c r="CP473" s="9">
        <f t="shared" si="389"/>
        <v>84.47619048</v>
      </c>
      <c r="CQ473" s="9">
        <f t="shared" si="389"/>
        <v>84.47619048</v>
      </c>
      <c r="CR473" s="9">
        <f t="shared" si="389"/>
        <v>84.47619048</v>
      </c>
      <c r="CS473" s="9">
        <f t="shared" si="389"/>
        <v>84.47619048</v>
      </c>
      <c r="CT473" s="9">
        <f t="shared" si="389"/>
        <v>84.47619048</v>
      </c>
      <c r="CU473" s="9">
        <f t="shared" si="389"/>
        <v>84.47619048</v>
      </c>
      <c r="CV473" s="9">
        <f t="shared" si="389"/>
        <v>84.47619048</v>
      </c>
      <c r="CW473" s="9">
        <f t="shared" si="389"/>
        <v>84.47619048</v>
      </c>
      <c r="CX473" s="9">
        <f t="shared" si="389"/>
        <v>84.47619048</v>
      </c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6">
        <v>45169.0</v>
      </c>
      <c r="BJ474" s="9">
        <f t="shared" ref="BJ474:CY474" si="390">+$BJ$53*$U$58*$X$58</f>
        <v>84.47619048</v>
      </c>
      <c r="BK474" s="9">
        <f t="shared" si="390"/>
        <v>84.47619048</v>
      </c>
      <c r="BL474" s="9">
        <f t="shared" si="390"/>
        <v>84.47619048</v>
      </c>
      <c r="BM474" s="9">
        <f t="shared" si="390"/>
        <v>84.47619048</v>
      </c>
      <c r="BN474" s="9">
        <f t="shared" si="390"/>
        <v>84.47619048</v>
      </c>
      <c r="BO474" s="9">
        <f t="shared" si="390"/>
        <v>84.47619048</v>
      </c>
      <c r="BP474" s="9">
        <f t="shared" si="390"/>
        <v>84.47619048</v>
      </c>
      <c r="BQ474" s="9">
        <f t="shared" si="390"/>
        <v>84.47619048</v>
      </c>
      <c r="BR474" s="9">
        <f t="shared" si="390"/>
        <v>84.47619048</v>
      </c>
      <c r="BS474" s="9">
        <f t="shared" si="390"/>
        <v>84.47619048</v>
      </c>
      <c r="BT474" s="9">
        <f t="shared" si="390"/>
        <v>84.47619048</v>
      </c>
      <c r="BU474" s="9">
        <f t="shared" si="390"/>
        <v>84.47619048</v>
      </c>
      <c r="BV474" s="9">
        <f t="shared" si="390"/>
        <v>84.47619048</v>
      </c>
      <c r="BW474" s="9">
        <f t="shared" si="390"/>
        <v>84.47619048</v>
      </c>
      <c r="BX474" s="9">
        <f t="shared" si="390"/>
        <v>84.47619048</v>
      </c>
      <c r="BY474" s="9">
        <f t="shared" si="390"/>
        <v>84.47619048</v>
      </c>
      <c r="BZ474" s="9">
        <f t="shared" si="390"/>
        <v>84.47619048</v>
      </c>
      <c r="CA474" s="9">
        <f t="shared" si="390"/>
        <v>84.47619048</v>
      </c>
      <c r="CB474" s="9">
        <f t="shared" si="390"/>
        <v>84.47619048</v>
      </c>
      <c r="CC474" s="9">
        <f t="shared" si="390"/>
        <v>84.47619048</v>
      </c>
      <c r="CD474" s="9">
        <f t="shared" si="390"/>
        <v>84.47619048</v>
      </c>
      <c r="CE474" s="9">
        <f t="shared" si="390"/>
        <v>84.47619048</v>
      </c>
      <c r="CF474" s="9">
        <f t="shared" si="390"/>
        <v>84.47619048</v>
      </c>
      <c r="CG474" s="9">
        <f t="shared" si="390"/>
        <v>84.47619048</v>
      </c>
      <c r="CH474" s="9">
        <f t="shared" si="390"/>
        <v>84.47619048</v>
      </c>
      <c r="CI474" s="9">
        <f t="shared" si="390"/>
        <v>84.47619048</v>
      </c>
      <c r="CJ474" s="9">
        <f t="shared" si="390"/>
        <v>84.47619048</v>
      </c>
      <c r="CK474" s="9">
        <f t="shared" si="390"/>
        <v>84.47619048</v>
      </c>
      <c r="CL474" s="9">
        <f t="shared" si="390"/>
        <v>84.47619048</v>
      </c>
      <c r="CM474" s="9">
        <f t="shared" si="390"/>
        <v>84.47619048</v>
      </c>
      <c r="CN474" s="9">
        <f t="shared" si="390"/>
        <v>84.47619048</v>
      </c>
      <c r="CO474" s="9">
        <f t="shared" si="390"/>
        <v>84.47619048</v>
      </c>
      <c r="CP474" s="9">
        <f t="shared" si="390"/>
        <v>84.47619048</v>
      </c>
      <c r="CQ474" s="9">
        <f t="shared" si="390"/>
        <v>84.47619048</v>
      </c>
      <c r="CR474" s="9">
        <f t="shared" si="390"/>
        <v>84.47619048</v>
      </c>
      <c r="CS474" s="9">
        <f t="shared" si="390"/>
        <v>84.47619048</v>
      </c>
      <c r="CT474" s="9">
        <f t="shared" si="390"/>
        <v>84.47619048</v>
      </c>
      <c r="CU474" s="9">
        <f t="shared" si="390"/>
        <v>84.47619048</v>
      </c>
      <c r="CV474" s="9">
        <f t="shared" si="390"/>
        <v>84.47619048</v>
      </c>
      <c r="CW474" s="9">
        <f t="shared" si="390"/>
        <v>84.47619048</v>
      </c>
      <c r="CX474" s="9">
        <f t="shared" si="390"/>
        <v>84.47619048</v>
      </c>
      <c r="CY474" s="9">
        <f t="shared" si="390"/>
        <v>84.47619048</v>
      </c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6">
        <v>45199.0</v>
      </c>
      <c r="BK475" s="9">
        <f t="shared" ref="BK475:CZ475" si="391">+$BK$53*$U$58*$X$58</f>
        <v>84.47619048</v>
      </c>
      <c r="BL475" s="9">
        <f t="shared" si="391"/>
        <v>84.47619048</v>
      </c>
      <c r="BM475" s="9">
        <f t="shared" si="391"/>
        <v>84.47619048</v>
      </c>
      <c r="BN475" s="9">
        <f t="shared" si="391"/>
        <v>84.47619048</v>
      </c>
      <c r="BO475" s="9">
        <f t="shared" si="391"/>
        <v>84.47619048</v>
      </c>
      <c r="BP475" s="9">
        <f t="shared" si="391"/>
        <v>84.47619048</v>
      </c>
      <c r="BQ475" s="9">
        <f t="shared" si="391"/>
        <v>84.47619048</v>
      </c>
      <c r="BR475" s="9">
        <f t="shared" si="391"/>
        <v>84.47619048</v>
      </c>
      <c r="BS475" s="9">
        <f t="shared" si="391"/>
        <v>84.47619048</v>
      </c>
      <c r="BT475" s="9">
        <f t="shared" si="391"/>
        <v>84.47619048</v>
      </c>
      <c r="BU475" s="9">
        <f t="shared" si="391"/>
        <v>84.47619048</v>
      </c>
      <c r="BV475" s="9">
        <f t="shared" si="391"/>
        <v>84.47619048</v>
      </c>
      <c r="BW475" s="9">
        <f t="shared" si="391"/>
        <v>84.47619048</v>
      </c>
      <c r="BX475" s="9">
        <f t="shared" si="391"/>
        <v>84.47619048</v>
      </c>
      <c r="BY475" s="9">
        <f t="shared" si="391"/>
        <v>84.47619048</v>
      </c>
      <c r="BZ475" s="9">
        <f t="shared" si="391"/>
        <v>84.47619048</v>
      </c>
      <c r="CA475" s="9">
        <f t="shared" si="391"/>
        <v>84.47619048</v>
      </c>
      <c r="CB475" s="9">
        <f t="shared" si="391"/>
        <v>84.47619048</v>
      </c>
      <c r="CC475" s="9">
        <f t="shared" si="391"/>
        <v>84.47619048</v>
      </c>
      <c r="CD475" s="9">
        <f t="shared" si="391"/>
        <v>84.47619048</v>
      </c>
      <c r="CE475" s="9">
        <f t="shared" si="391"/>
        <v>84.47619048</v>
      </c>
      <c r="CF475" s="9">
        <f t="shared" si="391"/>
        <v>84.47619048</v>
      </c>
      <c r="CG475" s="9">
        <f t="shared" si="391"/>
        <v>84.47619048</v>
      </c>
      <c r="CH475" s="9">
        <f t="shared" si="391"/>
        <v>84.47619048</v>
      </c>
      <c r="CI475" s="9">
        <f t="shared" si="391"/>
        <v>84.47619048</v>
      </c>
      <c r="CJ475" s="9">
        <f t="shared" si="391"/>
        <v>84.47619048</v>
      </c>
      <c r="CK475" s="9">
        <f t="shared" si="391"/>
        <v>84.47619048</v>
      </c>
      <c r="CL475" s="9">
        <f t="shared" si="391"/>
        <v>84.47619048</v>
      </c>
      <c r="CM475" s="9">
        <f t="shared" si="391"/>
        <v>84.47619048</v>
      </c>
      <c r="CN475" s="9">
        <f t="shared" si="391"/>
        <v>84.47619048</v>
      </c>
      <c r="CO475" s="9">
        <f t="shared" si="391"/>
        <v>84.47619048</v>
      </c>
      <c r="CP475" s="9">
        <f t="shared" si="391"/>
        <v>84.47619048</v>
      </c>
      <c r="CQ475" s="9">
        <f t="shared" si="391"/>
        <v>84.47619048</v>
      </c>
      <c r="CR475" s="9">
        <f t="shared" si="391"/>
        <v>84.47619048</v>
      </c>
      <c r="CS475" s="9">
        <f t="shared" si="391"/>
        <v>84.47619048</v>
      </c>
      <c r="CT475" s="9">
        <f t="shared" si="391"/>
        <v>84.47619048</v>
      </c>
      <c r="CU475" s="9">
        <f t="shared" si="391"/>
        <v>84.47619048</v>
      </c>
      <c r="CV475" s="9">
        <f t="shared" si="391"/>
        <v>84.47619048</v>
      </c>
      <c r="CW475" s="9">
        <f t="shared" si="391"/>
        <v>84.47619048</v>
      </c>
      <c r="CX475" s="9">
        <f t="shared" si="391"/>
        <v>84.47619048</v>
      </c>
      <c r="CY475" s="9">
        <f t="shared" si="391"/>
        <v>84.47619048</v>
      </c>
      <c r="CZ475" s="9">
        <f t="shared" si="391"/>
        <v>84.47619048</v>
      </c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6">
        <v>45230.0</v>
      </c>
      <c r="BL476" s="9">
        <f t="shared" ref="BL476:DA476" si="392">+$BL$53*$U$58*$X$58</f>
        <v>73.91666667</v>
      </c>
      <c r="BM476" s="9">
        <f t="shared" si="392"/>
        <v>73.91666667</v>
      </c>
      <c r="BN476" s="9">
        <f t="shared" si="392"/>
        <v>73.91666667</v>
      </c>
      <c r="BO476" s="9">
        <f t="shared" si="392"/>
        <v>73.91666667</v>
      </c>
      <c r="BP476" s="9">
        <f t="shared" si="392"/>
        <v>73.91666667</v>
      </c>
      <c r="BQ476" s="9">
        <f t="shared" si="392"/>
        <v>73.91666667</v>
      </c>
      <c r="BR476" s="9">
        <f t="shared" si="392"/>
        <v>73.91666667</v>
      </c>
      <c r="BS476" s="9">
        <f t="shared" si="392"/>
        <v>73.91666667</v>
      </c>
      <c r="BT476" s="9">
        <f t="shared" si="392"/>
        <v>73.91666667</v>
      </c>
      <c r="BU476" s="9">
        <f t="shared" si="392"/>
        <v>73.91666667</v>
      </c>
      <c r="BV476" s="9">
        <f t="shared" si="392"/>
        <v>73.91666667</v>
      </c>
      <c r="BW476" s="9">
        <f t="shared" si="392"/>
        <v>73.91666667</v>
      </c>
      <c r="BX476" s="9">
        <f t="shared" si="392"/>
        <v>73.91666667</v>
      </c>
      <c r="BY476" s="9">
        <f t="shared" si="392"/>
        <v>73.91666667</v>
      </c>
      <c r="BZ476" s="9">
        <f t="shared" si="392"/>
        <v>73.91666667</v>
      </c>
      <c r="CA476" s="9">
        <f t="shared" si="392"/>
        <v>73.91666667</v>
      </c>
      <c r="CB476" s="9">
        <f t="shared" si="392"/>
        <v>73.91666667</v>
      </c>
      <c r="CC476" s="9">
        <f t="shared" si="392"/>
        <v>73.91666667</v>
      </c>
      <c r="CD476" s="9">
        <f t="shared" si="392"/>
        <v>73.91666667</v>
      </c>
      <c r="CE476" s="9">
        <f t="shared" si="392"/>
        <v>73.91666667</v>
      </c>
      <c r="CF476" s="9">
        <f t="shared" si="392"/>
        <v>73.91666667</v>
      </c>
      <c r="CG476" s="9">
        <f t="shared" si="392"/>
        <v>73.91666667</v>
      </c>
      <c r="CH476" s="9">
        <f t="shared" si="392"/>
        <v>73.91666667</v>
      </c>
      <c r="CI476" s="9">
        <f t="shared" si="392"/>
        <v>73.91666667</v>
      </c>
      <c r="CJ476" s="9">
        <f t="shared" si="392"/>
        <v>73.91666667</v>
      </c>
      <c r="CK476" s="9">
        <f t="shared" si="392"/>
        <v>73.91666667</v>
      </c>
      <c r="CL476" s="9">
        <f t="shared" si="392"/>
        <v>73.91666667</v>
      </c>
      <c r="CM476" s="9">
        <f t="shared" si="392"/>
        <v>73.91666667</v>
      </c>
      <c r="CN476" s="9">
        <f t="shared" si="392"/>
        <v>73.91666667</v>
      </c>
      <c r="CO476" s="9">
        <f t="shared" si="392"/>
        <v>73.91666667</v>
      </c>
      <c r="CP476" s="9">
        <f t="shared" si="392"/>
        <v>73.91666667</v>
      </c>
      <c r="CQ476" s="9">
        <f t="shared" si="392"/>
        <v>73.91666667</v>
      </c>
      <c r="CR476" s="9">
        <f t="shared" si="392"/>
        <v>73.91666667</v>
      </c>
      <c r="CS476" s="9">
        <f t="shared" si="392"/>
        <v>73.91666667</v>
      </c>
      <c r="CT476" s="9">
        <f t="shared" si="392"/>
        <v>73.91666667</v>
      </c>
      <c r="CU476" s="9">
        <f t="shared" si="392"/>
        <v>73.91666667</v>
      </c>
      <c r="CV476" s="9">
        <f t="shared" si="392"/>
        <v>73.91666667</v>
      </c>
      <c r="CW476" s="9">
        <f t="shared" si="392"/>
        <v>73.91666667</v>
      </c>
      <c r="CX476" s="9">
        <f t="shared" si="392"/>
        <v>73.91666667</v>
      </c>
      <c r="CY476" s="9">
        <f t="shared" si="392"/>
        <v>73.91666667</v>
      </c>
      <c r="CZ476" s="9">
        <f t="shared" si="392"/>
        <v>73.91666667</v>
      </c>
      <c r="DA476" s="9">
        <f t="shared" si="392"/>
        <v>73.91666667</v>
      </c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6">
        <v>45260.0</v>
      </c>
      <c r="BM477" s="9">
        <f t="shared" ref="BM477:DB477" si="393">+$BM$53*$U$58*$X$58</f>
        <v>52.79761905</v>
      </c>
      <c r="BN477" s="9">
        <f t="shared" si="393"/>
        <v>52.79761905</v>
      </c>
      <c r="BO477" s="9">
        <f t="shared" si="393"/>
        <v>52.79761905</v>
      </c>
      <c r="BP477" s="9">
        <f t="shared" si="393"/>
        <v>52.79761905</v>
      </c>
      <c r="BQ477" s="9">
        <f t="shared" si="393"/>
        <v>52.79761905</v>
      </c>
      <c r="BR477" s="9">
        <f t="shared" si="393"/>
        <v>52.79761905</v>
      </c>
      <c r="BS477" s="9">
        <f t="shared" si="393"/>
        <v>52.79761905</v>
      </c>
      <c r="BT477" s="9">
        <f t="shared" si="393"/>
        <v>52.79761905</v>
      </c>
      <c r="BU477" s="9">
        <f t="shared" si="393"/>
        <v>52.79761905</v>
      </c>
      <c r="BV477" s="9">
        <f t="shared" si="393"/>
        <v>52.79761905</v>
      </c>
      <c r="BW477" s="9">
        <f t="shared" si="393"/>
        <v>52.79761905</v>
      </c>
      <c r="BX477" s="9">
        <f t="shared" si="393"/>
        <v>52.79761905</v>
      </c>
      <c r="BY477" s="9">
        <f t="shared" si="393"/>
        <v>52.79761905</v>
      </c>
      <c r="BZ477" s="9">
        <f t="shared" si="393"/>
        <v>52.79761905</v>
      </c>
      <c r="CA477" s="9">
        <f t="shared" si="393"/>
        <v>52.79761905</v>
      </c>
      <c r="CB477" s="9">
        <f t="shared" si="393"/>
        <v>52.79761905</v>
      </c>
      <c r="CC477" s="9">
        <f t="shared" si="393"/>
        <v>52.79761905</v>
      </c>
      <c r="CD477" s="9">
        <f t="shared" si="393"/>
        <v>52.79761905</v>
      </c>
      <c r="CE477" s="9">
        <f t="shared" si="393"/>
        <v>52.79761905</v>
      </c>
      <c r="CF477" s="9">
        <f t="shared" si="393"/>
        <v>52.79761905</v>
      </c>
      <c r="CG477" s="9">
        <f t="shared" si="393"/>
        <v>52.79761905</v>
      </c>
      <c r="CH477" s="9">
        <f t="shared" si="393"/>
        <v>52.79761905</v>
      </c>
      <c r="CI477" s="9">
        <f t="shared" si="393"/>
        <v>52.79761905</v>
      </c>
      <c r="CJ477" s="9">
        <f t="shared" si="393"/>
        <v>52.79761905</v>
      </c>
      <c r="CK477" s="9">
        <f t="shared" si="393"/>
        <v>52.79761905</v>
      </c>
      <c r="CL477" s="9">
        <f t="shared" si="393"/>
        <v>52.79761905</v>
      </c>
      <c r="CM477" s="9">
        <f t="shared" si="393"/>
        <v>52.79761905</v>
      </c>
      <c r="CN477" s="9">
        <f t="shared" si="393"/>
        <v>52.79761905</v>
      </c>
      <c r="CO477" s="9">
        <f t="shared" si="393"/>
        <v>52.79761905</v>
      </c>
      <c r="CP477" s="9">
        <f t="shared" si="393"/>
        <v>52.79761905</v>
      </c>
      <c r="CQ477" s="9">
        <f t="shared" si="393"/>
        <v>52.79761905</v>
      </c>
      <c r="CR477" s="9">
        <f t="shared" si="393"/>
        <v>52.79761905</v>
      </c>
      <c r="CS477" s="9">
        <f t="shared" si="393"/>
        <v>52.79761905</v>
      </c>
      <c r="CT477" s="9">
        <f t="shared" si="393"/>
        <v>52.79761905</v>
      </c>
      <c r="CU477" s="9">
        <f t="shared" si="393"/>
        <v>52.79761905</v>
      </c>
      <c r="CV477" s="9">
        <f t="shared" si="393"/>
        <v>52.79761905</v>
      </c>
      <c r="CW477" s="9">
        <f t="shared" si="393"/>
        <v>52.79761905</v>
      </c>
      <c r="CX477" s="9">
        <f t="shared" si="393"/>
        <v>52.79761905</v>
      </c>
      <c r="CY477" s="9">
        <f t="shared" si="393"/>
        <v>52.79761905</v>
      </c>
      <c r="CZ477" s="9">
        <f t="shared" si="393"/>
        <v>52.79761905</v>
      </c>
      <c r="DA477" s="9">
        <f t="shared" si="393"/>
        <v>52.79761905</v>
      </c>
      <c r="DB477" s="9">
        <f t="shared" si="393"/>
        <v>52.79761905</v>
      </c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6">
        <v>45291.0</v>
      </c>
      <c r="BN478" s="9">
        <f t="shared" ref="BN478:DC478" si="394">+$BN$53*$U$58*$X$58</f>
        <v>84.47619048</v>
      </c>
      <c r="BO478" s="9">
        <f t="shared" si="394"/>
        <v>84.47619048</v>
      </c>
      <c r="BP478" s="9">
        <f t="shared" si="394"/>
        <v>84.47619048</v>
      </c>
      <c r="BQ478" s="9">
        <f t="shared" si="394"/>
        <v>84.47619048</v>
      </c>
      <c r="BR478" s="9">
        <f t="shared" si="394"/>
        <v>84.47619048</v>
      </c>
      <c r="BS478" s="9">
        <f t="shared" si="394"/>
        <v>84.47619048</v>
      </c>
      <c r="BT478" s="9">
        <f t="shared" si="394"/>
        <v>84.47619048</v>
      </c>
      <c r="BU478" s="9">
        <f t="shared" si="394"/>
        <v>84.47619048</v>
      </c>
      <c r="BV478" s="9">
        <f t="shared" si="394"/>
        <v>84.47619048</v>
      </c>
      <c r="BW478" s="9">
        <f t="shared" si="394"/>
        <v>84.47619048</v>
      </c>
      <c r="BX478" s="9">
        <f t="shared" si="394"/>
        <v>84.47619048</v>
      </c>
      <c r="BY478" s="9">
        <f t="shared" si="394"/>
        <v>84.47619048</v>
      </c>
      <c r="BZ478" s="9">
        <f t="shared" si="394"/>
        <v>84.47619048</v>
      </c>
      <c r="CA478" s="9">
        <f t="shared" si="394"/>
        <v>84.47619048</v>
      </c>
      <c r="CB478" s="9">
        <f t="shared" si="394"/>
        <v>84.47619048</v>
      </c>
      <c r="CC478" s="9">
        <f t="shared" si="394"/>
        <v>84.47619048</v>
      </c>
      <c r="CD478" s="9">
        <f t="shared" si="394"/>
        <v>84.47619048</v>
      </c>
      <c r="CE478" s="9">
        <f t="shared" si="394"/>
        <v>84.47619048</v>
      </c>
      <c r="CF478" s="9">
        <f t="shared" si="394"/>
        <v>84.47619048</v>
      </c>
      <c r="CG478" s="9">
        <f t="shared" si="394"/>
        <v>84.47619048</v>
      </c>
      <c r="CH478" s="9">
        <f t="shared" si="394"/>
        <v>84.47619048</v>
      </c>
      <c r="CI478" s="9">
        <f t="shared" si="394"/>
        <v>84.47619048</v>
      </c>
      <c r="CJ478" s="9">
        <f t="shared" si="394"/>
        <v>84.47619048</v>
      </c>
      <c r="CK478" s="9">
        <f t="shared" si="394"/>
        <v>84.47619048</v>
      </c>
      <c r="CL478" s="9">
        <f t="shared" si="394"/>
        <v>84.47619048</v>
      </c>
      <c r="CM478" s="9">
        <f t="shared" si="394"/>
        <v>84.47619048</v>
      </c>
      <c r="CN478" s="9">
        <f t="shared" si="394"/>
        <v>84.47619048</v>
      </c>
      <c r="CO478" s="9">
        <f t="shared" si="394"/>
        <v>84.47619048</v>
      </c>
      <c r="CP478" s="9">
        <f t="shared" si="394"/>
        <v>84.47619048</v>
      </c>
      <c r="CQ478" s="9">
        <f t="shared" si="394"/>
        <v>84.47619048</v>
      </c>
      <c r="CR478" s="9">
        <f t="shared" si="394"/>
        <v>84.47619048</v>
      </c>
      <c r="CS478" s="9">
        <f t="shared" si="394"/>
        <v>84.47619048</v>
      </c>
      <c r="CT478" s="9">
        <f t="shared" si="394"/>
        <v>84.47619048</v>
      </c>
      <c r="CU478" s="9">
        <f t="shared" si="394"/>
        <v>84.47619048</v>
      </c>
      <c r="CV478" s="9">
        <f t="shared" si="394"/>
        <v>84.47619048</v>
      </c>
      <c r="CW478" s="9">
        <f t="shared" si="394"/>
        <v>84.47619048</v>
      </c>
      <c r="CX478" s="9">
        <f t="shared" si="394"/>
        <v>84.47619048</v>
      </c>
      <c r="CY478" s="9">
        <f t="shared" si="394"/>
        <v>84.47619048</v>
      </c>
      <c r="CZ478" s="9">
        <f t="shared" si="394"/>
        <v>84.47619048</v>
      </c>
      <c r="DA478" s="9">
        <f t="shared" si="394"/>
        <v>84.47619048</v>
      </c>
      <c r="DB478" s="9">
        <f t="shared" si="394"/>
        <v>84.47619048</v>
      </c>
      <c r="DC478" s="9">
        <f t="shared" si="394"/>
        <v>84.47619048</v>
      </c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6">
        <v>45322.0</v>
      </c>
      <c r="BO479" s="9">
        <f t="shared" ref="BO479:DD479" si="395">+$BO$53*$U$58*$X$58</f>
        <v>126.7142857</v>
      </c>
      <c r="BP479" s="9">
        <f t="shared" si="395"/>
        <v>126.7142857</v>
      </c>
      <c r="BQ479" s="9">
        <f t="shared" si="395"/>
        <v>126.7142857</v>
      </c>
      <c r="BR479" s="9">
        <f t="shared" si="395"/>
        <v>126.7142857</v>
      </c>
      <c r="BS479" s="9">
        <f t="shared" si="395"/>
        <v>126.7142857</v>
      </c>
      <c r="BT479" s="9">
        <f t="shared" si="395"/>
        <v>126.7142857</v>
      </c>
      <c r="BU479" s="9">
        <f t="shared" si="395"/>
        <v>126.7142857</v>
      </c>
      <c r="BV479" s="9">
        <f t="shared" si="395"/>
        <v>126.7142857</v>
      </c>
      <c r="BW479" s="9">
        <f t="shared" si="395"/>
        <v>126.7142857</v>
      </c>
      <c r="BX479" s="9">
        <f t="shared" si="395"/>
        <v>126.7142857</v>
      </c>
      <c r="BY479" s="9">
        <f t="shared" si="395"/>
        <v>126.7142857</v>
      </c>
      <c r="BZ479" s="9">
        <f t="shared" si="395"/>
        <v>126.7142857</v>
      </c>
      <c r="CA479" s="9">
        <f t="shared" si="395"/>
        <v>126.7142857</v>
      </c>
      <c r="CB479" s="9">
        <f t="shared" si="395"/>
        <v>126.7142857</v>
      </c>
      <c r="CC479" s="9">
        <f t="shared" si="395"/>
        <v>126.7142857</v>
      </c>
      <c r="CD479" s="9">
        <f t="shared" si="395"/>
        <v>126.7142857</v>
      </c>
      <c r="CE479" s="9">
        <f t="shared" si="395"/>
        <v>126.7142857</v>
      </c>
      <c r="CF479" s="9">
        <f t="shared" si="395"/>
        <v>126.7142857</v>
      </c>
      <c r="CG479" s="9">
        <f t="shared" si="395"/>
        <v>126.7142857</v>
      </c>
      <c r="CH479" s="9">
        <f t="shared" si="395"/>
        <v>126.7142857</v>
      </c>
      <c r="CI479" s="9">
        <f t="shared" si="395"/>
        <v>126.7142857</v>
      </c>
      <c r="CJ479" s="9">
        <f t="shared" si="395"/>
        <v>126.7142857</v>
      </c>
      <c r="CK479" s="9">
        <f t="shared" si="395"/>
        <v>126.7142857</v>
      </c>
      <c r="CL479" s="9">
        <f t="shared" si="395"/>
        <v>126.7142857</v>
      </c>
      <c r="CM479" s="9">
        <f t="shared" si="395"/>
        <v>126.7142857</v>
      </c>
      <c r="CN479" s="9">
        <f t="shared" si="395"/>
        <v>126.7142857</v>
      </c>
      <c r="CO479" s="9">
        <f t="shared" si="395"/>
        <v>126.7142857</v>
      </c>
      <c r="CP479" s="9">
        <f t="shared" si="395"/>
        <v>126.7142857</v>
      </c>
      <c r="CQ479" s="9">
        <f t="shared" si="395"/>
        <v>126.7142857</v>
      </c>
      <c r="CR479" s="9">
        <f t="shared" si="395"/>
        <v>126.7142857</v>
      </c>
      <c r="CS479" s="9">
        <f t="shared" si="395"/>
        <v>126.7142857</v>
      </c>
      <c r="CT479" s="9">
        <f t="shared" si="395"/>
        <v>126.7142857</v>
      </c>
      <c r="CU479" s="9">
        <f t="shared" si="395"/>
        <v>126.7142857</v>
      </c>
      <c r="CV479" s="9">
        <f t="shared" si="395"/>
        <v>126.7142857</v>
      </c>
      <c r="CW479" s="9">
        <f t="shared" si="395"/>
        <v>126.7142857</v>
      </c>
      <c r="CX479" s="9">
        <f t="shared" si="395"/>
        <v>126.7142857</v>
      </c>
      <c r="CY479" s="9">
        <f t="shared" si="395"/>
        <v>126.7142857</v>
      </c>
      <c r="CZ479" s="9">
        <f t="shared" si="395"/>
        <v>126.7142857</v>
      </c>
      <c r="DA479" s="9">
        <f t="shared" si="395"/>
        <v>126.7142857</v>
      </c>
      <c r="DB479" s="9">
        <f t="shared" si="395"/>
        <v>126.7142857</v>
      </c>
      <c r="DC479" s="9">
        <f t="shared" si="395"/>
        <v>126.7142857</v>
      </c>
      <c r="DD479" s="9">
        <f t="shared" si="395"/>
        <v>126.7142857</v>
      </c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6">
        <v>45351.0</v>
      </c>
      <c r="BP480" s="9">
        <f t="shared" ref="BP480:DE480" si="396">+$BP$53*$U$58*$X$58</f>
        <v>211.1904762</v>
      </c>
      <c r="BQ480" s="9">
        <f t="shared" si="396"/>
        <v>211.1904762</v>
      </c>
      <c r="BR480" s="9">
        <f t="shared" si="396"/>
        <v>211.1904762</v>
      </c>
      <c r="BS480" s="9">
        <f t="shared" si="396"/>
        <v>211.1904762</v>
      </c>
      <c r="BT480" s="9">
        <f t="shared" si="396"/>
        <v>211.1904762</v>
      </c>
      <c r="BU480" s="9">
        <f t="shared" si="396"/>
        <v>211.1904762</v>
      </c>
      <c r="BV480" s="9">
        <f t="shared" si="396"/>
        <v>211.1904762</v>
      </c>
      <c r="BW480" s="9">
        <f t="shared" si="396"/>
        <v>211.1904762</v>
      </c>
      <c r="BX480" s="9">
        <f t="shared" si="396"/>
        <v>211.1904762</v>
      </c>
      <c r="BY480" s="9">
        <f t="shared" si="396"/>
        <v>211.1904762</v>
      </c>
      <c r="BZ480" s="9">
        <f t="shared" si="396"/>
        <v>211.1904762</v>
      </c>
      <c r="CA480" s="9">
        <f t="shared" si="396"/>
        <v>211.1904762</v>
      </c>
      <c r="CB480" s="9">
        <f t="shared" si="396"/>
        <v>211.1904762</v>
      </c>
      <c r="CC480" s="9">
        <f t="shared" si="396"/>
        <v>211.1904762</v>
      </c>
      <c r="CD480" s="9">
        <f t="shared" si="396"/>
        <v>211.1904762</v>
      </c>
      <c r="CE480" s="9">
        <f t="shared" si="396"/>
        <v>211.1904762</v>
      </c>
      <c r="CF480" s="9">
        <f t="shared" si="396"/>
        <v>211.1904762</v>
      </c>
      <c r="CG480" s="9">
        <f t="shared" si="396"/>
        <v>211.1904762</v>
      </c>
      <c r="CH480" s="9">
        <f t="shared" si="396"/>
        <v>211.1904762</v>
      </c>
      <c r="CI480" s="9">
        <f t="shared" si="396"/>
        <v>211.1904762</v>
      </c>
      <c r="CJ480" s="9">
        <f t="shared" si="396"/>
        <v>211.1904762</v>
      </c>
      <c r="CK480" s="9">
        <f t="shared" si="396"/>
        <v>211.1904762</v>
      </c>
      <c r="CL480" s="9">
        <f t="shared" si="396"/>
        <v>211.1904762</v>
      </c>
      <c r="CM480" s="9">
        <f t="shared" si="396"/>
        <v>211.1904762</v>
      </c>
      <c r="CN480" s="9">
        <f t="shared" si="396"/>
        <v>211.1904762</v>
      </c>
      <c r="CO480" s="9">
        <f t="shared" si="396"/>
        <v>211.1904762</v>
      </c>
      <c r="CP480" s="9">
        <f t="shared" si="396"/>
        <v>211.1904762</v>
      </c>
      <c r="CQ480" s="9">
        <f t="shared" si="396"/>
        <v>211.1904762</v>
      </c>
      <c r="CR480" s="9">
        <f t="shared" si="396"/>
        <v>211.1904762</v>
      </c>
      <c r="CS480" s="9">
        <f t="shared" si="396"/>
        <v>211.1904762</v>
      </c>
      <c r="CT480" s="9">
        <f t="shared" si="396"/>
        <v>211.1904762</v>
      </c>
      <c r="CU480" s="9">
        <f t="shared" si="396"/>
        <v>211.1904762</v>
      </c>
      <c r="CV480" s="9">
        <f t="shared" si="396"/>
        <v>211.1904762</v>
      </c>
      <c r="CW480" s="9">
        <f t="shared" si="396"/>
        <v>211.1904762</v>
      </c>
      <c r="CX480" s="9">
        <f t="shared" si="396"/>
        <v>211.1904762</v>
      </c>
      <c r="CY480" s="9">
        <f t="shared" si="396"/>
        <v>211.1904762</v>
      </c>
      <c r="CZ480" s="9">
        <f t="shared" si="396"/>
        <v>211.1904762</v>
      </c>
      <c r="DA480" s="9">
        <f t="shared" si="396"/>
        <v>211.1904762</v>
      </c>
      <c r="DB480" s="9">
        <f t="shared" si="396"/>
        <v>211.1904762</v>
      </c>
      <c r="DC480" s="9">
        <f t="shared" si="396"/>
        <v>211.1904762</v>
      </c>
      <c r="DD480" s="9">
        <f t="shared" si="396"/>
        <v>211.1904762</v>
      </c>
      <c r="DE480" s="9">
        <f t="shared" si="396"/>
        <v>211.1904762</v>
      </c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6">
        <v>45382.0</v>
      </c>
      <c r="BQ481" s="9">
        <f t="shared" ref="BQ481:DF481" si="397">+$BQ$53*$U$58*$X$58</f>
        <v>211.1904762</v>
      </c>
      <c r="BR481" s="9">
        <f t="shared" si="397"/>
        <v>211.1904762</v>
      </c>
      <c r="BS481" s="9">
        <f t="shared" si="397"/>
        <v>211.1904762</v>
      </c>
      <c r="BT481" s="9">
        <f t="shared" si="397"/>
        <v>211.1904762</v>
      </c>
      <c r="BU481" s="9">
        <f t="shared" si="397"/>
        <v>211.1904762</v>
      </c>
      <c r="BV481" s="9">
        <f t="shared" si="397"/>
        <v>211.1904762</v>
      </c>
      <c r="BW481" s="9">
        <f t="shared" si="397"/>
        <v>211.1904762</v>
      </c>
      <c r="BX481" s="9">
        <f t="shared" si="397"/>
        <v>211.1904762</v>
      </c>
      <c r="BY481" s="9">
        <f t="shared" si="397"/>
        <v>211.1904762</v>
      </c>
      <c r="BZ481" s="9">
        <f t="shared" si="397"/>
        <v>211.1904762</v>
      </c>
      <c r="CA481" s="9">
        <f t="shared" si="397"/>
        <v>211.1904762</v>
      </c>
      <c r="CB481" s="9">
        <f t="shared" si="397"/>
        <v>211.1904762</v>
      </c>
      <c r="CC481" s="9">
        <f t="shared" si="397"/>
        <v>211.1904762</v>
      </c>
      <c r="CD481" s="9">
        <f t="shared" si="397"/>
        <v>211.1904762</v>
      </c>
      <c r="CE481" s="9">
        <f t="shared" si="397"/>
        <v>211.1904762</v>
      </c>
      <c r="CF481" s="9">
        <f t="shared" si="397"/>
        <v>211.1904762</v>
      </c>
      <c r="CG481" s="9">
        <f t="shared" si="397"/>
        <v>211.1904762</v>
      </c>
      <c r="CH481" s="9">
        <f t="shared" si="397"/>
        <v>211.1904762</v>
      </c>
      <c r="CI481" s="9">
        <f t="shared" si="397"/>
        <v>211.1904762</v>
      </c>
      <c r="CJ481" s="9">
        <f t="shared" si="397"/>
        <v>211.1904762</v>
      </c>
      <c r="CK481" s="9">
        <f t="shared" si="397"/>
        <v>211.1904762</v>
      </c>
      <c r="CL481" s="9">
        <f t="shared" si="397"/>
        <v>211.1904762</v>
      </c>
      <c r="CM481" s="9">
        <f t="shared" si="397"/>
        <v>211.1904762</v>
      </c>
      <c r="CN481" s="9">
        <f t="shared" si="397"/>
        <v>211.1904762</v>
      </c>
      <c r="CO481" s="9">
        <f t="shared" si="397"/>
        <v>211.1904762</v>
      </c>
      <c r="CP481" s="9">
        <f t="shared" si="397"/>
        <v>211.1904762</v>
      </c>
      <c r="CQ481" s="9">
        <f t="shared" si="397"/>
        <v>211.1904762</v>
      </c>
      <c r="CR481" s="9">
        <f t="shared" si="397"/>
        <v>211.1904762</v>
      </c>
      <c r="CS481" s="9">
        <f t="shared" si="397"/>
        <v>211.1904762</v>
      </c>
      <c r="CT481" s="9">
        <f t="shared" si="397"/>
        <v>211.1904762</v>
      </c>
      <c r="CU481" s="9">
        <f t="shared" si="397"/>
        <v>211.1904762</v>
      </c>
      <c r="CV481" s="9">
        <f t="shared" si="397"/>
        <v>211.1904762</v>
      </c>
      <c r="CW481" s="9">
        <f t="shared" si="397"/>
        <v>211.1904762</v>
      </c>
      <c r="CX481" s="9">
        <f t="shared" si="397"/>
        <v>211.1904762</v>
      </c>
      <c r="CY481" s="9">
        <f t="shared" si="397"/>
        <v>211.1904762</v>
      </c>
      <c r="CZ481" s="9">
        <f t="shared" si="397"/>
        <v>211.1904762</v>
      </c>
      <c r="DA481" s="9">
        <f t="shared" si="397"/>
        <v>211.1904762</v>
      </c>
      <c r="DB481" s="9">
        <f t="shared" si="397"/>
        <v>211.1904762</v>
      </c>
      <c r="DC481" s="9">
        <f t="shared" si="397"/>
        <v>211.1904762</v>
      </c>
      <c r="DD481" s="9">
        <f t="shared" si="397"/>
        <v>211.1904762</v>
      </c>
      <c r="DE481" s="9">
        <f t="shared" si="397"/>
        <v>211.1904762</v>
      </c>
      <c r="DF481" s="9">
        <f t="shared" si="397"/>
        <v>211.1904762</v>
      </c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6">
        <v>45412.0</v>
      </c>
      <c r="BR482" s="9">
        <f t="shared" ref="BR482:DG482" si="398">+$BR$53*$U$58*$X$58</f>
        <v>234.6560847</v>
      </c>
      <c r="BS482" s="9">
        <f t="shared" si="398"/>
        <v>234.6560847</v>
      </c>
      <c r="BT482" s="9">
        <f t="shared" si="398"/>
        <v>234.6560847</v>
      </c>
      <c r="BU482" s="9">
        <f t="shared" si="398"/>
        <v>234.6560847</v>
      </c>
      <c r="BV482" s="9">
        <f t="shared" si="398"/>
        <v>234.6560847</v>
      </c>
      <c r="BW482" s="9">
        <f t="shared" si="398"/>
        <v>234.6560847</v>
      </c>
      <c r="BX482" s="9">
        <f t="shared" si="398"/>
        <v>234.6560847</v>
      </c>
      <c r="BY482" s="9">
        <f t="shared" si="398"/>
        <v>234.6560847</v>
      </c>
      <c r="BZ482" s="9">
        <f t="shared" si="398"/>
        <v>234.6560847</v>
      </c>
      <c r="CA482" s="9">
        <f t="shared" si="398"/>
        <v>234.6560847</v>
      </c>
      <c r="CB482" s="9">
        <f t="shared" si="398"/>
        <v>234.6560847</v>
      </c>
      <c r="CC482" s="9">
        <f t="shared" si="398"/>
        <v>234.6560847</v>
      </c>
      <c r="CD482" s="9">
        <f t="shared" si="398"/>
        <v>234.6560847</v>
      </c>
      <c r="CE482" s="9">
        <f t="shared" si="398"/>
        <v>234.6560847</v>
      </c>
      <c r="CF482" s="9">
        <f t="shared" si="398"/>
        <v>234.6560847</v>
      </c>
      <c r="CG482" s="9">
        <f t="shared" si="398"/>
        <v>234.6560847</v>
      </c>
      <c r="CH482" s="9">
        <f t="shared" si="398"/>
        <v>234.6560847</v>
      </c>
      <c r="CI482" s="9">
        <f t="shared" si="398"/>
        <v>234.6560847</v>
      </c>
      <c r="CJ482" s="9">
        <f t="shared" si="398"/>
        <v>234.6560847</v>
      </c>
      <c r="CK482" s="9">
        <f t="shared" si="398"/>
        <v>234.6560847</v>
      </c>
      <c r="CL482" s="9">
        <f t="shared" si="398"/>
        <v>234.6560847</v>
      </c>
      <c r="CM482" s="9">
        <f t="shared" si="398"/>
        <v>234.6560847</v>
      </c>
      <c r="CN482" s="9">
        <f t="shared" si="398"/>
        <v>234.6560847</v>
      </c>
      <c r="CO482" s="9">
        <f t="shared" si="398"/>
        <v>234.6560847</v>
      </c>
      <c r="CP482" s="9">
        <f t="shared" si="398"/>
        <v>234.6560847</v>
      </c>
      <c r="CQ482" s="9">
        <f t="shared" si="398"/>
        <v>234.6560847</v>
      </c>
      <c r="CR482" s="9">
        <f t="shared" si="398"/>
        <v>234.6560847</v>
      </c>
      <c r="CS482" s="9">
        <f t="shared" si="398"/>
        <v>234.6560847</v>
      </c>
      <c r="CT482" s="9">
        <f t="shared" si="398"/>
        <v>234.6560847</v>
      </c>
      <c r="CU482" s="9">
        <f t="shared" si="398"/>
        <v>234.6560847</v>
      </c>
      <c r="CV482" s="9">
        <f t="shared" si="398"/>
        <v>234.6560847</v>
      </c>
      <c r="CW482" s="9">
        <f t="shared" si="398"/>
        <v>234.6560847</v>
      </c>
      <c r="CX482" s="9">
        <f t="shared" si="398"/>
        <v>234.6560847</v>
      </c>
      <c r="CY482" s="9">
        <f t="shared" si="398"/>
        <v>234.6560847</v>
      </c>
      <c r="CZ482" s="9">
        <f t="shared" si="398"/>
        <v>234.6560847</v>
      </c>
      <c r="DA482" s="9">
        <f t="shared" si="398"/>
        <v>234.6560847</v>
      </c>
      <c r="DB482" s="9">
        <f t="shared" si="398"/>
        <v>234.6560847</v>
      </c>
      <c r="DC482" s="9">
        <f t="shared" si="398"/>
        <v>234.6560847</v>
      </c>
      <c r="DD482" s="9">
        <f t="shared" si="398"/>
        <v>234.6560847</v>
      </c>
      <c r="DE482" s="9">
        <f t="shared" si="398"/>
        <v>234.6560847</v>
      </c>
      <c r="DF482" s="9">
        <f t="shared" si="398"/>
        <v>234.6560847</v>
      </c>
      <c r="DG482" s="9">
        <f t="shared" si="398"/>
        <v>234.6560847</v>
      </c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6">
        <v>45443.0</v>
      </c>
      <c r="BS483" s="9">
        <f t="shared" ref="BS483:DH483" si="399">+$BS$53*$U$58*$X$58</f>
        <v>234.6560847</v>
      </c>
      <c r="BT483" s="9">
        <f t="shared" si="399"/>
        <v>234.6560847</v>
      </c>
      <c r="BU483" s="9">
        <f t="shared" si="399"/>
        <v>234.6560847</v>
      </c>
      <c r="BV483" s="9">
        <f t="shared" si="399"/>
        <v>234.6560847</v>
      </c>
      <c r="BW483" s="9">
        <f t="shared" si="399"/>
        <v>234.6560847</v>
      </c>
      <c r="BX483" s="9">
        <f t="shared" si="399"/>
        <v>234.6560847</v>
      </c>
      <c r="BY483" s="9">
        <f t="shared" si="399"/>
        <v>234.6560847</v>
      </c>
      <c r="BZ483" s="9">
        <f t="shared" si="399"/>
        <v>234.6560847</v>
      </c>
      <c r="CA483" s="9">
        <f t="shared" si="399"/>
        <v>234.6560847</v>
      </c>
      <c r="CB483" s="9">
        <f t="shared" si="399"/>
        <v>234.6560847</v>
      </c>
      <c r="CC483" s="9">
        <f t="shared" si="399"/>
        <v>234.6560847</v>
      </c>
      <c r="CD483" s="9">
        <f t="shared" si="399"/>
        <v>234.6560847</v>
      </c>
      <c r="CE483" s="9">
        <f t="shared" si="399"/>
        <v>234.6560847</v>
      </c>
      <c r="CF483" s="9">
        <f t="shared" si="399"/>
        <v>234.6560847</v>
      </c>
      <c r="CG483" s="9">
        <f t="shared" si="399"/>
        <v>234.6560847</v>
      </c>
      <c r="CH483" s="9">
        <f t="shared" si="399"/>
        <v>234.6560847</v>
      </c>
      <c r="CI483" s="9">
        <f t="shared" si="399"/>
        <v>234.6560847</v>
      </c>
      <c r="CJ483" s="9">
        <f t="shared" si="399"/>
        <v>234.6560847</v>
      </c>
      <c r="CK483" s="9">
        <f t="shared" si="399"/>
        <v>234.6560847</v>
      </c>
      <c r="CL483" s="9">
        <f t="shared" si="399"/>
        <v>234.6560847</v>
      </c>
      <c r="CM483" s="9">
        <f t="shared" si="399"/>
        <v>234.6560847</v>
      </c>
      <c r="CN483" s="9">
        <f t="shared" si="399"/>
        <v>234.6560847</v>
      </c>
      <c r="CO483" s="9">
        <f t="shared" si="399"/>
        <v>234.6560847</v>
      </c>
      <c r="CP483" s="9">
        <f t="shared" si="399"/>
        <v>234.6560847</v>
      </c>
      <c r="CQ483" s="9">
        <f t="shared" si="399"/>
        <v>234.6560847</v>
      </c>
      <c r="CR483" s="9">
        <f t="shared" si="399"/>
        <v>234.6560847</v>
      </c>
      <c r="CS483" s="9">
        <f t="shared" si="399"/>
        <v>234.6560847</v>
      </c>
      <c r="CT483" s="9">
        <f t="shared" si="399"/>
        <v>234.6560847</v>
      </c>
      <c r="CU483" s="9">
        <f t="shared" si="399"/>
        <v>234.6560847</v>
      </c>
      <c r="CV483" s="9">
        <f t="shared" si="399"/>
        <v>234.6560847</v>
      </c>
      <c r="CW483" s="9">
        <f t="shared" si="399"/>
        <v>234.6560847</v>
      </c>
      <c r="CX483" s="9">
        <f t="shared" si="399"/>
        <v>234.6560847</v>
      </c>
      <c r="CY483" s="9">
        <f t="shared" si="399"/>
        <v>234.6560847</v>
      </c>
      <c r="CZ483" s="9">
        <f t="shared" si="399"/>
        <v>234.6560847</v>
      </c>
      <c r="DA483" s="9">
        <f t="shared" si="399"/>
        <v>234.6560847</v>
      </c>
      <c r="DB483" s="9">
        <f t="shared" si="399"/>
        <v>234.6560847</v>
      </c>
      <c r="DC483" s="9">
        <f t="shared" si="399"/>
        <v>234.6560847</v>
      </c>
      <c r="DD483" s="9">
        <f t="shared" si="399"/>
        <v>234.6560847</v>
      </c>
      <c r="DE483" s="9">
        <f t="shared" si="399"/>
        <v>234.6560847</v>
      </c>
      <c r="DF483" s="9">
        <f t="shared" si="399"/>
        <v>234.6560847</v>
      </c>
      <c r="DG483" s="9">
        <f t="shared" si="399"/>
        <v>234.6560847</v>
      </c>
      <c r="DH483" s="9">
        <f t="shared" si="399"/>
        <v>234.6560847</v>
      </c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6">
        <v>45473.0</v>
      </c>
      <c r="BT484" s="9">
        <f t="shared" ref="BT484:DI484" si="400">+$BT$53*$U$58*$X$58</f>
        <v>263.9880952</v>
      </c>
      <c r="BU484" s="9">
        <f t="shared" si="400"/>
        <v>263.9880952</v>
      </c>
      <c r="BV484" s="9">
        <f t="shared" si="400"/>
        <v>263.9880952</v>
      </c>
      <c r="BW484" s="9">
        <f t="shared" si="400"/>
        <v>263.9880952</v>
      </c>
      <c r="BX484" s="9">
        <f t="shared" si="400"/>
        <v>263.9880952</v>
      </c>
      <c r="BY484" s="9">
        <f t="shared" si="400"/>
        <v>263.9880952</v>
      </c>
      <c r="BZ484" s="9">
        <f t="shared" si="400"/>
        <v>263.9880952</v>
      </c>
      <c r="CA484" s="9">
        <f t="shared" si="400"/>
        <v>263.9880952</v>
      </c>
      <c r="CB484" s="9">
        <f t="shared" si="400"/>
        <v>263.9880952</v>
      </c>
      <c r="CC484" s="9">
        <f t="shared" si="400"/>
        <v>263.9880952</v>
      </c>
      <c r="CD484" s="9">
        <f t="shared" si="400"/>
        <v>263.9880952</v>
      </c>
      <c r="CE484" s="9">
        <f t="shared" si="400"/>
        <v>263.9880952</v>
      </c>
      <c r="CF484" s="9">
        <f t="shared" si="400"/>
        <v>263.9880952</v>
      </c>
      <c r="CG484" s="9">
        <f t="shared" si="400"/>
        <v>263.9880952</v>
      </c>
      <c r="CH484" s="9">
        <f t="shared" si="400"/>
        <v>263.9880952</v>
      </c>
      <c r="CI484" s="9">
        <f t="shared" si="400"/>
        <v>263.9880952</v>
      </c>
      <c r="CJ484" s="9">
        <f t="shared" si="400"/>
        <v>263.9880952</v>
      </c>
      <c r="CK484" s="9">
        <f t="shared" si="400"/>
        <v>263.9880952</v>
      </c>
      <c r="CL484" s="9">
        <f t="shared" si="400"/>
        <v>263.9880952</v>
      </c>
      <c r="CM484" s="9">
        <f t="shared" si="400"/>
        <v>263.9880952</v>
      </c>
      <c r="CN484" s="9">
        <f t="shared" si="400"/>
        <v>263.9880952</v>
      </c>
      <c r="CO484" s="9">
        <f t="shared" si="400"/>
        <v>263.9880952</v>
      </c>
      <c r="CP484" s="9">
        <f t="shared" si="400"/>
        <v>263.9880952</v>
      </c>
      <c r="CQ484" s="9">
        <f t="shared" si="400"/>
        <v>263.9880952</v>
      </c>
      <c r="CR484" s="9">
        <f t="shared" si="400"/>
        <v>263.9880952</v>
      </c>
      <c r="CS484" s="9">
        <f t="shared" si="400"/>
        <v>263.9880952</v>
      </c>
      <c r="CT484" s="9">
        <f t="shared" si="400"/>
        <v>263.9880952</v>
      </c>
      <c r="CU484" s="9">
        <f t="shared" si="400"/>
        <v>263.9880952</v>
      </c>
      <c r="CV484" s="9">
        <f t="shared" si="400"/>
        <v>263.9880952</v>
      </c>
      <c r="CW484" s="9">
        <f t="shared" si="400"/>
        <v>263.9880952</v>
      </c>
      <c r="CX484" s="9">
        <f t="shared" si="400"/>
        <v>263.9880952</v>
      </c>
      <c r="CY484" s="9">
        <f t="shared" si="400"/>
        <v>263.9880952</v>
      </c>
      <c r="CZ484" s="9">
        <f t="shared" si="400"/>
        <v>263.9880952</v>
      </c>
      <c r="DA484" s="9">
        <f t="shared" si="400"/>
        <v>263.9880952</v>
      </c>
      <c r="DB484" s="9">
        <f t="shared" si="400"/>
        <v>263.9880952</v>
      </c>
      <c r="DC484" s="9">
        <f t="shared" si="400"/>
        <v>263.9880952</v>
      </c>
      <c r="DD484" s="9">
        <f t="shared" si="400"/>
        <v>263.9880952</v>
      </c>
      <c r="DE484" s="9">
        <f t="shared" si="400"/>
        <v>263.9880952</v>
      </c>
      <c r="DF484" s="9">
        <f t="shared" si="400"/>
        <v>263.9880952</v>
      </c>
      <c r="DG484" s="9">
        <f t="shared" si="400"/>
        <v>263.9880952</v>
      </c>
      <c r="DH484" s="9">
        <f t="shared" si="400"/>
        <v>263.9880952</v>
      </c>
      <c r="DI484" s="9">
        <f t="shared" si="400"/>
        <v>263.9880952</v>
      </c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6">
        <v>45504.0</v>
      </c>
      <c r="BU485" s="9">
        <f t="shared" ref="BU485:DJ485" si="401">+$BU$53*$U$58*$X$58</f>
        <v>301.7006803</v>
      </c>
      <c r="BV485" s="9">
        <f t="shared" si="401"/>
        <v>301.7006803</v>
      </c>
      <c r="BW485" s="9">
        <f t="shared" si="401"/>
        <v>301.7006803</v>
      </c>
      <c r="BX485" s="9">
        <f t="shared" si="401"/>
        <v>301.7006803</v>
      </c>
      <c r="BY485" s="9">
        <f t="shared" si="401"/>
        <v>301.7006803</v>
      </c>
      <c r="BZ485" s="9">
        <f t="shared" si="401"/>
        <v>301.7006803</v>
      </c>
      <c r="CA485" s="9">
        <f t="shared" si="401"/>
        <v>301.7006803</v>
      </c>
      <c r="CB485" s="9">
        <f t="shared" si="401"/>
        <v>301.7006803</v>
      </c>
      <c r="CC485" s="9">
        <f t="shared" si="401"/>
        <v>301.7006803</v>
      </c>
      <c r="CD485" s="9">
        <f t="shared" si="401"/>
        <v>301.7006803</v>
      </c>
      <c r="CE485" s="9">
        <f t="shared" si="401"/>
        <v>301.7006803</v>
      </c>
      <c r="CF485" s="9">
        <f t="shared" si="401"/>
        <v>301.7006803</v>
      </c>
      <c r="CG485" s="9">
        <f t="shared" si="401"/>
        <v>301.7006803</v>
      </c>
      <c r="CH485" s="9">
        <f t="shared" si="401"/>
        <v>301.7006803</v>
      </c>
      <c r="CI485" s="9">
        <f t="shared" si="401"/>
        <v>301.7006803</v>
      </c>
      <c r="CJ485" s="9">
        <f t="shared" si="401"/>
        <v>301.7006803</v>
      </c>
      <c r="CK485" s="9">
        <f t="shared" si="401"/>
        <v>301.7006803</v>
      </c>
      <c r="CL485" s="9">
        <f t="shared" si="401"/>
        <v>301.7006803</v>
      </c>
      <c r="CM485" s="9">
        <f t="shared" si="401"/>
        <v>301.7006803</v>
      </c>
      <c r="CN485" s="9">
        <f t="shared" si="401"/>
        <v>301.7006803</v>
      </c>
      <c r="CO485" s="9">
        <f t="shared" si="401"/>
        <v>301.7006803</v>
      </c>
      <c r="CP485" s="9">
        <f t="shared" si="401"/>
        <v>301.7006803</v>
      </c>
      <c r="CQ485" s="9">
        <f t="shared" si="401"/>
        <v>301.7006803</v>
      </c>
      <c r="CR485" s="9">
        <f t="shared" si="401"/>
        <v>301.7006803</v>
      </c>
      <c r="CS485" s="9">
        <f t="shared" si="401"/>
        <v>301.7006803</v>
      </c>
      <c r="CT485" s="9">
        <f t="shared" si="401"/>
        <v>301.7006803</v>
      </c>
      <c r="CU485" s="9">
        <f t="shared" si="401"/>
        <v>301.7006803</v>
      </c>
      <c r="CV485" s="9">
        <f t="shared" si="401"/>
        <v>301.7006803</v>
      </c>
      <c r="CW485" s="9">
        <f t="shared" si="401"/>
        <v>301.7006803</v>
      </c>
      <c r="CX485" s="9">
        <f t="shared" si="401"/>
        <v>301.7006803</v>
      </c>
      <c r="CY485" s="9">
        <f t="shared" si="401"/>
        <v>301.7006803</v>
      </c>
      <c r="CZ485" s="9">
        <f t="shared" si="401"/>
        <v>301.7006803</v>
      </c>
      <c r="DA485" s="9">
        <f t="shared" si="401"/>
        <v>301.7006803</v>
      </c>
      <c r="DB485" s="9">
        <f t="shared" si="401"/>
        <v>301.7006803</v>
      </c>
      <c r="DC485" s="9">
        <f t="shared" si="401"/>
        <v>301.7006803</v>
      </c>
      <c r="DD485" s="9">
        <f t="shared" si="401"/>
        <v>301.7006803</v>
      </c>
      <c r="DE485" s="9">
        <f t="shared" si="401"/>
        <v>301.7006803</v>
      </c>
      <c r="DF485" s="9">
        <f t="shared" si="401"/>
        <v>301.7006803</v>
      </c>
      <c r="DG485" s="9">
        <f t="shared" si="401"/>
        <v>301.7006803</v>
      </c>
      <c r="DH485" s="9">
        <f t="shared" si="401"/>
        <v>301.7006803</v>
      </c>
      <c r="DI485" s="9">
        <f t="shared" si="401"/>
        <v>301.7006803</v>
      </c>
      <c r="DJ485" s="9">
        <f t="shared" si="401"/>
        <v>301.7006803</v>
      </c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6">
        <v>45535.0</v>
      </c>
      <c r="BV486" s="9">
        <f t="shared" ref="BV486:DK486" si="402">+$BV$53*$U$58*$X$58</f>
        <v>181.0204082</v>
      </c>
      <c r="BW486" s="9">
        <f t="shared" si="402"/>
        <v>181.0204082</v>
      </c>
      <c r="BX486" s="9">
        <f t="shared" si="402"/>
        <v>181.0204082</v>
      </c>
      <c r="BY486" s="9">
        <f t="shared" si="402"/>
        <v>181.0204082</v>
      </c>
      <c r="BZ486" s="9">
        <f t="shared" si="402"/>
        <v>181.0204082</v>
      </c>
      <c r="CA486" s="9">
        <f t="shared" si="402"/>
        <v>181.0204082</v>
      </c>
      <c r="CB486" s="9">
        <f t="shared" si="402"/>
        <v>181.0204082</v>
      </c>
      <c r="CC486" s="9">
        <f t="shared" si="402"/>
        <v>181.0204082</v>
      </c>
      <c r="CD486" s="9">
        <f t="shared" si="402"/>
        <v>181.0204082</v>
      </c>
      <c r="CE486" s="9">
        <f t="shared" si="402"/>
        <v>181.0204082</v>
      </c>
      <c r="CF486" s="9">
        <f t="shared" si="402"/>
        <v>181.0204082</v>
      </c>
      <c r="CG486" s="9">
        <f t="shared" si="402"/>
        <v>181.0204082</v>
      </c>
      <c r="CH486" s="9">
        <f t="shared" si="402"/>
        <v>181.0204082</v>
      </c>
      <c r="CI486" s="9">
        <f t="shared" si="402"/>
        <v>181.0204082</v>
      </c>
      <c r="CJ486" s="9">
        <f t="shared" si="402"/>
        <v>181.0204082</v>
      </c>
      <c r="CK486" s="9">
        <f t="shared" si="402"/>
        <v>181.0204082</v>
      </c>
      <c r="CL486" s="9">
        <f t="shared" si="402"/>
        <v>181.0204082</v>
      </c>
      <c r="CM486" s="9">
        <f t="shared" si="402"/>
        <v>181.0204082</v>
      </c>
      <c r="CN486" s="9">
        <f t="shared" si="402"/>
        <v>181.0204082</v>
      </c>
      <c r="CO486" s="9">
        <f t="shared" si="402"/>
        <v>181.0204082</v>
      </c>
      <c r="CP486" s="9">
        <f t="shared" si="402"/>
        <v>181.0204082</v>
      </c>
      <c r="CQ486" s="9">
        <f t="shared" si="402"/>
        <v>181.0204082</v>
      </c>
      <c r="CR486" s="9">
        <f t="shared" si="402"/>
        <v>181.0204082</v>
      </c>
      <c r="CS486" s="9">
        <f t="shared" si="402"/>
        <v>181.0204082</v>
      </c>
      <c r="CT486" s="9">
        <f t="shared" si="402"/>
        <v>181.0204082</v>
      </c>
      <c r="CU486" s="9">
        <f t="shared" si="402"/>
        <v>181.0204082</v>
      </c>
      <c r="CV486" s="9">
        <f t="shared" si="402"/>
        <v>181.0204082</v>
      </c>
      <c r="CW486" s="9">
        <f t="shared" si="402"/>
        <v>181.0204082</v>
      </c>
      <c r="CX486" s="9">
        <f t="shared" si="402"/>
        <v>181.0204082</v>
      </c>
      <c r="CY486" s="9">
        <f t="shared" si="402"/>
        <v>181.0204082</v>
      </c>
      <c r="CZ486" s="9">
        <f t="shared" si="402"/>
        <v>181.0204082</v>
      </c>
      <c r="DA486" s="9">
        <f t="shared" si="402"/>
        <v>181.0204082</v>
      </c>
      <c r="DB486" s="9">
        <f t="shared" si="402"/>
        <v>181.0204082</v>
      </c>
      <c r="DC486" s="9">
        <f t="shared" si="402"/>
        <v>181.0204082</v>
      </c>
      <c r="DD486" s="9">
        <f t="shared" si="402"/>
        <v>181.0204082</v>
      </c>
      <c r="DE486" s="9">
        <f t="shared" si="402"/>
        <v>181.0204082</v>
      </c>
      <c r="DF486" s="9">
        <f t="shared" si="402"/>
        <v>181.0204082</v>
      </c>
      <c r="DG486" s="9">
        <f t="shared" si="402"/>
        <v>181.0204082</v>
      </c>
      <c r="DH486" s="9">
        <f t="shared" si="402"/>
        <v>181.0204082</v>
      </c>
      <c r="DI486" s="9">
        <f t="shared" si="402"/>
        <v>181.0204082</v>
      </c>
      <c r="DJ486" s="9">
        <f t="shared" si="402"/>
        <v>181.0204082</v>
      </c>
      <c r="DK486" s="9">
        <f t="shared" si="402"/>
        <v>181.0204082</v>
      </c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6">
        <v>45565.0</v>
      </c>
      <c r="BW487" s="9">
        <f t="shared" ref="BW487:DL487" si="403">+$BW$53*$U$58*$X$58</f>
        <v>181.0204082</v>
      </c>
      <c r="BX487" s="9">
        <f t="shared" si="403"/>
        <v>181.0204082</v>
      </c>
      <c r="BY487" s="9">
        <f t="shared" si="403"/>
        <v>181.0204082</v>
      </c>
      <c r="BZ487" s="9">
        <f t="shared" si="403"/>
        <v>181.0204082</v>
      </c>
      <c r="CA487" s="9">
        <f t="shared" si="403"/>
        <v>181.0204082</v>
      </c>
      <c r="CB487" s="9">
        <f t="shared" si="403"/>
        <v>181.0204082</v>
      </c>
      <c r="CC487" s="9">
        <f t="shared" si="403"/>
        <v>181.0204082</v>
      </c>
      <c r="CD487" s="9">
        <f t="shared" si="403"/>
        <v>181.0204082</v>
      </c>
      <c r="CE487" s="9">
        <f t="shared" si="403"/>
        <v>181.0204082</v>
      </c>
      <c r="CF487" s="9">
        <f t="shared" si="403"/>
        <v>181.0204082</v>
      </c>
      <c r="CG487" s="9">
        <f t="shared" si="403"/>
        <v>181.0204082</v>
      </c>
      <c r="CH487" s="9">
        <f t="shared" si="403"/>
        <v>181.0204082</v>
      </c>
      <c r="CI487" s="9">
        <f t="shared" si="403"/>
        <v>181.0204082</v>
      </c>
      <c r="CJ487" s="9">
        <f t="shared" si="403"/>
        <v>181.0204082</v>
      </c>
      <c r="CK487" s="9">
        <f t="shared" si="403"/>
        <v>181.0204082</v>
      </c>
      <c r="CL487" s="9">
        <f t="shared" si="403"/>
        <v>181.0204082</v>
      </c>
      <c r="CM487" s="9">
        <f t="shared" si="403"/>
        <v>181.0204082</v>
      </c>
      <c r="CN487" s="9">
        <f t="shared" si="403"/>
        <v>181.0204082</v>
      </c>
      <c r="CO487" s="9">
        <f t="shared" si="403"/>
        <v>181.0204082</v>
      </c>
      <c r="CP487" s="9">
        <f t="shared" si="403"/>
        <v>181.0204082</v>
      </c>
      <c r="CQ487" s="9">
        <f t="shared" si="403"/>
        <v>181.0204082</v>
      </c>
      <c r="CR487" s="9">
        <f t="shared" si="403"/>
        <v>181.0204082</v>
      </c>
      <c r="CS487" s="9">
        <f t="shared" si="403"/>
        <v>181.0204082</v>
      </c>
      <c r="CT487" s="9">
        <f t="shared" si="403"/>
        <v>181.0204082</v>
      </c>
      <c r="CU487" s="9">
        <f t="shared" si="403"/>
        <v>181.0204082</v>
      </c>
      <c r="CV487" s="9">
        <f t="shared" si="403"/>
        <v>181.0204082</v>
      </c>
      <c r="CW487" s="9">
        <f t="shared" si="403"/>
        <v>181.0204082</v>
      </c>
      <c r="CX487" s="9">
        <f t="shared" si="403"/>
        <v>181.0204082</v>
      </c>
      <c r="CY487" s="9">
        <f t="shared" si="403"/>
        <v>181.0204082</v>
      </c>
      <c r="CZ487" s="9">
        <f t="shared" si="403"/>
        <v>181.0204082</v>
      </c>
      <c r="DA487" s="9">
        <f t="shared" si="403"/>
        <v>181.0204082</v>
      </c>
      <c r="DB487" s="9">
        <f t="shared" si="403"/>
        <v>181.0204082</v>
      </c>
      <c r="DC487" s="9">
        <f t="shared" si="403"/>
        <v>181.0204082</v>
      </c>
      <c r="DD487" s="9">
        <f t="shared" si="403"/>
        <v>181.0204082</v>
      </c>
      <c r="DE487" s="9">
        <f t="shared" si="403"/>
        <v>181.0204082</v>
      </c>
      <c r="DF487" s="9">
        <f t="shared" si="403"/>
        <v>181.0204082</v>
      </c>
      <c r="DG487" s="9">
        <f t="shared" si="403"/>
        <v>181.0204082</v>
      </c>
      <c r="DH487" s="9">
        <f t="shared" si="403"/>
        <v>181.0204082</v>
      </c>
      <c r="DI487" s="9">
        <f t="shared" si="403"/>
        <v>181.0204082</v>
      </c>
      <c r="DJ487" s="9">
        <f t="shared" si="403"/>
        <v>181.0204082</v>
      </c>
      <c r="DK487" s="9">
        <f t="shared" si="403"/>
        <v>181.0204082</v>
      </c>
      <c r="DL487" s="9">
        <f t="shared" si="403"/>
        <v>181.0204082</v>
      </c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6">
        <v>45596.0</v>
      </c>
      <c r="BX488" s="9">
        <f t="shared" ref="BX488:DM488" si="404">+$BX$53*$U$58*$X$58</f>
        <v>158.3928571</v>
      </c>
      <c r="BY488" s="9">
        <f t="shared" si="404"/>
        <v>158.3928571</v>
      </c>
      <c r="BZ488" s="9">
        <f t="shared" si="404"/>
        <v>158.3928571</v>
      </c>
      <c r="CA488" s="9">
        <f t="shared" si="404"/>
        <v>158.3928571</v>
      </c>
      <c r="CB488" s="9">
        <f t="shared" si="404"/>
        <v>158.3928571</v>
      </c>
      <c r="CC488" s="9">
        <f t="shared" si="404"/>
        <v>158.3928571</v>
      </c>
      <c r="CD488" s="9">
        <f t="shared" si="404"/>
        <v>158.3928571</v>
      </c>
      <c r="CE488" s="9">
        <f t="shared" si="404"/>
        <v>158.3928571</v>
      </c>
      <c r="CF488" s="9">
        <f t="shared" si="404"/>
        <v>158.3928571</v>
      </c>
      <c r="CG488" s="9">
        <f t="shared" si="404"/>
        <v>158.3928571</v>
      </c>
      <c r="CH488" s="9">
        <f t="shared" si="404"/>
        <v>158.3928571</v>
      </c>
      <c r="CI488" s="9">
        <f t="shared" si="404"/>
        <v>158.3928571</v>
      </c>
      <c r="CJ488" s="9">
        <f t="shared" si="404"/>
        <v>158.3928571</v>
      </c>
      <c r="CK488" s="9">
        <f t="shared" si="404"/>
        <v>158.3928571</v>
      </c>
      <c r="CL488" s="9">
        <f t="shared" si="404"/>
        <v>158.3928571</v>
      </c>
      <c r="CM488" s="9">
        <f t="shared" si="404"/>
        <v>158.3928571</v>
      </c>
      <c r="CN488" s="9">
        <f t="shared" si="404"/>
        <v>158.3928571</v>
      </c>
      <c r="CO488" s="9">
        <f t="shared" si="404"/>
        <v>158.3928571</v>
      </c>
      <c r="CP488" s="9">
        <f t="shared" si="404"/>
        <v>158.3928571</v>
      </c>
      <c r="CQ488" s="9">
        <f t="shared" si="404"/>
        <v>158.3928571</v>
      </c>
      <c r="CR488" s="9">
        <f t="shared" si="404"/>
        <v>158.3928571</v>
      </c>
      <c r="CS488" s="9">
        <f t="shared" si="404"/>
        <v>158.3928571</v>
      </c>
      <c r="CT488" s="9">
        <f t="shared" si="404"/>
        <v>158.3928571</v>
      </c>
      <c r="CU488" s="9">
        <f t="shared" si="404"/>
        <v>158.3928571</v>
      </c>
      <c r="CV488" s="9">
        <f t="shared" si="404"/>
        <v>158.3928571</v>
      </c>
      <c r="CW488" s="9">
        <f t="shared" si="404"/>
        <v>158.3928571</v>
      </c>
      <c r="CX488" s="9">
        <f t="shared" si="404"/>
        <v>158.3928571</v>
      </c>
      <c r="CY488" s="9">
        <f t="shared" si="404"/>
        <v>158.3928571</v>
      </c>
      <c r="CZ488" s="9">
        <f t="shared" si="404"/>
        <v>158.3928571</v>
      </c>
      <c r="DA488" s="9">
        <f t="shared" si="404"/>
        <v>158.3928571</v>
      </c>
      <c r="DB488" s="9">
        <f t="shared" si="404"/>
        <v>158.3928571</v>
      </c>
      <c r="DC488" s="9">
        <f t="shared" si="404"/>
        <v>158.3928571</v>
      </c>
      <c r="DD488" s="9">
        <f t="shared" si="404"/>
        <v>158.3928571</v>
      </c>
      <c r="DE488" s="9">
        <f t="shared" si="404"/>
        <v>158.3928571</v>
      </c>
      <c r="DF488" s="9">
        <f t="shared" si="404"/>
        <v>158.3928571</v>
      </c>
      <c r="DG488" s="9">
        <f t="shared" si="404"/>
        <v>158.3928571</v>
      </c>
      <c r="DH488" s="9">
        <f t="shared" si="404"/>
        <v>158.3928571</v>
      </c>
      <c r="DI488" s="9">
        <f t="shared" si="404"/>
        <v>158.3928571</v>
      </c>
      <c r="DJ488" s="9">
        <f t="shared" si="404"/>
        <v>158.3928571</v>
      </c>
      <c r="DK488" s="9">
        <f t="shared" si="404"/>
        <v>158.3928571</v>
      </c>
      <c r="DL488" s="9">
        <f t="shared" si="404"/>
        <v>158.3928571</v>
      </c>
      <c r="DM488" s="9">
        <f t="shared" si="404"/>
        <v>158.3928571</v>
      </c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6">
        <v>45626.0</v>
      </c>
      <c r="BY489" s="9">
        <f t="shared" ref="BY489:DN489" si="405">+$BY$53*$U$58*$X$58</f>
        <v>158.3928571</v>
      </c>
      <c r="BZ489" s="9">
        <f t="shared" si="405"/>
        <v>158.3928571</v>
      </c>
      <c r="CA489" s="9">
        <f t="shared" si="405"/>
        <v>158.3928571</v>
      </c>
      <c r="CB489" s="9">
        <f t="shared" si="405"/>
        <v>158.3928571</v>
      </c>
      <c r="CC489" s="9">
        <f t="shared" si="405"/>
        <v>158.3928571</v>
      </c>
      <c r="CD489" s="9">
        <f t="shared" si="405"/>
        <v>158.3928571</v>
      </c>
      <c r="CE489" s="9">
        <f t="shared" si="405"/>
        <v>158.3928571</v>
      </c>
      <c r="CF489" s="9">
        <f t="shared" si="405"/>
        <v>158.3928571</v>
      </c>
      <c r="CG489" s="9">
        <f t="shared" si="405"/>
        <v>158.3928571</v>
      </c>
      <c r="CH489" s="9">
        <f t="shared" si="405"/>
        <v>158.3928571</v>
      </c>
      <c r="CI489" s="9">
        <f t="shared" si="405"/>
        <v>158.3928571</v>
      </c>
      <c r="CJ489" s="9">
        <f t="shared" si="405"/>
        <v>158.3928571</v>
      </c>
      <c r="CK489" s="9">
        <f t="shared" si="405"/>
        <v>158.3928571</v>
      </c>
      <c r="CL489" s="9">
        <f t="shared" si="405"/>
        <v>158.3928571</v>
      </c>
      <c r="CM489" s="9">
        <f t="shared" si="405"/>
        <v>158.3928571</v>
      </c>
      <c r="CN489" s="9">
        <f t="shared" si="405"/>
        <v>158.3928571</v>
      </c>
      <c r="CO489" s="9">
        <f t="shared" si="405"/>
        <v>158.3928571</v>
      </c>
      <c r="CP489" s="9">
        <f t="shared" si="405"/>
        <v>158.3928571</v>
      </c>
      <c r="CQ489" s="9">
        <f t="shared" si="405"/>
        <v>158.3928571</v>
      </c>
      <c r="CR489" s="9">
        <f t="shared" si="405"/>
        <v>158.3928571</v>
      </c>
      <c r="CS489" s="9">
        <f t="shared" si="405"/>
        <v>158.3928571</v>
      </c>
      <c r="CT489" s="9">
        <f t="shared" si="405"/>
        <v>158.3928571</v>
      </c>
      <c r="CU489" s="9">
        <f t="shared" si="405"/>
        <v>158.3928571</v>
      </c>
      <c r="CV489" s="9">
        <f t="shared" si="405"/>
        <v>158.3928571</v>
      </c>
      <c r="CW489" s="9">
        <f t="shared" si="405"/>
        <v>158.3928571</v>
      </c>
      <c r="CX489" s="9">
        <f t="shared" si="405"/>
        <v>158.3928571</v>
      </c>
      <c r="CY489" s="9">
        <f t="shared" si="405"/>
        <v>158.3928571</v>
      </c>
      <c r="CZ489" s="9">
        <f t="shared" si="405"/>
        <v>158.3928571</v>
      </c>
      <c r="DA489" s="9">
        <f t="shared" si="405"/>
        <v>158.3928571</v>
      </c>
      <c r="DB489" s="9">
        <f t="shared" si="405"/>
        <v>158.3928571</v>
      </c>
      <c r="DC489" s="9">
        <f t="shared" si="405"/>
        <v>158.3928571</v>
      </c>
      <c r="DD489" s="9">
        <f t="shared" si="405"/>
        <v>158.3928571</v>
      </c>
      <c r="DE489" s="9">
        <f t="shared" si="405"/>
        <v>158.3928571</v>
      </c>
      <c r="DF489" s="9">
        <f t="shared" si="405"/>
        <v>158.3928571</v>
      </c>
      <c r="DG489" s="9">
        <f t="shared" si="405"/>
        <v>158.3928571</v>
      </c>
      <c r="DH489" s="9">
        <f t="shared" si="405"/>
        <v>158.3928571</v>
      </c>
      <c r="DI489" s="9">
        <f t="shared" si="405"/>
        <v>158.3928571</v>
      </c>
      <c r="DJ489" s="9">
        <f t="shared" si="405"/>
        <v>158.3928571</v>
      </c>
      <c r="DK489" s="9">
        <f t="shared" si="405"/>
        <v>158.3928571</v>
      </c>
      <c r="DL489" s="9">
        <f t="shared" si="405"/>
        <v>158.3928571</v>
      </c>
      <c r="DM489" s="9">
        <f t="shared" si="405"/>
        <v>158.3928571</v>
      </c>
      <c r="DN489" s="9">
        <f t="shared" si="405"/>
        <v>158.3928571</v>
      </c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6">
        <v>45657.0</v>
      </c>
      <c r="BZ490" s="9">
        <f t="shared" ref="BZ490:DO490" si="406">+$BZ$53*$U$58*$X$58</f>
        <v>301.7006803</v>
      </c>
      <c r="CA490" s="9">
        <f t="shared" si="406"/>
        <v>301.7006803</v>
      </c>
      <c r="CB490" s="9">
        <f t="shared" si="406"/>
        <v>301.7006803</v>
      </c>
      <c r="CC490" s="9">
        <f t="shared" si="406"/>
        <v>301.7006803</v>
      </c>
      <c r="CD490" s="9">
        <f t="shared" si="406"/>
        <v>301.7006803</v>
      </c>
      <c r="CE490" s="9">
        <f t="shared" si="406"/>
        <v>301.7006803</v>
      </c>
      <c r="CF490" s="9">
        <f t="shared" si="406"/>
        <v>301.7006803</v>
      </c>
      <c r="CG490" s="9">
        <f t="shared" si="406"/>
        <v>301.7006803</v>
      </c>
      <c r="CH490" s="9">
        <f t="shared" si="406"/>
        <v>301.7006803</v>
      </c>
      <c r="CI490" s="9">
        <f t="shared" si="406"/>
        <v>301.7006803</v>
      </c>
      <c r="CJ490" s="9">
        <f t="shared" si="406"/>
        <v>301.7006803</v>
      </c>
      <c r="CK490" s="9">
        <f t="shared" si="406"/>
        <v>301.7006803</v>
      </c>
      <c r="CL490" s="9">
        <f t="shared" si="406"/>
        <v>301.7006803</v>
      </c>
      <c r="CM490" s="9">
        <f t="shared" si="406"/>
        <v>301.7006803</v>
      </c>
      <c r="CN490" s="9">
        <f t="shared" si="406"/>
        <v>301.7006803</v>
      </c>
      <c r="CO490" s="9">
        <f t="shared" si="406"/>
        <v>301.7006803</v>
      </c>
      <c r="CP490" s="9">
        <f t="shared" si="406"/>
        <v>301.7006803</v>
      </c>
      <c r="CQ490" s="9">
        <f t="shared" si="406"/>
        <v>301.7006803</v>
      </c>
      <c r="CR490" s="9">
        <f t="shared" si="406"/>
        <v>301.7006803</v>
      </c>
      <c r="CS490" s="9">
        <f t="shared" si="406"/>
        <v>301.7006803</v>
      </c>
      <c r="CT490" s="9">
        <f t="shared" si="406"/>
        <v>301.7006803</v>
      </c>
      <c r="CU490" s="9">
        <f t="shared" si="406"/>
        <v>301.7006803</v>
      </c>
      <c r="CV490" s="9">
        <f t="shared" si="406"/>
        <v>301.7006803</v>
      </c>
      <c r="CW490" s="9">
        <f t="shared" si="406"/>
        <v>301.7006803</v>
      </c>
      <c r="CX490" s="9">
        <f t="shared" si="406"/>
        <v>301.7006803</v>
      </c>
      <c r="CY490" s="9">
        <f t="shared" si="406"/>
        <v>301.7006803</v>
      </c>
      <c r="CZ490" s="9">
        <f t="shared" si="406"/>
        <v>301.7006803</v>
      </c>
      <c r="DA490" s="9">
        <f t="shared" si="406"/>
        <v>301.7006803</v>
      </c>
      <c r="DB490" s="9">
        <f t="shared" si="406"/>
        <v>301.7006803</v>
      </c>
      <c r="DC490" s="9">
        <f t="shared" si="406"/>
        <v>301.7006803</v>
      </c>
      <c r="DD490" s="9">
        <f t="shared" si="406"/>
        <v>301.7006803</v>
      </c>
      <c r="DE490" s="9">
        <f t="shared" si="406"/>
        <v>301.7006803</v>
      </c>
      <c r="DF490" s="9">
        <f t="shared" si="406"/>
        <v>301.7006803</v>
      </c>
      <c r="DG490" s="9">
        <f t="shared" si="406"/>
        <v>301.7006803</v>
      </c>
      <c r="DH490" s="9">
        <f t="shared" si="406"/>
        <v>301.7006803</v>
      </c>
      <c r="DI490" s="9">
        <f t="shared" si="406"/>
        <v>301.7006803</v>
      </c>
      <c r="DJ490" s="9">
        <f t="shared" si="406"/>
        <v>301.7006803</v>
      </c>
      <c r="DK490" s="9">
        <f t="shared" si="406"/>
        <v>301.7006803</v>
      </c>
      <c r="DL490" s="9">
        <f t="shared" si="406"/>
        <v>301.7006803</v>
      </c>
      <c r="DM490" s="9">
        <f t="shared" si="406"/>
        <v>301.7006803</v>
      </c>
      <c r="DN490" s="9">
        <f t="shared" si="406"/>
        <v>301.7006803</v>
      </c>
      <c r="DO490" s="9">
        <f t="shared" si="406"/>
        <v>301.7006803</v>
      </c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6">
        <v>45688.0</v>
      </c>
      <c r="CA491" s="9">
        <f t="shared" ref="CA491:DP491" si="407">+$CA$53*$U$58*$X$58</f>
        <v>120.6802721</v>
      </c>
      <c r="CB491" s="9">
        <f t="shared" si="407"/>
        <v>120.6802721</v>
      </c>
      <c r="CC491" s="9">
        <f t="shared" si="407"/>
        <v>120.6802721</v>
      </c>
      <c r="CD491" s="9">
        <f t="shared" si="407"/>
        <v>120.6802721</v>
      </c>
      <c r="CE491" s="9">
        <f t="shared" si="407"/>
        <v>120.6802721</v>
      </c>
      <c r="CF491" s="9">
        <f t="shared" si="407"/>
        <v>120.6802721</v>
      </c>
      <c r="CG491" s="9">
        <f t="shared" si="407"/>
        <v>120.6802721</v>
      </c>
      <c r="CH491" s="9">
        <f t="shared" si="407"/>
        <v>120.6802721</v>
      </c>
      <c r="CI491" s="9">
        <f t="shared" si="407"/>
        <v>120.6802721</v>
      </c>
      <c r="CJ491" s="9">
        <f t="shared" si="407"/>
        <v>120.6802721</v>
      </c>
      <c r="CK491" s="9">
        <f t="shared" si="407"/>
        <v>120.6802721</v>
      </c>
      <c r="CL491" s="9">
        <f t="shared" si="407"/>
        <v>120.6802721</v>
      </c>
      <c r="CM491" s="9">
        <f t="shared" si="407"/>
        <v>120.6802721</v>
      </c>
      <c r="CN491" s="9">
        <f t="shared" si="407"/>
        <v>120.6802721</v>
      </c>
      <c r="CO491" s="9">
        <f t="shared" si="407"/>
        <v>120.6802721</v>
      </c>
      <c r="CP491" s="9">
        <f t="shared" si="407"/>
        <v>120.6802721</v>
      </c>
      <c r="CQ491" s="9">
        <f t="shared" si="407"/>
        <v>120.6802721</v>
      </c>
      <c r="CR491" s="9">
        <f t="shared" si="407"/>
        <v>120.6802721</v>
      </c>
      <c r="CS491" s="9">
        <f t="shared" si="407"/>
        <v>120.6802721</v>
      </c>
      <c r="CT491" s="9">
        <f t="shared" si="407"/>
        <v>120.6802721</v>
      </c>
      <c r="CU491" s="9">
        <f t="shared" si="407"/>
        <v>120.6802721</v>
      </c>
      <c r="CV491" s="9">
        <f t="shared" si="407"/>
        <v>120.6802721</v>
      </c>
      <c r="CW491" s="9">
        <f t="shared" si="407"/>
        <v>120.6802721</v>
      </c>
      <c r="CX491" s="9">
        <f t="shared" si="407"/>
        <v>120.6802721</v>
      </c>
      <c r="CY491" s="9">
        <f t="shared" si="407"/>
        <v>120.6802721</v>
      </c>
      <c r="CZ491" s="9">
        <f t="shared" si="407"/>
        <v>120.6802721</v>
      </c>
      <c r="DA491" s="9">
        <f t="shared" si="407"/>
        <v>120.6802721</v>
      </c>
      <c r="DB491" s="9">
        <f t="shared" si="407"/>
        <v>120.6802721</v>
      </c>
      <c r="DC491" s="9">
        <f t="shared" si="407"/>
        <v>120.6802721</v>
      </c>
      <c r="DD491" s="9">
        <f t="shared" si="407"/>
        <v>120.6802721</v>
      </c>
      <c r="DE491" s="9">
        <f t="shared" si="407"/>
        <v>120.6802721</v>
      </c>
      <c r="DF491" s="9">
        <f t="shared" si="407"/>
        <v>120.6802721</v>
      </c>
      <c r="DG491" s="9">
        <f t="shared" si="407"/>
        <v>120.6802721</v>
      </c>
      <c r="DH491" s="9">
        <f t="shared" si="407"/>
        <v>120.6802721</v>
      </c>
      <c r="DI491" s="9">
        <f t="shared" si="407"/>
        <v>120.6802721</v>
      </c>
      <c r="DJ491" s="9">
        <f t="shared" si="407"/>
        <v>120.6802721</v>
      </c>
      <c r="DK491" s="9">
        <f t="shared" si="407"/>
        <v>120.6802721</v>
      </c>
      <c r="DL491" s="9">
        <f t="shared" si="407"/>
        <v>120.6802721</v>
      </c>
      <c r="DM491" s="9">
        <f t="shared" si="407"/>
        <v>120.6802721</v>
      </c>
      <c r="DN491" s="9">
        <f t="shared" si="407"/>
        <v>120.6802721</v>
      </c>
      <c r="DO491" s="9">
        <f t="shared" si="407"/>
        <v>120.6802721</v>
      </c>
      <c r="DP491" s="9">
        <f t="shared" si="407"/>
        <v>120.6802721</v>
      </c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6">
        <v>45716.0</v>
      </c>
      <c r="CB492" s="9">
        <f t="shared" ref="CB492:DQ492" si="408">+$CB$53*$U$58*$X$58</f>
        <v>120.6802721</v>
      </c>
      <c r="CC492" s="9">
        <f t="shared" si="408"/>
        <v>120.6802721</v>
      </c>
      <c r="CD492" s="9">
        <f t="shared" si="408"/>
        <v>120.6802721</v>
      </c>
      <c r="CE492" s="9">
        <f t="shared" si="408"/>
        <v>120.6802721</v>
      </c>
      <c r="CF492" s="9">
        <f t="shared" si="408"/>
        <v>120.6802721</v>
      </c>
      <c r="CG492" s="9">
        <f t="shared" si="408"/>
        <v>120.6802721</v>
      </c>
      <c r="CH492" s="9">
        <f t="shared" si="408"/>
        <v>120.6802721</v>
      </c>
      <c r="CI492" s="9">
        <f t="shared" si="408"/>
        <v>120.6802721</v>
      </c>
      <c r="CJ492" s="9">
        <f t="shared" si="408"/>
        <v>120.6802721</v>
      </c>
      <c r="CK492" s="9">
        <f t="shared" si="408"/>
        <v>120.6802721</v>
      </c>
      <c r="CL492" s="9">
        <f t="shared" si="408"/>
        <v>120.6802721</v>
      </c>
      <c r="CM492" s="9">
        <f t="shared" si="408"/>
        <v>120.6802721</v>
      </c>
      <c r="CN492" s="9">
        <f t="shared" si="408"/>
        <v>120.6802721</v>
      </c>
      <c r="CO492" s="9">
        <f t="shared" si="408"/>
        <v>120.6802721</v>
      </c>
      <c r="CP492" s="9">
        <f t="shared" si="408"/>
        <v>120.6802721</v>
      </c>
      <c r="CQ492" s="9">
        <f t="shared" si="408"/>
        <v>120.6802721</v>
      </c>
      <c r="CR492" s="9">
        <f t="shared" si="408"/>
        <v>120.6802721</v>
      </c>
      <c r="CS492" s="9">
        <f t="shared" si="408"/>
        <v>120.6802721</v>
      </c>
      <c r="CT492" s="9">
        <f t="shared" si="408"/>
        <v>120.6802721</v>
      </c>
      <c r="CU492" s="9">
        <f t="shared" si="408"/>
        <v>120.6802721</v>
      </c>
      <c r="CV492" s="9">
        <f t="shared" si="408"/>
        <v>120.6802721</v>
      </c>
      <c r="CW492" s="9">
        <f t="shared" si="408"/>
        <v>120.6802721</v>
      </c>
      <c r="CX492" s="9">
        <f t="shared" si="408"/>
        <v>120.6802721</v>
      </c>
      <c r="CY492" s="9">
        <f t="shared" si="408"/>
        <v>120.6802721</v>
      </c>
      <c r="CZ492" s="9">
        <f t="shared" si="408"/>
        <v>120.6802721</v>
      </c>
      <c r="DA492" s="9">
        <f t="shared" si="408"/>
        <v>120.6802721</v>
      </c>
      <c r="DB492" s="9">
        <f t="shared" si="408"/>
        <v>120.6802721</v>
      </c>
      <c r="DC492" s="9">
        <f t="shared" si="408"/>
        <v>120.6802721</v>
      </c>
      <c r="DD492" s="9">
        <f t="shared" si="408"/>
        <v>120.6802721</v>
      </c>
      <c r="DE492" s="9">
        <f t="shared" si="408"/>
        <v>120.6802721</v>
      </c>
      <c r="DF492" s="9">
        <f t="shared" si="408"/>
        <v>120.6802721</v>
      </c>
      <c r="DG492" s="9">
        <f t="shared" si="408"/>
        <v>120.6802721</v>
      </c>
      <c r="DH492" s="9">
        <f t="shared" si="408"/>
        <v>120.6802721</v>
      </c>
      <c r="DI492" s="9">
        <f t="shared" si="408"/>
        <v>120.6802721</v>
      </c>
      <c r="DJ492" s="9">
        <f t="shared" si="408"/>
        <v>120.6802721</v>
      </c>
      <c r="DK492" s="9">
        <f t="shared" si="408"/>
        <v>120.6802721</v>
      </c>
      <c r="DL492" s="9">
        <f t="shared" si="408"/>
        <v>120.6802721</v>
      </c>
      <c r="DM492" s="9">
        <f t="shared" si="408"/>
        <v>120.6802721</v>
      </c>
      <c r="DN492" s="9">
        <f t="shared" si="408"/>
        <v>120.6802721</v>
      </c>
      <c r="DO492" s="9">
        <f t="shared" si="408"/>
        <v>120.6802721</v>
      </c>
      <c r="DP492" s="9">
        <f t="shared" si="408"/>
        <v>120.6802721</v>
      </c>
      <c r="DQ492" s="9">
        <f t="shared" si="408"/>
        <v>120.6802721</v>
      </c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6">
        <v>45747.0</v>
      </c>
      <c r="CC493" s="9">
        <f t="shared" ref="CC493:DI493" si="409">+$CC$53*$U$58*$X$58</f>
        <v>120.6802721</v>
      </c>
      <c r="CD493" s="9">
        <f t="shared" si="409"/>
        <v>120.6802721</v>
      </c>
      <c r="CE493" s="9">
        <f t="shared" si="409"/>
        <v>120.6802721</v>
      </c>
      <c r="CF493" s="9">
        <f t="shared" si="409"/>
        <v>120.6802721</v>
      </c>
      <c r="CG493" s="9">
        <f t="shared" si="409"/>
        <v>120.6802721</v>
      </c>
      <c r="CH493" s="9">
        <f t="shared" si="409"/>
        <v>120.6802721</v>
      </c>
      <c r="CI493" s="9">
        <f t="shared" si="409"/>
        <v>120.6802721</v>
      </c>
      <c r="CJ493" s="9">
        <f t="shared" si="409"/>
        <v>120.6802721</v>
      </c>
      <c r="CK493" s="9">
        <f t="shared" si="409"/>
        <v>120.6802721</v>
      </c>
      <c r="CL493" s="9">
        <f t="shared" si="409"/>
        <v>120.6802721</v>
      </c>
      <c r="CM493" s="9">
        <f t="shared" si="409"/>
        <v>120.6802721</v>
      </c>
      <c r="CN493" s="9">
        <f t="shared" si="409"/>
        <v>120.6802721</v>
      </c>
      <c r="CO493" s="9">
        <f t="shared" si="409"/>
        <v>120.6802721</v>
      </c>
      <c r="CP493" s="9">
        <f t="shared" si="409"/>
        <v>120.6802721</v>
      </c>
      <c r="CQ493" s="9">
        <f t="shared" si="409"/>
        <v>120.6802721</v>
      </c>
      <c r="CR493" s="9">
        <f t="shared" si="409"/>
        <v>120.6802721</v>
      </c>
      <c r="CS493" s="9">
        <f t="shared" si="409"/>
        <v>120.6802721</v>
      </c>
      <c r="CT493" s="9">
        <f t="shared" si="409"/>
        <v>120.6802721</v>
      </c>
      <c r="CU493" s="9">
        <f t="shared" si="409"/>
        <v>120.6802721</v>
      </c>
      <c r="CV493" s="9">
        <f t="shared" si="409"/>
        <v>120.6802721</v>
      </c>
      <c r="CW493" s="9">
        <f t="shared" si="409"/>
        <v>120.6802721</v>
      </c>
      <c r="CX493" s="9">
        <f t="shared" si="409"/>
        <v>120.6802721</v>
      </c>
      <c r="CY493" s="9">
        <f t="shared" si="409"/>
        <v>120.6802721</v>
      </c>
      <c r="CZ493" s="9">
        <f t="shared" si="409"/>
        <v>120.6802721</v>
      </c>
      <c r="DA493" s="9">
        <f t="shared" si="409"/>
        <v>120.6802721</v>
      </c>
      <c r="DB493" s="9">
        <f t="shared" si="409"/>
        <v>120.6802721</v>
      </c>
      <c r="DC493" s="9">
        <f t="shared" si="409"/>
        <v>120.6802721</v>
      </c>
      <c r="DD493" s="9">
        <f t="shared" si="409"/>
        <v>120.6802721</v>
      </c>
      <c r="DE493" s="9">
        <f t="shared" si="409"/>
        <v>120.6802721</v>
      </c>
      <c r="DF493" s="9">
        <f t="shared" si="409"/>
        <v>120.6802721</v>
      </c>
      <c r="DG493" s="9">
        <f t="shared" si="409"/>
        <v>120.6802721</v>
      </c>
      <c r="DH493" s="9">
        <f t="shared" si="409"/>
        <v>120.6802721</v>
      </c>
      <c r="DI493" s="9">
        <f t="shared" si="409"/>
        <v>120.6802721</v>
      </c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6">
        <v>45777.0</v>
      </c>
      <c r="CD494" s="9">
        <f t="shared" ref="CD494:DI494" si="410">+$CD$53*$U$58*$X$58</f>
        <v>120.6802721</v>
      </c>
      <c r="CE494" s="9">
        <f t="shared" si="410"/>
        <v>120.6802721</v>
      </c>
      <c r="CF494" s="9">
        <f t="shared" si="410"/>
        <v>120.6802721</v>
      </c>
      <c r="CG494" s="9">
        <f t="shared" si="410"/>
        <v>120.6802721</v>
      </c>
      <c r="CH494" s="9">
        <f t="shared" si="410"/>
        <v>120.6802721</v>
      </c>
      <c r="CI494" s="9">
        <f t="shared" si="410"/>
        <v>120.6802721</v>
      </c>
      <c r="CJ494" s="9">
        <f t="shared" si="410"/>
        <v>120.6802721</v>
      </c>
      <c r="CK494" s="9">
        <f t="shared" si="410"/>
        <v>120.6802721</v>
      </c>
      <c r="CL494" s="9">
        <f t="shared" si="410"/>
        <v>120.6802721</v>
      </c>
      <c r="CM494" s="9">
        <f t="shared" si="410"/>
        <v>120.6802721</v>
      </c>
      <c r="CN494" s="9">
        <f t="shared" si="410"/>
        <v>120.6802721</v>
      </c>
      <c r="CO494" s="9">
        <f t="shared" si="410"/>
        <v>120.6802721</v>
      </c>
      <c r="CP494" s="9">
        <f t="shared" si="410"/>
        <v>120.6802721</v>
      </c>
      <c r="CQ494" s="9">
        <f t="shared" si="410"/>
        <v>120.6802721</v>
      </c>
      <c r="CR494" s="9">
        <f t="shared" si="410"/>
        <v>120.6802721</v>
      </c>
      <c r="CS494" s="9">
        <f t="shared" si="410"/>
        <v>120.6802721</v>
      </c>
      <c r="CT494" s="9">
        <f t="shared" si="410"/>
        <v>120.6802721</v>
      </c>
      <c r="CU494" s="9">
        <f t="shared" si="410"/>
        <v>120.6802721</v>
      </c>
      <c r="CV494" s="9">
        <f t="shared" si="410"/>
        <v>120.6802721</v>
      </c>
      <c r="CW494" s="9">
        <f t="shared" si="410"/>
        <v>120.6802721</v>
      </c>
      <c r="CX494" s="9">
        <f t="shared" si="410"/>
        <v>120.6802721</v>
      </c>
      <c r="CY494" s="9">
        <f t="shared" si="410"/>
        <v>120.6802721</v>
      </c>
      <c r="CZ494" s="9">
        <f t="shared" si="410"/>
        <v>120.6802721</v>
      </c>
      <c r="DA494" s="9">
        <f t="shared" si="410"/>
        <v>120.6802721</v>
      </c>
      <c r="DB494" s="9">
        <f t="shared" si="410"/>
        <v>120.6802721</v>
      </c>
      <c r="DC494" s="9">
        <f t="shared" si="410"/>
        <v>120.6802721</v>
      </c>
      <c r="DD494" s="9">
        <f t="shared" si="410"/>
        <v>120.6802721</v>
      </c>
      <c r="DE494" s="9">
        <f t="shared" si="410"/>
        <v>120.6802721</v>
      </c>
      <c r="DF494" s="9">
        <f t="shared" si="410"/>
        <v>120.6802721</v>
      </c>
      <c r="DG494" s="9">
        <f t="shared" si="410"/>
        <v>120.6802721</v>
      </c>
      <c r="DH494" s="9">
        <f t="shared" si="410"/>
        <v>120.6802721</v>
      </c>
      <c r="DI494" s="9">
        <f t="shared" si="410"/>
        <v>120.6802721</v>
      </c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6">
        <v>45808.0</v>
      </c>
      <c r="CE495" s="9">
        <f t="shared" ref="CE495:DI495" si="411">+$CE$53*$U$58*$X$58</f>
        <v>120.6802721</v>
      </c>
      <c r="CF495" s="9">
        <f t="shared" si="411"/>
        <v>120.6802721</v>
      </c>
      <c r="CG495" s="9">
        <f t="shared" si="411"/>
        <v>120.6802721</v>
      </c>
      <c r="CH495" s="9">
        <f t="shared" si="411"/>
        <v>120.6802721</v>
      </c>
      <c r="CI495" s="9">
        <f t="shared" si="411"/>
        <v>120.6802721</v>
      </c>
      <c r="CJ495" s="9">
        <f t="shared" si="411"/>
        <v>120.6802721</v>
      </c>
      <c r="CK495" s="9">
        <f t="shared" si="411"/>
        <v>120.6802721</v>
      </c>
      <c r="CL495" s="9">
        <f t="shared" si="411"/>
        <v>120.6802721</v>
      </c>
      <c r="CM495" s="9">
        <f t="shared" si="411"/>
        <v>120.6802721</v>
      </c>
      <c r="CN495" s="9">
        <f t="shared" si="411"/>
        <v>120.6802721</v>
      </c>
      <c r="CO495" s="9">
        <f t="shared" si="411"/>
        <v>120.6802721</v>
      </c>
      <c r="CP495" s="9">
        <f t="shared" si="411"/>
        <v>120.6802721</v>
      </c>
      <c r="CQ495" s="9">
        <f t="shared" si="411"/>
        <v>120.6802721</v>
      </c>
      <c r="CR495" s="9">
        <f t="shared" si="411"/>
        <v>120.6802721</v>
      </c>
      <c r="CS495" s="9">
        <f t="shared" si="411"/>
        <v>120.6802721</v>
      </c>
      <c r="CT495" s="9">
        <f t="shared" si="411"/>
        <v>120.6802721</v>
      </c>
      <c r="CU495" s="9">
        <f t="shared" si="411"/>
        <v>120.6802721</v>
      </c>
      <c r="CV495" s="9">
        <f t="shared" si="411"/>
        <v>120.6802721</v>
      </c>
      <c r="CW495" s="9">
        <f t="shared" si="411"/>
        <v>120.6802721</v>
      </c>
      <c r="CX495" s="9">
        <f t="shared" si="411"/>
        <v>120.6802721</v>
      </c>
      <c r="CY495" s="9">
        <f t="shared" si="411"/>
        <v>120.6802721</v>
      </c>
      <c r="CZ495" s="9">
        <f t="shared" si="411"/>
        <v>120.6802721</v>
      </c>
      <c r="DA495" s="9">
        <f t="shared" si="411"/>
        <v>120.6802721</v>
      </c>
      <c r="DB495" s="9">
        <f t="shared" si="411"/>
        <v>120.6802721</v>
      </c>
      <c r="DC495" s="9">
        <f t="shared" si="411"/>
        <v>120.6802721</v>
      </c>
      <c r="DD495" s="9">
        <f t="shared" si="411"/>
        <v>120.6802721</v>
      </c>
      <c r="DE495" s="9">
        <f t="shared" si="411"/>
        <v>120.6802721</v>
      </c>
      <c r="DF495" s="9">
        <f t="shared" si="411"/>
        <v>120.6802721</v>
      </c>
      <c r="DG495" s="9">
        <f t="shared" si="411"/>
        <v>120.6802721</v>
      </c>
      <c r="DH495" s="9">
        <f t="shared" si="411"/>
        <v>120.6802721</v>
      </c>
      <c r="DI495" s="9">
        <f t="shared" si="411"/>
        <v>120.6802721</v>
      </c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6">
        <v>45838.0</v>
      </c>
      <c r="CF496" s="9">
        <f t="shared" ref="CF496:DI496" si="412">+$CF$53*$U$58*$X$58</f>
        <v>120.6802721</v>
      </c>
      <c r="CG496" s="9">
        <f t="shared" si="412"/>
        <v>120.6802721</v>
      </c>
      <c r="CH496" s="9">
        <f t="shared" si="412"/>
        <v>120.6802721</v>
      </c>
      <c r="CI496" s="9">
        <f t="shared" si="412"/>
        <v>120.6802721</v>
      </c>
      <c r="CJ496" s="9">
        <f t="shared" si="412"/>
        <v>120.6802721</v>
      </c>
      <c r="CK496" s="9">
        <f t="shared" si="412"/>
        <v>120.6802721</v>
      </c>
      <c r="CL496" s="9">
        <f t="shared" si="412"/>
        <v>120.6802721</v>
      </c>
      <c r="CM496" s="9">
        <f t="shared" si="412"/>
        <v>120.6802721</v>
      </c>
      <c r="CN496" s="9">
        <f t="shared" si="412"/>
        <v>120.6802721</v>
      </c>
      <c r="CO496" s="9">
        <f t="shared" si="412"/>
        <v>120.6802721</v>
      </c>
      <c r="CP496" s="9">
        <f t="shared" si="412"/>
        <v>120.6802721</v>
      </c>
      <c r="CQ496" s="9">
        <f t="shared" si="412"/>
        <v>120.6802721</v>
      </c>
      <c r="CR496" s="9">
        <f t="shared" si="412"/>
        <v>120.6802721</v>
      </c>
      <c r="CS496" s="9">
        <f t="shared" si="412"/>
        <v>120.6802721</v>
      </c>
      <c r="CT496" s="9">
        <f t="shared" si="412"/>
        <v>120.6802721</v>
      </c>
      <c r="CU496" s="9">
        <f t="shared" si="412"/>
        <v>120.6802721</v>
      </c>
      <c r="CV496" s="9">
        <f t="shared" si="412"/>
        <v>120.6802721</v>
      </c>
      <c r="CW496" s="9">
        <f t="shared" si="412"/>
        <v>120.6802721</v>
      </c>
      <c r="CX496" s="9">
        <f t="shared" si="412"/>
        <v>120.6802721</v>
      </c>
      <c r="CY496" s="9">
        <f t="shared" si="412"/>
        <v>120.6802721</v>
      </c>
      <c r="CZ496" s="9">
        <f t="shared" si="412"/>
        <v>120.6802721</v>
      </c>
      <c r="DA496" s="9">
        <f t="shared" si="412"/>
        <v>120.6802721</v>
      </c>
      <c r="DB496" s="9">
        <f t="shared" si="412"/>
        <v>120.6802721</v>
      </c>
      <c r="DC496" s="9">
        <f t="shared" si="412"/>
        <v>120.6802721</v>
      </c>
      <c r="DD496" s="9">
        <f t="shared" si="412"/>
        <v>120.6802721</v>
      </c>
      <c r="DE496" s="9">
        <f t="shared" si="412"/>
        <v>120.6802721</v>
      </c>
      <c r="DF496" s="9">
        <f t="shared" si="412"/>
        <v>120.6802721</v>
      </c>
      <c r="DG496" s="9">
        <f t="shared" si="412"/>
        <v>120.6802721</v>
      </c>
      <c r="DH496" s="9">
        <f t="shared" si="412"/>
        <v>120.6802721</v>
      </c>
      <c r="DI496" s="9">
        <f t="shared" si="412"/>
        <v>120.6802721</v>
      </c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6">
        <v>45869.0</v>
      </c>
      <c r="CG497" s="9">
        <f t="shared" ref="CG497:DI497" si="413">+$CG$53*$U$58*$X$58</f>
        <v>120.6802721</v>
      </c>
      <c r="CH497" s="9">
        <f t="shared" si="413"/>
        <v>120.6802721</v>
      </c>
      <c r="CI497" s="9">
        <f t="shared" si="413"/>
        <v>120.6802721</v>
      </c>
      <c r="CJ497" s="9">
        <f t="shared" si="413"/>
        <v>120.6802721</v>
      </c>
      <c r="CK497" s="9">
        <f t="shared" si="413"/>
        <v>120.6802721</v>
      </c>
      <c r="CL497" s="9">
        <f t="shared" si="413"/>
        <v>120.6802721</v>
      </c>
      <c r="CM497" s="9">
        <f t="shared" si="413"/>
        <v>120.6802721</v>
      </c>
      <c r="CN497" s="9">
        <f t="shared" si="413"/>
        <v>120.6802721</v>
      </c>
      <c r="CO497" s="9">
        <f t="shared" si="413"/>
        <v>120.6802721</v>
      </c>
      <c r="CP497" s="9">
        <f t="shared" si="413"/>
        <v>120.6802721</v>
      </c>
      <c r="CQ497" s="9">
        <f t="shared" si="413"/>
        <v>120.6802721</v>
      </c>
      <c r="CR497" s="9">
        <f t="shared" si="413"/>
        <v>120.6802721</v>
      </c>
      <c r="CS497" s="9">
        <f t="shared" si="413"/>
        <v>120.6802721</v>
      </c>
      <c r="CT497" s="9">
        <f t="shared" si="413"/>
        <v>120.6802721</v>
      </c>
      <c r="CU497" s="9">
        <f t="shared" si="413"/>
        <v>120.6802721</v>
      </c>
      <c r="CV497" s="9">
        <f t="shared" si="413"/>
        <v>120.6802721</v>
      </c>
      <c r="CW497" s="9">
        <f t="shared" si="413"/>
        <v>120.6802721</v>
      </c>
      <c r="CX497" s="9">
        <f t="shared" si="413"/>
        <v>120.6802721</v>
      </c>
      <c r="CY497" s="9">
        <f t="shared" si="413"/>
        <v>120.6802721</v>
      </c>
      <c r="CZ497" s="9">
        <f t="shared" si="413"/>
        <v>120.6802721</v>
      </c>
      <c r="DA497" s="9">
        <f t="shared" si="413"/>
        <v>120.6802721</v>
      </c>
      <c r="DB497" s="9">
        <f t="shared" si="413"/>
        <v>120.6802721</v>
      </c>
      <c r="DC497" s="9">
        <f t="shared" si="413"/>
        <v>120.6802721</v>
      </c>
      <c r="DD497" s="9">
        <f t="shared" si="413"/>
        <v>120.6802721</v>
      </c>
      <c r="DE497" s="9">
        <f t="shared" si="413"/>
        <v>120.6802721</v>
      </c>
      <c r="DF497" s="9">
        <f t="shared" si="413"/>
        <v>120.6802721</v>
      </c>
      <c r="DG497" s="9">
        <f t="shared" si="413"/>
        <v>120.6802721</v>
      </c>
      <c r="DH497" s="9">
        <f t="shared" si="413"/>
        <v>120.6802721</v>
      </c>
      <c r="DI497" s="9">
        <f t="shared" si="413"/>
        <v>120.6802721</v>
      </c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6">
        <v>45900.0</v>
      </c>
      <c r="CH498" s="9">
        <f t="shared" ref="CH498:DI498" si="414">+$CH$53*$U$58*$X$58</f>
        <v>120.6802721</v>
      </c>
      <c r="CI498" s="9">
        <f t="shared" si="414"/>
        <v>120.6802721</v>
      </c>
      <c r="CJ498" s="9">
        <f t="shared" si="414"/>
        <v>120.6802721</v>
      </c>
      <c r="CK498" s="9">
        <f t="shared" si="414"/>
        <v>120.6802721</v>
      </c>
      <c r="CL498" s="9">
        <f t="shared" si="414"/>
        <v>120.6802721</v>
      </c>
      <c r="CM498" s="9">
        <f t="shared" si="414"/>
        <v>120.6802721</v>
      </c>
      <c r="CN498" s="9">
        <f t="shared" si="414"/>
        <v>120.6802721</v>
      </c>
      <c r="CO498" s="9">
        <f t="shared" si="414"/>
        <v>120.6802721</v>
      </c>
      <c r="CP498" s="9">
        <f t="shared" si="414"/>
        <v>120.6802721</v>
      </c>
      <c r="CQ498" s="9">
        <f t="shared" si="414"/>
        <v>120.6802721</v>
      </c>
      <c r="CR498" s="9">
        <f t="shared" si="414"/>
        <v>120.6802721</v>
      </c>
      <c r="CS498" s="9">
        <f t="shared" si="414"/>
        <v>120.6802721</v>
      </c>
      <c r="CT498" s="9">
        <f t="shared" si="414"/>
        <v>120.6802721</v>
      </c>
      <c r="CU498" s="9">
        <f t="shared" si="414"/>
        <v>120.6802721</v>
      </c>
      <c r="CV498" s="9">
        <f t="shared" si="414"/>
        <v>120.6802721</v>
      </c>
      <c r="CW498" s="9">
        <f t="shared" si="414"/>
        <v>120.6802721</v>
      </c>
      <c r="CX498" s="9">
        <f t="shared" si="414"/>
        <v>120.6802721</v>
      </c>
      <c r="CY498" s="9">
        <f t="shared" si="414"/>
        <v>120.6802721</v>
      </c>
      <c r="CZ498" s="9">
        <f t="shared" si="414"/>
        <v>120.6802721</v>
      </c>
      <c r="DA498" s="9">
        <f t="shared" si="414"/>
        <v>120.6802721</v>
      </c>
      <c r="DB498" s="9">
        <f t="shared" si="414"/>
        <v>120.6802721</v>
      </c>
      <c r="DC498" s="9">
        <f t="shared" si="414"/>
        <v>120.6802721</v>
      </c>
      <c r="DD498" s="9">
        <f t="shared" si="414"/>
        <v>120.6802721</v>
      </c>
      <c r="DE498" s="9">
        <f t="shared" si="414"/>
        <v>120.6802721</v>
      </c>
      <c r="DF498" s="9">
        <f t="shared" si="414"/>
        <v>120.6802721</v>
      </c>
      <c r="DG498" s="9">
        <f t="shared" si="414"/>
        <v>120.6802721</v>
      </c>
      <c r="DH498" s="9">
        <f t="shared" si="414"/>
        <v>120.6802721</v>
      </c>
      <c r="DI498" s="9">
        <f t="shared" si="414"/>
        <v>120.6802721</v>
      </c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6">
        <v>45930.0</v>
      </c>
      <c r="CI499" s="9">
        <f t="shared" ref="CI499:DI499" si="415">+$CI$53*$U$58*$X$58</f>
        <v>181.0204082</v>
      </c>
      <c r="CJ499" s="9">
        <f t="shared" si="415"/>
        <v>181.0204082</v>
      </c>
      <c r="CK499" s="9">
        <f t="shared" si="415"/>
        <v>181.0204082</v>
      </c>
      <c r="CL499" s="9">
        <f t="shared" si="415"/>
        <v>181.0204082</v>
      </c>
      <c r="CM499" s="9">
        <f t="shared" si="415"/>
        <v>181.0204082</v>
      </c>
      <c r="CN499" s="9">
        <f t="shared" si="415"/>
        <v>181.0204082</v>
      </c>
      <c r="CO499" s="9">
        <f t="shared" si="415"/>
        <v>181.0204082</v>
      </c>
      <c r="CP499" s="9">
        <f t="shared" si="415"/>
        <v>181.0204082</v>
      </c>
      <c r="CQ499" s="9">
        <f t="shared" si="415"/>
        <v>181.0204082</v>
      </c>
      <c r="CR499" s="9">
        <f t="shared" si="415"/>
        <v>181.0204082</v>
      </c>
      <c r="CS499" s="9">
        <f t="shared" si="415"/>
        <v>181.0204082</v>
      </c>
      <c r="CT499" s="9">
        <f t="shared" si="415"/>
        <v>181.0204082</v>
      </c>
      <c r="CU499" s="9">
        <f t="shared" si="415"/>
        <v>181.0204082</v>
      </c>
      <c r="CV499" s="9">
        <f t="shared" si="415"/>
        <v>181.0204082</v>
      </c>
      <c r="CW499" s="9">
        <f t="shared" si="415"/>
        <v>181.0204082</v>
      </c>
      <c r="CX499" s="9">
        <f t="shared" si="415"/>
        <v>181.0204082</v>
      </c>
      <c r="CY499" s="9">
        <f t="shared" si="415"/>
        <v>181.0204082</v>
      </c>
      <c r="CZ499" s="9">
        <f t="shared" si="415"/>
        <v>181.0204082</v>
      </c>
      <c r="DA499" s="9">
        <f t="shared" si="415"/>
        <v>181.0204082</v>
      </c>
      <c r="DB499" s="9">
        <f t="shared" si="415"/>
        <v>181.0204082</v>
      </c>
      <c r="DC499" s="9">
        <f t="shared" si="415"/>
        <v>181.0204082</v>
      </c>
      <c r="DD499" s="9">
        <f t="shared" si="415"/>
        <v>181.0204082</v>
      </c>
      <c r="DE499" s="9">
        <f t="shared" si="415"/>
        <v>181.0204082</v>
      </c>
      <c r="DF499" s="9">
        <f t="shared" si="415"/>
        <v>181.0204082</v>
      </c>
      <c r="DG499" s="9">
        <f t="shared" si="415"/>
        <v>181.0204082</v>
      </c>
      <c r="DH499" s="9">
        <f t="shared" si="415"/>
        <v>181.0204082</v>
      </c>
      <c r="DI499" s="9">
        <f t="shared" si="415"/>
        <v>181.0204082</v>
      </c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6">
        <v>45961.0</v>
      </c>
      <c r="CJ500" s="9">
        <f t="shared" ref="CJ500:DI500" si="416">+$CJ$53*$U$58*$X$58</f>
        <v>181.0204082</v>
      </c>
      <c r="CK500" s="9">
        <f t="shared" si="416"/>
        <v>181.0204082</v>
      </c>
      <c r="CL500" s="9">
        <f t="shared" si="416"/>
        <v>181.0204082</v>
      </c>
      <c r="CM500" s="9">
        <f t="shared" si="416"/>
        <v>181.0204082</v>
      </c>
      <c r="CN500" s="9">
        <f t="shared" si="416"/>
        <v>181.0204082</v>
      </c>
      <c r="CO500" s="9">
        <f t="shared" si="416"/>
        <v>181.0204082</v>
      </c>
      <c r="CP500" s="9">
        <f t="shared" si="416"/>
        <v>181.0204082</v>
      </c>
      <c r="CQ500" s="9">
        <f t="shared" si="416"/>
        <v>181.0204082</v>
      </c>
      <c r="CR500" s="9">
        <f t="shared" si="416"/>
        <v>181.0204082</v>
      </c>
      <c r="CS500" s="9">
        <f t="shared" si="416"/>
        <v>181.0204082</v>
      </c>
      <c r="CT500" s="9">
        <f t="shared" si="416"/>
        <v>181.0204082</v>
      </c>
      <c r="CU500" s="9">
        <f t="shared" si="416"/>
        <v>181.0204082</v>
      </c>
      <c r="CV500" s="9">
        <f t="shared" si="416"/>
        <v>181.0204082</v>
      </c>
      <c r="CW500" s="9">
        <f t="shared" si="416"/>
        <v>181.0204082</v>
      </c>
      <c r="CX500" s="9">
        <f t="shared" si="416"/>
        <v>181.0204082</v>
      </c>
      <c r="CY500" s="9">
        <f t="shared" si="416"/>
        <v>181.0204082</v>
      </c>
      <c r="CZ500" s="9">
        <f t="shared" si="416"/>
        <v>181.0204082</v>
      </c>
      <c r="DA500" s="9">
        <f t="shared" si="416"/>
        <v>181.0204082</v>
      </c>
      <c r="DB500" s="9">
        <f t="shared" si="416"/>
        <v>181.0204082</v>
      </c>
      <c r="DC500" s="9">
        <f t="shared" si="416"/>
        <v>181.0204082</v>
      </c>
      <c r="DD500" s="9">
        <f t="shared" si="416"/>
        <v>181.0204082</v>
      </c>
      <c r="DE500" s="9">
        <f t="shared" si="416"/>
        <v>181.0204082</v>
      </c>
      <c r="DF500" s="9">
        <f t="shared" si="416"/>
        <v>181.0204082</v>
      </c>
      <c r="DG500" s="9">
        <f t="shared" si="416"/>
        <v>181.0204082</v>
      </c>
      <c r="DH500" s="9">
        <f t="shared" si="416"/>
        <v>181.0204082</v>
      </c>
      <c r="DI500" s="9">
        <f t="shared" si="416"/>
        <v>181.0204082</v>
      </c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6">
        <v>45991.0</v>
      </c>
      <c r="CK501" s="9">
        <f t="shared" ref="CK501:DI501" si="417">+$CK$53*$U$58*$X$58</f>
        <v>181.0204082</v>
      </c>
      <c r="CL501" s="9">
        <f t="shared" si="417"/>
        <v>181.0204082</v>
      </c>
      <c r="CM501" s="9">
        <f t="shared" si="417"/>
        <v>181.0204082</v>
      </c>
      <c r="CN501" s="9">
        <f t="shared" si="417"/>
        <v>181.0204082</v>
      </c>
      <c r="CO501" s="9">
        <f t="shared" si="417"/>
        <v>181.0204082</v>
      </c>
      <c r="CP501" s="9">
        <f t="shared" si="417"/>
        <v>181.0204082</v>
      </c>
      <c r="CQ501" s="9">
        <f t="shared" si="417"/>
        <v>181.0204082</v>
      </c>
      <c r="CR501" s="9">
        <f t="shared" si="417"/>
        <v>181.0204082</v>
      </c>
      <c r="CS501" s="9">
        <f t="shared" si="417"/>
        <v>181.0204082</v>
      </c>
      <c r="CT501" s="9">
        <f t="shared" si="417"/>
        <v>181.0204082</v>
      </c>
      <c r="CU501" s="9">
        <f t="shared" si="417"/>
        <v>181.0204082</v>
      </c>
      <c r="CV501" s="9">
        <f t="shared" si="417"/>
        <v>181.0204082</v>
      </c>
      <c r="CW501" s="9">
        <f t="shared" si="417"/>
        <v>181.0204082</v>
      </c>
      <c r="CX501" s="9">
        <f t="shared" si="417"/>
        <v>181.0204082</v>
      </c>
      <c r="CY501" s="9">
        <f t="shared" si="417"/>
        <v>181.0204082</v>
      </c>
      <c r="CZ501" s="9">
        <f t="shared" si="417"/>
        <v>181.0204082</v>
      </c>
      <c r="DA501" s="9">
        <f t="shared" si="417"/>
        <v>181.0204082</v>
      </c>
      <c r="DB501" s="9">
        <f t="shared" si="417"/>
        <v>181.0204082</v>
      </c>
      <c r="DC501" s="9">
        <f t="shared" si="417"/>
        <v>181.0204082</v>
      </c>
      <c r="DD501" s="9">
        <f t="shared" si="417"/>
        <v>181.0204082</v>
      </c>
      <c r="DE501" s="9">
        <f t="shared" si="417"/>
        <v>181.0204082</v>
      </c>
      <c r="DF501" s="9">
        <f t="shared" si="417"/>
        <v>181.0204082</v>
      </c>
      <c r="DG501" s="9">
        <f t="shared" si="417"/>
        <v>181.0204082</v>
      </c>
      <c r="DH501" s="9">
        <f t="shared" si="417"/>
        <v>181.0204082</v>
      </c>
      <c r="DI501" s="9">
        <f t="shared" si="417"/>
        <v>181.0204082</v>
      </c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6">
        <v>46022.0</v>
      </c>
      <c r="CL502" s="9">
        <f t="shared" ref="CL502:DI502" si="418">+$CL$53*$U$58*$X$58</f>
        <v>181.0204082</v>
      </c>
      <c r="CM502" s="9">
        <f t="shared" si="418"/>
        <v>181.0204082</v>
      </c>
      <c r="CN502" s="9">
        <f t="shared" si="418"/>
        <v>181.0204082</v>
      </c>
      <c r="CO502" s="9">
        <f t="shared" si="418"/>
        <v>181.0204082</v>
      </c>
      <c r="CP502" s="9">
        <f t="shared" si="418"/>
        <v>181.0204082</v>
      </c>
      <c r="CQ502" s="9">
        <f t="shared" si="418"/>
        <v>181.0204082</v>
      </c>
      <c r="CR502" s="9">
        <f t="shared" si="418"/>
        <v>181.0204082</v>
      </c>
      <c r="CS502" s="9">
        <f t="shared" si="418"/>
        <v>181.0204082</v>
      </c>
      <c r="CT502" s="9">
        <f t="shared" si="418"/>
        <v>181.0204082</v>
      </c>
      <c r="CU502" s="9">
        <f t="shared" si="418"/>
        <v>181.0204082</v>
      </c>
      <c r="CV502" s="9">
        <f t="shared" si="418"/>
        <v>181.0204082</v>
      </c>
      <c r="CW502" s="9">
        <f t="shared" si="418"/>
        <v>181.0204082</v>
      </c>
      <c r="CX502" s="9">
        <f t="shared" si="418"/>
        <v>181.0204082</v>
      </c>
      <c r="CY502" s="9">
        <f t="shared" si="418"/>
        <v>181.0204082</v>
      </c>
      <c r="CZ502" s="9">
        <f t="shared" si="418"/>
        <v>181.0204082</v>
      </c>
      <c r="DA502" s="9">
        <f t="shared" si="418"/>
        <v>181.0204082</v>
      </c>
      <c r="DB502" s="9">
        <f t="shared" si="418"/>
        <v>181.0204082</v>
      </c>
      <c r="DC502" s="9">
        <f t="shared" si="418"/>
        <v>181.0204082</v>
      </c>
      <c r="DD502" s="9">
        <f t="shared" si="418"/>
        <v>181.0204082</v>
      </c>
      <c r="DE502" s="9">
        <f t="shared" si="418"/>
        <v>181.0204082</v>
      </c>
      <c r="DF502" s="9">
        <f t="shared" si="418"/>
        <v>181.0204082</v>
      </c>
      <c r="DG502" s="9">
        <f t="shared" si="418"/>
        <v>181.0204082</v>
      </c>
      <c r="DH502" s="9">
        <f t="shared" si="418"/>
        <v>181.0204082</v>
      </c>
      <c r="DI502" s="9">
        <f t="shared" si="418"/>
        <v>181.0204082</v>
      </c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6">
        <v>46053.0</v>
      </c>
      <c r="CM503" s="9">
        <f t="shared" ref="CM503:DI503" si="419">+$CM$53*$U$58*$X$58</f>
        <v>181.0204082</v>
      </c>
      <c r="CN503" s="9">
        <f t="shared" si="419"/>
        <v>181.0204082</v>
      </c>
      <c r="CO503" s="9">
        <f t="shared" si="419"/>
        <v>181.0204082</v>
      </c>
      <c r="CP503" s="9">
        <f t="shared" si="419"/>
        <v>181.0204082</v>
      </c>
      <c r="CQ503" s="9">
        <f t="shared" si="419"/>
        <v>181.0204082</v>
      </c>
      <c r="CR503" s="9">
        <f t="shared" si="419"/>
        <v>181.0204082</v>
      </c>
      <c r="CS503" s="9">
        <f t="shared" si="419"/>
        <v>181.0204082</v>
      </c>
      <c r="CT503" s="9">
        <f t="shared" si="419"/>
        <v>181.0204082</v>
      </c>
      <c r="CU503" s="9">
        <f t="shared" si="419"/>
        <v>181.0204082</v>
      </c>
      <c r="CV503" s="9">
        <f t="shared" si="419"/>
        <v>181.0204082</v>
      </c>
      <c r="CW503" s="9">
        <f t="shared" si="419"/>
        <v>181.0204082</v>
      </c>
      <c r="CX503" s="9">
        <f t="shared" si="419"/>
        <v>181.0204082</v>
      </c>
      <c r="CY503" s="9">
        <f t="shared" si="419"/>
        <v>181.0204082</v>
      </c>
      <c r="CZ503" s="9">
        <f t="shared" si="419"/>
        <v>181.0204082</v>
      </c>
      <c r="DA503" s="9">
        <f t="shared" si="419"/>
        <v>181.0204082</v>
      </c>
      <c r="DB503" s="9">
        <f t="shared" si="419"/>
        <v>181.0204082</v>
      </c>
      <c r="DC503" s="9">
        <f t="shared" si="419"/>
        <v>181.0204082</v>
      </c>
      <c r="DD503" s="9">
        <f t="shared" si="419"/>
        <v>181.0204082</v>
      </c>
      <c r="DE503" s="9">
        <f t="shared" si="419"/>
        <v>181.0204082</v>
      </c>
      <c r="DF503" s="9">
        <f t="shared" si="419"/>
        <v>181.0204082</v>
      </c>
      <c r="DG503" s="9">
        <f t="shared" si="419"/>
        <v>181.0204082</v>
      </c>
      <c r="DH503" s="9">
        <f t="shared" si="419"/>
        <v>181.0204082</v>
      </c>
      <c r="DI503" s="9">
        <f t="shared" si="419"/>
        <v>181.0204082</v>
      </c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6">
        <v>46081.0</v>
      </c>
      <c r="CN504" s="9">
        <f t="shared" ref="CN504:DI504" si="420">+$CN$53*$U$58*$X$58</f>
        <v>241.3605442</v>
      </c>
      <c r="CO504" s="9">
        <f t="shared" si="420"/>
        <v>241.3605442</v>
      </c>
      <c r="CP504" s="9">
        <f t="shared" si="420"/>
        <v>241.3605442</v>
      </c>
      <c r="CQ504" s="9">
        <f t="shared" si="420"/>
        <v>241.3605442</v>
      </c>
      <c r="CR504" s="9">
        <f t="shared" si="420"/>
        <v>241.3605442</v>
      </c>
      <c r="CS504" s="9">
        <f t="shared" si="420"/>
        <v>241.3605442</v>
      </c>
      <c r="CT504" s="9">
        <f t="shared" si="420"/>
        <v>241.3605442</v>
      </c>
      <c r="CU504" s="9">
        <f t="shared" si="420"/>
        <v>241.3605442</v>
      </c>
      <c r="CV504" s="9">
        <f t="shared" si="420"/>
        <v>241.3605442</v>
      </c>
      <c r="CW504" s="9">
        <f t="shared" si="420"/>
        <v>241.3605442</v>
      </c>
      <c r="CX504" s="9">
        <f t="shared" si="420"/>
        <v>241.3605442</v>
      </c>
      <c r="CY504" s="9">
        <f t="shared" si="420"/>
        <v>241.3605442</v>
      </c>
      <c r="CZ504" s="9">
        <f t="shared" si="420"/>
        <v>241.3605442</v>
      </c>
      <c r="DA504" s="9">
        <f t="shared" si="420"/>
        <v>241.3605442</v>
      </c>
      <c r="DB504" s="9">
        <f t="shared" si="420"/>
        <v>241.3605442</v>
      </c>
      <c r="DC504" s="9">
        <f t="shared" si="420"/>
        <v>241.3605442</v>
      </c>
      <c r="DD504" s="9">
        <f t="shared" si="420"/>
        <v>241.3605442</v>
      </c>
      <c r="DE504" s="9">
        <f t="shared" si="420"/>
        <v>241.3605442</v>
      </c>
      <c r="DF504" s="9">
        <f t="shared" si="420"/>
        <v>241.3605442</v>
      </c>
      <c r="DG504" s="9">
        <f t="shared" si="420"/>
        <v>241.3605442</v>
      </c>
      <c r="DH504" s="9">
        <f t="shared" si="420"/>
        <v>241.3605442</v>
      </c>
      <c r="DI504" s="9">
        <f t="shared" si="420"/>
        <v>241.3605442</v>
      </c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6">
        <v>46112.0</v>
      </c>
      <c r="CO505" s="9">
        <f t="shared" ref="CO505:DI505" si="421">+$CO$53*$U$58*$X$58</f>
        <v>301.7006803</v>
      </c>
      <c r="CP505" s="9">
        <f t="shared" si="421"/>
        <v>301.7006803</v>
      </c>
      <c r="CQ505" s="9">
        <f t="shared" si="421"/>
        <v>301.7006803</v>
      </c>
      <c r="CR505" s="9">
        <f t="shared" si="421"/>
        <v>301.7006803</v>
      </c>
      <c r="CS505" s="9">
        <f t="shared" si="421"/>
        <v>301.7006803</v>
      </c>
      <c r="CT505" s="9">
        <f t="shared" si="421"/>
        <v>301.7006803</v>
      </c>
      <c r="CU505" s="9">
        <f t="shared" si="421"/>
        <v>301.7006803</v>
      </c>
      <c r="CV505" s="9">
        <f t="shared" si="421"/>
        <v>301.7006803</v>
      </c>
      <c r="CW505" s="9">
        <f t="shared" si="421"/>
        <v>301.7006803</v>
      </c>
      <c r="CX505" s="9">
        <f t="shared" si="421"/>
        <v>301.7006803</v>
      </c>
      <c r="CY505" s="9">
        <f t="shared" si="421"/>
        <v>301.7006803</v>
      </c>
      <c r="CZ505" s="9">
        <f t="shared" si="421"/>
        <v>301.7006803</v>
      </c>
      <c r="DA505" s="9">
        <f t="shared" si="421"/>
        <v>301.7006803</v>
      </c>
      <c r="DB505" s="9">
        <f t="shared" si="421"/>
        <v>301.7006803</v>
      </c>
      <c r="DC505" s="9">
        <f t="shared" si="421"/>
        <v>301.7006803</v>
      </c>
      <c r="DD505" s="9">
        <f t="shared" si="421"/>
        <v>301.7006803</v>
      </c>
      <c r="DE505" s="9">
        <f t="shared" si="421"/>
        <v>301.7006803</v>
      </c>
      <c r="DF505" s="9">
        <f t="shared" si="421"/>
        <v>301.7006803</v>
      </c>
      <c r="DG505" s="9">
        <f t="shared" si="421"/>
        <v>301.7006803</v>
      </c>
      <c r="DH505" s="9">
        <f t="shared" si="421"/>
        <v>301.7006803</v>
      </c>
      <c r="DI505" s="9">
        <f t="shared" si="421"/>
        <v>301.7006803</v>
      </c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6">
        <v>46142.0</v>
      </c>
      <c r="CP506" s="9">
        <f t="shared" ref="CP506:DI506" si="422">+$CP$53*$U$58*$X$58</f>
        <v>301.7006803</v>
      </c>
      <c r="CQ506" s="9">
        <f t="shared" si="422"/>
        <v>301.7006803</v>
      </c>
      <c r="CR506" s="9">
        <f t="shared" si="422"/>
        <v>301.7006803</v>
      </c>
      <c r="CS506" s="9">
        <f t="shared" si="422"/>
        <v>301.7006803</v>
      </c>
      <c r="CT506" s="9">
        <f t="shared" si="422"/>
        <v>301.7006803</v>
      </c>
      <c r="CU506" s="9">
        <f t="shared" si="422"/>
        <v>301.7006803</v>
      </c>
      <c r="CV506" s="9">
        <f t="shared" si="422"/>
        <v>301.7006803</v>
      </c>
      <c r="CW506" s="9">
        <f t="shared" si="422"/>
        <v>301.7006803</v>
      </c>
      <c r="CX506" s="9">
        <f t="shared" si="422"/>
        <v>301.7006803</v>
      </c>
      <c r="CY506" s="9">
        <f t="shared" si="422"/>
        <v>301.7006803</v>
      </c>
      <c r="CZ506" s="9">
        <f t="shared" si="422"/>
        <v>301.7006803</v>
      </c>
      <c r="DA506" s="9">
        <f t="shared" si="422"/>
        <v>301.7006803</v>
      </c>
      <c r="DB506" s="9">
        <f t="shared" si="422"/>
        <v>301.7006803</v>
      </c>
      <c r="DC506" s="9">
        <f t="shared" si="422"/>
        <v>301.7006803</v>
      </c>
      <c r="DD506" s="9">
        <f t="shared" si="422"/>
        <v>301.7006803</v>
      </c>
      <c r="DE506" s="9">
        <f t="shared" si="422"/>
        <v>301.7006803</v>
      </c>
      <c r="DF506" s="9">
        <f t="shared" si="422"/>
        <v>301.7006803</v>
      </c>
      <c r="DG506" s="9">
        <f t="shared" si="422"/>
        <v>301.7006803</v>
      </c>
      <c r="DH506" s="9">
        <f t="shared" si="422"/>
        <v>301.7006803</v>
      </c>
      <c r="DI506" s="9">
        <f t="shared" si="422"/>
        <v>301.7006803</v>
      </c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6">
        <v>46173.0</v>
      </c>
      <c r="CQ507" s="9">
        <f t="shared" ref="CQ507:DI507" si="423">+$CQ$53*$U$58*$X$58</f>
        <v>301.7006803</v>
      </c>
      <c r="CR507" s="9">
        <f t="shared" si="423"/>
        <v>301.7006803</v>
      </c>
      <c r="CS507" s="9">
        <f t="shared" si="423"/>
        <v>301.7006803</v>
      </c>
      <c r="CT507" s="9">
        <f t="shared" si="423"/>
        <v>301.7006803</v>
      </c>
      <c r="CU507" s="9">
        <f t="shared" si="423"/>
        <v>301.7006803</v>
      </c>
      <c r="CV507" s="9">
        <f t="shared" si="423"/>
        <v>301.7006803</v>
      </c>
      <c r="CW507" s="9">
        <f t="shared" si="423"/>
        <v>301.7006803</v>
      </c>
      <c r="CX507" s="9">
        <f t="shared" si="423"/>
        <v>301.7006803</v>
      </c>
      <c r="CY507" s="9">
        <f t="shared" si="423"/>
        <v>301.7006803</v>
      </c>
      <c r="CZ507" s="9">
        <f t="shared" si="423"/>
        <v>301.7006803</v>
      </c>
      <c r="DA507" s="9">
        <f t="shared" si="423"/>
        <v>301.7006803</v>
      </c>
      <c r="DB507" s="9">
        <f t="shared" si="423"/>
        <v>301.7006803</v>
      </c>
      <c r="DC507" s="9">
        <f t="shared" si="423"/>
        <v>301.7006803</v>
      </c>
      <c r="DD507" s="9">
        <f t="shared" si="423"/>
        <v>301.7006803</v>
      </c>
      <c r="DE507" s="9">
        <f t="shared" si="423"/>
        <v>301.7006803</v>
      </c>
      <c r="DF507" s="9">
        <f t="shared" si="423"/>
        <v>301.7006803</v>
      </c>
      <c r="DG507" s="9">
        <f t="shared" si="423"/>
        <v>301.7006803</v>
      </c>
      <c r="DH507" s="9">
        <f t="shared" si="423"/>
        <v>301.7006803</v>
      </c>
      <c r="DI507" s="9">
        <f t="shared" si="423"/>
        <v>301.7006803</v>
      </c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6">
        <v>46203.0</v>
      </c>
      <c r="CR508" s="9">
        <f t="shared" ref="CR508:DI508" si="424">+$CR$53*$U$58*$X$58</f>
        <v>362.0408163</v>
      </c>
      <c r="CS508" s="9">
        <f t="shared" si="424"/>
        <v>362.0408163</v>
      </c>
      <c r="CT508" s="9">
        <f t="shared" si="424"/>
        <v>362.0408163</v>
      </c>
      <c r="CU508" s="9">
        <f t="shared" si="424"/>
        <v>362.0408163</v>
      </c>
      <c r="CV508" s="9">
        <f t="shared" si="424"/>
        <v>362.0408163</v>
      </c>
      <c r="CW508" s="9">
        <f t="shared" si="424"/>
        <v>362.0408163</v>
      </c>
      <c r="CX508" s="9">
        <f t="shared" si="424"/>
        <v>362.0408163</v>
      </c>
      <c r="CY508" s="9">
        <f t="shared" si="424"/>
        <v>362.0408163</v>
      </c>
      <c r="CZ508" s="9">
        <f t="shared" si="424"/>
        <v>362.0408163</v>
      </c>
      <c r="DA508" s="9">
        <f t="shared" si="424"/>
        <v>362.0408163</v>
      </c>
      <c r="DB508" s="9">
        <f t="shared" si="424"/>
        <v>362.0408163</v>
      </c>
      <c r="DC508" s="9">
        <f t="shared" si="424"/>
        <v>362.0408163</v>
      </c>
      <c r="DD508" s="9">
        <f t="shared" si="424"/>
        <v>362.0408163</v>
      </c>
      <c r="DE508" s="9">
        <f t="shared" si="424"/>
        <v>362.0408163</v>
      </c>
      <c r="DF508" s="9">
        <f t="shared" si="424"/>
        <v>362.0408163</v>
      </c>
      <c r="DG508" s="9">
        <f t="shared" si="424"/>
        <v>362.0408163</v>
      </c>
      <c r="DH508" s="9">
        <f t="shared" si="424"/>
        <v>362.0408163</v>
      </c>
      <c r="DI508" s="9">
        <f t="shared" si="424"/>
        <v>362.0408163</v>
      </c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6">
        <v>46234.0</v>
      </c>
      <c r="CS509" s="9">
        <f t="shared" ref="CS509:DI509" si="425">+$CS$53*$U$58*$X$58</f>
        <v>362.0408163</v>
      </c>
      <c r="CT509" s="9">
        <f t="shared" si="425"/>
        <v>362.0408163</v>
      </c>
      <c r="CU509" s="9">
        <f t="shared" si="425"/>
        <v>362.0408163</v>
      </c>
      <c r="CV509" s="9">
        <f t="shared" si="425"/>
        <v>362.0408163</v>
      </c>
      <c r="CW509" s="9">
        <f t="shared" si="425"/>
        <v>362.0408163</v>
      </c>
      <c r="CX509" s="9">
        <f t="shared" si="425"/>
        <v>362.0408163</v>
      </c>
      <c r="CY509" s="9">
        <f t="shared" si="425"/>
        <v>362.0408163</v>
      </c>
      <c r="CZ509" s="9">
        <f t="shared" si="425"/>
        <v>362.0408163</v>
      </c>
      <c r="DA509" s="9">
        <f t="shared" si="425"/>
        <v>362.0408163</v>
      </c>
      <c r="DB509" s="9">
        <f t="shared" si="425"/>
        <v>362.0408163</v>
      </c>
      <c r="DC509" s="9">
        <f t="shared" si="425"/>
        <v>362.0408163</v>
      </c>
      <c r="DD509" s="9">
        <f t="shared" si="425"/>
        <v>362.0408163</v>
      </c>
      <c r="DE509" s="9">
        <f t="shared" si="425"/>
        <v>362.0408163</v>
      </c>
      <c r="DF509" s="9">
        <f t="shared" si="425"/>
        <v>362.0408163</v>
      </c>
      <c r="DG509" s="9">
        <f t="shared" si="425"/>
        <v>362.0408163</v>
      </c>
      <c r="DH509" s="9">
        <f t="shared" si="425"/>
        <v>362.0408163</v>
      </c>
      <c r="DI509" s="9">
        <f t="shared" si="425"/>
        <v>362.0408163</v>
      </c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6">
        <v>46265.0</v>
      </c>
      <c r="CT510" s="9">
        <f t="shared" ref="CT510:DI510" si="426">+$CT$53*$U$58*$X$58</f>
        <v>362.0408163</v>
      </c>
      <c r="CU510" s="9">
        <f t="shared" si="426"/>
        <v>362.0408163</v>
      </c>
      <c r="CV510" s="9">
        <f t="shared" si="426"/>
        <v>362.0408163</v>
      </c>
      <c r="CW510" s="9">
        <f t="shared" si="426"/>
        <v>362.0408163</v>
      </c>
      <c r="CX510" s="9">
        <f t="shared" si="426"/>
        <v>362.0408163</v>
      </c>
      <c r="CY510" s="9">
        <f t="shared" si="426"/>
        <v>362.0408163</v>
      </c>
      <c r="CZ510" s="9">
        <f t="shared" si="426"/>
        <v>362.0408163</v>
      </c>
      <c r="DA510" s="9">
        <f t="shared" si="426"/>
        <v>362.0408163</v>
      </c>
      <c r="DB510" s="9">
        <f t="shared" si="426"/>
        <v>362.0408163</v>
      </c>
      <c r="DC510" s="9">
        <f t="shared" si="426"/>
        <v>362.0408163</v>
      </c>
      <c r="DD510" s="9">
        <f t="shared" si="426"/>
        <v>362.0408163</v>
      </c>
      <c r="DE510" s="9">
        <f t="shared" si="426"/>
        <v>362.0408163</v>
      </c>
      <c r="DF510" s="9">
        <f t="shared" si="426"/>
        <v>362.0408163</v>
      </c>
      <c r="DG510" s="9">
        <f t="shared" si="426"/>
        <v>362.0408163</v>
      </c>
      <c r="DH510" s="9">
        <f t="shared" si="426"/>
        <v>362.0408163</v>
      </c>
      <c r="DI510" s="9">
        <f t="shared" si="426"/>
        <v>362.0408163</v>
      </c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6">
        <v>46295.0</v>
      </c>
      <c r="CU511" s="9">
        <f t="shared" ref="CU511:DI511" si="427">+$CU$53*$U$58*$X$58</f>
        <v>362.0408163</v>
      </c>
      <c r="CV511" s="9">
        <f t="shared" si="427"/>
        <v>362.0408163</v>
      </c>
      <c r="CW511" s="9">
        <f t="shared" si="427"/>
        <v>362.0408163</v>
      </c>
      <c r="CX511" s="9">
        <f t="shared" si="427"/>
        <v>362.0408163</v>
      </c>
      <c r="CY511" s="9">
        <f t="shared" si="427"/>
        <v>362.0408163</v>
      </c>
      <c r="CZ511" s="9">
        <f t="shared" si="427"/>
        <v>362.0408163</v>
      </c>
      <c r="DA511" s="9">
        <f t="shared" si="427"/>
        <v>362.0408163</v>
      </c>
      <c r="DB511" s="9">
        <f t="shared" si="427"/>
        <v>362.0408163</v>
      </c>
      <c r="DC511" s="9">
        <f t="shared" si="427"/>
        <v>362.0408163</v>
      </c>
      <c r="DD511" s="9">
        <f t="shared" si="427"/>
        <v>362.0408163</v>
      </c>
      <c r="DE511" s="9">
        <f t="shared" si="427"/>
        <v>362.0408163</v>
      </c>
      <c r="DF511" s="9">
        <f t="shared" si="427"/>
        <v>362.0408163</v>
      </c>
      <c r="DG511" s="9">
        <f t="shared" si="427"/>
        <v>362.0408163</v>
      </c>
      <c r="DH511" s="9">
        <f t="shared" si="427"/>
        <v>362.0408163</v>
      </c>
      <c r="DI511" s="9">
        <f t="shared" si="427"/>
        <v>362.0408163</v>
      </c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6">
        <v>46326.0</v>
      </c>
      <c r="CV512" s="9">
        <f t="shared" ref="CV512:DI512" si="428">+$CV$53*$U$58*$X$58</f>
        <v>362.0408163</v>
      </c>
      <c r="CW512" s="9">
        <f t="shared" si="428"/>
        <v>362.0408163</v>
      </c>
      <c r="CX512" s="9">
        <f t="shared" si="428"/>
        <v>362.0408163</v>
      </c>
      <c r="CY512" s="9">
        <f t="shared" si="428"/>
        <v>362.0408163</v>
      </c>
      <c r="CZ512" s="9">
        <f t="shared" si="428"/>
        <v>362.0408163</v>
      </c>
      <c r="DA512" s="9">
        <f t="shared" si="428"/>
        <v>362.0408163</v>
      </c>
      <c r="DB512" s="9">
        <f t="shared" si="428"/>
        <v>362.0408163</v>
      </c>
      <c r="DC512" s="9">
        <f t="shared" si="428"/>
        <v>362.0408163</v>
      </c>
      <c r="DD512" s="9">
        <f t="shared" si="428"/>
        <v>362.0408163</v>
      </c>
      <c r="DE512" s="9">
        <f t="shared" si="428"/>
        <v>362.0408163</v>
      </c>
      <c r="DF512" s="9">
        <f t="shared" si="428"/>
        <v>362.0408163</v>
      </c>
      <c r="DG512" s="9">
        <f t="shared" si="428"/>
        <v>362.0408163</v>
      </c>
      <c r="DH512" s="9">
        <f t="shared" si="428"/>
        <v>362.0408163</v>
      </c>
      <c r="DI512" s="9">
        <f t="shared" si="428"/>
        <v>362.0408163</v>
      </c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6">
        <v>46356.0</v>
      </c>
      <c r="CW513" s="9">
        <f t="shared" ref="CW513:DI513" si="429">+$CW$53*$U$58*$X$58</f>
        <v>362.0408163</v>
      </c>
      <c r="CX513" s="9">
        <f t="shared" si="429"/>
        <v>362.0408163</v>
      </c>
      <c r="CY513" s="9">
        <f t="shared" si="429"/>
        <v>362.0408163</v>
      </c>
      <c r="CZ513" s="9">
        <f t="shared" si="429"/>
        <v>362.0408163</v>
      </c>
      <c r="DA513" s="9">
        <f t="shared" si="429"/>
        <v>362.0408163</v>
      </c>
      <c r="DB513" s="9">
        <f t="shared" si="429"/>
        <v>362.0408163</v>
      </c>
      <c r="DC513" s="9">
        <f t="shared" si="429"/>
        <v>362.0408163</v>
      </c>
      <c r="DD513" s="9">
        <f t="shared" si="429"/>
        <v>362.0408163</v>
      </c>
      <c r="DE513" s="9">
        <f t="shared" si="429"/>
        <v>362.0408163</v>
      </c>
      <c r="DF513" s="9">
        <f t="shared" si="429"/>
        <v>362.0408163</v>
      </c>
      <c r="DG513" s="9">
        <f t="shared" si="429"/>
        <v>362.0408163</v>
      </c>
      <c r="DH513" s="9">
        <f t="shared" si="429"/>
        <v>362.0408163</v>
      </c>
      <c r="DI513" s="9">
        <f t="shared" si="429"/>
        <v>362.0408163</v>
      </c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6">
        <v>46387.0</v>
      </c>
      <c r="CX514" s="9">
        <f t="shared" ref="CX514:DI514" si="430">+$CX$53*$U$58*$X$58</f>
        <v>369.5833333</v>
      </c>
      <c r="CY514" s="9">
        <f t="shared" si="430"/>
        <v>369.5833333</v>
      </c>
      <c r="CZ514" s="9">
        <f t="shared" si="430"/>
        <v>369.5833333</v>
      </c>
      <c r="DA514" s="9">
        <f t="shared" si="430"/>
        <v>369.5833333</v>
      </c>
      <c r="DB514" s="9">
        <f t="shared" si="430"/>
        <v>369.5833333</v>
      </c>
      <c r="DC514" s="9">
        <f t="shared" si="430"/>
        <v>369.5833333</v>
      </c>
      <c r="DD514" s="9">
        <f t="shared" si="430"/>
        <v>369.5833333</v>
      </c>
      <c r="DE514" s="9">
        <f t="shared" si="430"/>
        <v>369.5833333</v>
      </c>
      <c r="DF514" s="9">
        <f t="shared" si="430"/>
        <v>369.5833333</v>
      </c>
      <c r="DG514" s="9">
        <f t="shared" si="430"/>
        <v>369.5833333</v>
      </c>
      <c r="DH514" s="9">
        <f t="shared" si="430"/>
        <v>369.5833333</v>
      </c>
      <c r="DI514" s="9">
        <f t="shared" si="430"/>
        <v>369.5833333</v>
      </c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6">
        <v>46418.0</v>
      </c>
      <c r="CY515" s="9">
        <f t="shared" ref="CY515:DI515" si="431">+$CY$53*$U$58*$X$58</f>
        <v>369.5833333</v>
      </c>
      <c r="CZ515" s="9">
        <f t="shared" si="431"/>
        <v>369.5833333</v>
      </c>
      <c r="DA515" s="9">
        <f t="shared" si="431"/>
        <v>369.5833333</v>
      </c>
      <c r="DB515" s="9">
        <f t="shared" si="431"/>
        <v>369.5833333</v>
      </c>
      <c r="DC515" s="9">
        <f t="shared" si="431"/>
        <v>369.5833333</v>
      </c>
      <c r="DD515" s="9">
        <f t="shared" si="431"/>
        <v>369.5833333</v>
      </c>
      <c r="DE515" s="9">
        <f t="shared" si="431"/>
        <v>369.5833333</v>
      </c>
      <c r="DF515" s="9">
        <f t="shared" si="431"/>
        <v>369.5833333</v>
      </c>
      <c r="DG515" s="9">
        <f t="shared" si="431"/>
        <v>369.5833333</v>
      </c>
      <c r="DH515" s="9">
        <f t="shared" si="431"/>
        <v>369.5833333</v>
      </c>
      <c r="DI515" s="9">
        <f t="shared" si="431"/>
        <v>369.5833333</v>
      </c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6">
        <v>46446.0</v>
      </c>
      <c r="CZ516" s="9">
        <f t="shared" ref="CZ516:DI516" si="432">+$CZ$53*$U$58*$X$58</f>
        <v>422.3809524</v>
      </c>
      <c r="DA516" s="9">
        <f t="shared" si="432"/>
        <v>422.3809524</v>
      </c>
      <c r="DB516" s="9">
        <f t="shared" si="432"/>
        <v>422.3809524</v>
      </c>
      <c r="DC516" s="9">
        <f t="shared" si="432"/>
        <v>422.3809524</v>
      </c>
      <c r="DD516" s="9">
        <f t="shared" si="432"/>
        <v>422.3809524</v>
      </c>
      <c r="DE516" s="9">
        <f t="shared" si="432"/>
        <v>422.3809524</v>
      </c>
      <c r="DF516" s="9">
        <f t="shared" si="432"/>
        <v>422.3809524</v>
      </c>
      <c r="DG516" s="9">
        <f t="shared" si="432"/>
        <v>422.3809524</v>
      </c>
      <c r="DH516" s="9">
        <f t="shared" si="432"/>
        <v>422.3809524</v>
      </c>
      <c r="DI516" s="9">
        <f t="shared" si="432"/>
        <v>422.3809524</v>
      </c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6">
        <v>46477.0</v>
      </c>
      <c r="DA517" s="9">
        <f t="shared" ref="DA517:DI517" si="433">+$DA$53*$U$58*$X$58</f>
        <v>422.3809524</v>
      </c>
      <c r="DB517" s="9">
        <f t="shared" si="433"/>
        <v>422.3809524</v>
      </c>
      <c r="DC517" s="9">
        <f t="shared" si="433"/>
        <v>422.3809524</v>
      </c>
      <c r="DD517" s="9">
        <f t="shared" si="433"/>
        <v>422.3809524</v>
      </c>
      <c r="DE517" s="9">
        <f t="shared" si="433"/>
        <v>422.3809524</v>
      </c>
      <c r="DF517" s="9">
        <f t="shared" si="433"/>
        <v>422.3809524</v>
      </c>
      <c r="DG517" s="9">
        <f t="shared" si="433"/>
        <v>422.3809524</v>
      </c>
      <c r="DH517" s="9">
        <f t="shared" si="433"/>
        <v>422.3809524</v>
      </c>
      <c r="DI517" s="9">
        <f t="shared" si="433"/>
        <v>422.3809524</v>
      </c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6">
        <v>46507.0</v>
      </c>
      <c r="DB518" s="9">
        <f t="shared" ref="DB518:DI518" si="434">+$DB$53*$U$58*$X$58</f>
        <v>422.3809524</v>
      </c>
      <c r="DC518" s="9">
        <f t="shared" si="434"/>
        <v>422.3809524</v>
      </c>
      <c r="DD518" s="9">
        <f t="shared" si="434"/>
        <v>422.3809524</v>
      </c>
      <c r="DE518" s="9">
        <f t="shared" si="434"/>
        <v>422.3809524</v>
      </c>
      <c r="DF518" s="9">
        <f t="shared" si="434"/>
        <v>422.3809524</v>
      </c>
      <c r="DG518" s="9">
        <f t="shared" si="434"/>
        <v>422.3809524</v>
      </c>
      <c r="DH518" s="9">
        <f t="shared" si="434"/>
        <v>422.3809524</v>
      </c>
      <c r="DI518" s="9">
        <f t="shared" si="434"/>
        <v>422.3809524</v>
      </c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6">
        <v>46538.0</v>
      </c>
      <c r="DC519" s="9">
        <f t="shared" ref="DC519:DI519" si="435">+$DC$53*$U$58*$X$58</f>
        <v>475.1785714</v>
      </c>
      <c r="DD519" s="9">
        <f t="shared" si="435"/>
        <v>475.1785714</v>
      </c>
      <c r="DE519" s="9">
        <f t="shared" si="435"/>
        <v>475.1785714</v>
      </c>
      <c r="DF519" s="9">
        <f t="shared" si="435"/>
        <v>475.1785714</v>
      </c>
      <c r="DG519" s="9">
        <f t="shared" si="435"/>
        <v>475.1785714</v>
      </c>
      <c r="DH519" s="9">
        <f t="shared" si="435"/>
        <v>475.1785714</v>
      </c>
      <c r="DI519" s="9">
        <f t="shared" si="435"/>
        <v>475.1785714</v>
      </c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6">
        <v>46568.0</v>
      </c>
      <c r="DD520" s="9">
        <f t="shared" ref="DD520:DI520" si="436">+$DD$53*$U$58*$X$58</f>
        <v>475.1785714</v>
      </c>
      <c r="DE520" s="9">
        <f t="shared" si="436"/>
        <v>475.1785714</v>
      </c>
      <c r="DF520" s="9">
        <f t="shared" si="436"/>
        <v>475.1785714</v>
      </c>
      <c r="DG520" s="9">
        <f t="shared" si="436"/>
        <v>475.1785714</v>
      </c>
      <c r="DH520" s="9">
        <f t="shared" si="436"/>
        <v>475.1785714</v>
      </c>
      <c r="DI520" s="9">
        <f t="shared" si="436"/>
        <v>475.1785714</v>
      </c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6">
        <v>46599.0</v>
      </c>
      <c r="DE521" s="9">
        <f t="shared" ref="DE521:DI521" si="437">+$DE$53*$U$58*$X$58</f>
        <v>527.9761905</v>
      </c>
      <c r="DF521" s="9">
        <f t="shared" si="437"/>
        <v>527.9761905</v>
      </c>
      <c r="DG521" s="9">
        <f t="shared" si="437"/>
        <v>527.9761905</v>
      </c>
      <c r="DH521" s="9">
        <f t="shared" si="437"/>
        <v>527.9761905</v>
      </c>
      <c r="DI521" s="9">
        <f t="shared" si="437"/>
        <v>527.9761905</v>
      </c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6">
        <v>46630.0</v>
      </c>
      <c r="DF522" s="9">
        <f t="shared" ref="DF522:DI522" si="438">+$DF$53*$U$58*$X$58</f>
        <v>527.9761905</v>
      </c>
      <c r="DG522" s="9">
        <f t="shared" si="438"/>
        <v>527.9761905</v>
      </c>
      <c r="DH522" s="9">
        <f t="shared" si="438"/>
        <v>527.9761905</v>
      </c>
      <c r="DI522" s="9">
        <f t="shared" si="438"/>
        <v>527.9761905</v>
      </c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6">
        <v>46660.0</v>
      </c>
      <c r="DG523" s="9">
        <f t="shared" ref="DG523:DI523" si="439">+$DG$53*$U$58*$X$58</f>
        <v>527.9761905</v>
      </c>
      <c r="DH523" s="9">
        <f t="shared" si="439"/>
        <v>527.9761905</v>
      </c>
      <c r="DI523" s="9">
        <f t="shared" si="439"/>
        <v>527.9761905</v>
      </c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6">
        <v>46691.0</v>
      </c>
      <c r="DH524" s="9">
        <f t="shared" ref="DH524:DI524" si="440">+$DH$53*$U$58*$X$58</f>
        <v>527.9761905</v>
      </c>
      <c r="DI524" s="9">
        <f t="shared" si="440"/>
        <v>527.9761905</v>
      </c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6">
        <v>46721.0</v>
      </c>
      <c r="DI525" s="9">
        <f>+$DI$53*$U$58*$X$58</f>
        <v>527.9761905</v>
      </c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6">
        <v>46752.0</v>
      </c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6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6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  <c r="AS529" s="89"/>
      <c r="AT529" s="89"/>
      <c r="AU529" s="89"/>
      <c r="AV529" s="89"/>
      <c r="AW529" s="89"/>
      <c r="AX529" s="89"/>
      <c r="AY529" s="89"/>
      <c r="AZ529" s="89"/>
      <c r="BA529" s="89"/>
      <c r="BB529" s="89"/>
      <c r="BC529" s="89"/>
      <c r="BD529" s="89"/>
      <c r="BE529" s="89"/>
      <c r="BF529" s="89"/>
      <c r="BG529" s="89"/>
      <c r="BH529" s="89"/>
      <c r="BI529" s="89"/>
      <c r="BJ529" s="89"/>
      <c r="BK529" s="89"/>
      <c r="BL529" s="89"/>
      <c r="BM529" s="89"/>
      <c r="BN529" s="89"/>
      <c r="BO529" s="89"/>
      <c r="BP529" s="89"/>
      <c r="BQ529" s="89"/>
      <c r="BR529" s="89"/>
      <c r="BS529" s="89"/>
      <c r="BT529" s="89"/>
      <c r="BU529" s="89"/>
      <c r="BV529" s="89"/>
      <c r="BW529" s="89"/>
      <c r="BX529" s="89"/>
      <c r="BY529" s="89"/>
      <c r="BZ529" s="89"/>
      <c r="CA529" s="89"/>
      <c r="CB529" s="89"/>
      <c r="CC529" s="93"/>
      <c r="CD529" s="93"/>
      <c r="CE529" s="93"/>
      <c r="CF529" s="93"/>
      <c r="CG529" s="93"/>
      <c r="CH529" s="93"/>
      <c r="CI529" s="93"/>
      <c r="CJ529" s="93"/>
      <c r="CK529" s="93"/>
      <c r="CL529" s="93"/>
      <c r="CM529" s="93"/>
      <c r="CN529" s="93"/>
      <c r="CO529" s="93"/>
      <c r="CP529" s="93"/>
      <c r="CQ529" s="93"/>
      <c r="CR529" s="93"/>
      <c r="CS529" s="93"/>
      <c r="CT529" s="93"/>
      <c r="CU529" s="93"/>
      <c r="CV529" s="93"/>
      <c r="CW529" s="93"/>
      <c r="CX529" s="93"/>
      <c r="CY529" s="93"/>
      <c r="CZ529" s="93"/>
      <c r="DA529" s="93"/>
      <c r="DB529" s="93"/>
      <c r="DC529" s="93"/>
      <c r="DD529" s="93"/>
      <c r="DE529" s="93"/>
      <c r="DF529" s="93"/>
      <c r="DG529" s="93"/>
      <c r="DH529" s="93"/>
      <c r="DI529" s="93"/>
    </row>
    <row r="530" ht="15.75" customHeight="1">
      <c r="A530" s="1" t="s">
        <v>81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9">
        <f t="shared" ref="V530:DI530" si="441">SUM(V144:V527)</f>
        <v>452.0949074</v>
      </c>
      <c r="W530" s="9">
        <f t="shared" si="441"/>
        <v>5475.371656</v>
      </c>
      <c r="X530" s="9">
        <f t="shared" si="441"/>
        <v>8345.815513</v>
      </c>
      <c r="Y530" s="9">
        <f t="shared" si="441"/>
        <v>10814.73159</v>
      </c>
      <c r="Z530" s="9">
        <f t="shared" si="441"/>
        <v>10658.97762</v>
      </c>
      <c r="AA530" s="9">
        <f t="shared" si="441"/>
        <v>15285.70455</v>
      </c>
      <c r="AB530" s="9">
        <f t="shared" si="441"/>
        <v>29958.98497</v>
      </c>
      <c r="AC530" s="9">
        <f t="shared" si="441"/>
        <v>29005.35475</v>
      </c>
      <c r="AD530" s="9">
        <f t="shared" si="441"/>
        <v>46851.268</v>
      </c>
      <c r="AE530" s="9">
        <f t="shared" si="441"/>
        <v>59003.59109</v>
      </c>
      <c r="AF530" s="9">
        <f t="shared" si="441"/>
        <v>83902.82775</v>
      </c>
      <c r="AG530" s="9">
        <f t="shared" si="441"/>
        <v>83920.74001</v>
      </c>
      <c r="AH530" s="9">
        <f t="shared" si="441"/>
        <v>73894.48707</v>
      </c>
      <c r="AI530" s="9">
        <f t="shared" si="441"/>
        <v>63868.23413</v>
      </c>
      <c r="AJ530" s="9">
        <f t="shared" si="441"/>
        <v>59100.08304</v>
      </c>
      <c r="AK530" s="9">
        <f t="shared" si="441"/>
        <v>67881.49838</v>
      </c>
      <c r="AL530" s="9">
        <f t="shared" si="441"/>
        <v>83839.02337</v>
      </c>
      <c r="AM530" s="9">
        <f t="shared" si="441"/>
        <v>114148.7676</v>
      </c>
      <c r="AN530" s="9">
        <f t="shared" si="441"/>
        <v>105330.9877</v>
      </c>
      <c r="AO530" s="9">
        <f t="shared" si="441"/>
        <v>89826.23172</v>
      </c>
      <c r="AP530" s="9">
        <f t="shared" si="441"/>
        <v>65740.83783</v>
      </c>
      <c r="AQ530" s="9">
        <f t="shared" si="441"/>
        <v>70718.40691</v>
      </c>
      <c r="AR530" s="9">
        <f t="shared" si="441"/>
        <v>75597.53977</v>
      </c>
      <c r="AS530" s="9">
        <f t="shared" si="441"/>
        <v>76710.6644</v>
      </c>
      <c r="AT530" s="9">
        <f t="shared" si="441"/>
        <v>77134.73554</v>
      </c>
      <c r="AU530" s="9">
        <f t="shared" si="441"/>
        <v>71367.05917</v>
      </c>
      <c r="AV530" s="9">
        <f t="shared" si="441"/>
        <v>64135.14412</v>
      </c>
      <c r="AW530" s="9">
        <f t="shared" si="441"/>
        <v>60987.41337</v>
      </c>
      <c r="AX530" s="9">
        <f t="shared" si="441"/>
        <v>74259.69292</v>
      </c>
      <c r="AY530" s="9">
        <f t="shared" si="441"/>
        <v>87938.02184</v>
      </c>
      <c r="AZ530" s="9">
        <f t="shared" si="441"/>
        <v>87813.20891</v>
      </c>
      <c r="BA530" s="9">
        <f t="shared" si="441"/>
        <v>78617.61126</v>
      </c>
      <c r="BB530" s="9">
        <f t="shared" si="441"/>
        <v>68107.72553</v>
      </c>
      <c r="BC530" s="9">
        <f t="shared" si="441"/>
        <v>61548.82176</v>
      </c>
      <c r="BD530" s="9">
        <f t="shared" si="441"/>
        <v>54451.2863</v>
      </c>
      <c r="BE530" s="9">
        <f t="shared" si="441"/>
        <v>47505.65414</v>
      </c>
      <c r="BF530" s="9">
        <f t="shared" si="441"/>
        <v>48718.84627</v>
      </c>
      <c r="BG530" s="9">
        <f t="shared" si="441"/>
        <v>50396.54457</v>
      </c>
      <c r="BH530" s="9">
        <f t="shared" si="441"/>
        <v>52076.44334</v>
      </c>
      <c r="BI530" s="9">
        <f t="shared" si="441"/>
        <v>51930.99489</v>
      </c>
      <c r="BJ530" s="9">
        <f t="shared" si="441"/>
        <v>51785.54644</v>
      </c>
      <c r="BK530" s="9">
        <f t="shared" si="441"/>
        <v>50971.29012</v>
      </c>
      <c r="BL530" s="9">
        <f t="shared" si="441"/>
        <v>49415.58431</v>
      </c>
      <c r="BM530" s="9">
        <f t="shared" si="441"/>
        <v>46364.68466</v>
      </c>
      <c r="BN530" s="9">
        <f t="shared" si="441"/>
        <v>46243.57501</v>
      </c>
      <c r="BO530" s="9">
        <f t="shared" si="441"/>
        <v>50330.41952</v>
      </c>
      <c r="BP530" s="9">
        <f t="shared" si="441"/>
        <v>62951.34544</v>
      </c>
      <c r="BQ530" s="9">
        <f t="shared" si="441"/>
        <v>72495.22772</v>
      </c>
      <c r="BR530" s="9">
        <f t="shared" si="441"/>
        <v>82417.02225</v>
      </c>
      <c r="BS530" s="9">
        <f t="shared" si="441"/>
        <v>85611.92084</v>
      </c>
      <c r="BT530" s="9">
        <f t="shared" si="441"/>
        <v>91230.01883</v>
      </c>
      <c r="BU530" s="9">
        <f t="shared" si="441"/>
        <v>98693.01361</v>
      </c>
      <c r="BV530" s="9">
        <f t="shared" si="441"/>
        <v>95084.29636</v>
      </c>
      <c r="BW530" s="9">
        <f t="shared" si="441"/>
        <v>89150.06324</v>
      </c>
      <c r="BX530" s="9">
        <f t="shared" si="441"/>
        <v>78012.29726</v>
      </c>
      <c r="BY530" s="9">
        <f t="shared" si="441"/>
        <v>76940.11769</v>
      </c>
      <c r="BZ530" s="9">
        <f t="shared" si="441"/>
        <v>88949.15171</v>
      </c>
      <c r="CA530" s="9">
        <f t="shared" si="441"/>
        <v>85976.79715</v>
      </c>
      <c r="CB530" s="9">
        <f t="shared" si="441"/>
        <v>82601.06957</v>
      </c>
      <c r="CC530" s="9">
        <f t="shared" si="441"/>
        <v>67391.82127</v>
      </c>
      <c r="CD530" s="9">
        <f t="shared" si="441"/>
        <v>67694.12059</v>
      </c>
      <c r="CE530" s="9">
        <f t="shared" si="441"/>
        <v>68129.3088</v>
      </c>
      <c r="CF530" s="9">
        <f t="shared" si="441"/>
        <v>68366.15287</v>
      </c>
      <c r="CG530" s="9">
        <f t="shared" si="441"/>
        <v>68493.99</v>
      </c>
      <c r="CH530" s="9">
        <f t="shared" si="441"/>
        <v>68090.27157</v>
      </c>
      <c r="CI530" s="9">
        <f t="shared" si="441"/>
        <v>73222.40916</v>
      </c>
      <c r="CJ530" s="9">
        <f t="shared" si="441"/>
        <v>78144.18408</v>
      </c>
      <c r="CK530" s="9">
        <f t="shared" si="441"/>
        <v>83144.17771</v>
      </c>
      <c r="CL530" s="9">
        <f t="shared" si="441"/>
        <v>83011.58259</v>
      </c>
      <c r="CM530" s="9">
        <f t="shared" si="441"/>
        <v>82594.75468</v>
      </c>
      <c r="CN530" s="9">
        <f t="shared" si="441"/>
        <v>88363.64168</v>
      </c>
      <c r="CO530" s="9">
        <f t="shared" si="441"/>
        <v>99668.38468</v>
      </c>
      <c r="CP530" s="9">
        <f t="shared" si="441"/>
        <v>111260.8386</v>
      </c>
      <c r="CQ530" s="9">
        <f t="shared" si="441"/>
        <v>117999.3342</v>
      </c>
      <c r="CR530" s="9">
        <f t="shared" si="441"/>
        <v>124376.2957</v>
      </c>
      <c r="CS530" s="9">
        <f t="shared" si="441"/>
        <v>131819.6857</v>
      </c>
      <c r="CT530" s="9">
        <f t="shared" si="441"/>
        <v>139012.2424</v>
      </c>
      <c r="CU530" s="9">
        <f t="shared" si="441"/>
        <v>141288.1324</v>
      </c>
      <c r="CV530" s="9">
        <f t="shared" si="441"/>
        <v>143473.2275</v>
      </c>
      <c r="CW530" s="9">
        <f t="shared" si="441"/>
        <v>145658.3225</v>
      </c>
      <c r="CX530" s="9">
        <f t="shared" si="441"/>
        <v>148437.7451</v>
      </c>
      <c r="CY530" s="9">
        <f t="shared" si="441"/>
        <v>151105.1886</v>
      </c>
      <c r="CZ530" s="9">
        <f t="shared" si="441"/>
        <v>158974.8394</v>
      </c>
      <c r="DA530" s="9">
        <f t="shared" si="441"/>
        <v>165850.2243</v>
      </c>
      <c r="DB530" s="9">
        <f t="shared" si="441"/>
        <v>172803.3562</v>
      </c>
      <c r="DC530" s="9">
        <f t="shared" si="441"/>
        <v>180319.3979</v>
      </c>
      <c r="DD530" s="9">
        <f t="shared" si="441"/>
        <v>187378.2402</v>
      </c>
      <c r="DE530" s="9">
        <f t="shared" si="441"/>
        <v>199776.2183</v>
      </c>
      <c r="DF530" s="9">
        <f t="shared" si="441"/>
        <v>207407.9545</v>
      </c>
      <c r="DG530" s="9">
        <f t="shared" si="441"/>
        <v>214660.008</v>
      </c>
      <c r="DH530" s="9">
        <f t="shared" si="441"/>
        <v>217586.5127</v>
      </c>
      <c r="DI530" s="9">
        <f t="shared" si="441"/>
        <v>220513.0173</v>
      </c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</sheetData>
  <mergeCells count="2">
    <mergeCell ref="A2:AF2"/>
    <mergeCell ref="A3:AF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0.29"/>
    <col customWidth="1" hidden="1" min="2" max="46" width="12.71"/>
    <col customWidth="1" min="47" max="61" width="12.71"/>
  </cols>
  <sheetData>
    <row r="1" ht="12.75" customHeight="1"/>
    <row r="2" ht="30.0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0.0" customHeight="1">
      <c r="A3" s="2" t="s">
        <v>82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30.0" customHeight="1"/>
    <row r="5" ht="12.75" customHeight="1"/>
    <row r="6" ht="12.75" customHeight="1"/>
    <row r="7" ht="12.75" customHeight="1"/>
    <row r="8" ht="12.75" customHeight="1">
      <c r="B8" s="84"/>
    </row>
    <row r="9" ht="12.75" customHeight="1">
      <c r="B9" s="94">
        <f>+'P&amp;L Cash Flow Monthly'!B8</f>
        <v>43951</v>
      </c>
      <c r="C9" s="94">
        <f>+'P&amp;L Cash Flow Monthly'!C8</f>
        <v>43982</v>
      </c>
      <c r="D9" s="94">
        <f>+'P&amp;L Cash Flow Monthly'!D8</f>
        <v>44012</v>
      </c>
      <c r="E9" s="94">
        <f>+'P&amp;L Cash Flow Monthly'!E8</f>
        <v>44043</v>
      </c>
      <c r="F9" s="94">
        <f>+'P&amp;L Cash Flow Monthly'!F8</f>
        <v>44074</v>
      </c>
      <c r="G9" s="94">
        <f>+'P&amp;L Cash Flow Monthly'!G8</f>
        <v>44104</v>
      </c>
      <c r="H9" s="94">
        <f>+'P&amp;L Cash Flow Monthly'!H8</f>
        <v>44135</v>
      </c>
      <c r="I9" s="94">
        <f>+'P&amp;L Cash Flow Monthly'!I8</f>
        <v>44165</v>
      </c>
      <c r="J9" s="94">
        <f>+'P&amp;L Cash Flow Monthly'!J8</f>
        <v>44196</v>
      </c>
      <c r="K9" s="94">
        <f>+'P&amp;L Cash Flow Monthly'!K8</f>
        <v>44227</v>
      </c>
      <c r="L9" s="94">
        <f>+'P&amp;L Cash Flow Monthly'!L8</f>
        <v>44255</v>
      </c>
      <c r="M9" s="94">
        <f>+'P&amp;L Cash Flow Monthly'!M8</f>
        <v>44286</v>
      </c>
      <c r="N9" s="94">
        <f>+'P&amp;L Cash Flow Monthly'!N8</f>
        <v>44316</v>
      </c>
      <c r="O9" s="94">
        <f>+'P&amp;L Cash Flow Monthly'!O8</f>
        <v>44347</v>
      </c>
      <c r="P9" s="94">
        <f>+'P&amp;L Cash Flow Monthly'!P8</f>
        <v>44377</v>
      </c>
      <c r="Q9" s="94">
        <f>+'P&amp;L Cash Flow Monthly'!Q8</f>
        <v>44408</v>
      </c>
      <c r="R9" s="94">
        <f>+'P&amp;L Cash Flow Monthly'!R8</f>
        <v>44439</v>
      </c>
      <c r="S9" s="94">
        <f>+'P&amp;L Cash Flow Monthly'!S8</f>
        <v>44469</v>
      </c>
      <c r="T9" s="94">
        <f>+'P&amp;L Cash Flow Monthly'!T8</f>
        <v>44500</v>
      </c>
      <c r="U9" s="94">
        <f>+'P&amp;L Cash Flow Monthly'!U8</f>
        <v>44530</v>
      </c>
      <c r="V9" s="94">
        <f>+'P&amp;L Cash Flow Monthly'!V8</f>
        <v>44561</v>
      </c>
      <c r="W9" s="94">
        <f>+'P&amp;L Cash Flow Monthly'!W8</f>
        <v>44592</v>
      </c>
      <c r="X9" s="94">
        <f>+'P&amp;L Cash Flow Monthly'!X8</f>
        <v>44620</v>
      </c>
      <c r="Y9" s="94">
        <f>+'P&amp;L Cash Flow Monthly'!Y8</f>
        <v>44651</v>
      </c>
      <c r="Z9" s="94">
        <f>+'P&amp;L Cash Flow Monthly'!Z8</f>
        <v>44681</v>
      </c>
      <c r="AA9" s="94">
        <f>+'P&amp;L Cash Flow Monthly'!AA8</f>
        <v>44712</v>
      </c>
      <c r="AB9" s="94">
        <f>+'P&amp;L Cash Flow Monthly'!AB8</f>
        <v>44742</v>
      </c>
      <c r="AC9" s="94">
        <f>+'P&amp;L Cash Flow Monthly'!AC8</f>
        <v>44773</v>
      </c>
      <c r="AD9" s="94">
        <f>+'P&amp;L Cash Flow Monthly'!AD8</f>
        <v>44804</v>
      </c>
      <c r="AE9" s="94">
        <f>+'P&amp;L Cash Flow Monthly'!AE8</f>
        <v>44834</v>
      </c>
      <c r="AF9" s="94">
        <f>+'P&amp;L Cash Flow Monthly'!AF8</f>
        <v>44865</v>
      </c>
      <c r="AG9" s="94">
        <f>+'P&amp;L Cash Flow Monthly'!AG8</f>
        <v>44895</v>
      </c>
      <c r="AH9" s="94">
        <f>+'P&amp;L Cash Flow Monthly'!AH8</f>
        <v>44926</v>
      </c>
      <c r="AI9" s="94">
        <f>+'P&amp;L Cash Flow Monthly'!AI8</f>
        <v>44957</v>
      </c>
      <c r="AJ9" s="94">
        <f>+'P&amp;L Cash Flow Monthly'!AJ8</f>
        <v>44985</v>
      </c>
      <c r="AK9" s="94">
        <f>+'P&amp;L Cash Flow Monthly'!AK8</f>
        <v>45016</v>
      </c>
      <c r="AL9" s="94">
        <f>+'P&amp;L Cash Flow Monthly'!AL8</f>
        <v>45046</v>
      </c>
      <c r="AM9" s="94">
        <f>+'P&amp;L Cash Flow Monthly'!AM8</f>
        <v>45077</v>
      </c>
      <c r="AN9" s="94">
        <f>+'P&amp;L Cash Flow Monthly'!AN8</f>
        <v>45107</v>
      </c>
      <c r="AO9" s="94">
        <f>+'P&amp;L Cash Flow Monthly'!AO8</f>
        <v>45138</v>
      </c>
      <c r="AP9" s="94">
        <f>+'P&amp;L Cash Flow Monthly'!AP8</f>
        <v>45169</v>
      </c>
      <c r="AQ9" s="94">
        <f>+'P&amp;L Cash Flow Monthly'!AQ8</f>
        <v>45199</v>
      </c>
      <c r="AR9" s="94">
        <f>+'P&amp;L Cash Flow Monthly'!AR8</f>
        <v>45230</v>
      </c>
      <c r="AS9" s="94">
        <f>+'P&amp;L Cash Flow Monthly'!AS8</f>
        <v>45260</v>
      </c>
      <c r="AT9" s="94">
        <f>+'P&amp;L Cash Flow Monthly'!AT8</f>
        <v>45291</v>
      </c>
      <c r="AU9" s="94">
        <f>+'P&amp;L Cash Flow Monthly'!AU8</f>
        <v>45322</v>
      </c>
      <c r="AV9" s="94">
        <f>+'P&amp;L Cash Flow Monthly'!AV8</f>
        <v>45351</v>
      </c>
      <c r="AW9" s="94">
        <f>+'P&amp;L Cash Flow Monthly'!AW8</f>
        <v>45382</v>
      </c>
      <c r="AX9" s="94">
        <f>+'P&amp;L Cash Flow Monthly'!AX8</f>
        <v>45412</v>
      </c>
      <c r="AY9" s="94">
        <f>+'P&amp;L Cash Flow Monthly'!AY8</f>
        <v>45443</v>
      </c>
      <c r="AZ9" s="94">
        <f>+'P&amp;L Cash Flow Monthly'!AZ8</f>
        <v>45473</v>
      </c>
      <c r="BA9" s="94">
        <f>+'P&amp;L Cash Flow Monthly'!BA8</f>
        <v>45504</v>
      </c>
      <c r="BB9" s="94">
        <f>+'P&amp;L Cash Flow Monthly'!BB8</f>
        <v>45535</v>
      </c>
      <c r="BC9" s="94">
        <f>+'P&amp;L Cash Flow Monthly'!BC8</f>
        <v>45565</v>
      </c>
      <c r="BD9" s="94">
        <f>+'P&amp;L Cash Flow Monthly'!BD8</f>
        <v>45596</v>
      </c>
      <c r="BE9" s="94">
        <f>+'P&amp;L Cash Flow Monthly'!BE8</f>
        <v>45626</v>
      </c>
      <c r="BF9" s="94">
        <f>+'P&amp;L Cash Flow Monthly'!BF8</f>
        <v>45657</v>
      </c>
      <c r="BG9" s="94">
        <f>+'P&amp;L Cash Flow Monthly'!BG8</f>
        <v>45688</v>
      </c>
      <c r="BH9" s="94">
        <f>+'P&amp;L Cash Flow Monthly'!BH8</f>
        <v>45716</v>
      </c>
      <c r="BI9" s="94">
        <f>+'P&amp;L Cash Flow Monthly'!BI8</f>
        <v>45747</v>
      </c>
      <c r="BJ9" s="94">
        <f>+'P&amp;L Cash Flow Monthly'!BJ8</f>
        <v>45777</v>
      </c>
      <c r="BK9" s="94">
        <f>+'P&amp;L Cash Flow Monthly'!BK8</f>
        <v>45808</v>
      </c>
      <c r="BL9" s="94">
        <f>+'P&amp;L Cash Flow Monthly'!BL8</f>
        <v>45838</v>
      </c>
      <c r="BM9" s="94">
        <f>+'P&amp;L Cash Flow Monthly'!BM8</f>
        <v>45869</v>
      </c>
      <c r="BN9" s="94">
        <f>+'P&amp;L Cash Flow Monthly'!BN8</f>
        <v>45900</v>
      </c>
      <c r="BO9" s="94">
        <f>+'P&amp;L Cash Flow Monthly'!BO8</f>
        <v>45930</v>
      </c>
      <c r="BP9" s="94">
        <f>+'P&amp;L Cash Flow Monthly'!BP8</f>
        <v>45961</v>
      </c>
      <c r="BQ9" s="94">
        <f>+'P&amp;L Cash Flow Monthly'!BQ8</f>
        <v>45991</v>
      </c>
      <c r="BR9" s="94">
        <f>+'P&amp;L Cash Flow Monthly'!BR8</f>
        <v>46022</v>
      </c>
      <c r="BS9" s="94">
        <f>+'P&amp;L Cash Flow Monthly'!BS8</f>
        <v>46053</v>
      </c>
      <c r="BT9" s="94">
        <f>+'P&amp;L Cash Flow Monthly'!BT8</f>
        <v>46081</v>
      </c>
      <c r="BU9" s="94">
        <f>+'P&amp;L Cash Flow Monthly'!BU8</f>
        <v>46112</v>
      </c>
      <c r="BV9" s="94">
        <f>+'P&amp;L Cash Flow Monthly'!BV8</f>
        <v>46142</v>
      </c>
      <c r="BW9" s="94">
        <f>+'P&amp;L Cash Flow Monthly'!BW8</f>
        <v>46173</v>
      </c>
      <c r="BX9" s="94">
        <f>+'P&amp;L Cash Flow Monthly'!BX8</f>
        <v>46203</v>
      </c>
      <c r="BY9" s="94">
        <f>+'P&amp;L Cash Flow Monthly'!BY8</f>
        <v>46234</v>
      </c>
      <c r="BZ9" s="94">
        <f>+'P&amp;L Cash Flow Monthly'!BZ8</f>
        <v>46265</v>
      </c>
      <c r="CA9" s="94">
        <f>+'P&amp;L Cash Flow Monthly'!CA8</f>
        <v>46295</v>
      </c>
      <c r="CB9" s="94">
        <f>+'P&amp;L Cash Flow Monthly'!CB8</f>
        <v>46326</v>
      </c>
      <c r="CC9" s="94">
        <f>+'P&amp;L Cash Flow Monthly'!CC8</f>
        <v>46356</v>
      </c>
      <c r="CD9" s="94">
        <f>+'P&amp;L Cash Flow Monthly'!CD8</f>
        <v>46387</v>
      </c>
      <c r="CE9" s="94">
        <f>+'P&amp;L Cash Flow Monthly'!CE8</f>
        <v>46418</v>
      </c>
      <c r="CF9" s="94">
        <f>+'P&amp;L Cash Flow Monthly'!CF8</f>
        <v>46446</v>
      </c>
      <c r="CG9" s="94">
        <f>+'P&amp;L Cash Flow Monthly'!CG8</f>
        <v>46477</v>
      </c>
      <c r="CH9" s="94">
        <f>+'P&amp;L Cash Flow Monthly'!CH8</f>
        <v>46507</v>
      </c>
      <c r="CI9" s="94">
        <f>+'P&amp;L Cash Flow Monthly'!CI8</f>
        <v>46538</v>
      </c>
      <c r="CJ9" s="94">
        <f>+'P&amp;L Cash Flow Monthly'!CJ8</f>
        <v>46568</v>
      </c>
      <c r="CK9" s="94">
        <f>+'P&amp;L Cash Flow Monthly'!CK8</f>
        <v>46599</v>
      </c>
      <c r="CL9" s="94">
        <f>+'P&amp;L Cash Flow Monthly'!CL8</f>
        <v>46630</v>
      </c>
      <c r="CM9" s="94">
        <f>+'P&amp;L Cash Flow Monthly'!CM8</f>
        <v>46660</v>
      </c>
      <c r="CN9" s="94">
        <f>+'P&amp;L Cash Flow Monthly'!CN8</f>
        <v>46691</v>
      </c>
      <c r="CO9" s="94">
        <f>+'P&amp;L Cash Flow Monthly'!CO8</f>
        <v>46721</v>
      </c>
      <c r="CP9" s="94">
        <f>+'P&amp;L Cash Flow Monthly'!CP8</f>
        <v>46752</v>
      </c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</row>
    <row r="10" ht="12.75" customHeight="1">
      <c r="A10" s="30" t="s">
        <v>83</v>
      </c>
      <c r="B10" s="95">
        <v>2.25</v>
      </c>
      <c r="C10" s="95">
        <v>2.25</v>
      </c>
      <c r="D10" s="95">
        <v>2.05</v>
      </c>
      <c r="E10" s="95">
        <v>2.05</v>
      </c>
      <c r="F10" s="95">
        <v>2.05</v>
      </c>
      <c r="G10" s="95">
        <v>1.65</v>
      </c>
      <c r="H10" s="95">
        <v>1.65</v>
      </c>
      <c r="I10" s="95">
        <v>1.65</v>
      </c>
      <c r="J10" s="95">
        <v>1.65</v>
      </c>
      <c r="K10" s="95">
        <v>1.65</v>
      </c>
      <c r="L10" s="95">
        <v>1.65</v>
      </c>
      <c r="M10" s="95">
        <v>1.65</v>
      </c>
      <c r="N10" s="95">
        <v>1.65</v>
      </c>
      <c r="O10" s="95">
        <v>1.65</v>
      </c>
      <c r="P10" s="95">
        <v>1.65</v>
      </c>
      <c r="Q10" s="95">
        <v>1.65</v>
      </c>
      <c r="R10" s="95">
        <v>1.65</v>
      </c>
      <c r="S10" s="95">
        <v>1.65</v>
      </c>
      <c r="T10" s="95">
        <v>1.65</v>
      </c>
      <c r="U10" s="95">
        <v>1.65</v>
      </c>
      <c r="V10" s="95">
        <v>1.65</v>
      </c>
      <c r="W10" s="95">
        <v>1.65</v>
      </c>
      <c r="X10" s="95">
        <v>1.65</v>
      </c>
      <c r="Y10" s="95">
        <v>1.65</v>
      </c>
      <c r="Z10" s="95">
        <v>1.65</v>
      </c>
      <c r="AA10" s="95">
        <v>1.65</v>
      </c>
      <c r="AB10" s="95">
        <v>1.65</v>
      </c>
      <c r="AC10" s="95">
        <v>1.65</v>
      </c>
      <c r="AD10" s="95">
        <v>1.65</v>
      </c>
      <c r="AE10" s="95">
        <v>1.65</v>
      </c>
      <c r="AF10" s="95">
        <v>1.65</v>
      </c>
      <c r="AG10" s="95">
        <v>1.25</v>
      </c>
      <c r="AH10" s="95">
        <v>1.25</v>
      </c>
      <c r="AI10" s="95">
        <v>1.25</v>
      </c>
      <c r="AJ10" s="95">
        <v>1.25</v>
      </c>
      <c r="AK10" s="95">
        <v>1.25</v>
      </c>
      <c r="AL10" s="95">
        <v>1.25</v>
      </c>
      <c r="AM10" s="95">
        <v>1.25</v>
      </c>
      <c r="AN10" s="95">
        <v>1.25</v>
      </c>
      <c r="AO10" s="95">
        <v>1.25</v>
      </c>
      <c r="AP10" s="95">
        <v>1.25</v>
      </c>
      <c r="AQ10" s="95">
        <v>1.25</v>
      </c>
      <c r="AR10" s="95">
        <v>1.25</v>
      </c>
      <c r="AS10" s="95">
        <v>1.25</v>
      </c>
      <c r="AT10" s="95">
        <v>1.25</v>
      </c>
      <c r="AU10" s="95">
        <v>1.25</v>
      </c>
      <c r="AV10" s="95">
        <v>1.25</v>
      </c>
      <c r="AW10" s="95">
        <v>1.25</v>
      </c>
      <c r="AX10" s="95">
        <v>1.25</v>
      </c>
      <c r="AY10" s="95">
        <v>1.25</v>
      </c>
      <c r="AZ10" s="95">
        <v>1.25</v>
      </c>
      <c r="BA10" s="95">
        <v>1.25</v>
      </c>
      <c r="BB10" s="95">
        <v>1.25</v>
      </c>
      <c r="BC10" s="95">
        <v>1.25</v>
      </c>
      <c r="BD10" s="95">
        <v>1.25</v>
      </c>
      <c r="BE10" s="95">
        <v>1.25</v>
      </c>
      <c r="BF10" s="95">
        <v>1.25</v>
      </c>
      <c r="BG10" s="95">
        <v>0.94000000000001</v>
      </c>
      <c r="BH10" s="95">
        <v>0.94000000000001</v>
      </c>
      <c r="BI10" s="95">
        <v>0.94000000000001</v>
      </c>
      <c r="BJ10" s="95">
        <v>0.94000000000001</v>
      </c>
      <c r="BK10" s="95">
        <v>0.94000000000001</v>
      </c>
      <c r="BL10" s="95">
        <v>0.94000000000001</v>
      </c>
      <c r="BM10" s="95">
        <v>0.94000000000001</v>
      </c>
      <c r="BN10" s="95">
        <v>0.94000000000001</v>
      </c>
      <c r="BO10" s="95">
        <v>0.94000000000001</v>
      </c>
      <c r="BP10" s="95">
        <v>0.94000000000001</v>
      </c>
      <c r="BQ10" s="95">
        <v>0.94000000000001</v>
      </c>
      <c r="BR10" s="95">
        <v>0.94000000000001</v>
      </c>
      <c r="BS10" s="95">
        <v>0.94000000000001</v>
      </c>
      <c r="BT10" s="95">
        <v>0.94000000000001</v>
      </c>
      <c r="BU10" s="95">
        <v>0.94000000000001</v>
      </c>
      <c r="BV10" s="95">
        <v>0.94000000000001</v>
      </c>
      <c r="BW10" s="95">
        <v>0.94000000000001</v>
      </c>
      <c r="BX10" s="95">
        <v>0.94000000000001</v>
      </c>
      <c r="BY10" s="95">
        <v>0.94000000000001</v>
      </c>
      <c r="BZ10" s="95">
        <v>0.94000000000001</v>
      </c>
      <c r="CA10" s="95">
        <v>0.94000000000001</v>
      </c>
      <c r="CB10" s="95">
        <v>0.94000000000001</v>
      </c>
      <c r="CC10" s="95">
        <v>0.94000000000001</v>
      </c>
      <c r="CD10" s="95">
        <v>0.94000000000001</v>
      </c>
      <c r="CE10" s="95">
        <v>0.94000000000001</v>
      </c>
      <c r="CF10" s="95">
        <v>0.94000000000001</v>
      </c>
      <c r="CG10" s="95">
        <v>0.94000000000001</v>
      </c>
      <c r="CH10" s="95">
        <v>0.94000000000001</v>
      </c>
      <c r="CI10" s="95">
        <v>0.940000000000012</v>
      </c>
      <c r="CJ10" s="95">
        <v>0.940000000000012</v>
      </c>
      <c r="CK10" s="95">
        <v>0.940000000000012</v>
      </c>
      <c r="CL10" s="95">
        <v>0.940000000000013</v>
      </c>
      <c r="CM10" s="95">
        <v>0.940000000000013</v>
      </c>
      <c r="CN10" s="95">
        <v>0.940000000000013</v>
      </c>
      <c r="CO10" s="95">
        <v>0.940000000000013</v>
      </c>
      <c r="CP10" s="95">
        <v>0.940000000000013</v>
      </c>
    </row>
    <row r="11" ht="12.75" customHeight="1">
      <c r="A11" s="30"/>
      <c r="B11" s="31"/>
      <c r="C11" s="31"/>
      <c r="D11" s="31"/>
      <c r="E11" s="31"/>
      <c r="F11" s="31"/>
      <c r="G11" s="31"/>
      <c r="H11" s="31"/>
      <c r="I11" s="31"/>
      <c r="J11" s="31"/>
    </row>
    <row r="12" ht="12.75" customHeight="1">
      <c r="A12" s="30" t="s">
        <v>84</v>
      </c>
      <c r="B12" s="96">
        <f t="shared" ref="B12:L12" si="1">+$B41</f>
        <v>1.163333333</v>
      </c>
      <c r="C12" s="96">
        <f t="shared" si="1"/>
        <v>1.163333333</v>
      </c>
      <c r="D12" s="96">
        <f t="shared" si="1"/>
        <v>1.163333333</v>
      </c>
      <c r="E12" s="96">
        <f t="shared" si="1"/>
        <v>1.163333333</v>
      </c>
      <c r="F12" s="96">
        <f t="shared" si="1"/>
        <v>1.163333333</v>
      </c>
      <c r="G12" s="96">
        <f t="shared" si="1"/>
        <v>1.163333333</v>
      </c>
      <c r="H12" s="96">
        <f t="shared" si="1"/>
        <v>1.163333333</v>
      </c>
      <c r="I12" s="96">
        <f t="shared" si="1"/>
        <v>1.163333333</v>
      </c>
      <c r="J12" s="96">
        <f t="shared" si="1"/>
        <v>1.163333333</v>
      </c>
      <c r="K12" s="96">
        <f t="shared" si="1"/>
        <v>1.163333333</v>
      </c>
      <c r="L12" s="96">
        <f t="shared" si="1"/>
        <v>1.163333333</v>
      </c>
      <c r="M12" s="96">
        <f>+B41</f>
        <v>1.163333333</v>
      </c>
      <c r="N12" s="96">
        <f>+B41</f>
        <v>1.163333333</v>
      </c>
      <c r="O12" s="96">
        <f t="shared" ref="O12:BL12" si="2">+$B41</f>
        <v>1.163333333</v>
      </c>
      <c r="P12" s="96">
        <f t="shared" si="2"/>
        <v>1.163333333</v>
      </c>
      <c r="Q12" s="96">
        <f t="shared" si="2"/>
        <v>1.163333333</v>
      </c>
      <c r="R12" s="96">
        <f t="shared" si="2"/>
        <v>1.163333333</v>
      </c>
      <c r="S12" s="96">
        <f t="shared" si="2"/>
        <v>1.163333333</v>
      </c>
      <c r="T12" s="96">
        <f t="shared" si="2"/>
        <v>1.163333333</v>
      </c>
      <c r="U12" s="96">
        <f t="shared" si="2"/>
        <v>1.163333333</v>
      </c>
      <c r="V12" s="96">
        <f t="shared" si="2"/>
        <v>1.163333333</v>
      </c>
      <c r="W12" s="96">
        <f t="shared" si="2"/>
        <v>1.163333333</v>
      </c>
      <c r="X12" s="96">
        <f t="shared" si="2"/>
        <v>1.163333333</v>
      </c>
      <c r="Y12" s="96">
        <f t="shared" si="2"/>
        <v>1.163333333</v>
      </c>
      <c r="Z12" s="96">
        <f t="shared" si="2"/>
        <v>1.163333333</v>
      </c>
      <c r="AA12" s="96">
        <f t="shared" si="2"/>
        <v>1.163333333</v>
      </c>
      <c r="AB12" s="96">
        <f t="shared" si="2"/>
        <v>1.163333333</v>
      </c>
      <c r="AC12" s="96">
        <f t="shared" si="2"/>
        <v>1.163333333</v>
      </c>
      <c r="AD12" s="96">
        <f t="shared" si="2"/>
        <v>1.163333333</v>
      </c>
      <c r="AE12" s="96">
        <f t="shared" si="2"/>
        <v>1.163333333</v>
      </c>
      <c r="AF12" s="96">
        <f t="shared" si="2"/>
        <v>1.163333333</v>
      </c>
      <c r="AG12" s="96">
        <f t="shared" si="2"/>
        <v>1.163333333</v>
      </c>
      <c r="AH12" s="96">
        <f t="shared" si="2"/>
        <v>1.163333333</v>
      </c>
      <c r="AI12" s="96">
        <f t="shared" si="2"/>
        <v>1.163333333</v>
      </c>
      <c r="AJ12" s="96">
        <f t="shared" si="2"/>
        <v>1.163333333</v>
      </c>
      <c r="AK12" s="96">
        <f t="shared" si="2"/>
        <v>1.163333333</v>
      </c>
      <c r="AL12" s="96">
        <f t="shared" si="2"/>
        <v>1.163333333</v>
      </c>
      <c r="AM12" s="96">
        <f t="shared" si="2"/>
        <v>1.163333333</v>
      </c>
      <c r="AN12" s="96">
        <f t="shared" si="2"/>
        <v>1.163333333</v>
      </c>
      <c r="AO12" s="96">
        <f t="shared" si="2"/>
        <v>1.163333333</v>
      </c>
      <c r="AP12" s="96">
        <f t="shared" si="2"/>
        <v>1.163333333</v>
      </c>
      <c r="AQ12" s="96">
        <f t="shared" si="2"/>
        <v>1.163333333</v>
      </c>
      <c r="AR12" s="96">
        <f t="shared" si="2"/>
        <v>1.163333333</v>
      </c>
      <c r="AS12" s="96">
        <f t="shared" si="2"/>
        <v>1.163333333</v>
      </c>
      <c r="AT12" s="96">
        <f t="shared" si="2"/>
        <v>1.163333333</v>
      </c>
      <c r="AU12" s="96">
        <f t="shared" si="2"/>
        <v>1.163333333</v>
      </c>
      <c r="AV12" s="96">
        <f t="shared" si="2"/>
        <v>1.163333333</v>
      </c>
      <c r="AW12" s="96">
        <f t="shared" si="2"/>
        <v>1.163333333</v>
      </c>
      <c r="AX12" s="96">
        <f t="shared" si="2"/>
        <v>1.163333333</v>
      </c>
      <c r="AY12" s="96">
        <f t="shared" si="2"/>
        <v>1.163333333</v>
      </c>
      <c r="AZ12" s="96">
        <f t="shared" si="2"/>
        <v>1.163333333</v>
      </c>
      <c r="BA12" s="96">
        <f t="shared" si="2"/>
        <v>1.163333333</v>
      </c>
      <c r="BB12" s="96">
        <f t="shared" si="2"/>
        <v>1.163333333</v>
      </c>
      <c r="BC12" s="96">
        <f t="shared" si="2"/>
        <v>1.163333333</v>
      </c>
      <c r="BD12" s="96">
        <f t="shared" si="2"/>
        <v>1.163333333</v>
      </c>
      <c r="BE12" s="96">
        <f t="shared" si="2"/>
        <v>1.163333333</v>
      </c>
      <c r="BF12" s="96">
        <f t="shared" si="2"/>
        <v>1.163333333</v>
      </c>
      <c r="BG12" s="96">
        <f t="shared" si="2"/>
        <v>1.163333333</v>
      </c>
      <c r="BH12" s="96">
        <f t="shared" si="2"/>
        <v>1.163333333</v>
      </c>
      <c r="BI12" s="96">
        <f t="shared" si="2"/>
        <v>1.163333333</v>
      </c>
      <c r="BJ12" s="96">
        <f t="shared" si="2"/>
        <v>1.163333333</v>
      </c>
      <c r="BK12" s="96">
        <f t="shared" si="2"/>
        <v>1.163333333</v>
      </c>
      <c r="BL12" s="96">
        <f t="shared" si="2"/>
        <v>1.163333333</v>
      </c>
      <c r="BM12" s="96">
        <f t="shared" ref="BM12:CP12" si="3">+$C41</f>
        <v>0.8166666667</v>
      </c>
      <c r="BN12" s="96">
        <f t="shared" si="3"/>
        <v>0.8166666667</v>
      </c>
      <c r="BO12" s="96">
        <f t="shared" si="3"/>
        <v>0.8166666667</v>
      </c>
      <c r="BP12" s="96">
        <f t="shared" si="3"/>
        <v>0.8166666667</v>
      </c>
      <c r="BQ12" s="96">
        <f t="shared" si="3"/>
        <v>0.8166666667</v>
      </c>
      <c r="BR12" s="96">
        <f t="shared" si="3"/>
        <v>0.8166666667</v>
      </c>
      <c r="BS12" s="96">
        <f t="shared" si="3"/>
        <v>0.8166666667</v>
      </c>
      <c r="BT12" s="96">
        <f t="shared" si="3"/>
        <v>0.8166666667</v>
      </c>
      <c r="BU12" s="96">
        <f t="shared" si="3"/>
        <v>0.8166666667</v>
      </c>
      <c r="BV12" s="96">
        <f t="shared" si="3"/>
        <v>0.8166666667</v>
      </c>
      <c r="BW12" s="96">
        <f t="shared" si="3"/>
        <v>0.8166666667</v>
      </c>
      <c r="BX12" s="96">
        <f t="shared" si="3"/>
        <v>0.8166666667</v>
      </c>
      <c r="BY12" s="96">
        <f t="shared" si="3"/>
        <v>0.8166666667</v>
      </c>
      <c r="BZ12" s="96">
        <f t="shared" si="3"/>
        <v>0.8166666667</v>
      </c>
      <c r="CA12" s="96">
        <f t="shared" si="3"/>
        <v>0.8166666667</v>
      </c>
      <c r="CB12" s="96">
        <f t="shared" si="3"/>
        <v>0.8166666667</v>
      </c>
      <c r="CC12" s="96">
        <f t="shared" si="3"/>
        <v>0.8166666667</v>
      </c>
      <c r="CD12" s="96">
        <f t="shared" si="3"/>
        <v>0.8166666667</v>
      </c>
      <c r="CE12" s="96">
        <f t="shared" si="3"/>
        <v>0.8166666667</v>
      </c>
      <c r="CF12" s="96">
        <f t="shared" si="3"/>
        <v>0.8166666667</v>
      </c>
      <c r="CG12" s="96">
        <f t="shared" si="3"/>
        <v>0.8166666667</v>
      </c>
      <c r="CH12" s="96">
        <f t="shared" si="3"/>
        <v>0.8166666667</v>
      </c>
      <c r="CI12" s="96">
        <f t="shared" si="3"/>
        <v>0.8166666667</v>
      </c>
      <c r="CJ12" s="96">
        <f t="shared" si="3"/>
        <v>0.8166666667</v>
      </c>
      <c r="CK12" s="96">
        <f t="shared" si="3"/>
        <v>0.8166666667</v>
      </c>
      <c r="CL12" s="96">
        <f t="shared" si="3"/>
        <v>0.8166666667</v>
      </c>
      <c r="CM12" s="96">
        <f t="shared" si="3"/>
        <v>0.8166666667</v>
      </c>
      <c r="CN12" s="96">
        <f t="shared" si="3"/>
        <v>0.8166666667</v>
      </c>
      <c r="CO12" s="96">
        <f t="shared" si="3"/>
        <v>0.8166666667</v>
      </c>
      <c r="CP12" s="96">
        <f t="shared" si="3"/>
        <v>0.8166666667</v>
      </c>
    </row>
    <row r="13" ht="12.75" customHeight="1">
      <c r="J13" s="1"/>
      <c r="K13" s="1"/>
      <c r="L13" s="1"/>
    </row>
    <row r="14" ht="12.75" customHeight="1">
      <c r="A14" s="30" t="s">
        <v>85</v>
      </c>
      <c r="B14" s="31">
        <f t="shared" ref="B14:H14" si="4">+B10+$B41</f>
        <v>3.413333333</v>
      </c>
      <c r="C14" s="31">
        <f t="shared" si="4"/>
        <v>3.413333333</v>
      </c>
      <c r="D14" s="31">
        <f t="shared" si="4"/>
        <v>3.213333333</v>
      </c>
      <c r="E14" s="31">
        <f t="shared" si="4"/>
        <v>3.213333333</v>
      </c>
      <c r="F14" s="31">
        <f t="shared" si="4"/>
        <v>3.213333333</v>
      </c>
      <c r="G14" s="31">
        <f t="shared" si="4"/>
        <v>2.813333333</v>
      </c>
      <c r="H14" s="31">
        <f t="shared" si="4"/>
        <v>2.813333333</v>
      </c>
      <c r="I14" s="31">
        <f t="shared" ref="I14:CP14" si="5">SUM(I10:I12)</f>
        <v>2.813333333</v>
      </c>
      <c r="J14" s="31">
        <f t="shared" si="5"/>
        <v>2.813333333</v>
      </c>
      <c r="K14" s="31">
        <f t="shared" si="5"/>
        <v>2.813333333</v>
      </c>
      <c r="L14" s="31">
        <f t="shared" si="5"/>
        <v>2.813333333</v>
      </c>
      <c r="M14" s="31">
        <f t="shared" si="5"/>
        <v>2.813333333</v>
      </c>
      <c r="N14" s="31">
        <f t="shared" si="5"/>
        <v>2.813333333</v>
      </c>
      <c r="O14" s="31">
        <f t="shared" si="5"/>
        <v>2.813333333</v>
      </c>
      <c r="P14" s="31">
        <f t="shared" si="5"/>
        <v>2.813333333</v>
      </c>
      <c r="Q14" s="31">
        <f t="shared" si="5"/>
        <v>2.813333333</v>
      </c>
      <c r="R14" s="31">
        <f t="shared" si="5"/>
        <v>2.813333333</v>
      </c>
      <c r="S14" s="31">
        <f t="shared" si="5"/>
        <v>2.813333333</v>
      </c>
      <c r="T14" s="31">
        <f t="shared" si="5"/>
        <v>2.813333333</v>
      </c>
      <c r="U14" s="31">
        <f t="shared" si="5"/>
        <v>2.813333333</v>
      </c>
      <c r="V14" s="31">
        <f t="shared" si="5"/>
        <v>2.813333333</v>
      </c>
      <c r="W14" s="31">
        <f t="shared" si="5"/>
        <v>2.813333333</v>
      </c>
      <c r="X14" s="31">
        <f t="shared" si="5"/>
        <v>2.813333333</v>
      </c>
      <c r="Y14" s="31">
        <f t="shared" si="5"/>
        <v>2.813333333</v>
      </c>
      <c r="Z14" s="31">
        <f t="shared" si="5"/>
        <v>2.813333333</v>
      </c>
      <c r="AA14" s="31">
        <f t="shared" si="5"/>
        <v>2.813333333</v>
      </c>
      <c r="AB14" s="31">
        <f t="shared" si="5"/>
        <v>2.813333333</v>
      </c>
      <c r="AC14" s="31">
        <f t="shared" si="5"/>
        <v>2.813333333</v>
      </c>
      <c r="AD14" s="31">
        <f t="shared" si="5"/>
        <v>2.813333333</v>
      </c>
      <c r="AE14" s="31">
        <f t="shared" si="5"/>
        <v>2.813333333</v>
      </c>
      <c r="AF14" s="31">
        <f t="shared" si="5"/>
        <v>2.813333333</v>
      </c>
      <c r="AG14" s="31">
        <f t="shared" si="5"/>
        <v>2.413333333</v>
      </c>
      <c r="AH14" s="31">
        <f t="shared" si="5"/>
        <v>2.413333333</v>
      </c>
      <c r="AI14" s="31">
        <f t="shared" si="5"/>
        <v>2.413333333</v>
      </c>
      <c r="AJ14" s="31">
        <f t="shared" si="5"/>
        <v>2.413333333</v>
      </c>
      <c r="AK14" s="31">
        <f t="shared" si="5"/>
        <v>2.413333333</v>
      </c>
      <c r="AL14" s="31">
        <f t="shared" si="5"/>
        <v>2.413333333</v>
      </c>
      <c r="AM14" s="31">
        <f t="shared" si="5"/>
        <v>2.413333333</v>
      </c>
      <c r="AN14" s="31">
        <f t="shared" si="5"/>
        <v>2.413333333</v>
      </c>
      <c r="AO14" s="31">
        <f t="shared" si="5"/>
        <v>2.413333333</v>
      </c>
      <c r="AP14" s="31">
        <f t="shared" si="5"/>
        <v>2.413333333</v>
      </c>
      <c r="AQ14" s="31">
        <f t="shared" si="5"/>
        <v>2.413333333</v>
      </c>
      <c r="AR14" s="31">
        <f t="shared" si="5"/>
        <v>2.413333333</v>
      </c>
      <c r="AS14" s="31">
        <f t="shared" si="5"/>
        <v>2.413333333</v>
      </c>
      <c r="AT14" s="31">
        <f t="shared" si="5"/>
        <v>2.413333333</v>
      </c>
      <c r="AU14" s="66">
        <f t="shared" si="5"/>
        <v>2.413333333</v>
      </c>
      <c r="AV14" s="66">
        <f t="shared" si="5"/>
        <v>2.413333333</v>
      </c>
      <c r="AW14" s="66">
        <f t="shared" si="5"/>
        <v>2.413333333</v>
      </c>
      <c r="AX14" s="66">
        <f t="shared" si="5"/>
        <v>2.413333333</v>
      </c>
      <c r="AY14" s="66">
        <f t="shared" si="5"/>
        <v>2.413333333</v>
      </c>
      <c r="AZ14" s="66">
        <f t="shared" si="5"/>
        <v>2.413333333</v>
      </c>
      <c r="BA14" s="66">
        <f t="shared" si="5"/>
        <v>2.413333333</v>
      </c>
      <c r="BB14" s="66">
        <f t="shared" si="5"/>
        <v>2.413333333</v>
      </c>
      <c r="BC14" s="66">
        <f t="shared" si="5"/>
        <v>2.413333333</v>
      </c>
      <c r="BD14" s="66">
        <f t="shared" si="5"/>
        <v>2.413333333</v>
      </c>
      <c r="BE14" s="66">
        <f t="shared" si="5"/>
        <v>2.413333333</v>
      </c>
      <c r="BF14" s="66">
        <f t="shared" si="5"/>
        <v>2.413333333</v>
      </c>
      <c r="BG14" s="66">
        <f t="shared" si="5"/>
        <v>2.103333333</v>
      </c>
      <c r="BH14" s="66">
        <f t="shared" si="5"/>
        <v>2.103333333</v>
      </c>
      <c r="BI14" s="66">
        <f t="shared" si="5"/>
        <v>2.103333333</v>
      </c>
      <c r="BJ14" s="66">
        <f t="shared" si="5"/>
        <v>2.103333333</v>
      </c>
      <c r="BK14" s="66">
        <f t="shared" si="5"/>
        <v>2.103333333</v>
      </c>
      <c r="BL14" s="66">
        <f t="shared" si="5"/>
        <v>2.103333333</v>
      </c>
      <c r="BM14" s="66">
        <f t="shared" si="5"/>
        <v>1.756666667</v>
      </c>
      <c r="BN14" s="66">
        <f t="shared" si="5"/>
        <v>1.756666667</v>
      </c>
      <c r="BO14" s="66">
        <f t="shared" si="5"/>
        <v>1.756666667</v>
      </c>
      <c r="BP14" s="66">
        <f t="shared" si="5"/>
        <v>1.756666667</v>
      </c>
      <c r="BQ14" s="66">
        <f t="shared" si="5"/>
        <v>1.756666667</v>
      </c>
      <c r="BR14" s="66">
        <f t="shared" si="5"/>
        <v>1.756666667</v>
      </c>
      <c r="BS14" s="66">
        <f t="shared" si="5"/>
        <v>1.756666667</v>
      </c>
      <c r="BT14" s="66">
        <f t="shared" si="5"/>
        <v>1.756666667</v>
      </c>
      <c r="BU14" s="66">
        <f t="shared" si="5"/>
        <v>1.756666667</v>
      </c>
      <c r="BV14" s="66">
        <f t="shared" si="5"/>
        <v>1.756666667</v>
      </c>
      <c r="BW14" s="66">
        <f t="shared" si="5"/>
        <v>1.756666667</v>
      </c>
      <c r="BX14" s="66">
        <f t="shared" si="5"/>
        <v>1.756666667</v>
      </c>
      <c r="BY14" s="66">
        <f t="shared" si="5"/>
        <v>1.756666667</v>
      </c>
      <c r="BZ14" s="66">
        <f t="shared" si="5"/>
        <v>1.756666667</v>
      </c>
      <c r="CA14" s="66">
        <f t="shared" si="5"/>
        <v>1.756666667</v>
      </c>
      <c r="CB14" s="66">
        <f t="shared" si="5"/>
        <v>1.756666667</v>
      </c>
      <c r="CC14" s="66">
        <f t="shared" si="5"/>
        <v>1.756666667</v>
      </c>
      <c r="CD14" s="66">
        <f t="shared" si="5"/>
        <v>1.756666667</v>
      </c>
      <c r="CE14" s="66">
        <f t="shared" si="5"/>
        <v>1.756666667</v>
      </c>
      <c r="CF14" s="66">
        <f t="shared" si="5"/>
        <v>1.756666667</v>
      </c>
      <c r="CG14" s="66">
        <f t="shared" si="5"/>
        <v>1.756666667</v>
      </c>
      <c r="CH14" s="66">
        <f t="shared" si="5"/>
        <v>1.756666667</v>
      </c>
      <c r="CI14" s="66">
        <f t="shared" si="5"/>
        <v>1.756666667</v>
      </c>
      <c r="CJ14" s="66">
        <f t="shared" si="5"/>
        <v>1.756666667</v>
      </c>
      <c r="CK14" s="66">
        <f t="shared" si="5"/>
        <v>1.756666667</v>
      </c>
      <c r="CL14" s="66">
        <f t="shared" si="5"/>
        <v>1.756666667</v>
      </c>
      <c r="CM14" s="66">
        <f t="shared" si="5"/>
        <v>1.756666667</v>
      </c>
      <c r="CN14" s="66">
        <f t="shared" si="5"/>
        <v>1.756666667</v>
      </c>
      <c r="CO14" s="66">
        <f t="shared" si="5"/>
        <v>1.756666667</v>
      </c>
      <c r="CP14" s="66">
        <f t="shared" si="5"/>
        <v>1.756666667</v>
      </c>
    </row>
    <row r="15" ht="12.75" customHeight="1">
      <c r="J15" s="1"/>
      <c r="K15" s="1"/>
      <c r="L15" s="1"/>
    </row>
    <row r="16" ht="12.75" customHeight="1">
      <c r="J16" s="1"/>
      <c r="K16" s="1"/>
      <c r="L16" s="1"/>
    </row>
    <row r="17" ht="12.75" customHeight="1">
      <c r="A17" s="1" t="s">
        <v>86</v>
      </c>
      <c r="B17" s="6">
        <f t="shared" ref="B17:CP17" si="6">+D9</f>
        <v>44012</v>
      </c>
      <c r="C17" s="6">
        <f t="shared" si="6"/>
        <v>44043</v>
      </c>
      <c r="D17" s="6">
        <f t="shared" si="6"/>
        <v>44074</v>
      </c>
      <c r="E17" s="6">
        <f t="shared" si="6"/>
        <v>44104</v>
      </c>
      <c r="F17" s="6">
        <f t="shared" si="6"/>
        <v>44135</v>
      </c>
      <c r="G17" s="6">
        <f t="shared" si="6"/>
        <v>44165</v>
      </c>
      <c r="H17" s="6">
        <f t="shared" si="6"/>
        <v>44196</v>
      </c>
      <c r="I17" s="6">
        <f t="shared" si="6"/>
        <v>44227</v>
      </c>
      <c r="J17" s="6">
        <f t="shared" si="6"/>
        <v>44255</v>
      </c>
      <c r="K17" s="6">
        <f t="shared" si="6"/>
        <v>44286</v>
      </c>
      <c r="L17" s="6">
        <f t="shared" si="6"/>
        <v>44316</v>
      </c>
      <c r="M17" s="6">
        <f t="shared" si="6"/>
        <v>44347</v>
      </c>
      <c r="N17" s="6">
        <f t="shared" si="6"/>
        <v>44377</v>
      </c>
      <c r="O17" s="6">
        <f t="shared" si="6"/>
        <v>44408</v>
      </c>
      <c r="P17" s="6">
        <f t="shared" si="6"/>
        <v>44439</v>
      </c>
      <c r="Q17" s="6">
        <f t="shared" si="6"/>
        <v>44469</v>
      </c>
      <c r="R17" s="6">
        <f t="shared" si="6"/>
        <v>44500</v>
      </c>
      <c r="S17" s="6">
        <f t="shared" si="6"/>
        <v>44530</v>
      </c>
      <c r="T17" s="6">
        <f t="shared" si="6"/>
        <v>44561</v>
      </c>
      <c r="U17" s="6">
        <f t="shared" si="6"/>
        <v>44592</v>
      </c>
      <c r="V17" s="6">
        <f t="shared" si="6"/>
        <v>44620</v>
      </c>
      <c r="W17" s="6">
        <f t="shared" si="6"/>
        <v>44651</v>
      </c>
      <c r="X17" s="6">
        <f t="shared" si="6"/>
        <v>44681</v>
      </c>
      <c r="Y17" s="6">
        <f t="shared" si="6"/>
        <v>44712</v>
      </c>
      <c r="Z17" s="6">
        <f t="shared" si="6"/>
        <v>44742</v>
      </c>
      <c r="AA17" s="6">
        <f t="shared" si="6"/>
        <v>44773</v>
      </c>
      <c r="AB17" s="6">
        <f t="shared" si="6"/>
        <v>44804</v>
      </c>
      <c r="AC17" s="6">
        <f t="shared" si="6"/>
        <v>44834</v>
      </c>
      <c r="AD17" s="6">
        <f t="shared" si="6"/>
        <v>44865</v>
      </c>
      <c r="AE17" s="6">
        <f t="shared" si="6"/>
        <v>44895</v>
      </c>
      <c r="AF17" s="6">
        <f t="shared" si="6"/>
        <v>44926</v>
      </c>
      <c r="AG17" s="6">
        <f t="shared" si="6"/>
        <v>44957</v>
      </c>
      <c r="AH17" s="6">
        <f t="shared" si="6"/>
        <v>44985</v>
      </c>
      <c r="AI17" s="6">
        <f t="shared" si="6"/>
        <v>45016</v>
      </c>
      <c r="AJ17" s="6">
        <f t="shared" si="6"/>
        <v>45046</v>
      </c>
      <c r="AK17" s="6">
        <f t="shared" si="6"/>
        <v>45077</v>
      </c>
      <c r="AL17" s="6">
        <f t="shared" si="6"/>
        <v>45107</v>
      </c>
      <c r="AM17" s="6">
        <f t="shared" si="6"/>
        <v>45138</v>
      </c>
      <c r="AN17" s="6">
        <f t="shared" si="6"/>
        <v>45169</v>
      </c>
      <c r="AO17" s="6">
        <f t="shared" si="6"/>
        <v>45199</v>
      </c>
      <c r="AP17" s="6">
        <f t="shared" si="6"/>
        <v>45230</v>
      </c>
      <c r="AQ17" s="6">
        <f t="shared" si="6"/>
        <v>45260</v>
      </c>
      <c r="AR17" s="6">
        <f t="shared" si="6"/>
        <v>45291</v>
      </c>
      <c r="AS17" s="6">
        <f t="shared" si="6"/>
        <v>45322</v>
      </c>
      <c r="AT17" s="6">
        <f t="shared" si="6"/>
        <v>45351</v>
      </c>
      <c r="AU17" s="6">
        <f t="shared" si="6"/>
        <v>45382</v>
      </c>
      <c r="AV17" s="6">
        <f t="shared" si="6"/>
        <v>45412</v>
      </c>
      <c r="AW17" s="6">
        <f t="shared" si="6"/>
        <v>45443</v>
      </c>
      <c r="AX17" s="6">
        <f t="shared" si="6"/>
        <v>45473</v>
      </c>
      <c r="AY17" s="6">
        <f t="shared" si="6"/>
        <v>45504</v>
      </c>
      <c r="AZ17" s="6">
        <f t="shared" si="6"/>
        <v>45535</v>
      </c>
      <c r="BA17" s="6">
        <f t="shared" si="6"/>
        <v>45565</v>
      </c>
      <c r="BB17" s="6">
        <f t="shared" si="6"/>
        <v>45596</v>
      </c>
      <c r="BC17" s="6">
        <f t="shared" si="6"/>
        <v>45626</v>
      </c>
      <c r="BD17" s="6">
        <f t="shared" si="6"/>
        <v>45657</v>
      </c>
      <c r="BE17" s="6">
        <f t="shared" si="6"/>
        <v>45688</v>
      </c>
      <c r="BF17" s="6">
        <f t="shared" si="6"/>
        <v>45716</v>
      </c>
      <c r="BG17" s="6">
        <f t="shared" si="6"/>
        <v>45747</v>
      </c>
      <c r="BH17" s="6">
        <f t="shared" si="6"/>
        <v>45777</v>
      </c>
      <c r="BI17" s="6">
        <f t="shared" si="6"/>
        <v>45808</v>
      </c>
      <c r="BJ17" s="6">
        <f t="shared" si="6"/>
        <v>45838</v>
      </c>
      <c r="BK17" s="6">
        <f t="shared" si="6"/>
        <v>45869</v>
      </c>
      <c r="BL17" s="6">
        <f t="shared" si="6"/>
        <v>45900</v>
      </c>
      <c r="BM17" s="6">
        <f t="shared" si="6"/>
        <v>45930</v>
      </c>
      <c r="BN17" s="6">
        <f t="shared" si="6"/>
        <v>45961</v>
      </c>
      <c r="BO17" s="6">
        <f t="shared" si="6"/>
        <v>45991</v>
      </c>
      <c r="BP17" s="6">
        <f t="shared" si="6"/>
        <v>46022</v>
      </c>
      <c r="BQ17" s="6">
        <f t="shared" si="6"/>
        <v>46053</v>
      </c>
      <c r="BR17" s="6">
        <f t="shared" si="6"/>
        <v>46081</v>
      </c>
      <c r="BS17" s="6">
        <f t="shared" si="6"/>
        <v>46112</v>
      </c>
      <c r="BT17" s="6">
        <f t="shared" si="6"/>
        <v>46142</v>
      </c>
      <c r="BU17" s="6">
        <f t="shared" si="6"/>
        <v>46173</v>
      </c>
      <c r="BV17" s="6">
        <f t="shared" si="6"/>
        <v>46203</v>
      </c>
      <c r="BW17" s="6">
        <f t="shared" si="6"/>
        <v>46234</v>
      </c>
      <c r="BX17" s="6">
        <f t="shared" si="6"/>
        <v>46265</v>
      </c>
      <c r="BY17" s="6">
        <f t="shared" si="6"/>
        <v>46295</v>
      </c>
      <c r="BZ17" s="6">
        <f t="shared" si="6"/>
        <v>46326</v>
      </c>
      <c r="CA17" s="6">
        <f t="shared" si="6"/>
        <v>46356</v>
      </c>
      <c r="CB17" s="6">
        <f t="shared" si="6"/>
        <v>46387</v>
      </c>
      <c r="CC17" s="6">
        <f t="shared" si="6"/>
        <v>46418</v>
      </c>
      <c r="CD17" s="6">
        <f t="shared" si="6"/>
        <v>46446</v>
      </c>
      <c r="CE17" s="6">
        <f t="shared" si="6"/>
        <v>46477</v>
      </c>
      <c r="CF17" s="6">
        <f t="shared" si="6"/>
        <v>46507</v>
      </c>
      <c r="CG17" s="6">
        <f t="shared" si="6"/>
        <v>46538</v>
      </c>
      <c r="CH17" s="6">
        <f t="shared" si="6"/>
        <v>46568</v>
      </c>
      <c r="CI17" s="6">
        <f t="shared" si="6"/>
        <v>46599</v>
      </c>
      <c r="CJ17" s="6">
        <f t="shared" si="6"/>
        <v>46630</v>
      </c>
      <c r="CK17" s="6">
        <f t="shared" si="6"/>
        <v>46660</v>
      </c>
      <c r="CL17" s="6">
        <f t="shared" si="6"/>
        <v>46691</v>
      </c>
      <c r="CM17" s="6">
        <f t="shared" si="6"/>
        <v>46721</v>
      </c>
      <c r="CN17" s="6">
        <f t="shared" si="6"/>
        <v>46752</v>
      </c>
      <c r="CO17" s="6" t="str">
        <f t="shared" si="6"/>
        <v/>
      </c>
      <c r="CP17" s="6" t="str">
        <f t="shared" si="6"/>
        <v/>
      </c>
    </row>
    <row r="18" ht="12.75" customHeight="1">
      <c r="A18" s="1"/>
    </row>
    <row r="19" ht="12.75" customHeight="1">
      <c r="A19" s="56" t="s">
        <v>87</v>
      </c>
    </row>
    <row r="20" ht="12.75" customHeight="1">
      <c r="A20" s="56" t="s">
        <v>88</v>
      </c>
    </row>
    <row r="21" ht="12.75" customHeight="1">
      <c r="A21" s="56" t="s">
        <v>89</v>
      </c>
      <c r="B21" s="97">
        <f>+'Rev 2'!W19</f>
        <v>1564.391902</v>
      </c>
      <c r="C21" s="97">
        <f>+'Rev 2'!X19</f>
        <v>2384.518718</v>
      </c>
      <c r="D21" s="97">
        <f>+'Rev 2'!Y19</f>
        <v>3089.923312</v>
      </c>
      <c r="E21" s="97">
        <f>+'Rev 2'!Z19</f>
        <v>3045.422178</v>
      </c>
      <c r="F21" s="97">
        <f>+'Rev 2'!AA19</f>
        <v>4367.344157</v>
      </c>
      <c r="G21" s="97">
        <f>+'Rev 2'!AB19</f>
        <v>8559.709992</v>
      </c>
      <c r="H21" s="97">
        <f>+'Rev 2'!AC19</f>
        <v>8287.244216</v>
      </c>
      <c r="I21" s="97">
        <f>+'Rev 2'!AD19</f>
        <v>13386.07657</v>
      </c>
      <c r="J21" s="97">
        <f>+'Rev 2'!AE19</f>
        <v>16858.16888</v>
      </c>
      <c r="K21" s="97">
        <f>+'Rev 2'!AF19</f>
        <v>23972.2365</v>
      </c>
      <c r="L21" s="97">
        <f>+'Rev 2'!AG19</f>
        <v>23977.35429</v>
      </c>
      <c r="M21" s="97">
        <f>+'Rev 2'!AH19</f>
        <v>21112.71059</v>
      </c>
      <c r="N21" s="97">
        <f>+'Rev 2'!AI19</f>
        <v>18248.06689</v>
      </c>
      <c r="O21" s="97">
        <f>+'Rev 2'!AJ19</f>
        <v>16885.73801</v>
      </c>
      <c r="P21" s="97">
        <f>+'Rev 2'!AK19</f>
        <v>19394.71382</v>
      </c>
      <c r="Q21" s="97">
        <f>+'Rev 2'!AL19</f>
        <v>23954.00668</v>
      </c>
      <c r="R21" s="97">
        <f>+'Rev 2'!AM19</f>
        <v>32613.93361</v>
      </c>
      <c r="S21" s="97">
        <f>+'Rev 2'!AN19</f>
        <v>30094.56793</v>
      </c>
      <c r="T21" s="97">
        <f>+'Rev 2'!AO19</f>
        <v>25664.63763</v>
      </c>
      <c r="U21" s="97">
        <f>+'Rev 2'!AP19</f>
        <v>18783.09652</v>
      </c>
      <c r="V21" s="97">
        <f>+'Rev 2'!AQ19</f>
        <v>20205.25912</v>
      </c>
      <c r="W21" s="97">
        <f>+'Rev 2'!AR19</f>
        <v>21599.29708</v>
      </c>
      <c r="X21" s="97">
        <f>+'Rev 2'!AS19</f>
        <v>21917.33269</v>
      </c>
      <c r="Y21" s="97">
        <f>+'Rev 2'!AT19</f>
        <v>22038.49587</v>
      </c>
      <c r="Z21" s="97">
        <f>+'Rev 2'!AU19</f>
        <v>20390.58833</v>
      </c>
      <c r="AA21" s="97">
        <f>+'Rev 2'!AV19</f>
        <v>18324.32689</v>
      </c>
      <c r="AB21" s="97">
        <f>+'Rev 2'!AW19</f>
        <v>17424.97525</v>
      </c>
      <c r="AC21" s="97">
        <f>+'Rev 2'!AX19</f>
        <v>21217.05512</v>
      </c>
      <c r="AD21" s="97">
        <f>+'Rev 2'!AY19</f>
        <v>25125.1491</v>
      </c>
      <c r="AE21" s="97">
        <f>+'Rev 2'!AZ19</f>
        <v>25089.48826</v>
      </c>
      <c r="AF21" s="97">
        <f>+'Rev 2'!BA19</f>
        <v>22462.17464</v>
      </c>
      <c r="AG21" s="97">
        <f>+'Rev 2'!BB19</f>
        <v>19459.35015</v>
      </c>
      <c r="AH21" s="97">
        <f>+'Rev 2'!BC19</f>
        <v>17585.37765</v>
      </c>
      <c r="AI21" s="97">
        <f>+'Rev 2'!BD19</f>
        <v>15557.51037</v>
      </c>
      <c r="AJ21" s="97">
        <f>+'Rev 2'!BE19</f>
        <v>13573.04404</v>
      </c>
      <c r="AK21" s="97">
        <f>+'Rev 2'!BF19</f>
        <v>13919.67036</v>
      </c>
      <c r="AL21" s="97">
        <f>+'Rev 2'!BG19</f>
        <v>14399.01273</v>
      </c>
      <c r="AM21" s="97">
        <f>+'Rev 2'!BH19</f>
        <v>14878.98381</v>
      </c>
      <c r="AN21" s="97">
        <f>+'Rev 2'!BI19</f>
        <v>14837.42711</v>
      </c>
      <c r="AO21" s="97">
        <f>+'Rev 2'!BJ19</f>
        <v>14795.87041</v>
      </c>
      <c r="AP21" s="97">
        <f>+'Rev 2'!BK19</f>
        <v>14563.22575</v>
      </c>
      <c r="AQ21" s="97">
        <f>+'Rev 2'!BL19</f>
        <v>14118.73837</v>
      </c>
      <c r="AR21" s="97">
        <f>+'Rev 2'!BM19</f>
        <v>13247.05276</v>
      </c>
      <c r="AS21" s="97">
        <f>+'Rev 2'!BN19</f>
        <v>13212.45</v>
      </c>
      <c r="AT21" s="97">
        <f>+'Rev 2'!BO19</f>
        <v>14380.11986</v>
      </c>
      <c r="AU21" s="97">
        <f>+'Rev 2'!BP19</f>
        <v>17986.0987</v>
      </c>
      <c r="AV21" s="97">
        <f>+'Rev 2'!BQ19</f>
        <v>20712.92221</v>
      </c>
      <c r="AW21" s="97">
        <f>+'Rev 2'!BR19</f>
        <v>23547.72064</v>
      </c>
      <c r="AX21" s="97">
        <f>+'Rev 2'!BS19</f>
        <v>24460.54881</v>
      </c>
      <c r="AY21" s="97">
        <f>+'Rev 2'!BT19</f>
        <v>26065.71967</v>
      </c>
      <c r="AZ21" s="97">
        <f>+'Rev 2'!BU19</f>
        <v>28198.00389</v>
      </c>
      <c r="BA21" s="97">
        <f>+'Rev 2'!BV19</f>
        <v>27166.94182</v>
      </c>
      <c r="BB21" s="97">
        <f>+'Rev 2'!BW19</f>
        <v>25471.44664</v>
      </c>
      <c r="BC21" s="97">
        <f>+'Rev 2'!BX19</f>
        <v>22289.22779</v>
      </c>
      <c r="BD21" s="97">
        <f>+'Rev 2'!BY19</f>
        <v>21982.89077</v>
      </c>
      <c r="BE21" s="97">
        <f>+'Rev 2'!BZ19</f>
        <v>25414.04334</v>
      </c>
      <c r="BF21" s="97">
        <f>+'Rev 2'!CA19</f>
        <v>24564.79918</v>
      </c>
      <c r="BG21" s="97">
        <f>+'Rev 2'!CB19</f>
        <v>23600.30559</v>
      </c>
      <c r="BH21" s="97">
        <f>+'Rev 2'!CC19</f>
        <v>19254.80608</v>
      </c>
      <c r="BI21" s="97">
        <f>+'Rev 2'!CD19</f>
        <v>19341.17731</v>
      </c>
      <c r="BJ21" s="97">
        <f>+'Rev 2'!CE19</f>
        <v>19465.5168</v>
      </c>
      <c r="BK21" s="97">
        <f>+'Rev 2'!CF19</f>
        <v>19533.18653</v>
      </c>
      <c r="BL21" s="97">
        <f>+'Rev 2'!CG19</f>
        <v>19569.71143</v>
      </c>
      <c r="BM21" s="97">
        <f>+'Rev 2'!CH19</f>
        <v>19454.36331</v>
      </c>
      <c r="BN21" s="97">
        <f>+'Rev 2'!CI19</f>
        <v>20920.68833</v>
      </c>
      <c r="BO21" s="97">
        <f>+'Rev 2'!CJ19</f>
        <v>22326.90974</v>
      </c>
      <c r="BP21" s="97">
        <f>+'Rev 2'!CK19</f>
        <v>23755.47934</v>
      </c>
      <c r="BQ21" s="97">
        <f>+'Rev 2'!CL19</f>
        <v>23717.59503</v>
      </c>
      <c r="BR21" s="97">
        <f>+'Rev 2'!CM19</f>
        <v>23598.50134</v>
      </c>
      <c r="BS21" s="97">
        <f>+'Rev 2'!CN19</f>
        <v>25246.75476</v>
      </c>
      <c r="BT21" s="97">
        <f>+'Rev 2'!CO19</f>
        <v>28476.68134</v>
      </c>
      <c r="BU21" s="97">
        <f>+'Rev 2'!CP19</f>
        <v>31788.81104</v>
      </c>
      <c r="BV21" s="97">
        <f>+'Rev 2'!CQ19</f>
        <v>33714.09549</v>
      </c>
      <c r="BW21" s="97">
        <f>+'Rev 2'!CR19</f>
        <v>35536.08448</v>
      </c>
      <c r="BX21" s="97">
        <f>+'Rev 2'!CS19</f>
        <v>37662.76734</v>
      </c>
      <c r="BY21" s="97">
        <f>+'Rev 2'!CT19</f>
        <v>39717.78354</v>
      </c>
      <c r="BZ21" s="97">
        <f>+'Rev 2'!CU19</f>
        <v>40368.03783</v>
      </c>
      <c r="CA21" s="97">
        <f>+'Rev 2'!CV19</f>
        <v>40992.3507</v>
      </c>
      <c r="CB21" s="97">
        <f>+'Rev 2'!CW19</f>
        <v>41616.66358</v>
      </c>
      <c r="CC21" s="97">
        <f>+'Rev 2'!CX19</f>
        <v>42410.78432</v>
      </c>
      <c r="CD21" s="97">
        <f>+'Rev 2'!CY19</f>
        <v>43172.91102</v>
      </c>
      <c r="CE21" s="97">
        <f>+'Rev 2'!CZ19</f>
        <v>45421.38268</v>
      </c>
      <c r="CF21" s="97">
        <f>+'Rev 2'!DA19</f>
        <v>47385.77837</v>
      </c>
      <c r="CG21" s="97">
        <f>+'Rev 2'!DB19</f>
        <v>49372.3875</v>
      </c>
      <c r="CH21" s="97">
        <f>+'Rev 2'!DC19</f>
        <v>51519.82797</v>
      </c>
      <c r="CI21" s="97">
        <f>+'Rev 2'!DD19</f>
        <v>53536.64005</v>
      </c>
      <c r="CJ21" s="97">
        <f>+'Rev 2'!DE19</f>
        <v>57078.91953</v>
      </c>
      <c r="CK21" s="97">
        <f>+'Rev 2'!DF19</f>
        <v>59259.41556</v>
      </c>
      <c r="CL21" s="97">
        <f>+'Rev 2'!DG19</f>
        <v>61331.43087</v>
      </c>
      <c r="CM21" s="97">
        <f>+'Rev 2'!DH19</f>
        <v>62167.57505</v>
      </c>
      <c r="CN21" s="97">
        <f>+'Rev 2'!DI19</f>
        <v>63003.71923</v>
      </c>
      <c r="CO21" s="97">
        <f>+'Rev 2'!DJ19</f>
        <v>63003.71923</v>
      </c>
      <c r="CP21" s="97">
        <f>+'Rev 2'!DK19</f>
        <v>63003.71923</v>
      </c>
    </row>
    <row r="22" ht="12.75" customHeight="1"/>
    <row r="23" ht="12.75" customHeight="1">
      <c r="B23" s="7">
        <f t="shared" ref="B23:CP23" si="7">+B21*B14</f>
        <v>5339.791025</v>
      </c>
      <c r="C23" s="7">
        <f t="shared" si="7"/>
        <v>8139.157224</v>
      </c>
      <c r="D23" s="7">
        <f t="shared" si="7"/>
        <v>9928.953576</v>
      </c>
      <c r="E23" s="7">
        <f t="shared" si="7"/>
        <v>9785.956599</v>
      </c>
      <c r="F23" s="7">
        <f t="shared" si="7"/>
        <v>14033.73256</v>
      </c>
      <c r="G23" s="7">
        <f t="shared" si="7"/>
        <v>24081.31744</v>
      </c>
      <c r="H23" s="7">
        <f t="shared" si="7"/>
        <v>23314.78039</v>
      </c>
      <c r="I23" s="7">
        <f t="shared" si="7"/>
        <v>37659.49542</v>
      </c>
      <c r="J23" s="7">
        <f t="shared" si="7"/>
        <v>47427.64845</v>
      </c>
      <c r="K23" s="7">
        <f t="shared" si="7"/>
        <v>67441.89202</v>
      </c>
      <c r="L23" s="7">
        <f t="shared" si="7"/>
        <v>67456.29006</v>
      </c>
      <c r="M23" s="7">
        <f t="shared" si="7"/>
        <v>59397.09246</v>
      </c>
      <c r="N23" s="7">
        <f t="shared" si="7"/>
        <v>51337.89486</v>
      </c>
      <c r="O23" s="7">
        <f t="shared" si="7"/>
        <v>47505.2096</v>
      </c>
      <c r="P23" s="7">
        <f t="shared" si="7"/>
        <v>54563.79489</v>
      </c>
      <c r="Q23" s="7">
        <f t="shared" si="7"/>
        <v>67390.60545</v>
      </c>
      <c r="R23" s="7">
        <f t="shared" si="7"/>
        <v>91753.86656</v>
      </c>
      <c r="S23" s="7">
        <f t="shared" si="7"/>
        <v>84666.0511</v>
      </c>
      <c r="T23" s="7">
        <f t="shared" si="7"/>
        <v>72203.18054</v>
      </c>
      <c r="U23" s="7">
        <f t="shared" si="7"/>
        <v>52843.11155</v>
      </c>
      <c r="V23" s="7">
        <f t="shared" si="7"/>
        <v>56844.12898</v>
      </c>
      <c r="W23" s="7">
        <f t="shared" si="7"/>
        <v>60766.02244</v>
      </c>
      <c r="X23" s="7">
        <f t="shared" si="7"/>
        <v>61660.76263</v>
      </c>
      <c r="Y23" s="7">
        <f t="shared" si="7"/>
        <v>62001.63504</v>
      </c>
      <c r="Z23" s="7">
        <f t="shared" si="7"/>
        <v>57365.52185</v>
      </c>
      <c r="AA23" s="7">
        <f t="shared" si="7"/>
        <v>51552.43966</v>
      </c>
      <c r="AB23" s="7">
        <f t="shared" si="7"/>
        <v>49022.2637</v>
      </c>
      <c r="AC23" s="7">
        <f t="shared" si="7"/>
        <v>59690.6484</v>
      </c>
      <c r="AD23" s="7">
        <f t="shared" si="7"/>
        <v>70685.41946</v>
      </c>
      <c r="AE23" s="7">
        <f t="shared" si="7"/>
        <v>70585.09364</v>
      </c>
      <c r="AF23" s="7">
        <f t="shared" si="7"/>
        <v>63193.58467</v>
      </c>
      <c r="AG23" s="7">
        <f t="shared" si="7"/>
        <v>46961.89836</v>
      </c>
      <c r="AH23" s="7">
        <f t="shared" si="7"/>
        <v>42439.37805</v>
      </c>
      <c r="AI23" s="7">
        <f t="shared" si="7"/>
        <v>37545.45836</v>
      </c>
      <c r="AJ23" s="7">
        <f t="shared" si="7"/>
        <v>32756.27961</v>
      </c>
      <c r="AK23" s="7">
        <f t="shared" si="7"/>
        <v>33592.80447</v>
      </c>
      <c r="AL23" s="7">
        <f t="shared" si="7"/>
        <v>34749.6174</v>
      </c>
      <c r="AM23" s="7">
        <f t="shared" si="7"/>
        <v>35907.9476</v>
      </c>
      <c r="AN23" s="7">
        <f t="shared" si="7"/>
        <v>35807.65743</v>
      </c>
      <c r="AO23" s="7">
        <f t="shared" si="7"/>
        <v>35707.36726</v>
      </c>
      <c r="AP23" s="7">
        <f t="shared" si="7"/>
        <v>35145.91814</v>
      </c>
      <c r="AQ23" s="7">
        <f t="shared" si="7"/>
        <v>34073.22194</v>
      </c>
      <c r="AR23" s="7">
        <f t="shared" si="7"/>
        <v>31969.55399</v>
      </c>
      <c r="AS23" s="7">
        <f t="shared" si="7"/>
        <v>31886.04601</v>
      </c>
      <c r="AT23" s="7">
        <f t="shared" si="7"/>
        <v>34704.0226</v>
      </c>
      <c r="AU23" s="7">
        <f t="shared" si="7"/>
        <v>43406.45152</v>
      </c>
      <c r="AV23" s="7">
        <f t="shared" si="7"/>
        <v>49987.18559</v>
      </c>
      <c r="AW23" s="7">
        <f t="shared" si="7"/>
        <v>56828.49915</v>
      </c>
      <c r="AX23" s="7">
        <f t="shared" si="7"/>
        <v>59031.4578</v>
      </c>
      <c r="AY23" s="7">
        <f t="shared" si="7"/>
        <v>62905.27013</v>
      </c>
      <c r="AZ23" s="7">
        <f t="shared" si="7"/>
        <v>68051.18271</v>
      </c>
      <c r="BA23" s="7">
        <f t="shared" si="7"/>
        <v>65562.88625</v>
      </c>
      <c r="BB23" s="7">
        <f t="shared" si="7"/>
        <v>61471.09122</v>
      </c>
      <c r="BC23" s="7">
        <f t="shared" si="7"/>
        <v>53791.33639</v>
      </c>
      <c r="BD23" s="7">
        <f t="shared" si="7"/>
        <v>53052.04306</v>
      </c>
      <c r="BE23" s="7">
        <f t="shared" si="7"/>
        <v>61332.55794</v>
      </c>
      <c r="BF23" s="7">
        <f t="shared" si="7"/>
        <v>59283.0487</v>
      </c>
      <c r="BG23" s="7">
        <f t="shared" si="7"/>
        <v>49639.30943</v>
      </c>
      <c r="BH23" s="7">
        <f t="shared" si="7"/>
        <v>40499.27545</v>
      </c>
      <c r="BI23" s="7">
        <f t="shared" si="7"/>
        <v>40680.94295</v>
      </c>
      <c r="BJ23" s="7">
        <f t="shared" si="7"/>
        <v>40942.47034</v>
      </c>
      <c r="BK23" s="7">
        <f t="shared" si="7"/>
        <v>41084.80235</v>
      </c>
      <c r="BL23" s="7">
        <f t="shared" si="7"/>
        <v>41161.62637</v>
      </c>
      <c r="BM23" s="7">
        <f t="shared" si="7"/>
        <v>34174.83154</v>
      </c>
      <c r="BN23" s="7">
        <f t="shared" si="7"/>
        <v>36750.67583</v>
      </c>
      <c r="BO23" s="7">
        <f t="shared" si="7"/>
        <v>39220.93811</v>
      </c>
      <c r="BP23" s="7">
        <f t="shared" si="7"/>
        <v>41730.45871</v>
      </c>
      <c r="BQ23" s="7">
        <f t="shared" si="7"/>
        <v>41663.9086</v>
      </c>
      <c r="BR23" s="7">
        <f t="shared" si="7"/>
        <v>41454.70068</v>
      </c>
      <c r="BS23" s="7">
        <f t="shared" si="7"/>
        <v>44350.13254</v>
      </c>
      <c r="BT23" s="7">
        <f t="shared" si="7"/>
        <v>50024.03688</v>
      </c>
      <c r="BU23" s="7">
        <f t="shared" si="7"/>
        <v>55842.34472</v>
      </c>
      <c r="BV23" s="7">
        <f t="shared" si="7"/>
        <v>59224.42775</v>
      </c>
      <c r="BW23" s="7">
        <f t="shared" si="7"/>
        <v>62425.05507</v>
      </c>
      <c r="BX23" s="7">
        <f t="shared" si="7"/>
        <v>66160.92797</v>
      </c>
      <c r="BY23" s="7">
        <f t="shared" si="7"/>
        <v>69770.90642</v>
      </c>
      <c r="BZ23" s="7">
        <f t="shared" si="7"/>
        <v>70913.18646</v>
      </c>
      <c r="CA23" s="7">
        <f t="shared" si="7"/>
        <v>72009.89607</v>
      </c>
      <c r="CB23" s="7">
        <f t="shared" si="7"/>
        <v>73106.60568</v>
      </c>
      <c r="CC23" s="7">
        <f t="shared" si="7"/>
        <v>74501.61113</v>
      </c>
      <c r="CD23" s="7">
        <f t="shared" si="7"/>
        <v>75840.4137</v>
      </c>
      <c r="CE23" s="7">
        <f t="shared" si="7"/>
        <v>79790.22891</v>
      </c>
      <c r="CF23" s="7">
        <f t="shared" si="7"/>
        <v>83241.01734</v>
      </c>
      <c r="CG23" s="7">
        <f t="shared" si="7"/>
        <v>86730.82737</v>
      </c>
      <c r="CH23" s="7">
        <f t="shared" si="7"/>
        <v>90503.16448</v>
      </c>
      <c r="CI23" s="7">
        <f t="shared" si="7"/>
        <v>94046.03102</v>
      </c>
      <c r="CJ23" s="7">
        <f t="shared" si="7"/>
        <v>100268.6353</v>
      </c>
      <c r="CK23" s="7">
        <f t="shared" si="7"/>
        <v>104099.04</v>
      </c>
      <c r="CL23" s="7">
        <f t="shared" si="7"/>
        <v>107738.8802</v>
      </c>
      <c r="CM23" s="7">
        <f t="shared" si="7"/>
        <v>109207.7068</v>
      </c>
      <c r="CN23" s="7">
        <f t="shared" si="7"/>
        <v>110676.5334</v>
      </c>
      <c r="CO23" s="7">
        <f t="shared" si="7"/>
        <v>110676.5334</v>
      </c>
      <c r="CP23" s="7">
        <f t="shared" si="7"/>
        <v>110676.5334</v>
      </c>
    </row>
    <row r="24" ht="12.75" customHeight="1">
      <c r="B24" s="7"/>
      <c r="C24" s="7"/>
      <c r="D24" s="7"/>
      <c r="E24" s="7"/>
      <c r="F24" s="7"/>
      <c r="G24" s="7"/>
      <c r="H24" s="7"/>
      <c r="I24" s="7"/>
    </row>
    <row r="25" ht="12.75" customHeight="1">
      <c r="B25" s="9"/>
    </row>
    <row r="26" ht="12.75" customHeight="1">
      <c r="A26" s="1" t="s">
        <v>90</v>
      </c>
    </row>
    <row r="27" ht="12.75" customHeight="1">
      <c r="A27" s="1" t="s">
        <v>91</v>
      </c>
      <c r="B27" s="83">
        <f>+'Rev 2'!V19+'Rev 2'!W19</f>
        <v>1693.561875</v>
      </c>
    </row>
    <row r="28" ht="12.75" customHeight="1">
      <c r="A28" s="1" t="s">
        <v>92</v>
      </c>
      <c r="B28" s="98">
        <f>+B14</f>
        <v>3.413333333</v>
      </c>
    </row>
    <row r="29" ht="12.75" customHeight="1">
      <c r="B29" s="7">
        <f>+B27*B28</f>
        <v>5780.691201</v>
      </c>
    </row>
    <row r="30" ht="12.75" customHeight="1">
      <c r="A30" s="1" t="s">
        <v>93</v>
      </c>
      <c r="B30" s="26">
        <v>-5000.0</v>
      </c>
    </row>
    <row r="31" ht="12.75" customHeight="1">
      <c r="A31" s="1" t="s">
        <v>94</v>
      </c>
      <c r="B31" s="7"/>
    </row>
    <row r="32" ht="12.75" customHeight="1">
      <c r="A32" s="1" t="s">
        <v>95</v>
      </c>
      <c r="B32" s="7">
        <f>SUM(B29:B30)</f>
        <v>780.6912013</v>
      </c>
    </row>
    <row r="33" ht="12.75" customHeight="1"/>
    <row r="34" ht="12.75" customHeight="1">
      <c r="C34" s="30" t="s">
        <v>96</v>
      </c>
    </row>
    <row r="35" ht="12.75" customHeight="1">
      <c r="C35" s="30" t="s">
        <v>97</v>
      </c>
    </row>
    <row r="36" ht="12.75" customHeight="1">
      <c r="A36" s="39" t="s">
        <v>98</v>
      </c>
      <c r="B36" s="30"/>
    </row>
    <row r="37" ht="12.75" customHeight="1">
      <c r="A37" s="30" t="s">
        <v>99</v>
      </c>
      <c r="B37" s="99">
        <v>0.95</v>
      </c>
      <c r="C37" s="99">
        <v>0.65</v>
      </c>
    </row>
    <row r="38" ht="12.75" customHeight="1">
      <c r="A38" s="30" t="s">
        <v>100</v>
      </c>
      <c r="B38" s="100">
        <v>0.13</v>
      </c>
      <c r="C38" s="100">
        <v>0.1</v>
      </c>
    </row>
    <row r="39" ht="12.75" customHeight="1">
      <c r="A39" s="30" t="s">
        <v>101</v>
      </c>
      <c r="B39" s="100">
        <f>0.15/6</f>
        <v>0.025</v>
      </c>
      <c r="C39" s="100">
        <f t="shared" ref="C39:C40" si="8">+B39*0.8</f>
        <v>0.02</v>
      </c>
    </row>
    <row r="40" ht="12.75" customHeight="1">
      <c r="A40" s="30" t="s">
        <v>102</v>
      </c>
      <c r="B40" s="101">
        <f>0.35/6</f>
        <v>0.05833333333</v>
      </c>
      <c r="C40" s="101">
        <f t="shared" si="8"/>
        <v>0.04666666667</v>
      </c>
    </row>
    <row r="41" ht="12.75" customHeight="1">
      <c r="A41" s="30" t="s">
        <v>103</v>
      </c>
      <c r="B41" s="102">
        <f t="shared" ref="B41:C41" si="9">SUM(B37:B40)</f>
        <v>1.163333333</v>
      </c>
      <c r="C41" s="102">
        <f t="shared" si="9"/>
        <v>0.8166666667</v>
      </c>
      <c r="E41" s="1"/>
      <c r="F41" s="1"/>
      <c r="G41" s="1"/>
      <c r="H41" s="1"/>
      <c r="I41" s="1"/>
      <c r="J41" s="1"/>
      <c r="K41" s="1"/>
      <c r="L41" s="1"/>
    </row>
    <row r="42" ht="12.75" customHeight="1">
      <c r="A42" s="30"/>
      <c r="B42" s="30"/>
      <c r="E42" s="1"/>
      <c r="F42" s="1"/>
      <c r="G42" s="1"/>
      <c r="H42" s="1"/>
      <c r="I42" s="1"/>
      <c r="J42" s="1"/>
      <c r="K42" s="1"/>
      <c r="L42" s="1"/>
    </row>
    <row r="43" ht="12.75" customHeight="1">
      <c r="A43" s="30"/>
      <c r="B43" s="30"/>
      <c r="E43" s="1"/>
      <c r="F43" s="1"/>
      <c r="G43" s="1"/>
      <c r="H43" s="1"/>
      <c r="I43" s="1"/>
      <c r="J43" s="1"/>
      <c r="K43" s="1"/>
      <c r="L43" s="1"/>
    </row>
    <row r="44" ht="12.75" customHeight="1">
      <c r="A44" s="39"/>
      <c r="B44" s="30"/>
      <c r="E44" s="1"/>
      <c r="F44" s="1"/>
      <c r="G44" s="1"/>
      <c r="H44" s="1"/>
      <c r="I44" s="1"/>
      <c r="J44" s="1"/>
      <c r="K44" s="1"/>
      <c r="L44" s="1"/>
    </row>
    <row r="45" ht="12.75" customHeight="1">
      <c r="A45" s="30"/>
      <c r="B45" s="102"/>
      <c r="E45" s="1"/>
      <c r="F45" s="1"/>
      <c r="G45" s="1"/>
      <c r="H45" s="30"/>
      <c r="I45" s="1"/>
      <c r="J45" s="1"/>
      <c r="K45" s="1"/>
      <c r="L45" s="1"/>
    </row>
    <row r="46" ht="12.75" customHeight="1">
      <c r="A46" s="30"/>
      <c r="B46" s="102"/>
      <c r="E46" s="1"/>
      <c r="F46" s="1"/>
      <c r="G46" s="1"/>
      <c r="H46" s="30"/>
      <c r="I46" s="1"/>
      <c r="J46" s="1"/>
      <c r="K46" s="1"/>
      <c r="L46" s="1"/>
    </row>
    <row r="47" ht="12.75" customHeight="1">
      <c r="A47" s="30"/>
      <c r="B47" s="103"/>
      <c r="E47" s="31"/>
      <c r="F47" s="30"/>
      <c r="G47" s="31"/>
      <c r="H47" s="30"/>
      <c r="I47" s="1"/>
      <c r="J47" s="1"/>
      <c r="K47" s="1"/>
      <c r="L47" s="1"/>
    </row>
    <row r="48" ht="12.75" customHeight="1">
      <c r="B48" s="1"/>
      <c r="E48" s="1"/>
      <c r="F48" s="1"/>
      <c r="G48" s="1"/>
      <c r="H48" s="1"/>
      <c r="I48" s="1"/>
      <c r="J48" s="1"/>
      <c r="K48" s="1"/>
      <c r="L48" s="1"/>
    </row>
    <row r="49" ht="12.75" customHeight="1">
      <c r="A49" s="30"/>
      <c r="B49" s="31"/>
      <c r="E49" s="31"/>
      <c r="F49" s="1"/>
      <c r="G49" s="1"/>
      <c r="H49" s="1"/>
      <c r="I49" s="1"/>
      <c r="J49" s="1"/>
      <c r="K49" s="1"/>
      <c r="L49" s="1"/>
    </row>
    <row r="50" ht="12.75" customHeight="1">
      <c r="B50" s="1"/>
      <c r="E50" s="1"/>
      <c r="F50" s="1"/>
      <c r="G50" s="1"/>
      <c r="H50" s="1"/>
      <c r="I50" s="1"/>
      <c r="J50" s="1"/>
      <c r="K50" s="1"/>
      <c r="L50" s="1"/>
    </row>
    <row r="51" ht="12.75" customHeight="1">
      <c r="A51" s="30"/>
      <c r="B51" s="1"/>
      <c r="E51" s="31"/>
      <c r="F51" s="1"/>
      <c r="G51" s="1"/>
      <c r="H51" s="1"/>
      <c r="I51" s="31"/>
      <c r="J51" s="1"/>
      <c r="K51" s="1"/>
      <c r="L51" s="1"/>
    </row>
    <row r="52" ht="12.75" customHeight="1">
      <c r="E52" s="1"/>
      <c r="F52" s="1"/>
      <c r="G52" s="1"/>
      <c r="H52" s="1"/>
      <c r="I52" s="1"/>
      <c r="J52" s="1"/>
      <c r="K52" s="1"/>
      <c r="L52" s="1"/>
    </row>
    <row r="53" ht="12.75" customHeight="1">
      <c r="A53" s="30"/>
      <c r="B53" s="31"/>
      <c r="E53" s="1"/>
      <c r="F53" s="1"/>
      <c r="G53" s="1"/>
      <c r="H53" s="1"/>
      <c r="I53" s="1"/>
      <c r="J53" s="1"/>
      <c r="K53" s="1"/>
      <c r="L53" s="1"/>
    </row>
    <row r="54" ht="12.75" customHeight="1">
      <c r="E54" s="1"/>
      <c r="F54" s="1"/>
      <c r="G54" s="1"/>
      <c r="H54" s="1"/>
      <c r="I54" s="1"/>
      <c r="J54" s="1"/>
      <c r="K54" s="1"/>
      <c r="L54" s="1"/>
    </row>
    <row r="55" ht="12.75" customHeight="1">
      <c r="E55" s="1"/>
      <c r="F55" s="1"/>
      <c r="G55" s="1"/>
      <c r="H55" s="1"/>
      <c r="I55" s="1"/>
      <c r="J55" s="1"/>
      <c r="K55" s="1"/>
      <c r="L55" s="1"/>
    </row>
    <row r="56" ht="12.75" customHeight="1">
      <c r="E56" s="1"/>
      <c r="F56" s="1"/>
      <c r="G56" s="1"/>
      <c r="H56" s="1"/>
      <c r="I56" s="1"/>
      <c r="J56" s="1"/>
      <c r="K56" s="1"/>
      <c r="L56" s="1"/>
    </row>
    <row r="57" ht="12.75" customHeight="1">
      <c r="E57" s="1"/>
      <c r="F57" s="1"/>
      <c r="G57" s="1"/>
      <c r="H57" s="1"/>
      <c r="I57" s="1"/>
      <c r="J57" s="1"/>
      <c r="K57" s="1"/>
      <c r="L57" s="1"/>
    </row>
    <row r="58" ht="12.75" customHeight="1">
      <c r="E58" s="1"/>
      <c r="F58" s="1"/>
      <c r="G58" s="1"/>
      <c r="H58" s="1"/>
      <c r="I58" s="1"/>
      <c r="J58" s="1"/>
      <c r="K58" s="1"/>
      <c r="L58" s="1"/>
    </row>
    <row r="59" ht="12.75" customHeight="1">
      <c r="E59" s="1"/>
      <c r="F59" s="1"/>
      <c r="G59" s="1"/>
      <c r="H59" s="1"/>
      <c r="I59" s="1"/>
      <c r="J59" s="1"/>
      <c r="K59" s="1"/>
      <c r="L59" s="1"/>
    </row>
    <row r="60" ht="12.75" customHeight="1">
      <c r="E60" s="1"/>
      <c r="F60" s="1"/>
      <c r="G60" s="1"/>
      <c r="H60" s="1"/>
      <c r="I60" s="1"/>
      <c r="J60" s="1"/>
      <c r="K60" s="1"/>
      <c r="L60" s="1"/>
    </row>
    <row r="61" ht="12.75" customHeight="1">
      <c r="E61" s="1"/>
      <c r="F61" s="1"/>
      <c r="G61" s="1"/>
      <c r="H61" s="1"/>
      <c r="I61" s="1"/>
      <c r="J61" s="1"/>
      <c r="K61" s="1"/>
      <c r="L61" s="1"/>
    </row>
    <row r="62" ht="12.75" customHeight="1">
      <c r="E62" s="1"/>
      <c r="F62" s="1"/>
      <c r="G62" s="1"/>
      <c r="H62" s="1"/>
      <c r="I62" s="1"/>
      <c r="J62" s="1"/>
      <c r="K62" s="1"/>
      <c r="L62" s="1"/>
    </row>
    <row r="63" ht="12.75" customHeight="1">
      <c r="E63" s="1"/>
      <c r="F63" s="1"/>
      <c r="G63" s="1"/>
      <c r="H63" s="1"/>
      <c r="I63" s="1"/>
      <c r="J63" s="1"/>
      <c r="K63" s="1"/>
      <c r="L63" s="1"/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F2"/>
    <mergeCell ref="A3:M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48.29"/>
    <col customWidth="1" hidden="1" min="2" max="42" width="12.71"/>
    <col hidden="1" min="43" max="45" width="14.43"/>
  </cols>
  <sheetData>
    <row r="1" ht="12.75" customHeight="1"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12.75" customHeight="1"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ht="30.0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AJ3" s="12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ht="30.0" customHeight="1">
      <c r="A4" s="2" t="s">
        <v>104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0"/>
      <c r="O4" s="30"/>
      <c r="P4" s="30"/>
      <c r="Q4" s="30"/>
      <c r="R4" s="3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ht="12.75" customHeight="1"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12.75" customHeight="1"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ht="12.75" customHeight="1"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ht="12.75" customHeight="1"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ht="12.75" customHeight="1">
      <c r="B9" s="6">
        <f>+'P&amp;L Cash Flow Monthly'!B8</f>
        <v>43951</v>
      </c>
      <c r="C9" s="6">
        <f>+'P&amp;L Cash Flow Monthly'!C8</f>
        <v>43982</v>
      </c>
      <c r="D9" s="6">
        <f>+'P&amp;L Cash Flow Monthly'!D8</f>
        <v>44012</v>
      </c>
      <c r="E9" s="6">
        <f>+'P&amp;L Cash Flow Monthly'!E8</f>
        <v>44043</v>
      </c>
      <c r="F9" s="6">
        <f>+'P&amp;L Cash Flow Monthly'!F8</f>
        <v>44074</v>
      </c>
      <c r="G9" s="6">
        <f>+'P&amp;L Cash Flow Monthly'!G8</f>
        <v>44104</v>
      </c>
      <c r="H9" s="6">
        <f>+'P&amp;L Cash Flow Monthly'!H8</f>
        <v>44135</v>
      </c>
      <c r="I9" s="6">
        <f>+'P&amp;L Cash Flow Monthly'!I8</f>
        <v>44165</v>
      </c>
      <c r="J9" s="6">
        <f>+'P&amp;L Cash Flow Monthly'!J8</f>
        <v>44196</v>
      </c>
      <c r="K9" s="6">
        <f>+'P&amp;L Cash Flow Monthly'!K8</f>
        <v>44227</v>
      </c>
      <c r="L9" s="6">
        <f>+'P&amp;L Cash Flow Monthly'!L8</f>
        <v>44255</v>
      </c>
      <c r="M9" s="6">
        <f>+'P&amp;L Cash Flow Monthly'!M8</f>
        <v>44286</v>
      </c>
      <c r="N9" s="6">
        <f>+'P&amp;L Cash Flow Monthly'!N8</f>
        <v>44316</v>
      </c>
      <c r="O9" s="6">
        <f>+'P&amp;L Cash Flow Monthly'!O8</f>
        <v>44347</v>
      </c>
      <c r="P9" s="6">
        <f>+'P&amp;L Cash Flow Monthly'!P8</f>
        <v>44377</v>
      </c>
      <c r="Q9" s="6">
        <f>+'P&amp;L Cash Flow Monthly'!Q8</f>
        <v>44408</v>
      </c>
      <c r="R9" s="6">
        <f>+'P&amp;L Cash Flow Monthly'!R8</f>
        <v>44439</v>
      </c>
      <c r="S9" s="6">
        <f>+'P&amp;L Cash Flow Monthly'!S8</f>
        <v>44469</v>
      </c>
      <c r="T9" s="6">
        <f>+'P&amp;L Cash Flow Monthly'!T8</f>
        <v>44500</v>
      </c>
      <c r="U9" s="6">
        <f>+'P&amp;L Cash Flow Monthly'!U8</f>
        <v>44530</v>
      </c>
      <c r="V9" s="6">
        <f>+'P&amp;L Cash Flow Monthly'!V8</f>
        <v>44561</v>
      </c>
      <c r="W9" s="6">
        <f>+'P&amp;L Cash Flow Monthly'!W8</f>
        <v>44592</v>
      </c>
      <c r="X9" s="6">
        <f>+'P&amp;L Cash Flow Monthly'!X8</f>
        <v>44620</v>
      </c>
      <c r="Y9" s="6">
        <f>+'P&amp;L Cash Flow Monthly'!Y8</f>
        <v>44651</v>
      </c>
      <c r="Z9" s="6">
        <f>+'P&amp;L Cash Flow Monthly'!Z8</f>
        <v>44681</v>
      </c>
      <c r="AA9" s="6">
        <f>+'P&amp;L Cash Flow Monthly'!AA8</f>
        <v>44712</v>
      </c>
      <c r="AB9" s="6">
        <f>+'P&amp;L Cash Flow Monthly'!AB8</f>
        <v>44742</v>
      </c>
      <c r="AC9" s="6">
        <f>+'P&amp;L Cash Flow Monthly'!AC8</f>
        <v>44773</v>
      </c>
      <c r="AD9" s="6">
        <f>+'P&amp;L Cash Flow Monthly'!AD8</f>
        <v>44804</v>
      </c>
      <c r="AE9" s="6">
        <f>+'P&amp;L Cash Flow Monthly'!AE8</f>
        <v>44834</v>
      </c>
      <c r="AF9" s="6">
        <f>+'P&amp;L Cash Flow Monthly'!AF8</f>
        <v>44865</v>
      </c>
      <c r="AG9" s="6">
        <f>+'P&amp;L Cash Flow Monthly'!AG8</f>
        <v>44895</v>
      </c>
      <c r="AH9" s="6">
        <f>+'P&amp;L Cash Flow Monthly'!AH8</f>
        <v>44926</v>
      </c>
      <c r="AI9" s="6">
        <f>+'P&amp;L Cash Flow Monthly'!AI8</f>
        <v>44957</v>
      </c>
      <c r="AJ9" s="6">
        <f>+'P&amp;L Cash Flow Monthly'!AJ8</f>
        <v>44985</v>
      </c>
      <c r="AK9" s="6">
        <f>+'P&amp;L Cash Flow Monthly'!AK8</f>
        <v>45016</v>
      </c>
      <c r="AL9" s="6">
        <f>+'P&amp;L Cash Flow Monthly'!AL8</f>
        <v>45046</v>
      </c>
      <c r="AM9" s="6">
        <f>+'P&amp;L Cash Flow Monthly'!AM8</f>
        <v>45077</v>
      </c>
      <c r="AN9" s="6">
        <f>+'P&amp;L Cash Flow Monthly'!AN8</f>
        <v>45107</v>
      </c>
      <c r="AO9" s="6">
        <f>+'P&amp;L Cash Flow Monthly'!AO8</f>
        <v>45138</v>
      </c>
      <c r="AP9" s="6">
        <f>+'P&amp;L Cash Flow Monthly'!AP8</f>
        <v>45169</v>
      </c>
      <c r="AQ9" s="6">
        <f>+'P&amp;L Cash Flow Monthly'!AQ8</f>
        <v>45199</v>
      </c>
      <c r="AR9" s="6">
        <f>+'P&amp;L Cash Flow Monthly'!AR8</f>
        <v>45230</v>
      </c>
      <c r="AS9" s="6">
        <f>+'P&amp;L Cash Flow Monthly'!AS8</f>
        <v>45260</v>
      </c>
      <c r="AT9" s="6">
        <f>+'P&amp;L Cash Flow Monthly'!AT8</f>
        <v>45291</v>
      </c>
      <c r="AU9" s="6">
        <f>+'P&amp;L Cash Flow Monthly'!AU8</f>
        <v>45322</v>
      </c>
      <c r="AV9" s="6">
        <f>+'P&amp;L Cash Flow Monthly'!AV8</f>
        <v>45351</v>
      </c>
      <c r="AW9" s="6">
        <f>+'P&amp;L Cash Flow Monthly'!AW8</f>
        <v>45382</v>
      </c>
      <c r="AX9" s="6">
        <f>+'P&amp;L Cash Flow Monthly'!AX8</f>
        <v>45412</v>
      </c>
      <c r="AY9" s="6">
        <f>+'P&amp;L Cash Flow Monthly'!AY8</f>
        <v>45443</v>
      </c>
      <c r="AZ9" s="6">
        <f>+'P&amp;L Cash Flow Monthly'!AZ8</f>
        <v>45473</v>
      </c>
      <c r="BA9" s="6">
        <f>+'P&amp;L Cash Flow Monthly'!BA8</f>
        <v>45504</v>
      </c>
      <c r="BB9" s="6">
        <f>+'P&amp;L Cash Flow Monthly'!BB8</f>
        <v>45535</v>
      </c>
      <c r="BC9" s="6">
        <f>+'P&amp;L Cash Flow Monthly'!BC8</f>
        <v>45565</v>
      </c>
      <c r="BD9" s="6">
        <f>+'P&amp;L Cash Flow Monthly'!BD8</f>
        <v>45596</v>
      </c>
      <c r="BE9" s="6">
        <f>+'P&amp;L Cash Flow Monthly'!BE8</f>
        <v>45626</v>
      </c>
      <c r="BF9" s="6">
        <f>+'P&amp;L Cash Flow Monthly'!BF8</f>
        <v>45657</v>
      </c>
      <c r="BG9" s="6">
        <f>+'P&amp;L Cash Flow Monthly'!BG8</f>
        <v>45688</v>
      </c>
      <c r="BH9" s="6">
        <f>+'P&amp;L Cash Flow Monthly'!BH8</f>
        <v>45716</v>
      </c>
      <c r="BI9" s="6">
        <f>+'P&amp;L Cash Flow Monthly'!BI8</f>
        <v>45747</v>
      </c>
      <c r="BJ9" s="6">
        <f>+'P&amp;L Cash Flow Monthly'!BJ8</f>
        <v>45777</v>
      </c>
      <c r="BK9" s="6">
        <f>+'P&amp;L Cash Flow Monthly'!BK8</f>
        <v>45808</v>
      </c>
      <c r="BL9" s="6">
        <f>+'P&amp;L Cash Flow Monthly'!BL8</f>
        <v>45838</v>
      </c>
      <c r="BM9" s="6">
        <f>+'P&amp;L Cash Flow Monthly'!BM8</f>
        <v>45869</v>
      </c>
      <c r="BN9" s="6">
        <f>+'P&amp;L Cash Flow Monthly'!BN8</f>
        <v>45900</v>
      </c>
      <c r="BO9" s="6">
        <f>+'P&amp;L Cash Flow Monthly'!BO8</f>
        <v>45930</v>
      </c>
      <c r="BP9" s="6">
        <f>+'P&amp;L Cash Flow Monthly'!BP8</f>
        <v>45961</v>
      </c>
      <c r="BQ9" s="6">
        <f>+'P&amp;L Cash Flow Monthly'!BQ8</f>
        <v>45991</v>
      </c>
      <c r="BR9" s="6">
        <f>+'P&amp;L Cash Flow Monthly'!BR8</f>
        <v>46022</v>
      </c>
      <c r="BS9" s="6">
        <f>+'P&amp;L Cash Flow Monthly'!BS8</f>
        <v>46053</v>
      </c>
      <c r="BT9" s="6">
        <f>+'P&amp;L Cash Flow Monthly'!BT8</f>
        <v>46081</v>
      </c>
      <c r="BU9" s="6">
        <f>+'P&amp;L Cash Flow Monthly'!BU8</f>
        <v>46112</v>
      </c>
      <c r="BV9" s="6">
        <f>+'P&amp;L Cash Flow Monthly'!BV8</f>
        <v>46142</v>
      </c>
      <c r="BW9" s="6">
        <f>+'P&amp;L Cash Flow Monthly'!BW8</f>
        <v>46173</v>
      </c>
      <c r="BX9" s="6">
        <f>+'P&amp;L Cash Flow Monthly'!BX8</f>
        <v>46203</v>
      </c>
      <c r="BY9" s="6">
        <f>+'P&amp;L Cash Flow Monthly'!BY8</f>
        <v>46234</v>
      </c>
      <c r="BZ9" s="6">
        <f>+'P&amp;L Cash Flow Monthly'!BZ8</f>
        <v>46265</v>
      </c>
      <c r="CA9" s="6">
        <f>+'P&amp;L Cash Flow Monthly'!CA8</f>
        <v>46295</v>
      </c>
      <c r="CB9" s="6">
        <f>+'P&amp;L Cash Flow Monthly'!CB8</f>
        <v>46326</v>
      </c>
      <c r="CC9" s="6">
        <f>+'P&amp;L Cash Flow Monthly'!CC8</f>
        <v>46356</v>
      </c>
      <c r="CD9" s="6">
        <f>+'P&amp;L Cash Flow Monthly'!CD8</f>
        <v>46387</v>
      </c>
      <c r="CE9" s="6">
        <f>+'P&amp;L Cash Flow Monthly'!CE8</f>
        <v>46418</v>
      </c>
      <c r="CF9" s="6">
        <f>+'P&amp;L Cash Flow Monthly'!CF8</f>
        <v>46446</v>
      </c>
      <c r="CG9" s="6">
        <f>+'P&amp;L Cash Flow Monthly'!CG8</f>
        <v>46477</v>
      </c>
      <c r="CH9" s="6">
        <f>+'P&amp;L Cash Flow Monthly'!CH8</f>
        <v>46507</v>
      </c>
      <c r="CI9" s="6">
        <f>+'P&amp;L Cash Flow Monthly'!CI8</f>
        <v>46538</v>
      </c>
      <c r="CJ9" s="6">
        <f>+'P&amp;L Cash Flow Monthly'!CJ8</f>
        <v>46568</v>
      </c>
      <c r="CK9" s="6">
        <f>+'P&amp;L Cash Flow Monthly'!CK8</f>
        <v>46599</v>
      </c>
      <c r="CL9" s="6">
        <f>+'P&amp;L Cash Flow Monthly'!CL8</f>
        <v>46630</v>
      </c>
      <c r="CM9" s="6">
        <f>+'P&amp;L Cash Flow Monthly'!CM8</f>
        <v>46660</v>
      </c>
      <c r="CN9" s="6">
        <f>+'P&amp;L Cash Flow Monthly'!CN8</f>
        <v>46691</v>
      </c>
      <c r="CO9" s="6">
        <f>+'P&amp;L Cash Flow Monthly'!CO8</f>
        <v>46721</v>
      </c>
      <c r="CP9" s="6">
        <f>+'P&amp;L Cash Flow Monthly'!CP8</f>
        <v>46752</v>
      </c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</row>
    <row r="10" ht="12.75" customHeight="1">
      <c r="A10" s="30" t="s">
        <v>105</v>
      </c>
      <c r="B10" s="104"/>
      <c r="C10" s="104"/>
      <c r="D10" s="104"/>
      <c r="E10" s="104"/>
      <c r="F10" s="104"/>
      <c r="G10" s="104"/>
      <c r="H10" s="105"/>
      <c r="I10" s="105"/>
      <c r="J10" s="104"/>
      <c r="K10" s="30"/>
      <c r="L10" s="1"/>
      <c r="M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ht="12.75" customHeight="1">
      <c r="A11" s="30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ht="12.75" customHeight="1">
      <c r="A12" s="30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ht="12.75" customHeight="1">
      <c r="A13" s="106" t="s">
        <v>106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  <c r="CH13" s="107"/>
      <c r="CI13" s="107"/>
      <c r="CJ13" s="107"/>
      <c r="CK13" s="107"/>
      <c r="CL13" s="107"/>
      <c r="CM13" s="107"/>
      <c r="CN13" s="107"/>
      <c r="CO13" s="107"/>
      <c r="CP13" s="107"/>
    </row>
    <row r="14" ht="12.75" customHeight="1">
      <c r="A14" s="106" t="s">
        <v>107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07"/>
      <c r="CF14" s="107"/>
      <c r="CG14" s="107"/>
      <c r="CH14" s="107"/>
      <c r="CI14" s="107"/>
      <c r="CJ14" s="107"/>
      <c r="CK14" s="107"/>
      <c r="CL14" s="107"/>
      <c r="CM14" s="107"/>
      <c r="CN14" s="107"/>
      <c r="CO14" s="107"/>
      <c r="CP14" s="107"/>
    </row>
    <row r="15" ht="12.75" customHeight="1">
      <c r="A15" s="106" t="s">
        <v>108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>
        <v>0.0</v>
      </c>
      <c r="AK15" s="107"/>
      <c r="AL15" s="107">
        <v>0.0</v>
      </c>
      <c r="AM15" s="107"/>
      <c r="AN15" s="107"/>
      <c r="AO15" s="107"/>
      <c r="AP15" s="107"/>
      <c r="AQ15" s="107"/>
      <c r="AR15" s="107"/>
      <c r="AS15" s="107"/>
      <c r="AT15" s="107"/>
      <c r="AU15" s="107">
        <v>2000.0</v>
      </c>
      <c r="AV15" s="107">
        <v>2000.0</v>
      </c>
      <c r="AW15" s="107">
        <v>2000.0</v>
      </c>
      <c r="AX15" s="107">
        <v>2000.0</v>
      </c>
      <c r="AY15" s="107">
        <v>2000.0</v>
      </c>
      <c r="AZ15" s="107">
        <v>2000.0</v>
      </c>
      <c r="BA15" s="107">
        <v>2000.0</v>
      </c>
      <c r="BB15" s="107">
        <v>2000.0</v>
      </c>
      <c r="BC15" s="107">
        <v>2000.0</v>
      </c>
      <c r="BD15" s="107">
        <v>2000.0</v>
      </c>
      <c r="BE15" s="107">
        <v>2000.0</v>
      </c>
      <c r="BF15" s="107">
        <v>2000.0</v>
      </c>
      <c r="BG15" s="107">
        <v>2000.0</v>
      </c>
      <c r="BH15" s="107">
        <v>2000.0</v>
      </c>
      <c r="BI15" s="107">
        <v>2000.0</v>
      </c>
      <c r="BJ15" s="107">
        <v>2000.0</v>
      </c>
      <c r="BK15" s="107">
        <v>2000.0</v>
      </c>
      <c r="BL15" s="107">
        <v>2000.0</v>
      </c>
      <c r="BM15" s="107">
        <v>2000.0</v>
      </c>
      <c r="BN15" s="107">
        <v>3000.0</v>
      </c>
      <c r="BO15" s="107">
        <v>3000.0</v>
      </c>
      <c r="BP15" s="107">
        <v>3000.0</v>
      </c>
      <c r="BQ15" s="107">
        <v>3000.0</v>
      </c>
      <c r="BR15" s="107">
        <v>3000.0</v>
      </c>
      <c r="BS15" s="107">
        <v>3000.0</v>
      </c>
      <c r="BT15" s="107">
        <v>3000.0</v>
      </c>
      <c r="BU15" s="107">
        <v>3000.0</v>
      </c>
      <c r="BV15" s="107">
        <v>3000.0</v>
      </c>
      <c r="BW15" s="107">
        <v>3000.0</v>
      </c>
      <c r="BX15" s="107">
        <v>3000.0</v>
      </c>
      <c r="BY15" s="107">
        <v>3000.0</v>
      </c>
      <c r="BZ15" s="107">
        <v>3000.0</v>
      </c>
      <c r="CA15" s="107">
        <v>3000.0</v>
      </c>
      <c r="CB15" s="107">
        <v>3000.0</v>
      </c>
      <c r="CC15" s="107">
        <v>3000.0</v>
      </c>
      <c r="CD15" s="107">
        <v>3000.0</v>
      </c>
      <c r="CE15" s="107">
        <v>6000.0</v>
      </c>
      <c r="CF15" s="107">
        <v>6000.0</v>
      </c>
      <c r="CG15" s="107">
        <v>6000.0</v>
      </c>
      <c r="CH15" s="107">
        <v>6000.0</v>
      </c>
      <c r="CI15" s="107">
        <v>6000.0</v>
      </c>
      <c r="CJ15" s="107">
        <v>6000.0</v>
      </c>
      <c r="CK15" s="107">
        <v>6000.0</v>
      </c>
      <c r="CL15" s="107">
        <v>6000.0</v>
      </c>
      <c r="CM15" s="107">
        <v>6000.0</v>
      </c>
      <c r="CN15" s="107">
        <v>6000.0</v>
      </c>
      <c r="CO15" s="107">
        <v>6000.0</v>
      </c>
      <c r="CP15" s="107">
        <v>6000.0</v>
      </c>
    </row>
    <row r="16" ht="12.75" customHeight="1">
      <c r="A16" s="106" t="s">
        <v>109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  <c r="CI16" s="107"/>
      <c r="CJ16" s="107"/>
      <c r="CK16" s="107"/>
      <c r="CL16" s="107"/>
      <c r="CM16" s="107"/>
      <c r="CN16" s="107"/>
      <c r="CO16" s="107"/>
      <c r="CP16" s="107"/>
    </row>
    <row r="17" ht="12.75" customHeight="1">
      <c r="A17" s="106" t="s">
        <v>110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07"/>
      <c r="CF17" s="107"/>
      <c r="CG17" s="107"/>
      <c r="CH17" s="107"/>
      <c r="CI17" s="107"/>
      <c r="CJ17" s="107"/>
      <c r="CK17" s="107"/>
      <c r="CL17" s="107"/>
      <c r="CM17" s="107"/>
      <c r="CN17" s="107"/>
      <c r="CO17" s="107"/>
      <c r="CP17" s="107"/>
    </row>
    <row r="18" ht="12.75" customHeight="1">
      <c r="A18" s="106" t="s">
        <v>111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7"/>
      <c r="CF18" s="107"/>
      <c r="CG18" s="107"/>
      <c r="CH18" s="107"/>
      <c r="CI18" s="107"/>
      <c r="CJ18" s="107"/>
      <c r="CK18" s="107"/>
      <c r="CL18" s="107"/>
      <c r="CM18" s="107"/>
      <c r="CN18" s="107"/>
      <c r="CO18" s="107"/>
      <c r="CP18" s="107"/>
    </row>
    <row r="19" ht="12.75" customHeight="1">
      <c r="A19" s="106" t="s">
        <v>112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>
        <v>0.0</v>
      </c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7"/>
      <c r="CN19" s="107"/>
      <c r="CO19" s="107"/>
      <c r="CP19" s="107"/>
    </row>
    <row r="20" ht="12.75" customHeight="1">
      <c r="A20" s="106" t="s">
        <v>113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>
        <v>0.0</v>
      </c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  <c r="CI20" s="107"/>
      <c r="CJ20" s="107"/>
      <c r="CK20" s="107"/>
      <c r="CL20" s="107"/>
      <c r="CM20" s="107"/>
      <c r="CN20" s="107"/>
      <c r="CO20" s="107"/>
      <c r="CP20" s="107"/>
    </row>
    <row r="21" ht="12.75" customHeight="1">
      <c r="A21" s="106" t="s">
        <v>111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>
        <v>0.0</v>
      </c>
      <c r="AK21" s="107">
        <v>0.0</v>
      </c>
      <c r="AL21" s="107">
        <v>0.0</v>
      </c>
      <c r="AM21" s="107">
        <v>0.0</v>
      </c>
      <c r="AN21" s="107">
        <v>0.0</v>
      </c>
      <c r="AO21" s="107">
        <v>0.0</v>
      </c>
      <c r="AP21" s="107">
        <v>0.0</v>
      </c>
      <c r="AQ21" s="107">
        <v>0.0</v>
      </c>
      <c r="AR21" s="107">
        <v>0.0</v>
      </c>
      <c r="AS21" s="107">
        <v>0.0</v>
      </c>
      <c r="AT21" s="107">
        <v>0.0</v>
      </c>
      <c r="AU21" s="107">
        <v>0.0</v>
      </c>
      <c r="AV21" s="107">
        <v>0.0</v>
      </c>
      <c r="AW21" s="107">
        <v>0.0</v>
      </c>
      <c r="AX21" s="107">
        <v>0.0</v>
      </c>
      <c r="AY21" s="107">
        <v>0.0</v>
      </c>
      <c r="AZ21" s="107">
        <v>0.0</v>
      </c>
      <c r="BA21" s="107">
        <v>0.0</v>
      </c>
      <c r="BB21" s="107">
        <v>0.0</v>
      </c>
      <c r="BC21" s="107">
        <v>0.0</v>
      </c>
      <c r="BD21" s="107">
        <v>0.0</v>
      </c>
      <c r="BE21" s="107">
        <v>0.0</v>
      </c>
      <c r="BF21" s="107">
        <v>0.0</v>
      </c>
      <c r="BG21" s="107">
        <v>0.0</v>
      </c>
      <c r="BH21" s="107">
        <v>0.0</v>
      </c>
      <c r="BI21" s="107">
        <v>0.0</v>
      </c>
      <c r="BJ21" s="107">
        <v>0.0</v>
      </c>
      <c r="BK21" s="107">
        <v>0.0</v>
      </c>
      <c r="BL21" s="107">
        <v>0.0</v>
      </c>
      <c r="BM21" s="107">
        <v>0.0</v>
      </c>
      <c r="BN21" s="107">
        <v>0.0</v>
      </c>
      <c r="BO21" s="107">
        <v>0.0</v>
      </c>
      <c r="BP21" s="107">
        <v>0.0</v>
      </c>
      <c r="BQ21" s="107">
        <v>0.0</v>
      </c>
      <c r="BR21" s="107">
        <v>0.0</v>
      </c>
      <c r="BS21" s="107">
        <v>0.0</v>
      </c>
      <c r="BT21" s="107">
        <v>0.0</v>
      </c>
      <c r="BU21" s="107">
        <v>0.0</v>
      </c>
      <c r="BV21" s="107">
        <v>0.0</v>
      </c>
      <c r="BW21" s="107">
        <v>0.0</v>
      </c>
      <c r="BX21" s="107">
        <v>0.0</v>
      </c>
      <c r="BY21" s="107">
        <v>0.0</v>
      </c>
      <c r="BZ21" s="107">
        <v>0.0</v>
      </c>
      <c r="CA21" s="107">
        <v>0.0</v>
      </c>
      <c r="CB21" s="107">
        <v>0.0</v>
      </c>
      <c r="CC21" s="107">
        <v>0.0</v>
      </c>
      <c r="CD21" s="107">
        <v>0.0</v>
      </c>
      <c r="CE21" s="107">
        <v>0.0</v>
      </c>
      <c r="CF21" s="107">
        <v>0.0</v>
      </c>
      <c r="CG21" s="107">
        <v>0.0</v>
      </c>
      <c r="CH21" s="107">
        <v>0.0</v>
      </c>
      <c r="CI21" s="107">
        <v>0.0</v>
      </c>
      <c r="CJ21" s="107">
        <v>0.0</v>
      </c>
      <c r="CK21" s="107">
        <v>0.0</v>
      </c>
      <c r="CL21" s="107">
        <v>0.0</v>
      </c>
      <c r="CM21" s="107">
        <v>0.0</v>
      </c>
      <c r="CN21" s="107">
        <v>0.0</v>
      </c>
      <c r="CO21" s="107">
        <v>0.0</v>
      </c>
      <c r="CP21" s="107">
        <v>0.0</v>
      </c>
      <c r="CQ21" s="107">
        <v>0.0</v>
      </c>
    </row>
    <row r="22" ht="12.75" customHeight="1">
      <c r="A22" s="106" t="s">
        <v>114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>
        <v>1500.0</v>
      </c>
      <c r="AJ22" s="107">
        <v>1500.0</v>
      </c>
      <c r="AK22" s="107">
        <v>1500.0</v>
      </c>
      <c r="AL22" s="107">
        <v>1500.0</v>
      </c>
      <c r="AM22" s="107">
        <v>1500.0</v>
      </c>
      <c r="AN22" s="107">
        <v>1500.0</v>
      </c>
      <c r="AO22" s="107">
        <v>1500.0</v>
      </c>
      <c r="AP22" s="107">
        <v>1500.0</v>
      </c>
      <c r="AQ22" s="107">
        <v>1500.0</v>
      </c>
      <c r="AR22" s="107">
        <v>1500.0</v>
      </c>
      <c r="AS22" s="107">
        <v>1500.0</v>
      </c>
      <c r="AT22" s="107">
        <v>1500.0</v>
      </c>
      <c r="AU22" s="107">
        <v>1500.0</v>
      </c>
      <c r="AV22" s="107">
        <v>1500.0</v>
      </c>
      <c r="AW22" s="107">
        <v>1500.0</v>
      </c>
      <c r="AX22" s="107">
        <v>1500.0</v>
      </c>
      <c r="AY22" s="107">
        <v>1500.0</v>
      </c>
      <c r="AZ22" s="107">
        <v>1500.0</v>
      </c>
      <c r="BA22" s="107">
        <v>1500.0</v>
      </c>
      <c r="BB22" s="107">
        <v>1500.0</v>
      </c>
      <c r="BC22" s="107">
        <v>1500.0</v>
      </c>
      <c r="BD22" s="107">
        <v>1500.0</v>
      </c>
      <c r="BE22" s="107">
        <v>1500.0</v>
      </c>
      <c r="BF22" s="107">
        <v>1500.0</v>
      </c>
      <c r="BG22" s="107">
        <v>1500.0</v>
      </c>
      <c r="BH22" s="107">
        <v>1500.0</v>
      </c>
      <c r="BI22" s="107">
        <v>1500.0</v>
      </c>
      <c r="BJ22" s="107">
        <v>1500.0</v>
      </c>
      <c r="BK22" s="107">
        <v>1500.0</v>
      </c>
      <c r="BL22" s="107">
        <v>1500.0</v>
      </c>
      <c r="BM22" s="107">
        <v>1500.0</v>
      </c>
      <c r="BN22" s="107">
        <v>1500.0</v>
      </c>
      <c r="BO22" s="107">
        <v>1500.0</v>
      </c>
      <c r="BP22" s="107">
        <v>1500.0</v>
      </c>
      <c r="BQ22" s="107">
        <v>3000.0</v>
      </c>
      <c r="BR22" s="107">
        <v>3000.0</v>
      </c>
      <c r="BS22" s="107">
        <v>3000.0</v>
      </c>
      <c r="BT22" s="107">
        <v>3000.0</v>
      </c>
      <c r="BU22" s="107">
        <v>3000.0</v>
      </c>
      <c r="BV22" s="107">
        <v>3000.0</v>
      </c>
      <c r="BW22" s="107">
        <v>3000.0</v>
      </c>
      <c r="BX22" s="107">
        <v>3000.0</v>
      </c>
      <c r="BY22" s="107">
        <v>3000.0</v>
      </c>
      <c r="BZ22" s="107">
        <v>3000.0</v>
      </c>
      <c r="CA22" s="107">
        <v>3000.0</v>
      </c>
      <c r="CB22" s="107">
        <v>3000.0</v>
      </c>
      <c r="CC22" s="107">
        <v>3000.0</v>
      </c>
      <c r="CD22" s="107">
        <v>3000.0</v>
      </c>
      <c r="CE22" s="107">
        <v>3000.0</v>
      </c>
      <c r="CF22" s="107">
        <v>3000.0</v>
      </c>
      <c r="CG22" s="107">
        <v>3000.0</v>
      </c>
      <c r="CH22" s="107">
        <v>3000.0</v>
      </c>
      <c r="CI22" s="107">
        <v>3000.0</v>
      </c>
      <c r="CJ22" s="107">
        <v>3000.0</v>
      </c>
      <c r="CK22" s="107">
        <v>3000.0</v>
      </c>
      <c r="CL22" s="107">
        <v>3000.0</v>
      </c>
      <c r="CM22" s="107">
        <v>3000.0</v>
      </c>
      <c r="CN22" s="107">
        <v>3000.0</v>
      </c>
      <c r="CO22" s="107">
        <v>3000.0</v>
      </c>
      <c r="CP22" s="107">
        <v>3000.0</v>
      </c>
    </row>
    <row r="23" ht="12.75" customHeight="1">
      <c r="A23" s="106" t="s">
        <v>115</v>
      </c>
      <c r="B23" s="107">
        <v>3000.0</v>
      </c>
      <c r="C23" s="107">
        <v>3000.0</v>
      </c>
      <c r="D23" s="107">
        <v>3000.0</v>
      </c>
      <c r="E23" s="107">
        <v>3000.0</v>
      </c>
      <c r="F23" s="107">
        <v>3000.0</v>
      </c>
      <c r="G23" s="107">
        <v>3000.0</v>
      </c>
      <c r="H23" s="107">
        <v>3000.0</v>
      </c>
      <c r="I23" s="107">
        <v>3000.0</v>
      </c>
      <c r="J23" s="107">
        <v>3000.0</v>
      </c>
      <c r="K23" s="107">
        <v>3000.0</v>
      </c>
      <c r="L23" s="107">
        <v>3000.0</v>
      </c>
      <c r="M23" s="107">
        <v>3000.0</v>
      </c>
      <c r="N23" s="107">
        <v>3000.0</v>
      </c>
      <c r="O23" s="107">
        <v>3000.0</v>
      </c>
      <c r="P23" s="107">
        <v>3000.0</v>
      </c>
      <c r="Q23" s="107">
        <v>3000.0</v>
      </c>
      <c r="R23" s="107">
        <v>3000.0</v>
      </c>
      <c r="S23" s="107">
        <v>3000.0</v>
      </c>
      <c r="T23" s="107">
        <v>3000.0</v>
      </c>
      <c r="U23" s="107">
        <v>3000.0</v>
      </c>
      <c r="V23" s="107">
        <v>3000.0</v>
      </c>
      <c r="W23" s="107">
        <v>3000.0</v>
      </c>
      <c r="X23" s="107">
        <v>3000.0</v>
      </c>
      <c r="Y23" s="107">
        <v>3000.0</v>
      </c>
      <c r="Z23" s="107">
        <v>3000.0</v>
      </c>
      <c r="AA23" s="107">
        <v>3000.0</v>
      </c>
      <c r="AB23" s="107">
        <v>3000.0</v>
      </c>
      <c r="AC23" s="107">
        <v>3000.0</v>
      </c>
      <c r="AD23" s="107">
        <v>3000.0</v>
      </c>
      <c r="AE23" s="107">
        <v>3000.0</v>
      </c>
      <c r="AF23" s="107">
        <v>3000.0</v>
      </c>
      <c r="AG23" s="107">
        <v>3000.0</v>
      </c>
      <c r="AH23" s="107"/>
      <c r="AI23" s="107">
        <v>1500.0</v>
      </c>
      <c r="AJ23" s="107">
        <v>1500.0</v>
      </c>
      <c r="AK23" s="107">
        <v>1500.0</v>
      </c>
      <c r="AL23" s="107">
        <v>1500.0</v>
      </c>
      <c r="AM23" s="107">
        <v>1500.0</v>
      </c>
      <c r="AN23" s="107">
        <v>1500.0</v>
      </c>
      <c r="AO23" s="107">
        <v>1500.0</v>
      </c>
      <c r="AP23" s="107">
        <v>1500.0</v>
      </c>
      <c r="AQ23" s="107">
        <v>1500.0</v>
      </c>
      <c r="AR23" s="107">
        <v>1500.0</v>
      </c>
      <c r="AS23" s="107">
        <v>1500.0</v>
      </c>
      <c r="AT23" s="107">
        <v>1500.0</v>
      </c>
      <c r="AU23" s="107">
        <v>1500.0</v>
      </c>
      <c r="AV23" s="107">
        <v>1500.0</v>
      </c>
      <c r="AW23" s="107">
        <v>1500.0</v>
      </c>
      <c r="AX23" s="107">
        <v>1500.0</v>
      </c>
      <c r="AY23" s="107">
        <v>1500.0</v>
      </c>
      <c r="AZ23" s="107">
        <v>1500.0</v>
      </c>
      <c r="BA23" s="107">
        <v>1500.0</v>
      </c>
      <c r="BB23" s="107">
        <v>1500.0</v>
      </c>
      <c r="BC23" s="107">
        <v>1500.0</v>
      </c>
      <c r="BD23" s="107">
        <v>1500.0</v>
      </c>
      <c r="BE23" s="107">
        <v>1500.0</v>
      </c>
      <c r="BF23" s="107">
        <v>1500.0</v>
      </c>
      <c r="BG23" s="107">
        <v>1500.0</v>
      </c>
      <c r="BH23" s="107">
        <v>1500.0</v>
      </c>
      <c r="BI23" s="107">
        <v>1500.0</v>
      </c>
      <c r="BJ23" s="107">
        <v>1500.0</v>
      </c>
      <c r="BK23" s="107">
        <v>1500.0</v>
      </c>
      <c r="BL23" s="107">
        <v>1500.0</v>
      </c>
      <c r="BM23" s="107">
        <v>1500.0</v>
      </c>
      <c r="BN23" s="107">
        <v>1500.0</v>
      </c>
      <c r="BO23" s="107">
        <v>1500.0</v>
      </c>
      <c r="BP23" s="107">
        <v>2000.0</v>
      </c>
      <c r="BQ23" s="107">
        <v>2000.0</v>
      </c>
      <c r="BR23" s="107">
        <v>2000.0</v>
      </c>
      <c r="BS23" s="107">
        <v>2000.0</v>
      </c>
      <c r="BT23" s="107">
        <v>2000.0</v>
      </c>
      <c r="BU23" s="107">
        <v>2000.0</v>
      </c>
      <c r="BV23" s="107">
        <v>2000.0</v>
      </c>
      <c r="BW23" s="107">
        <v>2000.0</v>
      </c>
      <c r="BX23" s="107">
        <v>2000.0</v>
      </c>
      <c r="BY23" s="107">
        <v>2000.0</v>
      </c>
      <c r="BZ23" s="107">
        <v>2000.0</v>
      </c>
      <c r="CA23" s="107">
        <v>2000.0</v>
      </c>
      <c r="CB23" s="107">
        <v>2000.0</v>
      </c>
      <c r="CC23" s="107">
        <v>2000.0</v>
      </c>
      <c r="CD23" s="107">
        <v>2000.0</v>
      </c>
      <c r="CE23" s="107">
        <v>2000.0</v>
      </c>
      <c r="CF23" s="107">
        <v>2000.0</v>
      </c>
      <c r="CG23" s="107">
        <v>2000.0</v>
      </c>
      <c r="CH23" s="107">
        <v>2000.0</v>
      </c>
      <c r="CI23" s="107">
        <v>2000.0</v>
      </c>
      <c r="CJ23" s="107">
        <v>2000.0</v>
      </c>
      <c r="CK23" s="107">
        <v>2000.0</v>
      </c>
      <c r="CL23" s="107">
        <v>2000.0</v>
      </c>
      <c r="CM23" s="107">
        <v>2000.0</v>
      </c>
      <c r="CN23" s="107">
        <v>2000.0</v>
      </c>
      <c r="CO23" s="107">
        <v>2000.0</v>
      </c>
      <c r="CP23" s="107">
        <v>2000.0</v>
      </c>
    </row>
    <row r="24" ht="12.75" customHeight="1">
      <c r="A24" s="106" t="s">
        <v>116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  <c r="CA24" s="107"/>
      <c r="CB24" s="107"/>
      <c r="CC24" s="107"/>
      <c r="CD24" s="107"/>
      <c r="CE24" s="107"/>
      <c r="CF24" s="107"/>
      <c r="CG24" s="107"/>
      <c r="CH24" s="107"/>
      <c r="CI24" s="107"/>
      <c r="CJ24" s="107"/>
      <c r="CK24" s="107"/>
      <c r="CL24" s="107"/>
      <c r="CM24" s="107"/>
      <c r="CN24" s="107"/>
      <c r="CO24" s="107"/>
      <c r="CP24" s="107"/>
    </row>
    <row r="25" ht="12.75" customHeight="1">
      <c r="A25" s="106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107"/>
      <c r="CL25" s="107"/>
      <c r="CM25" s="107"/>
      <c r="CN25" s="107"/>
      <c r="CO25" s="107"/>
      <c r="CP25" s="107"/>
    </row>
    <row r="26" ht="12.75" customHeight="1">
      <c r="A26" s="106" t="s">
        <v>117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/>
      <c r="CK26" s="107"/>
      <c r="CL26" s="107"/>
      <c r="CM26" s="107"/>
      <c r="CN26" s="107"/>
      <c r="CO26" s="107"/>
      <c r="CP26" s="107"/>
    </row>
    <row r="27" ht="12.75" customHeight="1">
      <c r="A27" s="106" t="s">
        <v>118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>
        <v>0.0</v>
      </c>
      <c r="AI27" s="107">
        <v>1000.0</v>
      </c>
      <c r="AJ27" s="107">
        <v>1000.0</v>
      </c>
      <c r="AK27" s="107">
        <v>1000.0</v>
      </c>
      <c r="AL27" s="107">
        <v>1000.0</v>
      </c>
      <c r="AM27" s="107">
        <v>1000.0</v>
      </c>
      <c r="AN27" s="107">
        <v>1000.0</v>
      </c>
      <c r="AO27" s="107">
        <v>1000.0</v>
      </c>
      <c r="AP27" s="107">
        <v>10000.0</v>
      </c>
      <c r="AQ27" s="107">
        <v>2000.0</v>
      </c>
      <c r="AR27" s="107">
        <v>2000.0</v>
      </c>
      <c r="AS27" s="107">
        <v>2000.0</v>
      </c>
      <c r="AT27" s="107">
        <v>2000.0</v>
      </c>
      <c r="AU27" s="107">
        <v>2000.0</v>
      </c>
      <c r="AV27" s="107">
        <v>2000.0</v>
      </c>
      <c r="AW27" s="107">
        <v>2000.0</v>
      </c>
      <c r="AX27" s="107">
        <v>2000.0</v>
      </c>
      <c r="AY27" s="107">
        <v>2000.0</v>
      </c>
      <c r="AZ27" s="107">
        <v>2000.0</v>
      </c>
      <c r="BA27" s="107">
        <v>2000.0</v>
      </c>
      <c r="BB27" s="107">
        <v>5000.0</v>
      </c>
      <c r="BC27" s="107">
        <v>5000.0</v>
      </c>
      <c r="BD27" s="107">
        <v>5000.0</v>
      </c>
      <c r="BE27" s="107">
        <v>5000.0</v>
      </c>
      <c r="BF27" s="107">
        <v>5000.0</v>
      </c>
      <c r="BG27" s="107">
        <v>5000.0</v>
      </c>
      <c r="BH27" s="107">
        <v>5000.0</v>
      </c>
      <c r="BI27" s="107">
        <v>5000.0</v>
      </c>
      <c r="BJ27" s="107">
        <v>3000.0</v>
      </c>
      <c r="BK27" s="107">
        <v>3000.0</v>
      </c>
      <c r="BL27" s="107">
        <v>3000.0</v>
      </c>
      <c r="BM27" s="107">
        <v>3000.0</v>
      </c>
      <c r="BN27" s="107">
        <v>3000.0</v>
      </c>
      <c r="BO27" s="107">
        <v>3000.0</v>
      </c>
      <c r="BP27" s="107">
        <v>3000.0</v>
      </c>
      <c r="BQ27" s="107">
        <v>3000.0</v>
      </c>
      <c r="BR27" s="107">
        <v>3000.0</v>
      </c>
      <c r="BS27" s="107">
        <v>3000.0</v>
      </c>
      <c r="BT27" s="107">
        <v>3000.0</v>
      </c>
      <c r="BU27" s="107">
        <v>3000.0</v>
      </c>
      <c r="BV27" s="107">
        <v>3000.0</v>
      </c>
      <c r="BW27" s="107">
        <v>3000.0</v>
      </c>
      <c r="BX27" s="107">
        <v>3000.0</v>
      </c>
      <c r="BY27" s="107">
        <v>3000.0</v>
      </c>
      <c r="BZ27" s="107">
        <v>3000.0</v>
      </c>
      <c r="CA27" s="107">
        <v>3000.0</v>
      </c>
      <c r="CB27" s="107">
        <v>3000.0</v>
      </c>
      <c r="CC27" s="107">
        <v>3000.0</v>
      </c>
      <c r="CD27" s="107">
        <v>3000.0</v>
      </c>
      <c r="CE27" s="107">
        <v>3000.0</v>
      </c>
      <c r="CF27" s="107">
        <v>3000.0</v>
      </c>
      <c r="CG27" s="107">
        <v>3000.0</v>
      </c>
      <c r="CH27" s="107">
        <v>10000.0</v>
      </c>
      <c r="CI27" s="107">
        <v>10000.0</v>
      </c>
      <c r="CJ27" s="107">
        <v>10000.0</v>
      </c>
      <c r="CK27" s="107">
        <v>10000.0</v>
      </c>
      <c r="CL27" s="107">
        <v>10000.0</v>
      </c>
      <c r="CM27" s="107">
        <v>10000.0</v>
      </c>
      <c r="CN27" s="107">
        <v>10000.0</v>
      </c>
      <c r="CO27" s="107">
        <v>10000.0</v>
      </c>
      <c r="CP27" s="107">
        <v>10000.0</v>
      </c>
    </row>
    <row r="28" ht="12.75" customHeight="1">
      <c r="A28" s="106" t="s">
        <v>119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8">
        <v>10000.0</v>
      </c>
      <c r="AI28" s="108">
        <v>10000.0</v>
      </c>
      <c r="AJ28" s="108">
        <v>5000.0</v>
      </c>
      <c r="AK28" s="108">
        <v>5000.0</v>
      </c>
      <c r="AL28" s="108">
        <v>5000.0</v>
      </c>
      <c r="AM28" s="108">
        <v>7000.0</v>
      </c>
      <c r="AN28" s="108">
        <v>7000.0</v>
      </c>
      <c r="AO28" s="108">
        <v>7000.0</v>
      </c>
      <c r="AP28" s="108">
        <v>7000.0</v>
      </c>
      <c r="AQ28" s="108">
        <v>7000.0</v>
      </c>
      <c r="AR28" s="108">
        <v>7000.0</v>
      </c>
      <c r="AS28" s="108">
        <v>7000.0</v>
      </c>
      <c r="AT28" s="108">
        <v>5000.0</v>
      </c>
      <c r="AU28" s="108">
        <v>8000.0</v>
      </c>
      <c r="AV28" s="108">
        <v>15000.0</v>
      </c>
      <c r="AW28" s="108">
        <v>25000.0</v>
      </c>
      <c r="AX28" s="108">
        <v>25000.0</v>
      </c>
      <c r="AY28" s="108">
        <v>25000.0</v>
      </c>
      <c r="AZ28" s="108">
        <v>25000.0</v>
      </c>
      <c r="BA28" s="108">
        <v>25000.0</v>
      </c>
      <c r="BB28" s="108">
        <v>25000.0</v>
      </c>
      <c r="BC28" s="108">
        <v>15000.0</v>
      </c>
      <c r="BD28" s="108">
        <v>15000.0</v>
      </c>
      <c r="BE28" s="108">
        <v>15000.0</v>
      </c>
      <c r="BF28" s="108">
        <v>15000.0</v>
      </c>
      <c r="BG28" s="108">
        <v>25000.0</v>
      </c>
      <c r="BH28" s="109">
        <v>10000.0</v>
      </c>
      <c r="BI28" s="109">
        <v>10000.0</v>
      </c>
      <c r="BJ28" s="109">
        <v>10000.0</v>
      </c>
      <c r="BK28" s="109">
        <v>10000.0</v>
      </c>
      <c r="BL28" s="109">
        <v>10000.0</v>
      </c>
      <c r="BM28" s="109">
        <v>10000.0</v>
      </c>
      <c r="BN28" s="109">
        <v>10000.0</v>
      </c>
      <c r="BO28" s="109">
        <v>10000.0</v>
      </c>
      <c r="BP28" s="109">
        <v>15000.0</v>
      </c>
      <c r="BQ28" s="109">
        <v>15000.0</v>
      </c>
      <c r="BR28" s="109">
        <v>15000.0</v>
      </c>
      <c r="BS28" s="109">
        <v>15000.0</v>
      </c>
      <c r="BT28" s="109">
        <v>15000.0</v>
      </c>
      <c r="BU28" s="109">
        <v>20000.0</v>
      </c>
      <c r="BV28" s="109">
        <v>25000.0</v>
      </c>
      <c r="BW28" s="109">
        <v>25000.0</v>
      </c>
      <c r="BX28" s="109">
        <v>25000.0</v>
      </c>
      <c r="BY28" s="109">
        <v>30000.0</v>
      </c>
      <c r="BZ28" s="109">
        <v>30000.0</v>
      </c>
      <c r="CA28" s="109">
        <v>30000.0</v>
      </c>
      <c r="CB28" s="109">
        <v>30000.0</v>
      </c>
      <c r="CC28" s="109">
        <v>30000.0</v>
      </c>
      <c r="CD28" s="109">
        <v>30000.0</v>
      </c>
      <c r="CE28" s="109">
        <v>35000.0</v>
      </c>
      <c r="CF28" s="109">
        <v>35000.0</v>
      </c>
      <c r="CG28" s="109">
        <v>40000.0</v>
      </c>
      <c r="CH28" s="109">
        <v>40000.0</v>
      </c>
      <c r="CI28" s="109">
        <v>40000.0</v>
      </c>
      <c r="CJ28" s="109">
        <v>45000.0</v>
      </c>
      <c r="CK28" s="109">
        <v>45000.0</v>
      </c>
      <c r="CL28" s="109">
        <v>50000.0</v>
      </c>
      <c r="CM28" s="109">
        <v>50000.0</v>
      </c>
      <c r="CN28" s="109">
        <v>50000.0</v>
      </c>
      <c r="CO28" s="109">
        <v>50000.0</v>
      </c>
      <c r="CP28" s="109">
        <v>50000.0</v>
      </c>
    </row>
    <row r="29" ht="12.75" customHeight="1">
      <c r="A29" s="106" t="s">
        <v>120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7"/>
      <c r="CF29" s="107"/>
      <c r="CG29" s="107"/>
      <c r="CH29" s="107"/>
      <c r="CI29" s="107"/>
      <c r="CJ29" s="107"/>
      <c r="CK29" s="107"/>
      <c r="CL29" s="107"/>
      <c r="CM29" s="107"/>
      <c r="CN29" s="107"/>
      <c r="CO29" s="107"/>
      <c r="CP29" s="107"/>
    </row>
    <row r="30" ht="12.75" customHeight="1">
      <c r="A30" s="106" t="s">
        <v>121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7"/>
      <c r="CF30" s="107"/>
      <c r="CG30" s="107"/>
      <c r="CH30" s="107"/>
      <c r="CI30" s="107"/>
      <c r="CJ30" s="107"/>
      <c r="CK30" s="107"/>
      <c r="CL30" s="107"/>
      <c r="CM30" s="107"/>
      <c r="CN30" s="107"/>
      <c r="CO30" s="107"/>
      <c r="CP30" s="107"/>
    </row>
    <row r="31" ht="12.75" customHeight="1">
      <c r="A31" s="106" t="s">
        <v>122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107"/>
      <c r="CL31" s="107"/>
      <c r="CM31" s="107"/>
      <c r="CN31" s="107"/>
      <c r="CO31" s="107"/>
      <c r="CP31" s="107"/>
    </row>
    <row r="32" ht="12.75" customHeight="1">
      <c r="A32" s="106" t="s">
        <v>123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22">
        <v>0.0</v>
      </c>
      <c r="AI32" s="22">
        <v>0.0</v>
      </c>
      <c r="AJ32" s="22">
        <v>0.0</v>
      </c>
      <c r="AK32" s="22">
        <v>0.0</v>
      </c>
      <c r="AL32" s="22">
        <v>0.0</v>
      </c>
      <c r="AM32" s="22">
        <v>0.0</v>
      </c>
      <c r="AN32" s="22">
        <v>0.0</v>
      </c>
      <c r="AO32" s="22">
        <v>0.0</v>
      </c>
      <c r="AP32" s="22">
        <v>0.0</v>
      </c>
      <c r="AQ32" s="22">
        <v>0.0</v>
      </c>
      <c r="AR32" s="22">
        <v>0.0</v>
      </c>
      <c r="AS32" s="22">
        <v>0.0</v>
      </c>
      <c r="AT32" s="22">
        <v>0.0</v>
      </c>
      <c r="AU32" s="22">
        <v>0.0</v>
      </c>
      <c r="AV32" s="22">
        <v>0.0</v>
      </c>
      <c r="AW32" s="22">
        <v>0.0</v>
      </c>
      <c r="AX32" s="22">
        <v>0.0</v>
      </c>
      <c r="AY32" s="22">
        <v>0.0</v>
      </c>
      <c r="AZ32" s="22">
        <v>0.0</v>
      </c>
      <c r="BA32" s="22">
        <v>0.0</v>
      </c>
      <c r="BB32" s="22">
        <v>0.0</v>
      </c>
      <c r="BC32" s="22">
        <v>0.0</v>
      </c>
      <c r="BD32" s="22">
        <v>0.0</v>
      </c>
      <c r="BE32" s="22">
        <v>0.0</v>
      </c>
      <c r="BF32" s="22">
        <v>0.0</v>
      </c>
      <c r="BG32" s="22">
        <v>0.0</v>
      </c>
      <c r="BH32" s="22">
        <v>0.0</v>
      </c>
      <c r="BI32" s="22">
        <v>0.0</v>
      </c>
      <c r="BJ32" s="22">
        <v>0.0</v>
      </c>
      <c r="BK32" s="22">
        <v>0.0</v>
      </c>
      <c r="BL32" s="22">
        <v>0.0</v>
      </c>
      <c r="BM32" s="22">
        <v>0.0</v>
      </c>
      <c r="BN32" s="22">
        <v>0.0</v>
      </c>
      <c r="BO32" s="22">
        <v>0.0</v>
      </c>
      <c r="BP32" s="22">
        <v>0.0</v>
      </c>
      <c r="BQ32" s="22">
        <v>0.0</v>
      </c>
      <c r="BR32" s="22">
        <v>0.0</v>
      </c>
      <c r="BS32" s="22">
        <v>0.0</v>
      </c>
      <c r="BT32" s="22">
        <v>0.0</v>
      </c>
      <c r="BU32" s="22">
        <v>0.0</v>
      </c>
      <c r="BV32" s="22">
        <v>0.0</v>
      </c>
      <c r="BW32" s="22">
        <v>0.0</v>
      </c>
      <c r="BX32" s="22">
        <v>0.0</v>
      </c>
      <c r="BY32" s="22">
        <v>0.0</v>
      </c>
      <c r="BZ32" s="22">
        <v>0.0</v>
      </c>
      <c r="CA32" s="22">
        <v>0.0</v>
      </c>
      <c r="CB32" s="22">
        <v>0.0</v>
      </c>
      <c r="CC32" s="22">
        <v>0.0</v>
      </c>
      <c r="CD32" s="22">
        <v>0.0</v>
      </c>
      <c r="CE32" s="22">
        <v>0.0</v>
      </c>
      <c r="CF32" s="22">
        <v>0.0</v>
      </c>
      <c r="CG32" s="22">
        <v>0.0</v>
      </c>
      <c r="CH32" s="22">
        <v>0.0</v>
      </c>
      <c r="CI32" s="22">
        <v>0.0</v>
      </c>
      <c r="CJ32" s="22">
        <v>0.0</v>
      </c>
      <c r="CK32" s="22">
        <v>0.0</v>
      </c>
      <c r="CL32" s="22">
        <v>0.0</v>
      </c>
      <c r="CM32" s="22">
        <v>0.0</v>
      </c>
      <c r="CN32" s="22">
        <v>0.0</v>
      </c>
      <c r="CO32" s="22">
        <v>0.0</v>
      </c>
      <c r="CP32" s="22">
        <v>0.0</v>
      </c>
      <c r="CQ32" s="22">
        <v>0.0</v>
      </c>
      <c r="CR32" s="22">
        <v>0.0</v>
      </c>
      <c r="CS32" s="22">
        <v>0.0</v>
      </c>
      <c r="CT32" s="22">
        <v>0.0</v>
      </c>
      <c r="CU32" s="22">
        <v>0.0</v>
      </c>
      <c r="CV32" s="22">
        <v>0.0</v>
      </c>
      <c r="CW32" s="22">
        <v>0.0</v>
      </c>
      <c r="CX32" s="22">
        <v>0.0</v>
      </c>
    </row>
    <row r="33" ht="12.75" customHeight="1">
      <c r="A33" s="106" t="s">
        <v>124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  <c r="CD33" s="107"/>
      <c r="CE33" s="107"/>
      <c r="CF33" s="107"/>
      <c r="CG33" s="107"/>
      <c r="CH33" s="107"/>
      <c r="CI33" s="107"/>
      <c r="CJ33" s="107"/>
      <c r="CK33" s="107"/>
      <c r="CL33" s="107"/>
      <c r="CM33" s="107"/>
      <c r="CN33" s="107"/>
      <c r="CO33" s="107"/>
      <c r="CP33" s="107"/>
    </row>
    <row r="34" ht="12.75" customHeight="1">
      <c r="A34" s="106" t="s">
        <v>125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>
        <v>1500.0</v>
      </c>
      <c r="AI34" s="107">
        <v>1500.0</v>
      </c>
      <c r="AJ34" s="107">
        <v>1500.0</v>
      </c>
      <c r="AK34" s="107">
        <v>1500.0</v>
      </c>
      <c r="AL34" s="107">
        <v>1500.0</v>
      </c>
      <c r="AM34" s="107">
        <v>1500.0</v>
      </c>
      <c r="AN34" s="107">
        <v>1500.0</v>
      </c>
      <c r="AO34" s="107">
        <v>1500.0</v>
      </c>
      <c r="AP34" s="107">
        <v>1500.0</v>
      </c>
      <c r="AQ34" s="107">
        <v>1500.0</v>
      </c>
      <c r="AR34" s="107">
        <v>1500.0</v>
      </c>
      <c r="AS34" s="107">
        <v>1500.0</v>
      </c>
      <c r="AT34" s="107">
        <v>1500.0</v>
      </c>
      <c r="AU34" s="107">
        <v>2500.0</v>
      </c>
      <c r="AV34" s="107">
        <v>2500.0</v>
      </c>
      <c r="AW34" s="107">
        <v>2500.0</v>
      </c>
      <c r="AX34" s="107">
        <v>2500.0</v>
      </c>
      <c r="AY34" s="107">
        <v>2500.0</v>
      </c>
      <c r="AZ34" s="107">
        <v>2500.0</v>
      </c>
      <c r="BA34" s="107">
        <v>2500.0</v>
      </c>
      <c r="BB34" s="107">
        <v>2500.0</v>
      </c>
      <c r="BC34" s="107">
        <v>2500.0</v>
      </c>
      <c r="BD34" s="107">
        <v>2500.0</v>
      </c>
      <c r="BE34" s="107">
        <v>2500.0</v>
      </c>
      <c r="BF34" s="107">
        <v>2500.0</v>
      </c>
      <c r="BG34" s="107">
        <v>2500.0</v>
      </c>
      <c r="BH34" s="107">
        <v>2500.0</v>
      </c>
      <c r="BI34" s="107">
        <v>2500.0</v>
      </c>
      <c r="BJ34" s="107">
        <v>2500.0</v>
      </c>
      <c r="BK34" s="107">
        <v>2500.0</v>
      </c>
      <c r="BL34" s="107">
        <v>2500.0</v>
      </c>
      <c r="BM34" s="107">
        <v>2500.0</v>
      </c>
      <c r="BN34" s="107">
        <v>2500.0</v>
      </c>
      <c r="BO34" s="107">
        <v>2500.0</v>
      </c>
      <c r="BP34" s="107">
        <v>2500.0</v>
      </c>
      <c r="BQ34" s="107">
        <v>2500.0</v>
      </c>
      <c r="BR34" s="107">
        <v>2500.0</v>
      </c>
      <c r="BS34" s="107">
        <v>2500.0</v>
      </c>
      <c r="BT34" s="107">
        <v>2500.0</v>
      </c>
      <c r="BU34" s="107">
        <v>2500.0</v>
      </c>
      <c r="BV34" s="107">
        <v>2500.0</v>
      </c>
      <c r="BW34" s="107">
        <v>2500.0</v>
      </c>
      <c r="BX34" s="107">
        <v>2500.0</v>
      </c>
      <c r="BY34" s="107">
        <v>2500.0</v>
      </c>
      <c r="BZ34" s="107">
        <v>2500.0</v>
      </c>
      <c r="CA34" s="107">
        <v>2500.0</v>
      </c>
      <c r="CB34" s="107">
        <v>2500.0</v>
      </c>
      <c r="CC34" s="107">
        <v>2500.0</v>
      </c>
      <c r="CD34" s="107">
        <v>2500.0</v>
      </c>
      <c r="CE34" s="107">
        <v>2500.0</v>
      </c>
      <c r="CF34" s="107">
        <v>2500.0</v>
      </c>
      <c r="CG34" s="107">
        <v>2500.0</v>
      </c>
      <c r="CH34" s="107">
        <v>2500.0</v>
      </c>
      <c r="CI34" s="107">
        <v>2500.0</v>
      </c>
      <c r="CJ34" s="107">
        <v>2500.0</v>
      </c>
      <c r="CK34" s="107">
        <v>2500.0</v>
      </c>
      <c r="CL34" s="107">
        <v>2500.0</v>
      </c>
      <c r="CM34" s="107">
        <v>2500.0</v>
      </c>
      <c r="CN34" s="107">
        <v>2500.0</v>
      </c>
      <c r="CO34" s="107">
        <v>2500.0</v>
      </c>
      <c r="CP34" s="107">
        <v>2500.0</v>
      </c>
    </row>
    <row r="35" ht="12.75" customHeight="1">
      <c r="A35" s="106" t="s">
        <v>126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107"/>
      <c r="BZ35" s="107"/>
      <c r="CA35" s="107"/>
      <c r="CB35" s="107"/>
      <c r="CC35" s="107"/>
      <c r="CD35" s="107"/>
      <c r="CE35" s="107"/>
      <c r="CF35" s="107"/>
      <c r="CG35" s="107"/>
      <c r="CH35" s="107"/>
      <c r="CI35" s="107"/>
      <c r="CJ35" s="107"/>
      <c r="CK35" s="107"/>
      <c r="CL35" s="107"/>
      <c r="CM35" s="107"/>
      <c r="CN35" s="107"/>
      <c r="CO35" s="107"/>
      <c r="CP35" s="107"/>
    </row>
    <row r="36" ht="12.75" customHeight="1">
      <c r="A36" s="106" t="s">
        <v>127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22">
        <v>0.0</v>
      </c>
      <c r="AI36" s="22">
        <v>0.0</v>
      </c>
      <c r="AJ36" s="22">
        <v>0.0</v>
      </c>
      <c r="AK36" s="22">
        <v>0.0</v>
      </c>
      <c r="AL36" s="22">
        <v>0.0</v>
      </c>
      <c r="AM36" s="22">
        <v>0.0</v>
      </c>
      <c r="AN36" s="22">
        <v>0.0</v>
      </c>
      <c r="AO36" s="22">
        <v>0.0</v>
      </c>
      <c r="AP36" s="22">
        <v>0.0</v>
      </c>
      <c r="AQ36" s="22">
        <v>0.0</v>
      </c>
      <c r="AR36" s="22">
        <v>0.0</v>
      </c>
      <c r="AS36" s="22">
        <v>0.0</v>
      </c>
      <c r="AT36" s="22">
        <v>0.0</v>
      </c>
      <c r="AU36" s="22">
        <v>0.0</v>
      </c>
      <c r="AV36" s="22">
        <v>2000.0</v>
      </c>
      <c r="AW36" s="22">
        <v>2000.0</v>
      </c>
      <c r="AX36" s="22">
        <v>2000.0</v>
      </c>
      <c r="AY36" s="22">
        <v>2000.0</v>
      </c>
      <c r="AZ36" s="22">
        <v>2000.0</v>
      </c>
      <c r="BA36" s="22">
        <v>2000.0</v>
      </c>
      <c r="BB36" s="22">
        <v>2000.0</v>
      </c>
      <c r="BC36" s="22">
        <v>2000.0</v>
      </c>
      <c r="BD36" s="22">
        <v>2000.0</v>
      </c>
      <c r="BE36" s="22">
        <v>2000.0</v>
      </c>
      <c r="BF36" s="22">
        <v>2000.0</v>
      </c>
      <c r="BG36" s="22">
        <v>2000.0</v>
      </c>
      <c r="BH36" s="22">
        <v>2000.0</v>
      </c>
      <c r="BI36" s="22">
        <v>2000.0</v>
      </c>
      <c r="BJ36" s="22">
        <v>2000.0</v>
      </c>
      <c r="BK36" s="22">
        <v>2000.0</v>
      </c>
      <c r="BL36" s="22">
        <v>2000.0</v>
      </c>
      <c r="BM36" s="22">
        <v>2000.0</v>
      </c>
      <c r="BN36" s="22">
        <v>2000.0</v>
      </c>
      <c r="BO36" s="22">
        <v>2000.0</v>
      </c>
      <c r="BP36" s="22">
        <v>2000.0</v>
      </c>
      <c r="BQ36" s="24">
        <v>1000.0</v>
      </c>
      <c r="BR36" s="24">
        <v>1000.0</v>
      </c>
      <c r="BS36" s="24">
        <v>1000.0</v>
      </c>
      <c r="BT36" s="24">
        <v>1000.0</v>
      </c>
      <c r="BU36" s="24">
        <v>1000.0</v>
      </c>
      <c r="BV36" s="24">
        <v>1000.0</v>
      </c>
      <c r="BW36" s="24">
        <v>1000.0</v>
      </c>
      <c r="BX36" s="24">
        <v>1000.0</v>
      </c>
      <c r="BY36" s="24">
        <v>1000.0</v>
      </c>
      <c r="BZ36" s="24">
        <v>1000.0</v>
      </c>
      <c r="CA36" s="24">
        <v>1000.0</v>
      </c>
      <c r="CB36" s="24">
        <v>1000.0</v>
      </c>
      <c r="CC36" s="24">
        <v>1000.0</v>
      </c>
      <c r="CD36" s="24">
        <v>1000.0</v>
      </c>
      <c r="CE36" s="24">
        <v>1000.0</v>
      </c>
      <c r="CF36" s="24">
        <v>1000.0</v>
      </c>
      <c r="CG36" s="24">
        <v>1000.0</v>
      </c>
      <c r="CH36" s="24">
        <v>1000.0</v>
      </c>
      <c r="CI36" s="24">
        <v>1000.0</v>
      </c>
      <c r="CJ36" s="24">
        <v>1000.0</v>
      </c>
      <c r="CK36" s="24">
        <v>1000.0</v>
      </c>
      <c r="CL36" s="24">
        <v>1000.0</v>
      </c>
      <c r="CM36" s="24">
        <v>1000.0</v>
      </c>
      <c r="CN36" s="24">
        <v>1000.0</v>
      </c>
      <c r="CO36" s="24">
        <v>1000.0</v>
      </c>
      <c r="CP36" s="24">
        <v>1000.0</v>
      </c>
    </row>
    <row r="37" ht="12.75" customHeight="1">
      <c r="A37" s="106" t="s">
        <v>128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107"/>
      <c r="CL37" s="107"/>
      <c r="CM37" s="107"/>
      <c r="CN37" s="107"/>
      <c r="CO37" s="107"/>
      <c r="CP37" s="107"/>
    </row>
    <row r="38" ht="12.75" customHeight="1">
      <c r="A38" s="106" t="s">
        <v>129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22"/>
      <c r="AI38" s="22">
        <v>0.0</v>
      </c>
      <c r="AJ38" s="22">
        <v>0.0</v>
      </c>
      <c r="AK38" s="22">
        <v>0.0</v>
      </c>
      <c r="AL38" s="22">
        <v>0.0</v>
      </c>
      <c r="AM38" s="22">
        <v>0.0</v>
      </c>
      <c r="AN38" s="22">
        <v>0.0</v>
      </c>
      <c r="AO38" s="22">
        <v>0.0</v>
      </c>
      <c r="AP38" s="22">
        <v>0.0</v>
      </c>
      <c r="AQ38" s="22">
        <v>0.0</v>
      </c>
      <c r="AR38" s="22">
        <v>0.0</v>
      </c>
      <c r="AS38" s="22">
        <v>0.0</v>
      </c>
      <c r="AT38" s="22">
        <v>0.0</v>
      </c>
      <c r="AU38" s="22">
        <v>0.0</v>
      </c>
      <c r="AV38" s="22">
        <v>0.0</v>
      </c>
      <c r="AW38" s="22">
        <v>0.0</v>
      </c>
      <c r="AX38" s="22">
        <v>0.0</v>
      </c>
      <c r="AY38" s="22">
        <v>0.0</v>
      </c>
      <c r="AZ38" s="22">
        <v>0.0</v>
      </c>
      <c r="BA38" s="22">
        <v>0.0</v>
      </c>
      <c r="BB38" s="22">
        <v>0.0</v>
      </c>
      <c r="BC38" s="22">
        <v>0.0</v>
      </c>
      <c r="BD38" s="22">
        <v>0.0</v>
      </c>
      <c r="BE38" s="22">
        <v>0.0</v>
      </c>
      <c r="BF38" s="22">
        <v>0.0</v>
      </c>
      <c r="BG38" s="22">
        <v>0.0</v>
      </c>
      <c r="BH38" s="22">
        <v>0.0</v>
      </c>
      <c r="BI38" s="22">
        <v>0.0</v>
      </c>
      <c r="BJ38" s="22">
        <v>0.0</v>
      </c>
      <c r="BK38" s="22">
        <v>0.0</v>
      </c>
      <c r="BL38" s="22">
        <v>0.0</v>
      </c>
      <c r="BM38" s="22">
        <v>0.0</v>
      </c>
      <c r="BN38" s="22">
        <v>0.0</v>
      </c>
      <c r="BO38" s="22">
        <v>0.0</v>
      </c>
      <c r="BP38" s="22">
        <v>0.0</v>
      </c>
      <c r="BQ38" s="22">
        <v>0.0</v>
      </c>
      <c r="BR38" s="22">
        <v>0.0</v>
      </c>
      <c r="BS38" s="22">
        <v>0.0</v>
      </c>
      <c r="BT38" s="22">
        <v>0.0</v>
      </c>
      <c r="BU38" s="22">
        <v>0.0</v>
      </c>
      <c r="BV38" s="22">
        <v>0.0</v>
      </c>
      <c r="BW38" s="22">
        <v>0.0</v>
      </c>
      <c r="BX38" s="22">
        <v>0.0</v>
      </c>
      <c r="BY38" s="22">
        <v>0.0</v>
      </c>
      <c r="BZ38" s="22">
        <v>0.0</v>
      </c>
      <c r="CA38" s="22">
        <v>0.0</v>
      </c>
      <c r="CB38" s="22">
        <v>0.0</v>
      </c>
      <c r="CC38" s="22">
        <v>0.0</v>
      </c>
      <c r="CD38" s="22">
        <v>0.0</v>
      </c>
      <c r="CE38" s="22">
        <v>0.0</v>
      </c>
      <c r="CF38" s="22">
        <v>0.0</v>
      </c>
      <c r="CG38" s="22">
        <v>0.0</v>
      </c>
      <c r="CH38" s="22">
        <v>0.0</v>
      </c>
      <c r="CI38" s="22">
        <v>0.0</v>
      </c>
      <c r="CJ38" s="22">
        <v>0.0</v>
      </c>
      <c r="CK38" s="22">
        <v>0.0</v>
      </c>
      <c r="CL38" s="22">
        <v>0.0</v>
      </c>
      <c r="CM38" s="22">
        <v>0.0</v>
      </c>
      <c r="CN38" s="22">
        <v>0.0</v>
      </c>
      <c r="CO38" s="22">
        <v>0.0</v>
      </c>
      <c r="CP38" s="22">
        <v>0.0</v>
      </c>
    </row>
    <row r="39" ht="12.75" customHeight="1">
      <c r="A39" s="106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</row>
    <row r="40" ht="12.75" customHeight="1">
      <c r="A40" s="106" t="s">
        <v>130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7"/>
      <c r="CA40" s="107"/>
      <c r="CB40" s="107"/>
      <c r="CC40" s="107"/>
      <c r="CD40" s="107"/>
      <c r="CE40" s="107"/>
      <c r="CF40" s="107"/>
      <c r="CG40" s="107"/>
      <c r="CH40" s="107"/>
      <c r="CI40" s="107"/>
      <c r="CJ40" s="107"/>
      <c r="CK40" s="107"/>
      <c r="CL40" s="107"/>
      <c r="CM40" s="107"/>
      <c r="CN40" s="107"/>
      <c r="CO40" s="107"/>
      <c r="CP40" s="107"/>
    </row>
    <row r="41" ht="12.75" customHeight="1">
      <c r="A41" s="106" t="s">
        <v>131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</row>
    <row r="42" ht="12.75" customHeight="1">
      <c r="A42" s="106" t="s">
        <v>132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>
        <v>3000.0</v>
      </c>
      <c r="AI42" s="107">
        <v>3000.0</v>
      </c>
      <c r="AJ42" s="107">
        <v>3000.0</v>
      </c>
      <c r="AK42" s="107">
        <v>3000.0</v>
      </c>
      <c r="AL42" s="107">
        <v>3000.0</v>
      </c>
      <c r="AM42" s="107">
        <v>3000.0</v>
      </c>
      <c r="AN42" s="107">
        <v>3000.0</v>
      </c>
      <c r="AO42" s="107">
        <v>3000.0</v>
      </c>
      <c r="AP42" s="107">
        <v>3000.0</v>
      </c>
      <c r="AQ42" s="107">
        <v>3000.0</v>
      </c>
      <c r="AR42" s="107">
        <v>3000.0</v>
      </c>
      <c r="AS42" s="107">
        <v>3000.0</v>
      </c>
      <c r="AT42" s="107">
        <v>3000.0</v>
      </c>
      <c r="AU42" s="107">
        <v>3000.0</v>
      </c>
      <c r="AV42" s="107">
        <v>3000.0</v>
      </c>
      <c r="AW42" s="107">
        <v>3000.0</v>
      </c>
      <c r="AX42" s="107">
        <v>3000.0</v>
      </c>
      <c r="AY42" s="107">
        <v>3000.0</v>
      </c>
      <c r="AZ42" s="107">
        <v>3000.0</v>
      </c>
      <c r="BA42" s="107">
        <v>3000.0</v>
      </c>
      <c r="BB42" s="107">
        <v>3000.0</v>
      </c>
      <c r="BC42" s="107">
        <v>3000.0</v>
      </c>
      <c r="BD42" s="107">
        <v>3000.0</v>
      </c>
      <c r="BE42" s="107">
        <v>3000.0</v>
      </c>
      <c r="BF42" s="107">
        <v>3000.0</v>
      </c>
      <c r="BG42" s="107">
        <v>5000.0</v>
      </c>
      <c r="BH42" s="107">
        <v>5000.0</v>
      </c>
      <c r="BI42" s="107">
        <v>5000.0</v>
      </c>
      <c r="BJ42" s="107">
        <v>5000.0</v>
      </c>
      <c r="BK42" s="107">
        <v>5000.0</v>
      </c>
      <c r="BL42" s="107">
        <v>5000.0</v>
      </c>
      <c r="BM42" s="107">
        <v>5000.0</v>
      </c>
      <c r="BN42" s="107">
        <v>5000.0</v>
      </c>
      <c r="BO42" s="107">
        <v>5000.0</v>
      </c>
      <c r="BP42" s="107">
        <v>5000.0</v>
      </c>
      <c r="BQ42" s="107">
        <v>5000.0</v>
      </c>
      <c r="BR42" s="107">
        <v>5000.0</v>
      </c>
      <c r="BS42" s="107">
        <v>5000.0</v>
      </c>
      <c r="BT42" s="107">
        <v>5000.0</v>
      </c>
      <c r="BU42" s="107">
        <v>5000.0</v>
      </c>
      <c r="BV42" s="107">
        <v>5000.0</v>
      </c>
      <c r="BW42" s="107">
        <v>5000.0</v>
      </c>
      <c r="BX42" s="107">
        <v>5000.0</v>
      </c>
      <c r="BY42" s="107">
        <v>5000.0</v>
      </c>
      <c r="BZ42" s="107">
        <v>5000.0</v>
      </c>
      <c r="CA42" s="107">
        <v>5000.0</v>
      </c>
      <c r="CB42" s="107">
        <v>5000.0</v>
      </c>
      <c r="CC42" s="107">
        <v>5000.0</v>
      </c>
      <c r="CD42" s="107">
        <v>5000.0</v>
      </c>
      <c r="CE42" s="107">
        <v>5000.0</v>
      </c>
      <c r="CF42" s="107">
        <v>5000.0</v>
      </c>
      <c r="CG42" s="107">
        <v>5000.0</v>
      </c>
      <c r="CH42" s="107">
        <v>5000.0</v>
      </c>
      <c r="CI42" s="107">
        <v>5000.0</v>
      </c>
      <c r="CJ42" s="107">
        <v>5000.0</v>
      </c>
      <c r="CK42" s="107">
        <v>5000.0</v>
      </c>
      <c r="CL42" s="107">
        <v>5000.0</v>
      </c>
      <c r="CM42" s="107">
        <v>5000.0</v>
      </c>
      <c r="CN42" s="107">
        <v>5000.0</v>
      </c>
      <c r="CO42" s="107">
        <v>5000.0</v>
      </c>
      <c r="CP42" s="107">
        <v>5000.0</v>
      </c>
    </row>
    <row r="43" ht="12.75" customHeight="1">
      <c r="A43" s="106" t="s">
        <v>133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22">
        <f>+'P&amp;L Cash Flow Monthly'!AH15*0.04</f>
        <v>3593.967943</v>
      </c>
      <c r="AI43" s="22">
        <f>+'P&amp;L Cash Flow Monthly'!AI15*0.04</f>
        <v>3113.516024</v>
      </c>
      <c r="AJ43" s="22">
        <f>+'P&amp;L Cash Flow Monthly'!AJ15*0.04</f>
        <v>2813.680423</v>
      </c>
      <c r="AK43" s="22">
        <f>+'P&amp;L Cash Flow Monthly'!AK15*0.04</f>
        <v>2489.221659</v>
      </c>
      <c r="AL43" s="22">
        <f>+'P&amp;L Cash Flow Monthly'!AL15*0.04</f>
        <v>2171.707046</v>
      </c>
      <c r="AM43" s="22">
        <f>+'P&amp;L Cash Flow Monthly'!AM15*0.04</f>
        <v>2227.167258</v>
      </c>
      <c r="AN43" s="22">
        <f>+'P&amp;L Cash Flow Monthly'!AN15*0.04</f>
        <v>2303.862037</v>
      </c>
      <c r="AO43" s="22">
        <f>+'P&amp;L Cash Flow Monthly'!AO15*0.04</f>
        <v>2380.65741</v>
      </c>
      <c r="AP43" s="22">
        <f>+'P&amp;L Cash Flow Monthly'!AP15*0.04</f>
        <v>2374.008338</v>
      </c>
      <c r="AQ43" s="22">
        <f>+'P&amp;L Cash Flow Monthly'!AQ15*0.04</f>
        <v>2367.359266</v>
      </c>
      <c r="AR43" s="22">
        <f>+'P&amp;L Cash Flow Monthly'!AR15*0.04</f>
        <v>2330.13612</v>
      </c>
      <c r="AS43" s="22">
        <f>+'P&amp;L Cash Flow Monthly'!AS15*0.04</f>
        <v>2259.01814</v>
      </c>
      <c r="AT43" s="22">
        <f>+'P&amp;L Cash Flow Monthly'!AT15*0.04</f>
        <v>2119.548441</v>
      </c>
      <c r="AU43" s="22">
        <f>+'P&amp;L Cash Flow Monthly'!AU15*0.04</f>
        <v>2114.012001</v>
      </c>
      <c r="AV43" s="22">
        <f>+'P&amp;L Cash Flow Monthly'!AV15*0.04</f>
        <v>2300.839178</v>
      </c>
      <c r="AW43" s="22">
        <f>+'P&amp;L Cash Flow Monthly'!AW15*0.04</f>
        <v>2877.795792</v>
      </c>
      <c r="AX43" s="22">
        <f>+'P&amp;L Cash Flow Monthly'!AX15*0.04</f>
        <v>3314.087553</v>
      </c>
      <c r="AY43" s="22">
        <f>+'P&amp;L Cash Flow Monthly'!AY15*0.04</f>
        <v>3767.655303</v>
      </c>
      <c r="AZ43" s="22">
        <f>+'P&amp;L Cash Flow Monthly'!AZ15*0.04</f>
        <v>3913.70781</v>
      </c>
      <c r="BA43" s="22">
        <f>+'P&amp;L Cash Flow Monthly'!BA15*0.04</f>
        <v>4170.535147</v>
      </c>
      <c r="BB43" s="22">
        <f>+'P&amp;L Cash Flow Monthly'!BB15*0.04</f>
        <v>4511.700622</v>
      </c>
      <c r="BC43" s="22">
        <f>+'P&amp;L Cash Flow Monthly'!BC15*0.04</f>
        <v>4346.730691</v>
      </c>
      <c r="BD43" s="22">
        <f>+'P&amp;L Cash Flow Monthly'!BD15*0.04</f>
        <v>4075.451462</v>
      </c>
      <c r="BE43" s="22">
        <f>+'P&amp;L Cash Flow Monthly'!BE15*0.04</f>
        <v>3566.296446</v>
      </c>
      <c r="BF43" s="22">
        <f>+'P&amp;L Cash Flow Monthly'!BF15*0.04</f>
        <v>3517.282523</v>
      </c>
      <c r="BG43" s="22">
        <f>+'P&amp;L Cash Flow Monthly'!BG15*0.04</f>
        <v>4066.266935</v>
      </c>
      <c r="BH43" s="22">
        <f>+'P&amp;L Cash Flow Monthly'!BH15*0.04</f>
        <v>3930.38787</v>
      </c>
      <c r="BI43" s="22">
        <f>+'P&amp;L Cash Flow Monthly'!BI15*0.04</f>
        <v>3776.068895</v>
      </c>
      <c r="BJ43" s="22">
        <f>+'P&amp;L Cash Flow Monthly'!BJ15*0.04</f>
        <v>3080.788972</v>
      </c>
      <c r="BK43" s="22">
        <f>+'P&amp;L Cash Flow Monthly'!BK15*0.04</f>
        <v>3094.60837</v>
      </c>
      <c r="BL43" s="22">
        <f>+'P&amp;L Cash Flow Monthly'!BL15*0.04</f>
        <v>3114.502688</v>
      </c>
      <c r="BM43" s="22">
        <f>+'P&amp;L Cash Flow Monthly'!BM15*0.04</f>
        <v>3125.329846</v>
      </c>
      <c r="BN43" s="22">
        <f>+'P&amp;L Cash Flow Monthly'!BN15*0.04</f>
        <v>3131.173829</v>
      </c>
      <c r="BO43" s="22">
        <f>+'P&amp;L Cash Flow Monthly'!BO15*0.04</f>
        <v>3112.718129</v>
      </c>
      <c r="BP43" s="22">
        <f>+'P&amp;L Cash Flow Monthly'!BP15*0.04</f>
        <v>3347.330133</v>
      </c>
      <c r="BQ43" s="22">
        <f>+'P&amp;L Cash Flow Monthly'!BQ15*0.04</f>
        <v>3572.325558</v>
      </c>
      <c r="BR43" s="22">
        <f>+'P&amp;L Cash Flow Monthly'!BR15*0.04</f>
        <v>3800.896695</v>
      </c>
      <c r="BS43" s="22">
        <f>+'P&amp;L Cash Flow Monthly'!BS15*0.04</f>
        <v>3794.835204</v>
      </c>
      <c r="BT43" s="22">
        <f>+'P&amp;L Cash Flow Monthly'!BT15*0.04</f>
        <v>3775.780214</v>
      </c>
      <c r="BU43" s="22">
        <f>+'P&amp;L Cash Flow Monthly'!BU15*0.04</f>
        <v>4039.500762</v>
      </c>
      <c r="BV43" s="22">
        <f>+'P&amp;L Cash Flow Monthly'!BV15*0.04</f>
        <v>4556.289014</v>
      </c>
      <c r="BW43" s="22">
        <f>+'P&amp;L Cash Flow Monthly'!BW15*0.04</f>
        <v>5086.229766</v>
      </c>
      <c r="BX43" s="22">
        <f>+'P&amp;L Cash Flow Monthly'!BX15*0.04</f>
        <v>5394.275279</v>
      </c>
      <c r="BY43" s="22">
        <f>+'P&amp;L Cash Flow Monthly'!BY15*0.04</f>
        <v>5685.793517</v>
      </c>
      <c r="BZ43" s="22">
        <f>+'P&amp;L Cash Flow Monthly'!BZ15*0.04</f>
        <v>6026.062775</v>
      </c>
      <c r="CA43" s="22">
        <f>+'P&amp;L Cash Flow Monthly'!CA15*0.04</f>
        <v>6354.865367</v>
      </c>
      <c r="CB43" s="22">
        <f>+'P&amp;L Cash Flow Monthly'!CB15*0.04</f>
        <v>6458.906053</v>
      </c>
      <c r="CC43" s="22">
        <f>+'P&amp;L Cash Flow Monthly'!CC15*0.04</f>
        <v>6558.796113</v>
      </c>
      <c r="CD43" s="22">
        <f>+'P&amp;L Cash Flow Monthly'!CD15*0.04</f>
        <v>6658.686172</v>
      </c>
      <c r="CE43" s="22">
        <f>+'P&amp;L Cash Flow Monthly'!CE15*0.04</f>
        <v>6785.745492</v>
      </c>
      <c r="CF43" s="22">
        <f>+'P&amp;L Cash Flow Monthly'!CF15*0.04</f>
        <v>6907.685764</v>
      </c>
      <c r="CG43" s="22">
        <f>+'P&amp;L Cash Flow Monthly'!CG15*0.04</f>
        <v>7267.441229</v>
      </c>
      <c r="CH43" s="22">
        <f>+'P&amp;L Cash Flow Monthly'!CH15*0.04</f>
        <v>7581.744539</v>
      </c>
      <c r="CI43" s="22">
        <f>+'P&amp;L Cash Flow Monthly'!CI15*0.04</f>
        <v>7899.602</v>
      </c>
      <c r="CJ43" s="22">
        <f>+'P&amp;L Cash Flow Monthly'!CJ15*0.04</f>
        <v>8243.192476</v>
      </c>
      <c r="CK43" s="22">
        <f>+'P&amp;L Cash Flow Monthly'!CK15*0.04</f>
        <v>8565.882408</v>
      </c>
      <c r="CL43" s="22">
        <f>+'P&amp;L Cash Flow Monthly'!CL15*0.04</f>
        <v>9132.647125</v>
      </c>
      <c r="CM43" s="22">
        <f>+'P&amp;L Cash Flow Monthly'!CM15*0.04</f>
        <v>9481.52649</v>
      </c>
      <c r="CN43" s="22">
        <f>+'P&amp;L Cash Flow Monthly'!CN15*0.04</f>
        <v>9813.048939</v>
      </c>
      <c r="CO43" s="22">
        <f>+'P&amp;L Cash Flow Monthly'!CO15*0.04</f>
        <v>9946.832007</v>
      </c>
      <c r="CP43" s="22">
        <f>+'P&amp;L Cash Flow Monthly'!CP15*0.04</f>
        <v>10080.61508</v>
      </c>
    </row>
    <row r="44" ht="12.75" customHeight="1">
      <c r="A44" s="106" t="s">
        <v>134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>
        <v>200.0</v>
      </c>
      <c r="AI44" s="107">
        <v>200.0</v>
      </c>
      <c r="AJ44" s="107">
        <v>200.0</v>
      </c>
      <c r="AK44" s="107">
        <v>200.0</v>
      </c>
      <c r="AL44" s="107">
        <v>200.0</v>
      </c>
      <c r="AM44" s="107">
        <v>200.0</v>
      </c>
      <c r="AN44" s="107">
        <v>200.0</v>
      </c>
      <c r="AO44" s="107">
        <v>200.0</v>
      </c>
      <c r="AP44" s="107">
        <v>200.0</v>
      </c>
      <c r="AQ44" s="107">
        <v>200.0</v>
      </c>
      <c r="AR44" s="107">
        <v>200.0</v>
      </c>
      <c r="AS44" s="107">
        <v>200.0</v>
      </c>
      <c r="AT44" s="107">
        <v>200.0</v>
      </c>
      <c r="AU44" s="107">
        <v>1200.0</v>
      </c>
      <c r="AV44" s="107">
        <v>1200.0</v>
      </c>
      <c r="AW44" s="107">
        <v>1200.0</v>
      </c>
      <c r="AX44" s="107">
        <v>1200.0</v>
      </c>
      <c r="AY44" s="107">
        <v>1200.0</v>
      </c>
      <c r="AZ44" s="107">
        <v>1200.0</v>
      </c>
      <c r="BA44" s="107">
        <v>1200.0</v>
      </c>
      <c r="BB44" s="107">
        <v>1200.0</v>
      </c>
      <c r="BC44" s="107">
        <v>1200.0</v>
      </c>
      <c r="BD44" s="107">
        <v>1200.0</v>
      </c>
      <c r="BE44" s="107">
        <v>1200.0</v>
      </c>
      <c r="BF44" s="107">
        <v>1200.0</v>
      </c>
      <c r="BG44" s="107">
        <v>1200.0</v>
      </c>
      <c r="BH44" s="107">
        <v>1200.0</v>
      </c>
      <c r="BI44" s="107">
        <v>1200.0</v>
      </c>
      <c r="BJ44" s="107">
        <v>1200.0</v>
      </c>
      <c r="BK44" s="107">
        <v>1200.0</v>
      </c>
      <c r="BL44" s="107">
        <v>1200.0</v>
      </c>
      <c r="BM44" s="107">
        <v>1200.0</v>
      </c>
      <c r="BN44" s="107">
        <v>1200.0</v>
      </c>
      <c r="BO44" s="107">
        <v>1200.0</v>
      </c>
      <c r="BP44" s="107">
        <v>1200.0</v>
      </c>
      <c r="BQ44" s="107">
        <v>2400.0</v>
      </c>
      <c r="BR44" s="107">
        <v>2400.0</v>
      </c>
      <c r="BS44" s="107">
        <v>5500.0</v>
      </c>
      <c r="BT44" s="107">
        <v>5500.0</v>
      </c>
      <c r="BU44" s="107">
        <v>5500.0</v>
      </c>
      <c r="BV44" s="107">
        <v>5500.0</v>
      </c>
      <c r="BW44" s="107">
        <v>5500.0</v>
      </c>
      <c r="BX44" s="107">
        <v>5500.0</v>
      </c>
      <c r="BY44" s="107">
        <v>5500.0</v>
      </c>
      <c r="BZ44" s="107">
        <v>5500.0</v>
      </c>
      <c r="CA44" s="107">
        <v>5500.0</v>
      </c>
      <c r="CB44" s="107">
        <v>5500.0</v>
      </c>
      <c r="CC44" s="107">
        <v>5500.0</v>
      </c>
      <c r="CD44" s="107">
        <v>5500.0</v>
      </c>
      <c r="CE44" s="107">
        <v>5500.0</v>
      </c>
      <c r="CF44" s="107">
        <v>5500.0</v>
      </c>
      <c r="CG44" s="107">
        <v>5500.0</v>
      </c>
      <c r="CH44" s="107">
        <v>5500.0</v>
      </c>
      <c r="CI44" s="107">
        <v>5500.0</v>
      </c>
      <c r="CJ44" s="107">
        <v>5500.0</v>
      </c>
      <c r="CK44" s="107">
        <v>5500.0</v>
      </c>
      <c r="CL44" s="107">
        <v>5500.0</v>
      </c>
      <c r="CM44" s="107">
        <v>5500.0</v>
      </c>
      <c r="CN44" s="107">
        <v>5500.0</v>
      </c>
      <c r="CO44" s="107">
        <v>5500.0</v>
      </c>
      <c r="CP44" s="107">
        <v>5500.0</v>
      </c>
    </row>
    <row r="45" ht="12.75" customHeight="1">
      <c r="A45" s="106" t="s">
        <v>135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>
        <v>1200.0</v>
      </c>
      <c r="AI45" s="107">
        <v>1200.0</v>
      </c>
      <c r="AJ45" s="107">
        <v>1200.0</v>
      </c>
      <c r="AK45" s="107">
        <v>1200.0</v>
      </c>
      <c r="AL45" s="107">
        <v>1200.0</v>
      </c>
      <c r="AM45" s="107">
        <v>1200.0</v>
      </c>
      <c r="AN45" s="107">
        <v>1200.0</v>
      </c>
      <c r="AO45" s="107">
        <v>1200.0</v>
      </c>
      <c r="AP45" s="107">
        <v>1200.0</v>
      </c>
      <c r="AQ45" s="107">
        <v>1200.0</v>
      </c>
      <c r="AR45" s="107">
        <v>1200.0</v>
      </c>
      <c r="AS45" s="107">
        <v>1200.0</v>
      </c>
      <c r="AT45" s="107">
        <v>1200.0</v>
      </c>
      <c r="AU45" s="107">
        <v>1200.0</v>
      </c>
      <c r="AV45" s="107">
        <v>1200.0</v>
      </c>
      <c r="AW45" s="107">
        <v>1200.0</v>
      </c>
      <c r="AX45" s="107">
        <v>1200.0</v>
      </c>
      <c r="AY45" s="107">
        <v>1200.0</v>
      </c>
      <c r="AZ45" s="107">
        <v>1200.0</v>
      </c>
      <c r="BA45" s="107">
        <v>1200.0</v>
      </c>
      <c r="BB45" s="107">
        <v>1200.0</v>
      </c>
      <c r="BC45" s="107">
        <v>1200.0</v>
      </c>
      <c r="BD45" s="107">
        <v>1200.0</v>
      </c>
      <c r="BE45" s="107">
        <v>1200.0</v>
      </c>
      <c r="BF45" s="107">
        <v>1200.0</v>
      </c>
      <c r="BG45" s="107">
        <v>1200.0</v>
      </c>
      <c r="BH45" s="107">
        <v>1200.0</v>
      </c>
      <c r="BI45" s="107">
        <v>1200.0</v>
      </c>
      <c r="BJ45" s="107">
        <v>1200.0</v>
      </c>
      <c r="BK45" s="107">
        <v>1200.0</v>
      </c>
      <c r="BL45" s="107">
        <v>1200.0</v>
      </c>
      <c r="BM45" s="107">
        <v>1200.0</v>
      </c>
      <c r="BN45" s="107">
        <v>1200.0</v>
      </c>
      <c r="BO45" s="107">
        <v>1200.0</v>
      </c>
      <c r="BP45" s="107">
        <v>1200.0</v>
      </c>
      <c r="BQ45" s="107">
        <v>1200.0</v>
      </c>
      <c r="BR45" s="107">
        <v>1200.0</v>
      </c>
      <c r="BS45" s="107">
        <v>1200.0</v>
      </c>
      <c r="BT45" s="107">
        <v>1200.0</v>
      </c>
      <c r="BU45" s="107">
        <v>1200.0</v>
      </c>
      <c r="BV45" s="107">
        <v>1200.0</v>
      </c>
      <c r="BW45" s="107">
        <v>1200.0</v>
      </c>
      <c r="BX45" s="107">
        <v>1200.0</v>
      </c>
      <c r="BY45" s="107">
        <v>1200.0</v>
      </c>
      <c r="BZ45" s="107">
        <v>1200.0</v>
      </c>
      <c r="CA45" s="107">
        <v>1200.0</v>
      </c>
      <c r="CB45" s="107">
        <v>1200.0</v>
      </c>
      <c r="CC45" s="107">
        <v>1200.0</v>
      </c>
      <c r="CD45" s="107">
        <v>1200.0</v>
      </c>
      <c r="CE45" s="107">
        <v>1200.0</v>
      </c>
      <c r="CF45" s="107">
        <v>1200.0</v>
      </c>
      <c r="CG45" s="107">
        <v>1200.0</v>
      </c>
      <c r="CH45" s="107">
        <v>1200.0</v>
      </c>
      <c r="CI45" s="107">
        <v>1200.0</v>
      </c>
      <c r="CJ45" s="107">
        <v>1200.0</v>
      </c>
      <c r="CK45" s="107">
        <v>1200.0</v>
      </c>
      <c r="CL45" s="107">
        <v>1200.0</v>
      </c>
      <c r="CM45" s="107">
        <v>1200.0</v>
      </c>
      <c r="CN45" s="107">
        <v>1200.0</v>
      </c>
      <c r="CO45" s="107">
        <v>1200.0</v>
      </c>
      <c r="CP45" s="107">
        <v>1200.0</v>
      </c>
    </row>
    <row r="46" ht="12.75" customHeight="1">
      <c r="A46" s="106" t="s">
        <v>136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>
        <v>1300.0</v>
      </c>
      <c r="AI46" s="107">
        <v>1300.0</v>
      </c>
      <c r="AJ46" s="107">
        <v>1300.0</v>
      </c>
      <c r="AK46" s="107">
        <v>1300.0</v>
      </c>
      <c r="AL46" s="107">
        <v>1300.0</v>
      </c>
      <c r="AM46" s="107">
        <v>1300.0</v>
      </c>
      <c r="AN46" s="107">
        <v>1300.0</v>
      </c>
      <c r="AO46" s="107">
        <v>1300.0</v>
      </c>
      <c r="AP46" s="107">
        <v>1300.0</v>
      </c>
      <c r="AQ46" s="107">
        <v>1300.0</v>
      </c>
      <c r="AR46" s="107">
        <v>1300.0</v>
      </c>
      <c r="AS46" s="107">
        <v>1300.0</v>
      </c>
      <c r="AT46" s="107">
        <v>1300.0</v>
      </c>
      <c r="AU46" s="107">
        <v>1300.0</v>
      </c>
      <c r="AV46" s="107">
        <v>1300.0</v>
      </c>
      <c r="AW46" s="107">
        <v>1300.0</v>
      </c>
      <c r="AX46" s="107">
        <v>1300.0</v>
      </c>
      <c r="AY46" s="107">
        <v>1300.0</v>
      </c>
      <c r="AZ46" s="107">
        <v>1300.0</v>
      </c>
      <c r="BA46" s="107">
        <v>1300.0</v>
      </c>
      <c r="BB46" s="107">
        <v>1300.0</v>
      </c>
      <c r="BC46" s="107">
        <v>1300.0</v>
      </c>
      <c r="BD46" s="107">
        <v>1300.0</v>
      </c>
      <c r="BE46" s="107">
        <v>1300.0</v>
      </c>
      <c r="BF46" s="107">
        <v>1300.0</v>
      </c>
      <c r="BG46" s="107">
        <v>1300.0</v>
      </c>
      <c r="BH46" s="107">
        <v>1300.0</v>
      </c>
      <c r="BI46" s="107">
        <v>1300.0</v>
      </c>
      <c r="BJ46" s="107">
        <v>1300.0</v>
      </c>
      <c r="BK46" s="107">
        <v>1300.0</v>
      </c>
      <c r="BL46" s="107">
        <v>1300.0</v>
      </c>
      <c r="BM46" s="107">
        <v>1300.0</v>
      </c>
      <c r="BN46" s="107">
        <v>1300.0</v>
      </c>
      <c r="BO46" s="107">
        <v>1300.0</v>
      </c>
      <c r="BP46" s="107">
        <v>1300.0</v>
      </c>
      <c r="BQ46" s="107">
        <v>5000.0</v>
      </c>
      <c r="BR46" s="107">
        <v>5000.0</v>
      </c>
      <c r="BS46" s="107">
        <v>5000.0</v>
      </c>
      <c r="BT46" s="107">
        <v>5000.0</v>
      </c>
      <c r="BU46" s="107">
        <v>5000.0</v>
      </c>
      <c r="BV46" s="107">
        <v>5000.0</v>
      </c>
      <c r="BW46" s="107">
        <v>5000.0</v>
      </c>
      <c r="BX46" s="107">
        <v>5000.0</v>
      </c>
      <c r="BY46" s="107">
        <v>5000.0</v>
      </c>
      <c r="BZ46" s="107">
        <v>5000.0</v>
      </c>
      <c r="CA46" s="107">
        <v>5000.0</v>
      </c>
      <c r="CB46" s="107">
        <v>5000.0</v>
      </c>
      <c r="CC46" s="107">
        <v>5000.0</v>
      </c>
      <c r="CD46" s="107">
        <v>5000.0</v>
      </c>
      <c r="CE46" s="107">
        <v>5000.0</v>
      </c>
      <c r="CF46" s="107">
        <v>5000.0</v>
      </c>
      <c r="CG46" s="107">
        <v>5000.0</v>
      </c>
      <c r="CH46" s="107">
        <v>5000.0</v>
      </c>
      <c r="CI46" s="107">
        <v>5000.0</v>
      </c>
      <c r="CJ46" s="107">
        <v>5000.0</v>
      </c>
      <c r="CK46" s="107">
        <v>5000.0</v>
      </c>
      <c r="CL46" s="107">
        <v>5000.0</v>
      </c>
      <c r="CM46" s="107">
        <v>5000.0</v>
      </c>
      <c r="CN46" s="107">
        <v>5000.0</v>
      </c>
      <c r="CO46" s="107">
        <v>5000.0</v>
      </c>
      <c r="CP46" s="107">
        <v>5000.0</v>
      </c>
    </row>
    <row r="47" ht="12.75" customHeight="1">
      <c r="A47" s="106" t="s">
        <v>137</v>
      </c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>
        <v>200.0</v>
      </c>
      <c r="AI47" s="107">
        <v>200.0</v>
      </c>
      <c r="AJ47" s="107">
        <v>200.0</v>
      </c>
      <c r="AK47" s="107">
        <v>200.0</v>
      </c>
      <c r="AL47" s="107">
        <v>200.0</v>
      </c>
      <c r="AM47" s="107">
        <v>1500.0</v>
      </c>
      <c r="AN47" s="107">
        <v>1500.0</v>
      </c>
      <c r="AO47" s="107">
        <v>1500.0</v>
      </c>
      <c r="AP47" s="107">
        <v>1500.0</v>
      </c>
      <c r="AQ47" s="107">
        <v>1500.0</v>
      </c>
      <c r="AR47" s="107">
        <v>1500.0</v>
      </c>
      <c r="AS47" s="107">
        <v>1500.0</v>
      </c>
      <c r="AT47" s="107">
        <v>1500.0</v>
      </c>
      <c r="AU47" s="107">
        <v>1500.0</v>
      </c>
      <c r="AV47" s="107">
        <v>1500.0</v>
      </c>
      <c r="AW47" s="107">
        <v>1500.0</v>
      </c>
      <c r="AX47" s="107">
        <v>1500.0</v>
      </c>
      <c r="AY47" s="107">
        <v>1500.0</v>
      </c>
      <c r="AZ47" s="107">
        <v>1500.0</v>
      </c>
      <c r="BA47" s="107">
        <v>1500.0</v>
      </c>
      <c r="BB47" s="107">
        <v>1500.0</v>
      </c>
      <c r="BC47" s="107">
        <v>1500.0</v>
      </c>
      <c r="BD47" s="107">
        <v>1500.0</v>
      </c>
      <c r="BE47" s="107">
        <v>1500.0</v>
      </c>
      <c r="BF47" s="107">
        <v>1500.0</v>
      </c>
      <c r="BG47" s="107">
        <v>1500.0</v>
      </c>
      <c r="BH47" s="107">
        <v>1500.0</v>
      </c>
      <c r="BI47" s="107">
        <v>1500.0</v>
      </c>
      <c r="BJ47" s="107">
        <v>1500.0</v>
      </c>
      <c r="BK47" s="107">
        <v>1500.0</v>
      </c>
      <c r="BL47" s="107">
        <v>1500.0</v>
      </c>
      <c r="BM47" s="107">
        <v>1500.0</v>
      </c>
      <c r="BN47" s="107">
        <v>1500.0</v>
      </c>
      <c r="BO47" s="107">
        <v>1500.0</v>
      </c>
      <c r="BP47" s="107">
        <v>3000.0</v>
      </c>
      <c r="BQ47" s="107">
        <v>3000.0</v>
      </c>
      <c r="BR47" s="107">
        <v>3000.0</v>
      </c>
      <c r="BS47" s="107">
        <v>3000.0</v>
      </c>
      <c r="BT47" s="107">
        <v>3000.0</v>
      </c>
      <c r="BU47" s="107">
        <v>3000.0</v>
      </c>
      <c r="BV47" s="107">
        <v>3000.0</v>
      </c>
      <c r="BW47" s="107">
        <v>3000.0</v>
      </c>
      <c r="BX47" s="107">
        <v>3000.0</v>
      </c>
      <c r="BY47" s="107">
        <v>3000.0</v>
      </c>
      <c r="BZ47" s="107">
        <v>3000.0</v>
      </c>
      <c r="CA47" s="107">
        <v>3000.0</v>
      </c>
      <c r="CB47" s="107">
        <v>3000.0</v>
      </c>
      <c r="CC47" s="107">
        <v>3000.0</v>
      </c>
      <c r="CD47" s="107">
        <v>3000.0</v>
      </c>
      <c r="CE47" s="107">
        <v>3000.0</v>
      </c>
      <c r="CF47" s="107">
        <v>3000.0</v>
      </c>
      <c r="CG47" s="107">
        <v>3000.0</v>
      </c>
      <c r="CH47" s="107">
        <v>3000.0</v>
      </c>
      <c r="CI47" s="107">
        <v>3000.0</v>
      </c>
      <c r="CJ47" s="107">
        <v>3000.0</v>
      </c>
      <c r="CK47" s="107">
        <v>3000.0</v>
      </c>
      <c r="CL47" s="107">
        <v>3000.0</v>
      </c>
      <c r="CM47" s="107">
        <v>3000.0</v>
      </c>
      <c r="CN47" s="107">
        <v>3000.0</v>
      </c>
      <c r="CO47" s="107">
        <v>3000.0</v>
      </c>
      <c r="CP47" s="107">
        <v>3000.0</v>
      </c>
    </row>
    <row r="48" ht="12.75" customHeight="1">
      <c r="A48" s="106" t="s">
        <v>138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>
        <v>400.0</v>
      </c>
      <c r="AI48" s="107">
        <v>400.0</v>
      </c>
      <c r="AJ48" s="107">
        <v>400.0</v>
      </c>
      <c r="AK48" s="107">
        <v>400.0</v>
      </c>
      <c r="AL48" s="107">
        <v>400.0</v>
      </c>
      <c r="AM48" s="107">
        <v>800.0</v>
      </c>
      <c r="AN48" s="107">
        <v>800.0</v>
      </c>
      <c r="AO48" s="107">
        <v>800.0</v>
      </c>
      <c r="AP48" s="107">
        <v>800.0</v>
      </c>
      <c r="AQ48" s="107">
        <v>800.0</v>
      </c>
      <c r="AR48" s="107">
        <v>800.0</v>
      </c>
      <c r="AS48" s="107">
        <v>800.0</v>
      </c>
      <c r="AT48" s="107">
        <v>800.0</v>
      </c>
      <c r="AU48" s="107">
        <v>800.0</v>
      </c>
      <c r="AV48" s="107">
        <v>800.0</v>
      </c>
      <c r="AW48" s="107">
        <v>800.0</v>
      </c>
      <c r="AX48" s="107">
        <v>800.0</v>
      </c>
      <c r="AY48" s="107">
        <v>800.0</v>
      </c>
      <c r="AZ48" s="107">
        <v>800.0</v>
      </c>
      <c r="BA48" s="107">
        <v>800.0</v>
      </c>
      <c r="BB48" s="107">
        <v>800.0</v>
      </c>
      <c r="BC48" s="107">
        <v>800.0</v>
      </c>
      <c r="BD48" s="107">
        <v>800.0</v>
      </c>
      <c r="BE48" s="107">
        <v>800.0</v>
      </c>
      <c r="BF48" s="107">
        <v>800.0</v>
      </c>
      <c r="BG48" s="107">
        <v>1400.0</v>
      </c>
      <c r="BH48" s="107">
        <v>1400.0</v>
      </c>
      <c r="BI48" s="107">
        <v>1400.0</v>
      </c>
      <c r="BJ48" s="107">
        <v>1400.0</v>
      </c>
      <c r="BK48" s="107">
        <v>1400.0</v>
      </c>
      <c r="BL48" s="107">
        <v>1400.0</v>
      </c>
      <c r="BM48" s="107">
        <v>1400.0</v>
      </c>
      <c r="BN48" s="107">
        <v>1400.0</v>
      </c>
      <c r="BO48" s="107">
        <v>1400.0</v>
      </c>
      <c r="BP48" s="107">
        <v>1400.0</v>
      </c>
      <c r="BQ48" s="107">
        <v>1400.0</v>
      </c>
      <c r="BR48" s="107">
        <v>1400.0</v>
      </c>
      <c r="BS48" s="107">
        <v>1400.0</v>
      </c>
      <c r="BT48" s="107">
        <v>1400.0</v>
      </c>
      <c r="BU48" s="107">
        <v>1400.0</v>
      </c>
      <c r="BV48" s="107">
        <v>1400.0</v>
      </c>
      <c r="BW48" s="107">
        <v>1400.0</v>
      </c>
      <c r="BX48" s="107">
        <v>1400.0</v>
      </c>
      <c r="BY48" s="107">
        <v>1400.0</v>
      </c>
      <c r="BZ48" s="107">
        <v>1400.0</v>
      </c>
      <c r="CA48" s="107">
        <v>1400.0</v>
      </c>
      <c r="CB48" s="107">
        <v>1400.0</v>
      </c>
      <c r="CC48" s="107">
        <v>1400.0</v>
      </c>
      <c r="CD48" s="107">
        <v>1400.0</v>
      </c>
      <c r="CE48" s="107">
        <v>1400.0</v>
      </c>
      <c r="CF48" s="107">
        <v>1400.0</v>
      </c>
      <c r="CG48" s="107">
        <v>1400.0</v>
      </c>
      <c r="CH48" s="107">
        <v>1400.0</v>
      </c>
      <c r="CI48" s="107">
        <v>1400.0</v>
      </c>
      <c r="CJ48" s="107">
        <v>1400.0</v>
      </c>
      <c r="CK48" s="107">
        <v>1400.0</v>
      </c>
      <c r="CL48" s="107">
        <v>1400.0</v>
      </c>
      <c r="CM48" s="107">
        <v>1400.0</v>
      </c>
      <c r="CN48" s="107">
        <v>1400.0</v>
      </c>
      <c r="CO48" s="107">
        <v>1400.0</v>
      </c>
      <c r="CP48" s="107">
        <v>1400.0</v>
      </c>
    </row>
    <row r="49" ht="12.75" customHeight="1">
      <c r="A49" s="106" t="s">
        <v>139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22">
        <v>500.0</v>
      </c>
      <c r="AI49" s="22">
        <v>500.0</v>
      </c>
      <c r="AJ49" s="22">
        <v>500.0</v>
      </c>
      <c r="AK49" s="22">
        <v>500.0</v>
      </c>
      <c r="AL49" s="22">
        <v>500.0</v>
      </c>
      <c r="AM49" s="22">
        <v>500.0</v>
      </c>
      <c r="AN49" s="22">
        <v>500.0</v>
      </c>
      <c r="AO49" s="22">
        <v>500.0</v>
      </c>
      <c r="AP49" s="22">
        <v>500.0</v>
      </c>
      <c r="AQ49" s="22">
        <v>500.0</v>
      </c>
      <c r="AR49" s="22">
        <v>500.0</v>
      </c>
      <c r="AS49" s="22">
        <v>500.0</v>
      </c>
      <c r="AT49" s="22">
        <v>500.0</v>
      </c>
      <c r="AU49" s="22">
        <v>500.0</v>
      </c>
      <c r="AV49" s="22">
        <v>500.0</v>
      </c>
      <c r="AW49" s="22">
        <v>500.0</v>
      </c>
      <c r="AX49" s="22">
        <v>500.0</v>
      </c>
      <c r="AY49" s="22">
        <v>500.0</v>
      </c>
      <c r="AZ49" s="22">
        <v>500.0</v>
      </c>
      <c r="BA49" s="22">
        <v>500.0</v>
      </c>
      <c r="BB49" s="22">
        <v>500.0</v>
      </c>
      <c r="BC49" s="22">
        <v>500.0</v>
      </c>
      <c r="BD49" s="22">
        <v>500.0</v>
      </c>
      <c r="BE49" s="22">
        <v>500.0</v>
      </c>
      <c r="BF49" s="22">
        <v>500.0</v>
      </c>
      <c r="BG49" s="22">
        <v>500.0</v>
      </c>
      <c r="BH49" s="22">
        <v>500.0</v>
      </c>
      <c r="BI49" s="22">
        <v>500.0</v>
      </c>
      <c r="BJ49" s="22">
        <v>500.0</v>
      </c>
      <c r="BK49" s="22">
        <v>500.0</v>
      </c>
      <c r="BL49" s="22">
        <v>500.0</v>
      </c>
      <c r="BM49" s="22">
        <v>500.0</v>
      </c>
      <c r="BN49" s="22">
        <v>500.0</v>
      </c>
      <c r="BO49" s="22">
        <v>500.0</v>
      </c>
      <c r="BP49" s="22">
        <v>500.0</v>
      </c>
      <c r="BQ49" s="22">
        <v>2500.0</v>
      </c>
      <c r="BR49" s="22">
        <v>2500.0</v>
      </c>
      <c r="BS49" s="22">
        <v>2500.0</v>
      </c>
      <c r="BT49" s="22">
        <v>2500.0</v>
      </c>
      <c r="BU49" s="22">
        <v>2500.0</v>
      </c>
      <c r="BV49" s="22">
        <v>2500.0</v>
      </c>
      <c r="BW49" s="22">
        <v>2500.0</v>
      </c>
      <c r="BX49" s="22">
        <v>2500.0</v>
      </c>
      <c r="BY49" s="22">
        <v>2500.0</v>
      </c>
      <c r="BZ49" s="22">
        <v>2500.0</v>
      </c>
      <c r="CA49" s="22">
        <v>2500.0</v>
      </c>
      <c r="CB49" s="22">
        <v>2500.0</v>
      </c>
      <c r="CC49" s="22">
        <v>2500.0</v>
      </c>
      <c r="CD49" s="22">
        <v>2500.0</v>
      </c>
      <c r="CE49" s="22">
        <v>2500.0</v>
      </c>
      <c r="CF49" s="22">
        <v>2500.0</v>
      </c>
      <c r="CG49" s="22">
        <v>2500.0</v>
      </c>
      <c r="CH49" s="22">
        <v>2500.0</v>
      </c>
      <c r="CI49" s="22">
        <v>2500.0</v>
      </c>
      <c r="CJ49" s="22">
        <v>2500.0</v>
      </c>
      <c r="CK49" s="22">
        <v>2500.0</v>
      </c>
      <c r="CL49" s="22">
        <v>2500.0</v>
      </c>
      <c r="CM49" s="22">
        <v>2500.0</v>
      </c>
      <c r="CN49" s="22">
        <v>2500.0</v>
      </c>
      <c r="CO49" s="22">
        <v>2500.0</v>
      </c>
      <c r="CP49" s="22">
        <v>2500.0</v>
      </c>
    </row>
    <row r="50" ht="12.75" customHeight="1">
      <c r="A50" s="106" t="s">
        <v>140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>
        <f>'P&amp;L Cash Flow Monthly'!AH15*0.00285</f>
        <v>256.070216</v>
      </c>
      <c r="AI50" s="107">
        <f>'P&amp;L Cash Flow Monthly'!AI15*0.00285</f>
        <v>221.8380167</v>
      </c>
      <c r="AJ50" s="107">
        <f>'P&amp;L Cash Flow Monthly'!AJ15*0.00285</f>
        <v>200.4747302</v>
      </c>
      <c r="AK50" s="107">
        <f>'P&amp;L Cash Flow Monthly'!AK15*0.00285</f>
        <v>177.3570432</v>
      </c>
      <c r="AL50" s="107">
        <f>'P&amp;L Cash Flow Monthly'!AL15*0.00285</f>
        <v>154.734127</v>
      </c>
      <c r="AM50" s="107">
        <f>'P&amp;L Cash Flow Monthly'!AM15*0.00285</f>
        <v>158.6856671</v>
      </c>
      <c r="AN50" s="107">
        <f>'P&amp;L Cash Flow Monthly'!AN15*0.00285</f>
        <v>164.1501702</v>
      </c>
      <c r="AO50" s="107">
        <f>'P&amp;L Cash Flow Monthly'!AO15*0.00285</f>
        <v>169.6218405</v>
      </c>
      <c r="AP50" s="107">
        <f>'P&amp;L Cash Flow Monthly'!AP15*0.00285</f>
        <v>169.1480941</v>
      </c>
      <c r="AQ50" s="107">
        <f>'P&amp;L Cash Flow Monthly'!AQ15*0.00285</f>
        <v>168.6743477</v>
      </c>
      <c r="AR50" s="107">
        <f>'P&amp;L Cash Flow Monthly'!AR15*0.00285</f>
        <v>166.0221985</v>
      </c>
      <c r="AS50" s="107">
        <f>'P&amp;L Cash Flow Monthly'!AS15*0.00285</f>
        <v>160.9550425</v>
      </c>
      <c r="AT50" s="107">
        <f>'P&amp;L Cash Flow Monthly'!AT15*0.00285</f>
        <v>151.0178264</v>
      </c>
      <c r="AU50" s="107">
        <f>'P&amp;L Cash Flow Monthly'!AU15*0.00285</f>
        <v>150.623355</v>
      </c>
      <c r="AV50" s="107">
        <f>'P&amp;L Cash Flow Monthly'!AV15*0.00285</f>
        <v>163.9347914</v>
      </c>
      <c r="AW50" s="107">
        <f>'P&amp;L Cash Flow Monthly'!AW15*0.00285</f>
        <v>205.0429502</v>
      </c>
      <c r="AX50" s="107">
        <f>'P&amp;L Cash Flow Monthly'!AX15*0.00285</f>
        <v>236.1287381</v>
      </c>
      <c r="AY50" s="107">
        <f>'P&amp;L Cash Flow Monthly'!AY15*0.00285</f>
        <v>268.4454403</v>
      </c>
      <c r="AZ50" s="107">
        <f>'P&amp;L Cash Flow Monthly'!AZ15*0.00285</f>
        <v>278.8516814</v>
      </c>
      <c r="BA50" s="107">
        <f>'P&amp;L Cash Flow Monthly'!BA15*0.00285</f>
        <v>297.1506292</v>
      </c>
      <c r="BB50" s="107">
        <f>'P&amp;L Cash Flow Monthly'!BB15*0.00285</f>
        <v>321.4586693</v>
      </c>
      <c r="BC50" s="107">
        <f>'P&amp;L Cash Flow Monthly'!BC15*0.00285</f>
        <v>309.7045617</v>
      </c>
      <c r="BD50" s="107">
        <f>'P&amp;L Cash Flow Monthly'!BD15*0.00285</f>
        <v>290.3759167</v>
      </c>
      <c r="BE50" s="107">
        <f>'P&amp;L Cash Flow Monthly'!BE15*0.00285</f>
        <v>254.0986218</v>
      </c>
      <c r="BF50" s="107">
        <f>'P&amp;L Cash Flow Monthly'!BF15*0.00285</f>
        <v>250.6063798</v>
      </c>
      <c r="BG50" s="107">
        <f>'P&amp;L Cash Flow Monthly'!BG15*0.00285</f>
        <v>289.7215191</v>
      </c>
      <c r="BH50" s="107">
        <f>'P&amp;L Cash Flow Monthly'!BH15*0.00285</f>
        <v>280.0401357</v>
      </c>
      <c r="BI50" s="107">
        <f>'P&amp;L Cash Flow Monthly'!BI15*0.00285</f>
        <v>269.0449087</v>
      </c>
      <c r="BJ50" s="107">
        <f>'P&amp;L Cash Flow Monthly'!BJ15*0.00285</f>
        <v>219.5062143</v>
      </c>
      <c r="BK50" s="107">
        <f>'P&amp;L Cash Flow Monthly'!BK15*0.00285</f>
        <v>220.4908464</v>
      </c>
      <c r="BL50" s="107">
        <f>'P&amp;L Cash Flow Monthly'!BL15*0.00285</f>
        <v>221.9083165</v>
      </c>
      <c r="BM50" s="107">
        <f>'P&amp;L Cash Flow Monthly'!BM15*0.00285</f>
        <v>222.6797515</v>
      </c>
      <c r="BN50" s="107">
        <f>'P&amp;L Cash Flow Monthly'!BN15*0.00285</f>
        <v>223.0961353</v>
      </c>
      <c r="BO50" s="107">
        <f>'P&amp;L Cash Flow Monthly'!BO15*0.00285</f>
        <v>221.7811667</v>
      </c>
      <c r="BP50" s="107">
        <f>'P&amp;L Cash Flow Monthly'!BP15*0.00285</f>
        <v>238.497272</v>
      </c>
      <c r="BQ50" s="107">
        <f>'P&amp;L Cash Flow Monthly'!BQ15*0.00285</f>
        <v>254.528196</v>
      </c>
      <c r="BR50" s="107">
        <f>'P&amp;L Cash Flow Monthly'!BR15*0.00285</f>
        <v>270.8138895</v>
      </c>
      <c r="BS50" s="107">
        <f>'P&amp;L Cash Flow Monthly'!BS15*0.00285</f>
        <v>270.3820083</v>
      </c>
      <c r="BT50" s="107">
        <f>'P&amp;L Cash Flow Monthly'!BT15*0.00285</f>
        <v>269.0243402</v>
      </c>
      <c r="BU50" s="107">
        <f>'P&amp;L Cash Flow Monthly'!BU15*0.00285</f>
        <v>287.8144293</v>
      </c>
      <c r="BV50" s="107">
        <f>'P&amp;L Cash Flow Monthly'!BV15*0.00285</f>
        <v>324.6355923</v>
      </c>
      <c r="BW50" s="107">
        <f>'P&amp;L Cash Flow Monthly'!BW15*0.00285</f>
        <v>362.3938708</v>
      </c>
      <c r="BX50" s="107">
        <f>'P&amp;L Cash Flow Monthly'!BX15*0.00285</f>
        <v>384.3421136</v>
      </c>
      <c r="BY50" s="107">
        <f>'P&amp;L Cash Flow Monthly'!BY15*0.00285</f>
        <v>405.1127881</v>
      </c>
      <c r="BZ50" s="107">
        <f>'P&amp;L Cash Flow Monthly'!BZ15*0.00285</f>
        <v>429.3569727</v>
      </c>
      <c r="CA50" s="107">
        <f>'P&amp;L Cash Flow Monthly'!CA15*0.00285</f>
        <v>452.7841574</v>
      </c>
      <c r="CB50" s="107">
        <f>'P&amp;L Cash Flow Monthly'!CB15*0.00285</f>
        <v>460.1970563</v>
      </c>
      <c r="CC50" s="107">
        <f>'P&amp;L Cash Flow Monthly'!CC15*0.00285</f>
        <v>467.314223</v>
      </c>
      <c r="CD50" s="107">
        <f>'P&amp;L Cash Flow Monthly'!CD15*0.00285</f>
        <v>474.4313898</v>
      </c>
      <c r="CE50" s="107">
        <f>'P&amp;L Cash Flow Monthly'!CE15*0.00285</f>
        <v>483.4843663</v>
      </c>
      <c r="CF50" s="107">
        <f>'P&amp;L Cash Flow Monthly'!CF15*0.00285</f>
        <v>492.1726107</v>
      </c>
      <c r="CG50" s="107">
        <f>'P&amp;L Cash Flow Monthly'!CG15*0.00285</f>
        <v>517.8051876</v>
      </c>
      <c r="CH50" s="107">
        <f>'P&amp;L Cash Flow Monthly'!CH15*0.00285</f>
        <v>540.1992984</v>
      </c>
      <c r="CI50" s="107">
        <f>'P&amp;L Cash Flow Monthly'!CI15*0.00285</f>
        <v>562.8466425</v>
      </c>
      <c r="CJ50" s="107">
        <f>'P&amp;L Cash Flow Monthly'!CJ15*0.00285</f>
        <v>587.3274639</v>
      </c>
      <c r="CK50" s="107">
        <f>'P&amp;L Cash Flow Monthly'!CK15*0.00285</f>
        <v>610.3191216</v>
      </c>
      <c r="CL50" s="107">
        <f>'P&amp;L Cash Flow Monthly'!CL15*0.00285</f>
        <v>650.7011076</v>
      </c>
      <c r="CM50" s="107">
        <f>'P&amp;L Cash Flow Monthly'!CM15*0.00285</f>
        <v>675.5587624</v>
      </c>
      <c r="CN50" s="107">
        <f>'P&amp;L Cash Flow Monthly'!CN15*0.00285</f>
        <v>699.1797369</v>
      </c>
      <c r="CO50" s="107">
        <f>'P&amp;L Cash Flow Monthly'!CO15*0.00285</f>
        <v>708.7117805</v>
      </c>
      <c r="CP50" s="107">
        <f>'P&amp;L Cash Flow Monthly'!CP15*0.00285</f>
        <v>718.2438242</v>
      </c>
    </row>
    <row r="51" ht="12.75" customHeight="1">
      <c r="A51" s="106" t="s">
        <v>141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22">
        <v>2000.0</v>
      </c>
      <c r="AI51" s="22">
        <v>2000.0</v>
      </c>
      <c r="AJ51" s="22">
        <v>2000.0</v>
      </c>
      <c r="AK51" s="22">
        <v>2000.0</v>
      </c>
      <c r="AL51" s="22">
        <v>2000.0</v>
      </c>
      <c r="AM51" s="22">
        <v>2000.0</v>
      </c>
      <c r="AN51" s="22">
        <v>2000.0</v>
      </c>
      <c r="AO51" s="22">
        <v>2000.0</v>
      </c>
      <c r="AP51" s="22">
        <v>2000.0</v>
      </c>
      <c r="AQ51" s="22">
        <v>2000.0</v>
      </c>
      <c r="AR51" s="22">
        <v>2000.0</v>
      </c>
      <c r="AS51" s="22">
        <v>2000.0</v>
      </c>
      <c r="AT51" s="22">
        <v>2000.0</v>
      </c>
      <c r="AU51" s="22">
        <v>2000.0</v>
      </c>
      <c r="AV51" s="22">
        <v>2000.0</v>
      </c>
      <c r="AW51" s="22">
        <v>2000.0</v>
      </c>
      <c r="AX51" s="22">
        <v>2000.0</v>
      </c>
      <c r="AY51" s="22">
        <v>2000.0</v>
      </c>
      <c r="AZ51" s="22">
        <v>2000.0</v>
      </c>
      <c r="BA51" s="22">
        <v>2000.0</v>
      </c>
      <c r="BB51" s="22">
        <v>2000.0</v>
      </c>
      <c r="BC51" s="22">
        <v>2000.0</v>
      </c>
      <c r="BD51" s="22">
        <v>2000.0</v>
      </c>
      <c r="BE51" s="22">
        <v>2000.0</v>
      </c>
      <c r="BF51" s="22">
        <v>2000.0</v>
      </c>
      <c r="BG51" s="22">
        <v>2000.0</v>
      </c>
      <c r="BH51" s="22">
        <v>2000.0</v>
      </c>
      <c r="BI51" s="22">
        <v>2000.0</v>
      </c>
      <c r="BJ51" s="22">
        <v>2000.0</v>
      </c>
      <c r="BK51" s="22">
        <v>2000.0</v>
      </c>
      <c r="BL51" s="22">
        <v>2000.0</v>
      </c>
      <c r="BM51" s="22">
        <v>2000.0</v>
      </c>
      <c r="BN51" s="24">
        <v>1000.0</v>
      </c>
      <c r="BO51" s="24">
        <v>1000.0</v>
      </c>
      <c r="BP51" s="24">
        <v>1000.0</v>
      </c>
      <c r="BQ51" s="24">
        <v>1000.0</v>
      </c>
      <c r="BR51" s="24">
        <v>1000.0</v>
      </c>
      <c r="BS51" s="24">
        <v>1000.0</v>
      </c>
      <c r="BT51" s="24">
        <v>1000.0</v>
      </c>
      <c r="BU51" s="24">
        <v>1000.0</v>
      </c>
      <c r="BV51" s="24">
        <v>1000.0</v>
      </c>
      <c r="BW51" s="24">
        <v>1000.0</v>
      </c>
      <c r="BX51" s="24">
        <v>1000.0</v>
      </c>
      <c r="BY51" s="24">
        <v>1000.0</v>
      </c>
      <c r="BZ51" s="24">
        <v>1000.0</v>
      </c>
      <c r="CA51" s="24">
        <v>1000.0</v>
      </c>
      <c r="CB51" s="24">
        <v>1000.0</v>
      </c>
      <c r="CC51" s="24">
        <v>1000.0</v>
      </c>
      <c r="CD51" s="24">
        <v>1000.0</v>
      </c>
      <c r="CE51" s="24">
        <v>1000.0</v>
      </c>
      <c r="CF51" s="24">
        <v>1000.0</v>
      </c>
      <c r="CG51" s="24">
        <v>1000.0</v>
      </c>
      <c r="CH51" s="24">
        <v>1000.0</v>
      </c>
      <c r="CI51" s="24">
        <v>1000.0</v>
      </c>
      <c r="CJ51" s="24">
        <v>1000.0</v>
      </c>
      <c r="CK51" s="24">
        <v>1000.0</v>
      </c>
      <c r="CL51" s="24">
        <v>1000.0</v>
      </c>
      <c r="CM51" s="24">
        <v>1000.0</v>
      </c>
      <c r="CN51" s="24">
        <v>1000.0</v>
      </c>
      <c r="CO51" s="24">
        <v>1000.0</v>
      </c>
      <c r="CP51" s="24">
        <v>1000.0</v>
      </c>
    </row>
    <row r="52" ht="12.75" customHeight="1">
      <c r="A52" s="106" t="s">
        <v>142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22">
        <v>500.0</v>
      </c>
      <c r="AI52" s="22">
        <v>1000.0</v>
      </c>
      <c r="AJ52" s="22">
        <v>1000.0</v>
      </c>
      <c r="AK52" s="22">
        <v>1000.0</v>
      </c>
      <c r="AL52" s="22">
        <v>1000.0</v>
      </c>
      <c r="AM52" s="22">
        <v>1000.0</v>
      </c>
      <c r="AN52" s="22">
        <v>1000.0</v>
      </c>
      <c r="AO52" s="22">
        <v>1000.0</v>
      </c>
      <c r="AP52" s="22">
        <v>1000.0</v>
      </c>
      <c r="AQ52" s="22">
        <v>1000.0</v>
      </c>
      <c r="AR52" s="22">
        <v>1000.0</v>
      </c>
      <c r="AS52" s="22">
        <v>1000.0</v>
      </c>
      <c r="AT52" s="22">
        <v>1000.0</v>
      </c>
      <c r="AU52" s="22">
        <v>1000.0</v>
      </c>
      <c r="AV52" s="22">
        <v>1000.0</v>
      </c>
      <c r="AW52" s="22">
        <v>1000.0</v>
      </c>
      <c r="AX52" s="22">
        <v>1000.0</v>
      </c>
      <c r="AY52" s="22">
        <v>1000.0</v>
      </c>
      <c r="AZ52" s="22">
        <v>1000.0</v>
      </c>
      <c r="BA52" s="22">
        <v>1000.0</v>
      </c>
      <c r="BB52" s="22">
        <v>1000.0</v>
      </c>
      <c r="BC52" s="22">
        <v>1000.0</v>
      </c>
      <c r="BD52" s="22">
        <v>1000.0</v>
      </c>
      <c r="BE52" s="22">
        <v>1000.0</v>
      </c>
      <c r="BF52" s="22">
        <v>1000.0</v>
      </c>
      <c r="BG52" s="22">
        <v>1000.0</v>
      </c>
      <c r="BH52" s="22">
        <v>1000.0</v>
      </c>
      <c r="BI52" s="22">
        <v>1000.0</v>
      </c>
      <c r="BJ52" s="22">
        <v>1000.0</v>
      </c>
      <c r="BK52" s="22">
        <v>1000.0</v>
      </c>
      <c r="BL52" s="22">
        <v>1000.0</v>
      </c>
      <c r="BM52" s="22">
        <v>1000.0</v>
      </c>
      <c r="BN52" s="22">
        <v>1000.0</v>
      </c>
      <c r="BO52" s="22">
        <v>1000.0</v>
      </c>
      <c r="BP52" s="22">
        <v>1000.0</v>
      </c>
      <c r="BQ52" s="22">
        <v>1000.0</v>
      </c>
      <c r="BR52" s="22">
        <v>1000.0</v>
      </c>
      <c r="BS52" s="22">
        <v>1000.0</v>
      </c>
      <c r="BT52" s="22">
        <v>1000.0</v>
      </c>
      <c r="BU52" s="22">
        <v>1000.0</v>
      </c>
      <c r="BV52" s="22">
        <v>1000.0</v>
      </c>
      <c r="BW52" s="22">
        <v>1000.0</v>
      </c>
      <c r="BX52" s="22">
        <v>1000.0</v>
      </c>
      <c r="BY52" s="22">
        <v>1000.0</v>
      </c>
      <c r="BZ52" s="22">
        <v>1000.0</v>
      </c>
      <c r="CA52" s="22">
        <v>1000.0</v>
      </c>
      <c r="CB52" s="22">
        <v>1000.0</v>
      </c>
      <c r="CC52" s="22">
        <v>1000.0</v>
      </c>
      <c r="CD52" s="22">
        <v>1000.0</v>
      </c>
      <c r="CE52" s="22">
        <v>2000.0</v>
      </c>
      <c r="CF52" s="22">
        <v>2000.0</v>
      </c>
      <c r="CG52" s="22">
        <v>2000.0</v>
      </c>
      <c r="CH52" s="22">
        <v>2000.0</v>
      </c>
      <c r="CI52" s="22">
        <v>2000.0</v>
      </c>
      <c r="CJ52" s="22">
        <v>2000.0</v>
      </c>
      <c r="CK52" s="22">
        <v>2000.0</v>
      </c>
      <c r="CL52" s="22">
        <v>2000.0</v>
      </c>
      <c r="CM52" s="22">
        <v>2000.0</v>
      </c>
      <c r="CN52" s="22">
        <v>2000.0</v>
      </c>
      <c r="CO52" s="22">
        <v>2000.0</v>
      </c>
      <c r="CP52" s="22">
        <v>2000.0</v>
      </c>
    </row>
    <row r="53" ht="12.75" customHeight="1">
      <c r="A53" s="106" t="s">
        <v>143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110"/>
      <c r="AW53" s="110"/>
      <c r="AX53" s="110"/>
      <c r="AY53" s="110"/>
      <c r="AZ53" s="110"/>
      <c r="BA53" s="110"/>
      <c r="BB53" s="110"/>
      <c r="BC53" s="110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>
        <v>1000.0</v>
      </c>
      <c r="BY53" s="22">
        <v>1000.0</v>
      </c>
      <c r="BZ53" s="22">
        <v>1000.0</v>
      </c>
      <c r="CA53" s="24">
        <v>0.0</v>
      </c>
      <c r="CB53" s="22"/>
      <c r="CC53" s="22">
        <v>1000.0</v>
      </c>
      <c r="CD53" s="22">
        <v>1000.0</v>
      </c>
      <c r="CE53" s="22"/>
      <c r="CF53" s="22">
        <v>1000.0</v>
      </c>
      <c r="CG53" s="22">
        <v>1000.0</v>
      </c>
      <c r="CH53" s="22"/>
      <c r="CI53" s="22">
        <v>1000.0</v>
      </c>
      <c r="CJ53" s="22">
        <v>1000.0</v>
      </c>
      <c r="CK53" s="22">
        <v>1000.0</v>
      </c>
      <c r="CL53" s="22">
        <v>1000.0</v>
      </c>
      <c r="CM53" s="22">
        <v>1000.0</v>
      </c>
      <c r="CN53" s="22">
        <v>1000.0</v>
      </c>
      <c r="CO53" s="22">
        <v>1000.0</v>
      </c>
      <c r="CP53" s="22">
        <v>1000.0</v>
      </c>
    </row>
    <row r="54" ht="12.75" customHeight="1">
      <c r="A54" s="106" t="s">
        <v>144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2">
        <f>+IF('P&amp;L Cash Flow Monthly'!AG39&gt;2000000,'P&amp;L Cash Flow Monthly'!AG23*0.05,0)</f>
        <v>0</v>
      </c>
      <c r="AI54" s="12">
        <f>+IF('P&amp;L Cash Flow Monthly'!AH39&gt;2000000,'P&amp;L Cash Flow Monthly'!AH23*0.05,0)</f>
        <v>0</v>
      </c>
      <c r="AJ54" s="12">
        <f>+IF('P&amp;L Cash Flow Monthly'!AI39&gt;2000000,'P&amp;L Cash Flow Monthly'!AI23*0.05,0)</f>
        <v>0</v>
      </c>
      <c r="AK54" s="12">
        <f>+IF('P&amp;L Cash Flow Monthly'!AJ39&gt;2000000,'P&amp;L Cash Flow Monthly'!AJ23*0.05,0)</f>
        <v>0</v>
      </c>
      <c r="AL54" s="12">
        <f>+IF('P&amp;L Cash Flow Monthly'!AK39&gt;2000000,'P&amp;L Cash Flow Monthly'!AK23*0.05,0)</f>
        <v>0</v>
      </c>
      <c r="AM54" s="12">
        <f>+IF('P&amp;L Cash Flow Monthly'!AL39&gt;2000000,'P&amp;L Cash Flow Monthly'!AL23*0.05,0)</f>
        <v>0</v>
      </c>
      <c r="AN54" s="12">
        <f>+IF('P&amp;L Cash Flow Monthly'!AM39&gt;2000000,'P&amp;L Cash Flow Monthly'!AM23*0.05,0)</f>
        <v>0</v>
      </c>
      <c r="AO54" s="12">
        <f>+IF('P&amp;L Cash Flow Monthly'!AN39&gt;2000000,'P&amp;L Cash Flow Monthly'!AN23*0.05,0)</f>
        <v>0</v>
      </c>
      <c r="AP54" s="12">
        <f>+IF('P&amp;L Cash Flow Monthly'!AO39&gt;2000000,'P&amp;L Cash Flow Monthly'!AO23*0.05,0)</f>
        <v>0</v>
      </c>
      <c r="AQ54" s="12">
        <f>+IF('P&amp;L Cash Flow Monthly'!AP39&gt;2000000,'P&amp;L Cash Flow Monthly'!AP23*0.05,0)</f>
        <v>0</v>
      </c>
      <c r="AR54" s="12">
        <f>+IF('P&amp;L Cash Flow Monthly'!AQ39&gt;2000000,'P&amp;L Cash Flow Monthly'!AQ23*0.05,0)</f>
        <v>0</v>
      </c>
      <c r="AS54" s="12">
        <f>+IF('P&amp;L Cash Flow Monthly'!AR39&gt;2000000,'P&amp;L Cash Flow Monthly'!AR23*0.05,0)</f>
        <v>0</v>
      </c>
      <c r="AT54" s="12">
        <f>+IF('P&amp;L Cash Flow Monthly'!AS39&gt;2000000,'P&amp;L Cash Flow Monthly'!AS23*0.05,0)</f>
        <v>0</v>
      </c>
      <c r="AU54" s="12">
        <f>+IF('P&amp;L Cash Flow Monthly'!AT39&gt;2000000,'P&amp;L Cash Flow Monthly'!AT23*0.05,0)</f>
        <v>0</v>
      </c>
      <c r="AV54" s="12">
        <f>+IF('P&amp;L Cash Flow Monthly'!AU39&gt;2000000,'P&amp;L Cash Flow Monthly'!AU23*0.05,0)</f>
        <v>0</v>
      </c>
      <c r="AW54" s="12">
        <f>+IF('P&amp;L Cash Flow Monthly'!AV39&gt;2000000,'P&amp;L Cash Flow Monthly'!AV23*0.05,0)</f>
        <v>0</v>
      </c>
      <c r="AX54" s="12">
        <f>+IF('P&amp;L Cash Flow Monthly'!AW39&gt;2000000,'P&amp;L Cash Flow Monthly'!AW23*0.05,0)</f>
        <v>0</v>
      </c>
      <c r="AY54" s="12">
        <f>+IF('P&amp;L Cash Flow Monthly'!AX39&gt;2000000,'P&amp;L Cash Flow Monthly'!AX23*0.05,0)</f>
        <v>0</v>
      </c>
      <c r="AZ54" s="12">
        <f>+IF('P&amp;L Cash Flow Monthly'!AY39&gt;2000000,'P&amp;L Cash Flow Monthly'!AY23*0.05,0)</f>
        <v>0</v>
      </c>
      <c r="BA54" s="12">
        <f>+IF('P&amp;L Cash Flow Monthly'!AZ39&gt;2000000,'P&amp;L Cash Flow Monthly'!AZ23*0.05,0)</f>
        <v>0</v>
      </c>
      <c r="BB54" s="12">
        <f>+IF('P&amp;L Cash Flow Monthly'!BA39&gt;2000000,'P&amp;L Cash Flow Monthly'!BA23*0.05,0)</f>
        <v>0</v>
      </c>
      <c r="BC54" s="12">
        <f>+IF('P&amp;L Cash Flow Monthly'!BB39&gt;2000000,'P&amp;L Cash Flow Monthly'!BB23*0.05,0)</f>
        <v>0</v>
      </c>
      <c r="BD54" s="12">
        <f>+IF('P&amp;L Cash Flow Monthly'!BC39&gt;2000000,'P&amp;L Cash Flow Monthly'!BC23*0.05,0)</f>
        <v>0</v>
      </c>
      <c r="BE54" s="12">
        <f>+IF('P&amp;L Cash Flow Monthly'!BD39&gt;2000000,'P&amp;L Cash Flow Monthly'!BD23*0.05,0)</f>
        <v>0</v>
      </c>
      <c r="BF54" s="12">
        <f>+IF('P&amp;L Cash Flow Monthly'!BE39&gt;2000000,'P&amp;L Cash Flow Monthly'!BE23*0.05,0)</f>
        <v>0</v>
      </c>
      <c r="BG54" s="12">
        <f>+IF('P&amp;L Cash Flow Monthly'!BF39&gt;2000000,'P&amp;L Cash Flow Monthly'!BF23*0.05,0)</f>
        <v>0</v>
      </c>
      <c r="BH54" s="12">
        <f>+IF('P&amp;L Cash Flow Monthly'!BG39&gt;2000000,'P&amp;L Cash Flow Monthly'!BG23*0.05,0)</f>
        <v>0</v>
      </c>
      <c r="BI54" s="12">
        <f>+IF('P&amp;L Cash Flow Monthly'!BH39&gt;2000000,'P&amp;L Cash Flow Monthly'!BH23*0.05,0)</f>
        <v>0</v>
      </c>
      <c r="BJ54" s="12">
        <f>+IF('P&amp;L Cash Flow Monthly'!BI39&gt;2000000,'P&amp;L Cash Flow Monthly'!BI23*0.05,0)</f>
        <v>0</v>
      </c>
      <c r="BK54" s="12">
        <f>+IF('P&amp;L Cash Flow Monthly'!BJ39&gt;2000000,'P&amp;L Cash Flow Monthly'!BJ23*0.05,0)</f>
        <v>0</v>
      </c>
      <c r="BL54" s="12">
        <f>+IF('P&amp;L Cash Flow Monthly'!BK39&gt;2000000,'P&amp;L Cash Flow Monthly'!BK23*0.05,0)</f>
        <v>0</v>
      </c>
      <c r="BM54" s="12">
        <f>+IF('P&amp;L Cash Flow Monthly'!BL39&gt;2000000,'P&amp;L Cash Flow Monthly'!BL23*0.05,0)</f>
        <v>0</v>
      </c>
      <c r="BN54" s="12">
        <f>+IF('P&amp;L Cash Flow Monthly'!BM39&gt;2000000,'P&amp;L Cash Flow Monthly'!BM23*0.05,0)</f>
        <v>0</v>
      </c>
      <c r="BO54" s="12">
        <f>+IF('P&amp;L Cash Flow Monthly'!BN39&gt;2000000,'P&amp;L Cash Flow Monthly'!BN23*0.05,0)</f>
        <v>0</v>
      </c>
      <c r="BP54" s="12">
        <f>+IF('P&amp;L Cash Flow Monthly'!BO39&gt;2000000,'P&amp;L Cash Flow Monthly'!BO23*0.05,0)</f>
        <v>0</v>
      </c>
      <c r="BQ54" s="12">
        <f>+IF('P&amp;L Cash Flow Monthly'!BP39&gt;2000000,'P&amp;L Cash Flow Monthly'!BP23*0.05,0)</f>
        <v>0</v>
      </c>
      <c r="BR54" s="12">
        <f>+IF('P&amp;L Cash Flow Monthly'!BQ39&gt;2000000,'P&amp;L Cash Flow Monthly'!BQ23*0.05,0)</f>
        <v>0</v>
      </c>
      <c r="BS54" s="12">
        <f>+IF('P&amp;L Cash Flow Monthly'!BR39&gt;2000000,'P&amp;L Cash Flow Monthly'!BR23*0.05,0)</f>
        <v>0</v>
      </c>
      <c r="BT54" s="12">
        <f>+IF('P&amp;L Cash Flow Monthly'!BS39&gt;2000000,'P&amp;L Cash Flow Monthly'!BS23*0.05,0)</f>
        <v>0</v>
      </c>
      <c r="BU54" s="12">
        <f>+IF('P&amp;L Cash Flow Monthly'!BT39&gt;2000000,'P&amp;L Cash Flow Monthly'!BT23*0.05,0)</f>
        <v>0</v>
      </c>
      <c r="BV54" s="12">
        <f>+IF('P&amp;L Cash Flow Monthly'!BU39&gt;2000000,'P&amp;L Cash Flow Monthly'!BU23*0.05,0)</f>
        <v>0</v>
      </c>
      <c r="BW54" s="12">
        <f>+IF('P&amp;L Cash Flow Monthly'!BV39&gt;2000000,'P&amp;L Cash Flow Monthly'!BV23*0.05,0)</f>
        <v>0</v>
      </c>
      <c r="BX54" s="12">
        <f>+IF('P&amp;L Cash Flow Monthly'!BW39&gt;2000000,'P&amp;L Cash Flow Monthly'!BW23*0.05,0)</f>
        <v>0</v>
      </c>
      <c r="BY54" s="12">
        <f>+IF('P&amp;L Cash Flow Monthly'!BX39&gt;2000000,'P&amp;L Cash Flow Monthly'!BX23*0.05,0)</f>
        <v>0</v>
      </c>
      <c r="BZ54" s="12">
        <f>+IF('P&amp;L Cash Flow Monthly'!BY39&gt;2000000,'P&amp;L Cash Flow Monthly'!BY23*0.05,0)</f>
        <v>0</v>
      </c>
      <c r="CA54" s="12">
        <f>+IF('P&amp;L Cash Flow Monthly'!BZ39&gt;2000000,'P&amp;L Cash Flow Monthly'!BZ23*0.05,0)</f>
        <v>0</v>
      </c>
      <c r="CB54" s="12">
        <f>+IF('P&amp;L Cash Flow Monthly'!CA39&gt;2000000,'P&amp;L Cash Flow Monthly'!CA23*0.05,0)</f>
        <v>0</v>
      </c>
      <c r="CC54" s="12">
        <f>+IF('P&amp;L Cash Flow Monthly'!CB39&gt;2000000,'P&amp;L Cash Flow Monthly'!CB23*0.05,0)</f>
        <v>0</v>
      </c>
      <c r="CD54" s="12">
        <f>+IF('P&amp;L Cash Flow Monthly'!CC39&gt;2000000,'P&amp;L Cash Flow Monthly'!CC23*0.05,0)</f>
        <v>0</v>
      </c>
      <c r="CE54" s="12">
        <f>+IF('P&amp;L Cash Flow Monthly'!CD39&gt;2000000,'P&amp;L Cash Flow Monthly'!CD23*0.05,0)</f>
        <v>0</v>
      </c>
      <c r="CF54" s="12">
        <f>+IF('P&amp;L Cash Flow Monthly'!CE39&gt;2000000,'P&amp;L Cash Flow Monthly'!CE23*0.05,0)</f>
        <v>0</v>
      </c>
      <c r="CG54" s="12">
        <f>+IF('P&amp;L Cash Flow Monthly'!CF39&gt;2000000,'P&amp;L Cash Flow Monthly'!CF23*0.05,0)</f>
        <v>0</v>
      </c>
      <c r="CH54" s="12">
        <f>+IF('P&amp;L Cash Flow Monthly'!CG39&gt;2000000,'P&amp;L Cash Flow Monthly'!CG23*0.05,0)</f>
        <v>0</v>
      </c>
      <c r="CI54" s="12">
        <f>+IF('P&amp;L Cash Flow Monthly'!CH39&gt;2000000,'P&amp;L Cash Flow Monthly'!CH23*0.05,0)</f>
        <v>0</v>
      </c>
      <c r="CJ54" s="12">
        <f>+IF('P&amp;L Cash Flow Monthly'!CI39&gt;2000000,'P&amp;L Cash Flow Monthly'!CI23*0.05,0)</f>
        <v>0</v>
      </c>
      <c r="CK54" s="12">
        <f>+IF('P&amp;L Cash Flow Monthly'!CJ39&gt;2000000,'P&amp;L Cash Flow Monthly'!CJ23*0.05,0)</f>
        <v>0</v>
      </c>
      <c r="CL54" s="12">
        <f>+IF('P&amp;L Cash Flow Monthly'!CK39&gt;2000000,'P&amp;L Cash Flow Monthly'!CK23*0.05,0)</f>
        <v>0</v>
      </c>
      <c r="CM54" s="12">
        <f>+IF('P&amp;L Cash Flow Monthly'!CL39&gt;2000000,'P&amp;L Cash Flow Monthly'!CL23*0.05,0)</f>
        <v>0</v>
      </c>
      <c r="CN54" s="12">
        <f>+IF('P&amp;L Cash Flow Monthly'!CM39&gt;2000000,'P&amp;L Cash Flow Monthly'!CM23*0.05,0)</f>
        <v>0</v>
      </c>
      <c r="CO54" s="12">
        <f>+IF('P&amp;L Cash Flow Monthly'!CN39&gt;2000000,'P&amp;L Cash Flow Monthly'!CN23*0.05,0)</f>
        <v>0</v>
      </c>
      <c r="CP54" s="12">
        <f>+IF('P&amp;L Cash Flow Monthly'!CO39&gt;2000000,'P&amp;L Cash Flow Monthly'!CO23*0.05,0)</f>
        <v>0</v>
      </c>
    </row>
    <row r="55" ht="12.75" customHeight="1">
      <c r="A55" s="106" t="s">
        <v>145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>
        <v>7000.0</v>
      </c>
      <c r="AF55" s="107">
        <v>70000.0</v>
      </c>
      <c r="AG55" s="107">
        <v>25000.0</v>
      </c>
      <c r="AH55" s="107">
        <v>3500.0</v>
      </c>
      <c r="AI55" s="107">
        <v>3500.0</v>
      </c>
      <c r="AJ55" s="107">
        <v>3500.0</v>
      </c>
      <c r="AK55" s="107">
        <v>3500.0</v>
      </c>
      <c r="AL55" s="107">
        <v>3500.0</v>
      </c>
      <c r="AM55" s="107">
        <v>3500.0</v>
      </c>
      <c r="AN55" s="107">
        <v>3500.0</v>
      </c>
      <c r="AO55" s="107">
        <v>3500.0</v>
      </c>
      <c r="AP55" s="107">
        <v>3500.0</v>
      </c>
      <c r="AQ55" s="107">
        <v>3500.0</v>
      </c>
      <c r="AR55" s="107">
        <v>3500.0</v>
      </c>
      <c r="AS55" s="107">
        <v>3500.0</v>
      </c>
      <c r="AT55" s="107">
        <v>3500.0</v>
      </c>
      <c r="AU55" s="107">
        <v>3500.0</v>
      </c>
      <c r="AV55" s="107">
        <v>3500.0</v>
      </c>
      <c r="AW55" s="107">
        <v>3500.0</v>
      </c>
      <c r="AX55" s="107">
        <v>3500.0</v>
      </c>
      <c r="AY55" s="107">
        <v>3500.0</v>
      </c>
      <c r="AZ55" s="107">
        <v>3500.0</v>
      </c>
      <c r="BA55" s="107">
        <v>3500.0</v>
      </c>
      <c r="BB55" s="107">
        <v>3500.0</v>
      </c>
      <c r="BC55" s="107">
        <v>3500.0</v>
      </c>
      <c r="BD55" s="107">
        <v>3500.0</v>
      </c>
      <c r="BE55" s="107">
        <v>3500.0</v>
      </c>
      <c r="BF55" s="107">
        <v>3500.0</v>
      </c>
      <c r="BG55" s="107">
        <v>3500.0</v>
      </c>
      <c r="BH55" s="107">
        <v>3500.0</v>
      </c>
      <c r="BI55" s="107">
        <v>3500.0</v>
      </c>
      <c r="BJ55" s="107">
        <v>3500.0</v>
      </c>
      <c r="BK55" s="107">
        <v>3500.0</v>
      </c>
      <c r="BL55" s="107">
        <v>3500.0</v>
      </c>
      <c r="BM55" s="107">
        <v>3500.0</v>
      </c>
      <c r="BN55" s="107">
        <v>3500.0</v>
      </c>
      <c r="BO55" s="107">
        <v>3500.0</v>
      </c>
      <c r="BP55" s="107">
        <v>3500.0</v>
      </c>
      <c r="BQ55" s="107">
        <v>3500.0</v>
      </c>
      <c r="BR55" s="107">
        <v>3500.0</v>
      </c>
      <c r="BS55" s="107">
        <v>3500.0</v>
      </c>
      <c r="BT55" s="107">
        <v>3500.0</v>
      </c>
      <c r="BU55" s="107">
        <v>3500.0</v>
      </c>
      <c r="BV55" s="107">
        <v>3500.0</v>
      </c>
      <c r="BW55" s="107">
        <v>3500.0</v>
      </c>
      <c r="BX55" s="107">
        <v>3500.0</v>
      </c>
      <c r="BY55" s="107">
        <v>3500.0</v>
      </c>
      <c r="BZ55" s="107">
        <v>3500.0</v>
      </c>
      <c r="CA55" s="107">
        <v>3500.0</v>
      </c>
      <c r="CB55" s="107">
        <v>3500.0</v>
      </c>
      <c r="CC55" s="107">
        <v>3500.0</v>
      </c>
      <c r="CD55" s="107">
        <v>3500.0</v>
      </c>
      <c r="CE55" s="107">
        <v>3500.0</v>
      </c>
      <c r="CF55" s="107">
        <v>3500.0</v>
      </c>
      <c r="CG55" s="107">
        <v>3500.0</v>
      </c>
      <c r="CH55" s="107">
        <v>3500.0</v>
      </c>
      <c r="CI55" s="107">
        <v>3500.0</v>
      </c>
      <c r="CJ55" s="107">
        <v>3500.0</v>
      </c>
      <c r="CK55" s="107">
        <v>3500.0</v>
      </c>
      <c r="CL55" s="107">
        <v>3500.0</v>
      </c>
      <c r="CM55" s="107">
        <v>3500.0</v>
      </c>
      <c r="CN55" s="107">
        <v>3500.0</v>
      </c>
      <c r="CO55" s="107">
        <v>3500.0</v>
      </c>
      <c r="CP55" s="107">
        <v>3500.0</v>
      </c>
    </row>
    <row r="56" ht="12.75" customHeight="1">
      <c r="A56" s="106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7"/>
      <c r="BK56" s="107"/>
      <c r="BL56" s="107"/>
      <c r="BM56" s="107"/>
      <c r="BN56" s="107"/>
      <c r="BO56" s="107"/>
      <c r="BP56" s="107"/>
      <c r="BQ56" s="107"/>
      <c r="BR56" s="107"/>
      <c r="BS56" s="107"/>
      <c r="BT56" s="107"/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7"/>
      <c r="CF56" s="107"/>
      <c r="CG56" s="107"/>
      <c r="CH56" s="107"/>
      <c r="CI56" s="107"/>
      <c r="CJ56" s="107"/>
      <c r="CK56" s="107"/>
      <c r="CL56" s="107"/>
      <c r="CM56" s="107"/>
      <c r="CN56" s="107"/>
      <c r="CO56" s="107"/>
      <c r="CP56" s="107"/>
    </row>
    <row r="57" ht="12.75" customHeight="1">
      <c r="A57" s="106" t="s">
        <v>146</v>
      </c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/>
      <c r="CD57" s="107"/>
      <c r="CE57" s="107"/>
      <c r="CF57" s="107"/>
      <c r="CG57" s="107"/>
      <c r="CH57" s="107"/>
      <c r="CI57" s="107"/>
      <c r="CJ57" s="107"/>
      <c r="CK57" s="107"/>
      <c r="CL57" s="107"/>
      <c r="CM57" s="107"/>
      <c r="CN57" s="107"/>
      <c r="CO57" s="107"/>
      <c r="CP57" s="107"/>
    </row>
    <row r="58" ht="12.75" customHeight="1">
      <c r="A58" s="106" t="s">
        <v>147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>
        <v>0.0</v>
      </c>
      <c r="AI58" s="107">
        <v>0.0</v>
      </c>
      <c r="AJ58" s="107">
        <v>0.0</v>
      </c>
      <c r="AK58" s="107">
        <v>0.0</v>
      </c>
      <c r="AL58" s="107">
        <v>0.0</v>
      </c>
      <c r="AM58" s="107">
        <v>0.0</v>
      </c>
      <c r="AN58" s="107"/>
      <c r="AO58" s="107"/>
      <c r="AP58" s="107">
        <v>1000.0</v>
      </c>
      <c r="AQ58" s="107"/>
      <c r="AR58" s="107">
        <v>1000.0</v>
      </c>
      <c r="AS58" s="107"/>
      <c r="AT58" s="107">
        <v>1000.0</v>
      </c>
      <c r="AU58" s="107">
        <v>0.0</v>
      </c>
      <c r="AV58" s="107">
        <v>0.0</v>
      </c>
      <c r="AW58" s="107">
        <v>0.0</v>
      </c>
      <c r="AX58" s="107">
        <v>0.0</v>
      </c>
      <c r="AY58" s="107">
        <v>0.0</v>
      </c>
      <c r="AZ58" s="107">
        <v>0.0</v>
      </c>
      <c r="BA58" s="107">
        <v>0.0</v>
      </c>
      <c r="BB58" s="107">
        <v>0.0</v>
      </c>
      <c r="BC58" s="107">
        <v>0.0</v>
      </c>
      <c r="BD58" s="107">
        <v>0.0</v>
      </c>
      <c r="BE58" s="107">
        <v>0.0</v>
      </c>
      <c r="BF58" s="107">
        <v>0.0</v>
      </c>
      <c r="BG58" s="107">
        <v>2000.0</v>
      </c>
      <c r="BH58" s="107"/>
      <c r="BI58" s="107">
        <v>2000.0</v>
      </c>
      <c r="BJ58" s="107"/>
      <c r="BK58" s="107">
        <v>2000.0</v>
      </c>
      <c r="BL58" s="107"/>
      <c r="BM58" s="107">
        <v>2000.0</v>
      </c>
      <c r="BN58" s="107"/>
      <c r="BO58" s="107">
        <v>2000.0</v>
      </c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7"/>
      <c r="CF58" s="107"/>
      <c r="CG58" s="107"/>
      <c r="CH58" s="107"/>
      <c r="CI58" s="107"/>
      <c r="CJ58" s="107">
        <v>2000.0</v>
      </c>
      <c r="CK58" s="107">
        <v>2000.0</v>
      </c>
      <c r="CL58" s="107">
        <v>2000.0</v>
      </c>
      <c r="CM58" s="107">
        <v>2000.0</v>
      </c>
      <c r="CN58" s="107">
        <v>2000.0</v>
      </c>
      <c r="CO58" s="107">
        <v>2000.0</v>
      </c>
      <c r="CP58" s="107">
        <v>2000.0</v>
      </c>
    </row>
    <row r="59" ht="12.75" customHeight="1">
      <c r="A59" s="106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7"/>
      <c r="BX59" s="107"/>
      <c r="BY59" s="107"/>
      <c r="BZ59" s="107"/>
      <c r="CA59" s="107"/>
      <c r="CB59" s="107"/>
      <c r="CC59" s="107"/>
      <c r="CD59" s="107"/>
      <c r="CE59" s="107"/>
      <c r="CF59" s="107"/>
      <c r="CG59" s="107"/>
      <c r="CH59" s="107"/>
      <c r="CI59" s="107"/>
      <c r="CJ59" s="107"/>
      <c r="CK59" s="107"/>
      <c r="CL59" s="107"/>
      <c r="CM59" s="107"/>
      <c r="CN59" s="107"/>
      <c r="CO59" s="107"/>
      <c r="CP59" s="107"/>
    </row>
    <row r="60" ht="12.75" customHeight="1">
      <c r="A60" s="106" t="s">
        <v>148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7"/>
      <c r="CH60" s="107"/>
      <c r="CI60" s="107"/>
      <c r="CJ60" s="107"/>
      <c r="CK60" s="107"/>
      <c r="CL60" s="107"/>
      <c r="CM60" s="107"/>
      <c r="CN60" s="107"/>
      <c r="CO60" s="107"/>
      <c r="CP60" s="107"/>
    </row>
    <row r="61" ht="12.75" customHeight="1">
      <c r="A61" s="106" t="s">
        <v>149</v>
      </c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22"/>
      <c r="AI61" s="22"/>
      <c r="AJ61" s="22"/>
      <c r="AK61" s="22"/>
      <c r="AL61" s="22"/>
      <c r="AM61" s="23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</row>
    <row r="62" ht="12.75" customHeight="1">
      <c r="A62" s="106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  <c r="CD62" s="107"/>
      <c r="CE62" s="107"/>
      <c r="CF62" s="107"/>
      <c r="CG62" s="107"/>
      <c r="CH62" s="107"/>
      <c r="CI62" s="107"/>
      <c r="CJ62" s="107"/>
      <c r="CK62" s="107"/>
      <c r="CL62" s="107"/>
      <c r="CM62" s="107"/>
      <c r="CN62" s="107"/>
      <c r="CO62" s="107"/>
      <c r="CP62" s="107"/>
    </row>
    <row r="63" ht="12.75" hidden="1" customHeight="1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  <c r="CD63" s="107"/>
      <c r="CE63" s="107"/>
      <c r="CF63" s="107"/>
      <c r="CG63" s="107"/>
      <c r="CH63" s="107"/>
      <c r="CI63" s="107"/>
      <c r="CJ63" s="107"/>
      <c r="CK63" s="107"/>
      <c r="CL63" s="107"/>
      <c r="CM63" s="107"/>
      <c r="CN63" s="107"/>
      <c r="CO63" s="107"/>
      <c r="CP63" s="107"/>
    </row>
    <row r="64" ht="12.75" hidden="1" customHeight="1">
      <c r="A64" s="106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P64" s="107"/>
    </row>
    <row r="65" ht="12.75" hidden="1" customHeight="1">
      <c r="A65" s="106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07"/>
      <c r="BR65" s="107"/>
      <c r="BS65" s="107"/>
      <c r="BT65" s="107"/>
      <c r="BU65" s="107"/>
      <c r="BV65" s="107"/>
      <c r="BW65" s="107"/>
      <c r="BX65" s="107"/>
      <c r="BY65" s="107"/>
      <c r="BZ65" s="107"/>
      <c r="CA65" s="107"/>
      <c r="CB65" s="107"/>
      <c r="CC65" s="107"/>
      <c r="CD65" s="107"/>
      <c r="CE65" s="107"/>
      <c r="CF65" s="107"/>
      <c r="CG65" s="107"/>
      <c r="CH65" s="107"/>
      <c r="CI65" s="107"/>
      <c r="CJ65" s="107"/>
      <c r="CK65" s="107"/>
      <c r="CL65" s="107"/>
      <c r="CM65" s="107"/>
      <c r="CN65" s="107"/>
      <c r="CO65" s="107"/>
      <c r="CP65" s="107"/>
    </row>
    <row r="66" ht="12.75" hidden="1" customHeight="1">
      <c r="A66" s="106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/>
      <c r="CD66" s="107"/>
      <c r="CE66" s="107"/>
      <c r="CF66" s="107"/>
      <c r="CG66" s="107"/>
      <c r="CH66" s="107"/>
      <c r="CI66" s="107"/>
      <c r="CJ66" s="107"/>
      <c r="CK66" s="107"/>
      <c r="CL66" s="107"/>
      <c r="CM66" s="107"/>
      <c r="CN66" s="107"/>
      <c r="CO66" s="107"/>
      <c r="CP66" s="107"/>
    </row>
    <row r="67" ht="12.75" hidden="1" customHeight="1">
      <c r="A67" s="106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7"/>
      <c r="CA67" s="107"/>
      <c r="CB67" s="107"/>
      <c r="CC67" s="107"/>
      <c r="CD67" s="107"/>
      <c r="CE67" s="107"/>
      <c r="CF67" s="107"/>
      <c r="CG67" s="107"/>
      <c r="CH67" s="107"/>
      <c r="CI67" s="107"/>
      <c r="CJ67" s="107"/>
      <c r="CK67" s="107"/>
      <c r="CL67" s="107"/>
      <c r="CM67" s="107"/>
      <c r="CN67" s="107"/>
      <c r="CO67" s="107"/>
      <c r="CP67" s="107"/>
    </row>
    <row r="68" ht="12.75" hidden="1" customHeight="1">
      <c r="A68" s="106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107"/>
      <c r="CL68" s="107"/>
      <c r="CM68" s="107"/>
      <c r="CN68" s="107"/>
      <c r="CO68" s="107"/>
      <c r="CP68" s="107"/>
    </row>
    <row r="69" ht="12.75" hidden="1" customHeight="1">
      <c r="A69" s="106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107"/>
      <c r="CL69" s="107"/>
      <c r="CM69" s="107"/>
      <c r="CN69" s="107"/>
      <c r="CO69" s="107"/>
      <c r="CP69" s="107"/>
    </row>
    <row r="70" ht="12.75" hidden="1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  <c r="AZ70" s="107"/>
      <c r="BA70" s="107"/>
      <c r="BB70" s="107"/>
      <c r="BC70" s="107"/>
      <c r="BD70" s="107"/>
      <c r="BE70" s="107"/>
      <c r="BF70" s="107"/>
      <c r="BG70" s="107"/>
      <c r="BH70" s="107"/>
      <c r="BI70" s="107"/>
      <c r="BJ70" s="107"/>
      <c r="BK70" s="107"/>
      <c r="BL70" s="107"/>
      <c r="BM70" s="107"/>
      <c r="BN70" s="107"/>
      <c r="BO70" s="107"/>
      <c r="BP70" s="107"/>
      <c r="BQ70" s="107"/>
      <c r="BR70" s="107"/>
      <c r="BS70" s="107"/>
      <c r="BT70" s="107"/>
      <c r="BU70" s="107"/>
      <c r="BV70" s="107"/>
      <c r="BW70" s="107"/>
      <c r="BX70" s="107"/>
      <c r="BY70" s="107"/>
      <c r="BZ70" s="107"/>
      <c r="CA70" s="107"/>
      <c r="CB70" s="107"/>
      <c r="CC70" s="107"/>
      <c r="CD70" s="107"/>
      <c r="CE70" s="107"/>
      <c r="CF70" s="107"/>
      <c r="CG70" s="107"/>
      <c r="CH70" s="107"/>
      <c r="CI70" s="107"/>
      <c r="CJ70" s="107"/>
      <c r="CK70" s="107"/>
      <c r="CL70" s="107"/>
      <c r="CM70" s="107"/>
      <c r="CN70" s="107"/>
      <c r="CO70" s="107"/>
      <c r="CP70" s="107"/>
    </row>
    <row r="71" ht="12.75" hidden="1" customHeight="1">
      <c r="A71" s="106" t="s">
        <v>150</v>
      </c>
      <c r="B71" s="107">
        <v>1500.0</v>
      </c>
      <c r="C71" s="107">
        <v>1500.0</v>
      </c>
      <c r="D71" s="107">
        <v>1500.0</v>
      </c>
      <c r="E71" s="107">
        <v>1500.0</v>
      </c>
      <c r="F71" s="107">
        <v>1500.0</v>
      </c>
      <c r="G71" s="107">
        <v>1500.0</v>
      </c>
      <c r="H71" s="107">
        <v>1500.0</v>
      </c>
      <c r="I71" s="107">
        <v>1500.0</v>
      </c>
      <c r="J71" s="107">
        <v>1500.0</v>
      </c>
      <c r="K71" s="107">
        <v>1500.0</v>
      </c>
      <c r="L71" s="107">
        <v>1500.0</v>
      </c>
      <c r="M71" s="107">
        <v>1500.0</v>
      </c>
      <c r="N71" s="107">
        <v>1500.0</v>
      </c>
      <c r="O71" s="107">
        <v>1500.0</v>
      </c>
      <c r="P71" s="107">
        <v>1500.0</v>
      </c>
      <c r="Q71" s="107">
        <v>1500.0</v>
      </c>
      <c r="R71" s="107">
        <v>1500.0</v>
      </c>
      <c r="S71" s="107">
        <v>1500.0</v>
      </c>
      <c r="T71" s="107">
        <v>1500.0</v>
      </c>
      <c r="U71" s="107">
        <v>1500.0</v>
      </c>
      <c r="V71" s="107">
        <v>1500.0</v>
      </c>
      <c r="W71" s="107">
        <v>1500.0</v>
      </c>
      <c r="X71" s="107">
        <v>1500.0</v>
      </c>
      <c r="Y71" s="107">
        <v>1500.0</v>
      </c>
      <c r="Z71" s="107">
        <v>1500.0</v>
      </c>
      <c r="AA71" s="107">
        <v>1500.0</v>
      </c>
      <c r="AB71" s="107">
        <v>1500.0</v>
      </c>
      <c r="AC71" s="107">
        <v>1500.0</v>
      </c>
      <c r="AD71" s="107">
        <v>1500.0</v>
      </c>
      <c r="AE71" s="107">
        <v>1500.0</v>
      </c>
      <c r="AF71" s="107">
        <v>1500.0</v>
      </c>
      <c r="AG71" s="107">
        <v>1500.0</v>
      </c>
    </row>
    <row r="72" ht="12.75" hidden="1" customHeight="1">
      <c r="A72" s="106" t="s">
        <v>151</v>
      </c>
      <c r="B72" s="107">
        <v>0.0</v>
      </c>
      <c r="C72" s="107">
        <v>0.0</v>
      </c>
      <c r="D72" s="107">
        <v>0.0</v>
      </c>
      <c r="E72" s="107">
        <v>0.0</v>
      </c>
      <c r="F72" s="107">
        <v>0.0</v>
      </c>
      <c r="G72" s="107">
        <v>0.0</v>
      </c>
      <c r="H72" s="107">
        <v>0.0</v>
      </c>
      <c r="I72" s="107">
        <v>0.0</v>
      </c>
      <c r="J72" s="107">
        <v>0.0</v>
      </c>
      <c r="K72" s="107">
        <v>0.0</v>
      </c>
      <c r="L72" s="107">
        <v>0.0</v>
      </c>
      <c r="M72" s="107">
        <v>0.0</v>
      </c>
      <c r="N72" s="107">
        <v>0.0</v>
      </c>
      <c r="O72" s="107">
        <v>0.0</v>
      </c>
      <c r="P72" s="107">
        <v>0.0</v>
      </c>
      <c r="Q72" s="107">
        <v>0.0</v>
      </c>
      <c r="R72" s="107">
        <v>0.0</v>
      </c>
      <c r="S72" s="107">
        <v>0.0</v>
      </c>
      <c r="T72" s="107">
        <v>0.0</v>
      </c>
      <c r="U72" s="107">
        <v>0.0</v>
      </c>
      <c r="V72" s="107">
        <v>0.0</v>
      </c>
      <c r="W72" s="107">
        <v>0.0</v>
      </c>
      <c r="X72" s="107">
        <v>0.0</v>
      </c>
      <c r="Y72" s="107">
        <v>0.0</v>
      </c>
      <c r="Z72" s="107">
        <v>0.0</v>
      </c>
      <c r="AA72" s="107">
        <v>0.0</v>
      </c>
      <c r="AB72" s="107">
        <v>0.0</v>
      </c>
      <c r="AC72" s="107">
        <v>0.0</v>
      </c>
      <c r="AD72" s="107">
        <v>0.0</v>
      </c>
      <c r="AE72" s="107">
        <v>0.0</v>
      </c>
      <c r="AF72" s="107">
        <v>0.0</v>
      </c>
      <c r="AG72" s="107">
        <v>0.0</v>
      </c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  <c r="BE72" s="107"/>
      <c r="BF72" s="107"/>
      <c r="BG72" s="107"/>
      <c r="BH72" s="107"/>
      <c r="BI72" s="107"/>
      <c r="BJ72" s="107"/>
      <c r="BK72" s="107"/>
      <c r="BL72" s="107"/>
      <c r="BM72" s="107"/>
      <c r="BN72" s="107"/>
      <c r="BO72" s="107"/>
      <c r="BP72" s="107"/>
      <c r="BQ72" s="107"/>
      <c r="BR72" s="107"/>
      <c r="BS72" s="107"/>
      <c r="BT72" s="107"/>
      <c r="BU72" s="107"/>
      <c r="BV72" s="107"/>
      <c r="BW72" s="107"/>
      <c r="BX72" s="107"/>
      <c r="BY72" s="107"/>
      <c r="BZ72" s="107"/>
      <c r="CA72" s="107"/>
      <c r="CB72" s="107"/>
      <c r="CC72" s="107"/>
      <c r="CD72" s="107"/>
      <c r="CE72" s="107"/>
      <c r="CF72" s="107"/>
      <c r="CG72" s="107"/>
      <c r="CH72" s="107"/>
      <c r="CI72" s="107"/>
      <c r="CJ72" s="107"/>
      <c r="CK72" s="107"/>
      <c r="CL72" s="107"/>
      <c r="CM72" s="107"/>
      <c r="CN72" s="107"/>
      <c r="CO72" s="107"/>
      <c r="CP72" s="107"/>
    </row>
    <row r="73" ht="12.75" hidden="1" customHeight="1">
      <c r="A73" s="106" t="s">
        <v>152</v>
      </c>
      <c r="B73" s="107">
        <v>1275.0</v>
      </c>
      <c r="C73" s="107">
        <v>1275.0</v>
      </c>
      <c r="D73" s="107">
        <v>1275.0</v>
      </c>
      <c r="E73" s="107">
        <v>1275.0</v>
      </c>
      <c r="F73" s="107">
        <v>1275.0</v>
      </c>
      <c r="G73" s="107">
        <v>1275.0</v>
      </c>
      <c r="H73" s="107">
        <v>1275.0</v>
      </c>
      <c r="I73" s="107">
        <v>1275.0</v>
      </c>
      <c r="J73" s="107">
        <v>1275.0</v>
      </c>
      <c r="K73" s="107">
        <v>1275.0</v>
      </c>
      <c r="L73" s="107">
        <v>1275.0</v>
      </c>
      <c r="M73" s="107">
        <v>1275.0</v>
      </c>
      <c r="N73" s="107">
        <v>1275.0</v>
      </c>
      <c r="O73" s="107">
        <v>1275.0</v>
      </c>
      <c r="P73" s="107">
        <v>1275.0</v>
      </c>
      <c r="Q73" s="107">
        <v>1275.0</v>
      </c>
      <c r="R73" s="107">
        <v>1275.0</v>
      </c>
      <c r="S73" s="107">
        <v>1275.0</v>
      </c>
      <c r="T73" s="107">
        <v>1275.0</v>
      </c>
      <c r="U73" s="107">
        <v>1275.0</v>
      </c>
      <c r="V73" s="107">
        <v>1275.0</v>
      </c>
      <c r="W73" s="107">
        <v>1275.0</v>
      </c>
      <c r="X73" s="107">
        <v>1275.0</v>
      </c>
      <c r="Y73" s="107">
        <v>1275.0</v>
      </c>
      <c r="Z73" s="107">
        <v>1275.0</v>
      </c>
      <c r="AA73" s="107">
        <v>0.0</v>
      </c>
      <c r="AB73" s="107">
        <v>0.0</v>
      </c>
      <c r="AC73" s="107">
        <v>0.0</v>
      </c>
      <c r="AD73" s="107">
        <v>0.0</v>
      </c>
      <c r="AE73" s="107">
        <v>0.0</v>
      </c>
      <c r="AF73" s="107">
        <v>0.0</v>
      </c>
      <c r="AG73" s="107">
        <v>0.0</v>
      </c>
    </row>
    <row r="74" ht="12.0" hidden="1" customHeight="1">
      <c r="A74" s="106" t="s">
        <v>153</v>
      </c>
      <c r="B74" s="107">
        <v>0.0</v>
      </c>
      <c r="C74" s="107">
        <v>0.0</v>
      </c>
      <c r="D74" s="107">
        <v>0.0</v>
      </c>
      <c r="E74" s="107">
        <v>0.0</v>
      </c>
      <c r="F74" s="107">
        <v>0.0</v>
      </c>
      <c r="G74" s="107">
        <v>0.0</v>
      </c>
      <c r="H74" s="107">
        <v>0.0</v>
      </c>
      <c r="I74" s="107">
        <v>0.0</v>
      </c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</row>
    <row r="75" ht="12.75" hidden="1" customHeight="1">
      <c r="A75" s="106" t="s">
        <v>154</v>
      </c>
      <c r="B75" s="107"/>
      <c r="C75" s="107"/>
      <c r="D75" s="107"/>
      <c r="E75" s="107"/>
      <c r="F75" s="107"/>
      <c r="G75" s="107"/>
      <c r="H75" s="107">
        <v>3000.0</v>
      </c>
      <c r="I75" s="107">
        <v>3000.0</v>
      </c>
      <c r="J75" s="107">
        <v>3000.0</v>
      </c>
      <c r="K75" s="107">
        <v>3000.0</v>
      </c>
      <c r="L75" s="107">
        <v>3000.0</v>
      </c>
      <c r="M75" s="107">
        <v>3000.0</v>
      </c>
      <c r="N75" s="107">
        <v>3000.0</v>
      </c>
      <c r="O75" s="107">
        <v>3000.0</v>
      </c>
      <c r="P75" s="107">
        <v>3000.0</v>
      </c>
      <c r="Q75" s="107">
        <v>3000.0</v>
      </c>
      <c r="R75" s="107">
        <v>3000.0</v>
      </c>
      <c r="S75" s="107">
        <v>3000.0</v>
      </c>
      <c r="T75" s="107">
        <v>3000.0</v>
      </c>
      <c r="U75" s="107">
        <v>3000.0</v>
      </c>
      <c r="V75" s="107">
        <v>3000.0</v>
      </c>
      <c r="W75" s="107">
        <v>3000.0</v>
      </c>
      <c r="X75" s="107">
        <v>3000.0</v>
      </c>
      <c r="Y75" s="107">
        <v>0.0</v>
      </c>
      <c r="Z75" s="107">
        <v>0.0</v>
      </c>
      <c r="AA75" s="107">
        <v>0.0</v>
      </c>
      <c r="AB75" s="107">
        <v>0.0</v>
      </c>
      <c r="AC75" s="107">
        <v>0.0</v>
      </c>
      <c r="AD75" s="107">
        <v>0.0</v>
      </c>
      <c r="AE75" s="107">
        <v>0.0</v>
      </c>
      <c r="AF75" s="107">
        <v>0.0</v>
      </c>
      <c r="AG75" s="107">
        <v>1500.0</v>
      </c>
    </row>
    <row r="76" ht="12.75" hidden="1" customHeight="1">
      <c r="A76" s="106" t="s">
        <v>155</v>
      </c>
      <c r="B76" s="107">
        <v>1000.0</v>
      </c>
      <c r="C76" s="107">
        <v>1000.0</v>
      </c>
      <c r="D76" s="107">
        <v>1000.0</v>
      </c>
      <c r="E76" s="107">
        <v>1000.0</v>
      </c>
      <c r="F76" s="107">
        <v>1000.0</v>
      </c>
      <c r="G76" s="107">
        <v>1000.0</v>
      </c>
      <c r="H76" s="107">
        <v>1000.0</v>
      </c>
      <c r="I76" s="107"/>
      <c r="J76" s="107"/>
      <c r="K76" s="107">
        <v>0.0</v>
      </c>
      <c r="L76" s="107">
        <v>0.0</v>
      </c>
      <c r="M76" s="107">
        <v>0.0</v>
      </c>
      <c r="N76" s="107">
        <v>0.0</v>
      </c>
      <c r="O76" s="107">
        <v>0.0</v>
      </c>
      <c r="P76" s="107">
        <v>0.0</v>
      </c>
      <c r="Q76" s="107">
        <v>0.0</v>
      </c>
      <c r="R76" s="107">
        <v>0.0</v>
      </c>
      <c r="S76" s="107">
        <v>0.0</v>
      </c>
      <c r="T76" s="107">
        <v>0.0</v>
      </c>
      <c r="U76" s="107">
        <v>0.0</v>
      </c>
      <c r="V76" s="107">
        <v>0.0</v>
      </c>
      <c r="W76" s="107">
        <v>0.0</v>
      </c>
      <c r="X76" s="107">
        <v>0.0</v>
      </c>
      <c r="Y76" s="107">
        <v>0.0</v>
      </c>
      <c r="Z76" s="107">
        <v>0.0</v>
      </c>
      <c r="AA76" s="107">
        <v>0.0</v>
      </c>
      <c r="AB76" s="107">
        <v>0.0</v>
      </c>
      <c r="AC76" s="107">
        <v>0.0</v>
      </c>
      <c r="AD76" s="107">
        <v>0.0</v>
      </c>
      <c r="AE76" s="107">
        <v>0.0</v>
      </c>
      <c r="AF76" s="107">
        <v>0.0</v>
      </c>
      <c r="AG76" s="107">
        <v>0.0</v>
      </c>
    </row>
    <row r="77" ht="12.75" hidden="1" customHeight="1">
      <c r="A77" s="106" t="s">
        <v>136</v>
      </c>
      <c r="B77" s="107">
        <v>1300.0</v>
      </c>
      <c r="C77" s="107">
        <v>1300.0</v>
      </c>
      <c r="D77" s="107">
        <v>1300.0</v>
      </c>
      <c r="E77" s="107">
        <v>1300.0</v>
      </c>
      <c r="F77" s="107">
        <v>1300.0</v>
      </c>
      <c r="G77" s="107">
        <v>1300.0</v>
      </c>
      <c r="H77" s="107">
        <v>1300.0</v>
      </c>
      <c r="I77" s="107">
        <v>1300.0</v>
      </c>
      <c r="J77" s="107">
        <v>1300.0</v>
      </c>
      <c r="K77" s="107">
        <v>1300.0</v>
      </c>
      <c r="L77" s="107">
        <v>1300.0</v>
      </c>
      <c r="M77" s="107">
        <v>1300.0</v>
      </c>
      <c r="N77" s="107">
        <v>1300.0</v>
      </c>
      <c r="O77" s="107">
        <v>1300.0</v>
      </c>
      <c r="P77" s="107">
        <v>1300.0</v>
      </c>
      <c r="Q77" s="107">
        <v>1300.0</v>
      </c>
      <c r="R77" s="107">
        <v>1300.0</v>
      </c>
      <c r="S77" s="107">
        <v>1300.0</v>
      </c>
      <c r="T77" s="107">
        <v>1300.0</v>
      </c>
      <c r="U77" s="107">
        <v>1300.0</v>
      </c>
      <c r="V77" s="107">
        <v>1300.0</v>
      </c>
      <c r="W77" s="107">
        <v>1300.0</v>
      </c>
      <c r="X77" s="107">
        <v>1300.0</v>
      </c>
      <c r="Y77" s="107">
        <v>1300.0</v>
      </c>
      <c r="Z77" s="107">
        <v>1300.0</v>
      </c>
      <c r="AA77" s="107">
        <v>1300.0</v>
      </c>
      <c r="AB77" s="107">
        <v>1300.0</v>
      </c>
      <c r="AC77" s="107">
        <v>1300.0</v>
      </c>
      <c r="AD77" s="107">
        <v>1300.0</v>
      </c>
      <c r="AE77" s="107">
        <v>1300.0</v>
      </c>
      <c r="AF77" s="107">
        <v>1300.0</v>
      </c>
      <c r="AG77" s="107">
        <v>1300.0</v>
      </c>
    </row>
    <row r="78" ht="12.75" hidden="1" customHeight="1">
      <c r="A78" s="106" t="s">
        <v>137</v>
      </c>
      <c r="B78" s="107">
        <v>200.0</v>
      </c>
      <c r="C78" s="107">
        <v>200.0</v>
      </c>
      <c r="D78" s="107">
        <v>200.0</v>
      </c>
      <c r="E78" s="107">
        <v>200.0</v>
      </c>
      <c r="F78" s="107">
        <v>200.0</v>
      </c>
      <c r="G78" s="107">
        <v>200.0</v>
      </c>
      <c r="H78" s="107">
        <v>200.0</v>
      </c>
      <c r="I78" s="107">
        <v>200.0</v>
      </c>
      <c r="J78" s="107">
        <v>200.0</v>
      </c>
      <c r="K78" s="107">
        <v>200.0</v>
      </c>
      <c r="L78" s="107">
        <v>200.0</v>
      </c>
      <c r="M78" s="107">
        <v>200.0</v>
      </c>
      <c r="N78" s="107">
        <v>200.0</v>
      </c>
      <c r="O78" s="107">
        <v>200.0</v>
      </c>
      <c r="P78" s="107">
        <v>200.0</v>
      </c>
      <c r="Q78" s="107">
        <v>200.0</v>
      </c>
      <c r="R78" s="107">
        <v>200.0</v>
      </c>
      <c r="S78" s="107">
        <v>200.0</v>
      </c>
      <c r="T78" s="107">
        <v>200.0</v>
      </c>
      <c r="U78" s="107">
        <v>200.0</v>
      </c>
      <c r="V78" s="107">
        <v>200.0</v>
      </c>
      <c r="W78" s="107">
        <v>200.0</v>
      </c>
      <c r="X78" s="107">
        <v>200.0</v>
      </c>
      <c r="Y78" s="107">
        <v>200.0</v>
      </c>
      <c r="Z78" s="107">
        <v>200.0</v>
      </c>
      <c r="AA78" s="107">
        <v>200.0</v>
      </c>
      <c r="AB78" s="107">
        <v>200.0</v>
      </c>
      <c r="AC78" s="107">
        <v>200.0</v>
      </c>
      <c r="AD78" s="107">
        <v>200.0</v>
      </c>
      <c r="AE78" s="107">
        <v>200.0</v>
      </c>
      <c r="AF78" s="107">
        <v>200.0</v>
      </c>
      <c r="AG78" s="107">
        <v>200.0</v>
      </c>
    </row>
    <row r="79" ht="12.75" hidden="1" customHeight="1">
      <c r="A79" s="106" t="s">
        <v>156</v>
      </c>
      <c r="B79" s="107">
        <v>400.0</v>
      </c>
      <c r="C79" s="107">
        <v>400.0</v>
      </c>
      <c r="D79" s="107">
        <v>400.0</v>
      </c>
      <c r="E79" s="107">
        <v>400.0</v>
      </c>
      <c r="F79" s="107">
        <v>400.0</v>
      </c>
      <c r="G79" s="107">
        <v>400.0</v>
      </c>
      <c r="H79" s="107">
        <v>400.0</v>
      </c>
      <c r="I79" s="107">
        <v>400.0</v>
      </c>
      <c r="J79" s="107">
        <v>400.0</v>
      </c>
      <c r="K79" s="107">
        <v>400.0</v>
      </c>
      <c r="L79" s="107">
        <v>400.0</v>
      </c>
      <c r="M79" s="107">
        <v>400.0</v>
      </c>
      <c r="N79" s="107">
        <v>400.0</v>
      </c>
      <c r="O79" s="107">
        <v>400.0</v>
      </c>
      <c r="P79" s="107">
        <v>400.0</v>
      </c>
      <c r="Q79" s="107">
        <v>400.0</v>
      </c>
      <c r="R79" s="107">
        <v>400.0</v>
      </c>
      <c r="S79" s="107">
        <v>400.0</v>
      </c>
      <c r="T79" s="107">
        <v>400.0</v>
      </c>
      <c r="U79" s="107">
        <v>400.0</v>
      </c>
      <c r="V79" s="107">
        <v>400.0</v>
      </c>
      <c r="W79" s="107">
        <v>400.0</v>
      </c>
      <c r="X79" s="107">
        <v>400.0</v>
      </c>
      <c r="Y79" s="107">
        <v>400.0</v>
      </c>
      <c r="Z79" s="107">
        <v>400.0</v>
      </c>
      <c r="AA79" s="107">
        <v>400.0</v>
      </c>
      <c r="AB79" s="107">
        <v>400.0</v>
      </c>
      <c r="AC79" s="107">
        <v>400.0</v>
      </c>
      <c r="AD79" s="107">
        <v>400.0</v>
      </c>
      <c r="AE79" s="107">
        <v>400.0</v>
      </c>
      <c r="AF79" s="107">
        <v>400.0</v>
      </c>
      <c r="AG79" s="107">
        <v>400.0</v>
      </c>
    </row>
    <row r="80" ht="12.75" hidden="1" customHeight="1">
      <c r="A80" s="106" t="s">
        <v>134</v>
      </c>
      <c r="B80" s="107">
        <v>200.0</v>
      </c>
      <c r="C80" s="107">
        <v>200.0</v>
      </c>
      <c r="D80" s="107">
        <v>200.0</v>
      </c>
      <c r="E80" s="107">
        <v>200.0</v>
      </c>
      <c r="F80" s="107">
        <v>200.0</v>
      </c>
      <c r="G80" s="107">
        <v>200.0</v>
      </c>
      <c r="H80" s="107">
        <v>200.0</v>
      </c>
      <c r="I80" s="107">
        <v>200.0</v>
      </c>
      <c r="J80" s="107">
        <v>200.0</v>
      </c>
      <c r="K80" s="107">
        <v>200.0</v>
      </c>
      <c r="L80" s="107">
        <v>200.0</v>
      </c>
      <c r="M80" s="107">
        <v>200.0</v>
      </c>
      <c r="N80" s="107">
        <v>200.0</v>
      </c>
      <c r="O80" s="107">
        <v>200.0</v>
      </c>
      <c r="P80" s="107">
        <v>200.0</v>
      </c>
      <c r="Q80" s="107">
        <v>200.0</v>
      </c>
      <c r="R80" s="107">
        <v>200.0</v>
      </c>
      <c r="S80" s="107">
        <v>200.0</v>
      </c>
      <c r="T80" s="107">
        <v>200.0</v>
      </c>
      <c r="U80" s="107">
        <v>200.0</v>
      </c>
      <c r="V80" s="107">
        <v>200.0</v>
      </c>
      <c r="W80" s="107">
        <v>200.0</v>
      </c>
      <c r="X80" s="107">
        <v>200.0</v>
      </c>
      <c r="Y80" s="107">
        <v>200.0</v>
      </c>
      <c r="Z80" s="107">
        <v>200.0</v>
      </c>
      <c r="AA80" s="107">
        <v>200.0</v>
      </c>
      <c r="AB80" s="107">
        <v>200.0</v>
      </c>
      <c r="AC80" s="107">
        <v>200.0</v>
      </c>
      <c r="AD80" s="107">
        <v>200.0</v>
      </c>
      <c r="AE80" s="107">
        <v>200.0</v>
      </c>
      <c r="AF80" s="107">
        <v>200.0</v>
      </c>
      <c r="AG80" s="107">
        <v>200.0</v>
      </c>
    </row>
    <row r="81" ht="12.75" hidden="1" customHeight="1">
      <c r="A81" s="106" t="s">
        <v>140</v>
      </c>
      <c r="B81" s="107">
        <f>'P&amp;L Cash Flow Monthly'!B15*0.00285</f>
        <v>7.8950985</v>
      </c>
      <c r="C81" s="107">
        <f>'P&amp;L Cash Flow Monthly'!C15*0.00285</f>
        <v>9.660830212</v>
      </c>
      <c r="D81" s="107">
        <f>'P&amp;L Cash Flow Monthly'!D15*0.00285</f>
        <v>17.31382396</v>
      </c>
      <c r="E81" s="107">
        <f>'P&amp;L Cash Flow Monthly'!E15*0.00285</f>
        <v>34.73827767</v>
      </c>
      <c r="F81" s="107">
        <f>'P&amp;L Cash Flow Monthly'!F15*0.00285</f>
        <v>55.23870472</v>
      </c>
      <c r="G81" s="107">
        <f>'P&amp;L Cash Flow Monthly'!G15*0.00285</f>
        <v>62.1180616</v>
      </c>
      <c r="H81" s="107">
        <f>'P&amp;L Cash Flow Monthly'!H15*0.00285</f>
        <v>65.70233842</v>
      </c>
      <c r="I81" s="107">
        <f>'P&amp;L Cash Flow Monthly'!I15*0.00285</f>
        <v>110.7748117</v>
      </c>
      <c r="J81" s="107">
        <f>'P&amp;L Cash Flow Monthly'!J15*0.00285</f>
        <v>75.93574801</v>
      </c>
      <c r="K81" s="107">
        <f>'P&amp;L Cash Flow Monthly'!K15*0.00285</f>
        <v>91.75158412</v>
      </c>
      <c r="L81" s="107">
        <f>'P&amp;L Cash Flow Monthly'!L15*0.00285</f>
        <v>192.1845503</v>
      </c>
      <c r="M81" s="107">
        <f>'P&amp;L Cash Flow Monthly'!M15*0.00285</f>
        <v>273.2849211</v>
      </c>
      <c r="N81" s="107">
        <f>'P&amp;L Cash Flow Monthly'!N15*0.00285</f>
        <v>273.3432639</v>
      </c>
      <c r="O81" s="107">
        <f>'P&amp;L Cash Flow Monthly'!O15*0.00285</f>
        <v>240.6863257</v>
      </c>
      <c r="P81" s="107">
        <f>'P&amp;L Cash Flow Monthly'!P15*0.00285</f>
        <v>208.0293876</v>
      </c>
      <c r="Q81" s="107">
        <f>'P&amp;L Cash Flow Monthly'!Q15*0.00285</f>
        <v>192.4988383</v>
      </c>
      <c r="R81" s="107">
        <f>'P&amp;L Cash Flow Monthly'!R15*0.00285</f>
        <v>221.1011626</v>
      </c>
      <c r="S81" s="107">
        <f>'P&amp;L Cash Flow Monthly'!S15*0.00285</f>
        <v>273.0771011</v>
      </c>
      <c r="T81" s="107">
        <f>'P&amp;L Cash Flow Monthly'!T15*0.00285</f>
        <v>371.8002682</v>
      </c>
      <c r="U81" s="107">
        <f>'P&amp;L Cash Flow Monthly'!U15*0.00285</f>
        <v>343.0794994</v>
      </c>
      <c r="V81" s="107">
        <f>'P&amp;L Cash Flow Monthly'!V15*0.00285</f>
        <v>292.578294</v>
      </c>
      <c r="W81" s="107">
        <f>'P&amp;L Cash Flow Monthly'!W15*0.00285</f>
        <v>214.1287254</v>
      </c>
      <c r="X81" s="107">
        <f>'P&amp;L Cash Flow Monthly'!X15*0.00285</f>
        <v>230.3413789</v>
      </c>
      <c r="Y81" s="107">
        <f>'P&amp;L Cash Flow Monthly'!Y15*0.00285</f>
        <v>246.2334117</v>
      </c>
      <c r="Z81" s="107">
        <f>'P&amp;L Cash Flow Monthly'!Z15*0.00285</f>
        <v>249.8590176</v>
      </c>
      <c r="AA81" s="107">
        <f>'P&amp;L Cash Flow Monthly'!AA15*0.00285</f>
        <v>251.2402779</v>
      </c>
      <c r="AB81" s="107">
        <f>'P&amp;L Cash Flow Monthly'!AB15*0.00285</f>
        <v>232.454132</v>
      </c>
      <c r="AC81" s="107">
        <f>'P&amp;L Cash Flow Monthly'!AC15*0.00285</f>
        <v>208.8987516</v>
      </c>
      <c r="AD81" s="107">
        <f>'P&amp;L Cash Flow Monthly'!AD15*0.00285</f>
        <v>198.6461428</v>
      </c>
      <c r="AE81" s="107">
        <f>'P&amp;L Cash Flow Monthly'!AE15*0.00285</f>
        <v>241.8758534</v>
      </c>
      <c r="AF81" s="107">
        <f>'P&amp;L Cash Flow Monthly'!AF15*0.00285</f>
        <v>286.4281247</v>
      </c>
      <c r="AG81" s="107">
        <f>'P&amp;L Cash Flow Monthly'!AG15*0.00285</f>
        <v>286.0215912</v>
      </c>
    </row>
    <row r="82" ht="12.75" hidden="1" customHeight="1">
      <c r="A82" s="106" t="s">
        <v>157</v>
      </c>
      <c r="B82" s="107">
        <v>1200.0</v>
      </c>
      <c r="C82" s="107">
        <v>1200.0</v>
      </c>
      <c r="D82" s="107">
        <v>1200.0</v>
      </c>
      <c r="E82" s="107">
        <v>1200.0</v>
      </c>
      <c r="F82" s="107">
        <v>1200.0</v>
      </c>
      <c r="G82" s="107">
        <v>1200.0</v>
      </c>
      <c r="H82" s="107">
        <v>1200.0</v>
      </c>
      <c r="I82" s="107">
        <v>1200.0</v>
      </c>
      <c r="J82" s="107">
        <v>1200.0</v>
      </c>
      <c r="K82" s="107">
        <v>1200.0</v>
      </c>
      <c r="L82" s="107">
        <v>1200.0</v>
      </c>
      <c r="M82" s="107">
        <v>1200.0</v>
      </c>
      <c r="N82" s="107">
        <v>1200.0</v>
      </c>
      <c r="O82" s="107">
        <v>1200.0</v>
      </c>
      <c r="P82" s="107">
        <v>1200.0</v>
      </c>
      <c r="Q82" s="107">
        <v>1200.0</v>
      </c>
      <c r="R82" s="107">
        <v>1200.0</v>
      </c>
      <c r="S82" s="107">
        <v>1200.0</v>
      </c>
      <c r="T82" s="107">
        <v>1200.0</v>
      </c>
      <c r="U82" s="107">
        <v>1200.0</v>
      </c>
      <c r="V82" s="107">
        <v>1200.0</v>
      </c>
      <c r="W82" s="107">
        <v>1200.0</v>
      </c>
      <c r="X82" s="107">
        <v>1200.0</v>
      </c>
      <c r="Y82" s="107">
        <v>1200.0</v>
      </c>
      <c r="Z82" s="107">
        <v>1200.0</v>
      </c>
      <c r="AA82" s="107">
        <v>1200.0</v>
      </c>
      <c r="AB82" s="107">
        <v>1200.0</v>
      </c>
      <c r="AC82" s="107">
        <v>1200.0</v>
      </c>
      <c r="AD82" s="107">
        <v>1200.0</v>
      </c>
      <c r="AE82" s="107">
        <v>1200.0</v>
      </c>
      <c r="AF82" s="107">
        <v>1200.0</v>
      </c>
      <c r="AG82" s="107">
        <v>1200.0</v>
      </c>
    </row>
    <row r="83" ht="12.75" hidden="1" customHeight="1">
      <c r="A83" s="106" t="s">
        <v>145</v>
      </c>
      <c r="B83" s="107">
        <v>3500.0</v>
      </c>
      <c r="C83" s="107">
        <v>3500.0</v>
      </c>
      <c r="D83" s="107">
        <v>3500.0</v>
      </c>
      <c r="E83" s="107">
        <v>3500.0</v>
      </c>
      <c r="F83" s="107">
        <v>3500.0</v>
      </c>
      <c r="G83" s="107">
        <v>3500.0</v>
      </c>
      <c r="H83" s="107">
        <v>3500.0</v>
      </c>
      <c r="I83" s="107">
        <v>3500.0</v>
      </c>
      <c r="J83" s="107">
        <v>3500.0</v>
      </c>
      <c r="K83" s="107">
        <v>3500.0</v>
      </c>
      <c r="L83" s="107">
        <v>3500.0</v>
      </c>
      <c r="M83" s="107">
        <v>3500.0</v>
      </c>
      <c r="N83" s="107">
        <v>3500.0</v>
      </c>
      <c r="O83" s="107">
        <v>3500.0</v>
      </c>
      <c r="P83" s="107">
        <v>3500.0</v>
      </c>
      <c r="Q83" s="107">
        <v>3500.0</v>
      </c>
      <c r="R83" s="107">
        <v>3500.0</v>
      </c>
      <c r="S83" s="107">
        <v>3500.0</v>
      </c>
      <c r="T83" s="107">
        <v>3500.0</v>
      </c>
      <c r="U83" s="107">
        <v>3500.0</v>
      </c>
      <c r="V83" s="107">
        <v>3500.0</v>
      </c>
      <c r="W83" s="107">
        <v>3500.0</v>
      </c>
      <c r="X83" s="107">
        <v>3500.0</v>
      </c>
      <c r="Y83" s="107">
        <v>3500.0</v>
      </c>
      <c r="Z83" s="107">
        <v>3500.0</v>
      </c>
      <c r="AA83" s="107">
        <v>3500.0</v>
      </c>
      <c r="AB83" s="107">
        <v>3500.0</v>
      </c>
      <c r="AC83" s="107">
        <v>3500.0</v>
      </c>
      <c r="AD83" s="107">
        <v>3500.0</v>
      </c>
      <c r="AE83" s="107">
        <v>3500.0</v>
      </c>
      <c r="AF83" s="107">
        <v>3500.0</v>
      </c>
      <c r="AG83" s="107">
        <v>3500.0</v>
      </c>
    </row>
    <row r="84" ht="12.75" hidden="1" customHeight="1">
      <c r="A84" s="106" t="s">
        <v>158</v>
      </c>
      <c r="B84" s="107">
        <v>2500.0</v>
      </c>
      <c r="C84" s="107">
        <v>2500.0</v>
      </c>
      <c r="D84" s="107">
        <v>2500.0</v>
      </c>
      <c r="E84" s="107">
        <v>2500.0</v>
      </c>
      <c r="F84" s="107">
        <v>2500.0</v>
      </c>
      <c r="G84" s="107">
        <v>2500.0</v>
      </c>
      <c r="H84" s="107">
        <v>2500.0</v>
      </c>
      <c r="I84" s="107">
        <v>2500.0</v>
      </c>
      <c r="J84" s="107">
        <v>2500.0</v>
      </c>
      <c r="K84" s="107">
        <v>2500.0</v>
      </c>
      <c r="L84" s="107">
        <v>2500.0</v>
      </c>
      <c r="M84" s="107">
        <v>2500.0</v>
      </c>
      <c r="N84" s="107">
        <v>2500.0</v>
      </c>
      <c r="O84" s="107">
        <v>2500.0</v>
      </c>
      <c r="P84" s="107">
        <v>2500.0</v>
      </c>
      <c r="Q84" s="107">
        <v>2500.0</v>
      </c>
      <c r="R84" s="107">
        <v>2500.0</v>
      </c>
      <c r="S84" s="107">
        <v>2500.0</v>
      </c>
      <c r="T84" s="107">
        <v>2500.0</v>
      </c>
      <c r="U84" s="107">
        <v>2500.0</v>
      </c>
      <c r="V84" s="107">
        <v>2500.0</v>
      </c>
      <c r="W84" s="107">
        <v>2500.0</v>
      </c>
      <c r="X84" s="107">
        <v>2500.0</v>
      </c>
      <c r="Y84" s="107">
        <v>2500.0</v>
      </c>
      <c r="Z84" s="107">
        <v>2500.0</v>
      </c>
      <c r="AA84" s="107">
        <v>2500.0</v>
      </c>
      <c r="AB84" s="107">
        <v>2500.0</v>
      </c>
      <c r="AC84" s="107">
        <v>2500.0</v>
      </c>
      <c r="AD84" s="107">
        <v>2500.0</v>
      </c>
      <c r="AE84" s="107">
        <v>2500.0</v>
      </c>
      <c r="AF84" s="107">
        <v>2500.0</v>
      </c>
      <c r="AG84" s="107">
        <v>2500.0</v>
      </c>
    </row>
    <row r="85" ht="12.75" hidden="1" customHeight="1">
      <c r="A85" s="106" t="s">
        <v>159</v>
      </c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  <c r="AZ85" s="107"/>
      <c r="BA85" s="107"/>
      <c r="BB85" s="107"/>
      <c r="BC85" s="107"/>
      <c r="BD85" s="107"/>
      <c r="BE85" s="107"/>
      <c r="BF85" s="107"/>
      <c r="BG85" s="107"/>
      <c r="BH85" s="107"/>
      <c r="BI85" s="107"/>
      <c r="BJ85" s="107"/>
      <c r="BK85" s="107"/>
      <c r="BL85" s="107"/>
      <c r="BM85" s="107"/>
      <c r="BN85" s="107"/>
      <c r="BO85" s="107"/>
      <c r="BP85" s="107"/>
      <c r="BQ85" s="107"/>
      <c r="BR85" s="107"/>
      <c r="BS85" s="107"/>
      <c r="BT85" s="107"/>
      <c r="BU85" s="107"/>
      <c r="BV85" s="107"/>
      <c r="BW85" s="107"/>
      <c r="BX85" s="107"/>
      <c r="BY85" s="107"/>
      <c r="BZ85" s="107"/>
      <c r="CA85" s="107"/>
      <c r="CB85" s="107"/>
      <c r="CC85" s="107"/>
      <c r="CD85" s="107"/>
      <c r="CE85" s="107"/>
      <c r="CF85" s="107"/>
      <c r="CG85" s="107"/>
      <c r="CH85" s="107"/>
      <c r="CI85" s="107"/>
      <c r="CJ85" s="107"/>
      <c r="CK85" s="107"/>
      <c r="CL85" s="107"/>
      <c r="CM85" s="107"/>
      <c r="CN85" s="107"/>
      <c r="CO85" s="107"/>
      <c r="CP85" s="107"/>
    </row>
    <row r="86" ht="12.0" hidden="1" customHeight="1">
      <c r="A86" s="106" t="s">
        <v>160</v>
      </c>
      <c r="B86" s="107">
        <f t="shared" ref="B86:AN86" si="1">+B113</f>
        <v>0</v>
      </c>
      <c r="C86" s="107">
        <f t="shared" si="1"/>
        <v>0</v>
      </c>
      <c r="D86" s="107">
        <f t="shared" si="1"/>
        <v>0</v>
      </c>
      <c r="E86" s="107">
        <f t="shared" si="1"/>
        <v>0</v>
      </c>
      <c r="F86" s="107">
        <f t="shared" si="1"/>
        <v>0</v>
      </c>
      <c r="G86" s="107">
        <f t="shared" si="1"/>
        <v>0</v>
      </c>
      <c r="H86" s="107">
        <f t="shared" si="1"/>
        <v>0</v>
      </c>
      <c r="I86" s="107">
        <f t="shared" si="1"/>
        <v>0</v>
      </c>
      <c r="J86" s="107">
        <f t="shared" si="1"/>
        <v>0</v>
      </c>
      <c r="K86" s="107">
        <f t="shared" si="1"/>
        <v>0</v>
      </c>
      <c r="L86" s="107">
        <f t="shared" si="1"/>
        <v>0</v>
      </c>
      <c r="M86" s="107">
        <f t="shared" si="1"/>
        <v>0</v>
      </c>
      <c r="N86" s="107">
        <f t="shared" si="1"/>
        <v>0</v>
      </c>
      <c r="O86" s="107">
        <f t="shared" si="1"/>
        <v>0</v>
      </c>
      <c r="P86" s="107">
        <f t="shared" si="1"/>
        <v>0</v>
      </c>
      <c r="Q86" s="107">
        <f t="shared" si="1"/>
        <v>0</v>
      </c>
      <c r="R86" s="107">
        <f t="shared" si="1"/>
        <v>0</v>
      </c>
      <c r="S86" s="107">
        <f t="shared" si="1"/>
        <v>0</v>
      </c>
      <c r="T86" s="107">
        <f t="shared" si="1"/>
        <v>0</v>
      </c>
      <c r="U86" s="107">
        <f t="shared" si="1"/>
        <v>0</v>
      </c>
      <c r="V86" s="107">
        <f t="shared" si="1"/>
        <v>0</v>
      </c>
      <c r="W86" s="107">
        <f t="shared" si="1"/>
        <v>0</v>
      </c>
      <c r="X86" s="107">
        <f t="shared" si="1"/>
        <v>0</v>
      </c>
      <c r="Y86" s="107">
        <f t="shared" si="1"/>
        <v>0</v>
      </c>
      <c r="Z86" s="107">
        <f t="shared" si="1"/>
        <v>0</v>
      </c>
      <c r="AA86" s="107">
        <f t="shared" si="1"/>
        <v>0</v>
      </c>
      <c r="AB86" s="107">
        <f t="shared" si="1"/>
        <v>0</v>
      </c>
      <c r="AC86" s="107">
        <f t="shared" si="1"/>
        <v>0</v>
      </c>
      <c r="AD86" s="107">
        <f t="shared" si="1"/>
        <v>0</v>
      </c>
      <c r="AE86" s="107">
        <f t="shared" si="1"/>
        <v>0</v>
      </c>
      <c r="AF86" s="107">
        <f t="shared" si="1"/>
        <v>0</v>
      </c>
      <c r="AG86" s="107">
        <f t="shared" si="1"/>
        <v>0</v>
      </c>
      <c r="AH86" s="107">
        <f t="shared" si="1"/>
        <v>0</v>
      </c>
      <c r="AI86" s="107">
        <f t="shared" si="1"/>
        <v>0</v>
      </c>
      <c r="AJ86" s="107">
        <f t="shared" si="1"/>
        <v>0</v>
      </c>
      <c r="AK86" s="107">
        <f t="shared" si="1"/>
        <v>0</v>
      </c>
      <c r="AL86" s="107">
        <f t="shared" si="1"/>
        <v>0</v>
      </c>
      <c r="AM86" s="107">
        <f t="shared" si="1"/>
        <v>0</v>
      </c>
      <c r="AN86" s="107">
        <f t="shared" si="1"/>
        <v>0</v>
      </c>
      <c r="AO86" s="107">
        <f>+AN113</f>
        <v>0</v>
      </c>
      <c r="AP86" s="107">
        <f>+AN113</f>
        <v>0</v>
      </c>
      <c r="AQ86" s="107">
        <f>+AN113</f>
        <v>0</v>
      </c>
      <c r="AR86" s="107">
        <f>+AN113</f>
        <v>0</v>
      </c>
      <c r="AS86" s="107">
        <f>+AN113</f>
        <v>0</v>
      </c>
      <c r="AT86" s="107">
        <f>+AN113</f>
        <v>0</v>
      </c>
      <c r="AU86" s="107">
        <f>+AN113</f>
        <v>0</v>
      </c>
      <c r="AV86" s="107">
        <f>+AN113</f>
        <v>0</v>
      </c>
      <c r="AW86" s="107">
        <f>+AN113</f>
        <v>0</v>
      </c>
      <c r="AX86" s="107">
        <f>+AN113</f>
        <v>0</v>
      </c>
      <c r="AY86" s="107">
        <f>+AN113</f>
        <v>0</v>
      </c>
      <c r="AZ86" s="107">
        <f>+AN113</f>
        <v>0</v>
      </c>
      <c r="BA86" s="107">
        <f t="shared" ref="BA86:CP86" si="2">+AN113</f>
        <v>0</v>
      </c>
      <c r="BB86" s="107">
        <f t="shared" si="2"/>
        <v>0</v>
      </c>
      <c r="BC86" s="107">
        <f t="shared" si="2"/>
        <v>0</v>
      </c>
      <c r="BD86" s="107">
        <f t="shared" si="2"/>
        <v>0</v>
      </c>
      <c r="BE86" s="107">
        <f t="shared" si="2"/>
        <v>0</v>
      </c>
      <c r="BF86" s="107">
        <f t="shared" si="2"/>
        <v>0</v>
      </c>
      <c r="BG86" s="107">
        <f t="shared" si="2"/>
        <v>0</v>
      </c>
      <c r="BH86" s="107">
        <f t="shared" si="2"/>
        <v>0</v>
      </c>
      <c r="BI86" s="107">
        <f t="shared" si="2"/>
        <v>0</v>
      </c>
      <c r="BJ86" s="107">
        <f t="shared" si="2"/>
        <v>0</v>
      </c>
      <c r="BK86" s="107">
        <f t="shared" si="2"/>
        <v>0</v>
      </c>
      <c r="BL86" s="107">
        <f t="shared" si="2"/>
        <v>0</v>
      </c>
      <c r="BM86" s="107">
        <f t="shared" si="2"/>
        <v>0</v>
      </c>
      <c r="BN86" s="107">
        <f t="shared" si="2"/>
        <v>0</v>
      </c>
      <c r="BO86" s="107">
        <f t="shared" si="2"/>
        <v>0</v>
      </c>
      <c r="BP86" s="107">
        <f t="shared" si="2"/>
        <v>0</v>
      </c>
      <c r="BQ86" s="107">
        <f t="shared" si="2"/>
        <v>0</v>
      </c>
      <c r="BR86" s="107">
        <f t="shared" si="2"/>
        <v>0</v>
      </c>
      <c r="BS86" s="107">
        <f t="shared" si="2"/>
        <v>0</v>
      </c>
      <c r="BT86" s="107">
        <f t="shared" si="2"/>
        <v>0</v>
      </c>
      <c r="BU86" s="107">
        <f t="shared" si="2"/>
        <v>0</v>
      </c>
      <c r="BV86" s="107">
        <f t="shared" si="2"/>
        <v>0</v>
      </c>
      <c r="BW86" s="107">
        <f t="shared" si="2"/>
        <v>0</v>
      </c>
      <c r="BX86" s="107">
        <f t="shared" si="2"/>
        <v>0</v>
      </c>
      <c r="BY86" s="107">
        <f t="shared" si="2"/>
        <v>0</v>
      </c>
      <c r="BZ86" s="107">
        <f t="shared" si="2"/>
        <v>0</v>
      </c>
      <c r="CA86" s="107">
        <f t="shared" si="2"/>
        <v>0</v>
      </c>
      <c r="CB86" s="107">
        <f t="shared" si="2"/>
        <v>0</v>
      </c>
      <c r="CC86" s="107">
        <f t="shared" si="2"/>
        <v>0</v>
      </c>
      <c r="CD86" s="107">
        <f t="shared" si="2"/>
        <v>0</v>
      </c>
      <c r="CE86" s="107">
        <f t="shared" si="2"/>
        <v>0</v>
      </c>
      <c r="CF86" s="107">
        <f t="shared" si="2"/>
        <v>0</v>
      </c>
      <c r="CG86" s="107">
        <f t="shared" si="2"/>
        <v>0</v>
      </c>
      <c r="CH86" s="107">
        <f t="shared" si="2"/>
        <v>0</v>
      </c>
      <c r="CI86" s="107">
        <f t="shared" si="2"/>
        <v>0</v>
      </c>
      <c r="CJ86" s="107">
        <f t="shared" si="2"/>
        <v>0</v>
      </c>
      <c r="CK86" s="107">
        <f t="shared" si="2"/>
        <v>0</v>
      </c>
      <c r="CL86" s="107">
        <f t="shared" si="2"/>
        <v>0</v>
      </c>
      <c r="CM86" s="107">
        <f t="shared" si="2"/>
        <v>0</v>
      </c>
      <c r="CN86" s="107">
        <f t="shared" si="2"/>
        <v>0</v>
      </c>
      <c r="CO86" s="107">
        <f t="shared" si="2"/>
        <v>0</v>
      </c>
      <c r="CP86" s="107">
        <f t="shared" si="2"/>
        <v>0</v>
      </c>
    </row>
    <row r="87" ht="12.75" hidden="1" customHeight="1">
      <c r="A87" s="30" t="s">
        <v>161</v>
      </c>
      <c r="B87" s="111">
        <v>1000.0</v>
      </c>
      <c r="C87" s="111">
        <v>1000.0</v>
      </c>
      <c r="D87" s="111">
        <v>1000.0</v>
      </c>
      <c r="E87" s="111">
        <v>1000.0</v>
      </c>
      <c r="F87" s="111">
        <v>1000.0</v>
      </c>
      <c r="G87" s="111">
        <v>1000.0</v>
      </c>
      <c r="H87" s="111">
        <v>1000.0</v>
      </c>
      <c r="I87" s="111">
        <v>1000.0</v>
      </c>
      <c r="J87" s="111">
        <v>1000.0</v>
      </c>
      <c r="K87" s="111">
        <v>1000.0</v>
      </c>
      <c r="L87" s="111">
        <v>1000.0</v>
      </c>
      <c r="M87" s="111">
        <v>1000.0</v>
      </c>
      <c r="N87" s="111">
        <v>1000.0</v>
      </c>
      <c r="O87" s="111">
        <v>1000.0</v>
      </c>
      <c r="P87" s="111">
        <v>1000.0</v>
      </c>
      <c r="Q87" s="111">
        <v>1000.0</v>
      </c>
      <c r="R87" s="111">
        <v>1000.0</v>
      </c>
      <c r="S87" s="111">
        <v>1000.0</v>
      </c>
      <c r="T87" s="111">
        <v>1000.0</v>
      </c>
      <c r="U87" s="111">
        <v>1000.0</v>
      </c>
      <c r="V87" s="111">
        <v>1000.0</v>
      </c>
      <c r="W87" s="111">
        <v>1000.0</v>
      </c>
      <c r="X87" s="111">
        <v>1000.0</v>
      </c>
      <c r="Y87" s="111">
        <v>1000.0</v>
      </c>
      <c r="Z87" s="111"/>
      <c r="AA87" s="111">
        <v>0.0</v>
      </c>
      <c r="AB87" s="111">
        <v>0.0</v>
      </c>
      <c r="AC87" s="111">
        <v>0.0</v>
      </c>
      <c r="AD87" s="111">
        <v>0.0</v>
      </c>
      <c r="AE87" s="111">
        <v>0.0</v>
      </c>
      <c r="AF87" s="111">
        <v>0.0</v>
      </c>
      <c r="AG87" s="111">
        <v>0.0</v>
      </c>
    </row>
    <row r="88" ht="12.75" hidden="1" customHeight="1">
      <c r="A88" s="112" t="s">
        <v>162</v>
      </c>
      <c r="B88" s="22">
        <v>5000.0</v>
      </c>
      <c r="C88" s="22">
        <v>5000.0</v>
      </c>
      <c r="D88" s="22">
        <v>5000.0</v>
      </c>
      <c r="E88" s="22">
        <v>5000.0</v>
      </c>
      <c r="F88" s="22">
        <v>5000.0</v>
      </c>
      <c r="G88" s="22">
        <v>5000.0</v>
      </c>
      <c r="H88" s="22">
        <v>5000.0</v>
      </c>
      <c r="I88" s="22">
        <v>5000.0</v>
      </c>
      <c r="J88" s="22">
        <v>5000.0</v>
      </c>
      <c r="K88" s="22">
        <v>5000.0</v>
      </c>
      <c r="L88" s="22">
        <v>5000.0</v>
      </c>
      <c r="M88" s="22">
        <v>5000.0</v>
      </c>
      <c r="N88" s="22">
        <v>5000.0</v>
      </c>
      <c r="O88" s="22">
        <v>5000.0</v>
      </c>
      <c r="P88" s="22">
        <v>8000.0</v>
      </c>
      <c r="Q88" s="22">
        <v>8000.0</v>
      </c>
      <c r="R88" s="22">
        <v>8000.0</v>
      </c>
      <c r="S88" s="22">
        <v>8000.0</v>
      </c>
      <c r="T88" s="22">
        <v>8000.0</v>
      </c>
      <c r="U88" s="22">
        <v>8000.0</v>
      </c>
      <c r="V88" s="22">
        <v>8000.0</v>
      </c>
      <c r="W88" s="22">
        <v>8000.0</v>
      </c>
      <c r="X88" s="22">
        <v>8000.0</v>
      </c>
      <c r="Y88" s="22">
        <v>0.0</v>
      </c>
      <c r="Z88" s="22">
        <v>0.0</v>
      </c>
      <c r="AA88" s="22">
        <v>0.0</v>
      </c>
      <c r="AB88" s="22">
        <v>0.0</v>
      </c>
      <c r="AC88" s="22">
        <v>0.0</v>
      </c>
      <c r="AD88" s="22">
        <v>0.0</v>
      </c>
      <c r="AE88" s="22">
        <v>0.0</v>
      </c>
      <c r="AF88" s="22">
        <v>0.0</v>
      </c>
      <c r="AG88" s="22">
        <v>0.0</v>
      </c>
    </row>
    <row r="89" ht="12.75" hidden="1" customHeight="1">
      <c r="A89" s="113" t="s">
        <v>163</v>
      </c>
      <c r="B89" s="108">
        <v>1500.0</v>
      </c>
      <c r="C89" s="108">
        <v>3500.0</v>
      </c>
      <c r="D89" s="108">
        <v>3500.0</v>
      </c>
      <c r="E89" s="108">
        <v>2000.0</v>
      </c>
      <c r="F89" s="108">
        <v>2000.0</v>
      </c>
      <c r="G89" s="108">
        <v>3000.0</v>
      </c>
      <c r="H89" s="108">
        <v>5000.0</v>
      </c>
      <c r="I89" s="108">
        <v>12000.0</v>
      </c>
      <c r="J89" s="108">
        <v>2000.0</v>
      </c>
      <c r="K89" s="108">
        <v>15000.0</v>
      </c>
      <c r="L89" s="108">
        <v>17000.0</v>
      </c>
      <c r="M89" s="108">
        <v>17000.0</v>
      </c>
      <c r="N89" s="108">
        <v>15000.0</v>
      </c>
      <c r="O89" s="108">
        <v>10000.0</v>
      </c>
      <c r="P89" s="108">
        <v>10000.0</v>
      </c>
      <c r="Q89" s="108">
        <v>10000.0</v>
      </c>
      <c r="R89" s="108">
        <v>15000.0</v>
      </c>
      <c r="S89" s="108">
        <v>20000.0</v>
      </c>
      <c r="T89" s="108">
        <v>30000.0</v>
      </c>
      <c r="U89" s="108">
        <v>8000.0</v>
      </c>
      <c r="V89" s="108">
        <v>8000.0</v>
      </c>
      <c r="W89" s="108">
        <v>10000.0</v>
      </c>
      <c r="X89" s="108">
        <v>10000.0</v>
      </c>
      <c r="Y89" s="108">
        <v>10000.0</v>
      </c>
      <c r="Z89" s="108">
        <v>10000.0</v>
      </c>
      <c r="AA89" s="108">
        <v>10000.0</v>
      </c>
      <c r="AB89" s="108">
        <v>5000.0</v>
      </c>
      <c r="AC89" s="108">
        <v>5000.0</v>
      </c>
      <c r="AD89" s="108">
        <v>8000.0</v>
      </c>
      <c r="AE89" s="108">
        <v>15000.0</v>
      </c>
      <c r="AF89" s="108">
        <v>15000.0</v>
      </c>
      <c r="AG89" s="108">
        <v>10000.0</v>
      </c>
    </row>
    <row r="90" ht="12.75" hidden="1" customHeight="1">
      <c r="A90" s="30" t="s">
        <v>164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>
        <v>500.0</v>
      </c>
      <c r="N90" s="22">
        <v>500.0</v>
      </c>
      <c r="O90" s="22">
        <v>500.0</v>
      </c>
      <c r="P90" s="22">
        <v>500.0</v>
      </c>
      <c r="Q90" s="22">
        <v>500.0</v>
      </c>
      <c r="R90" s="22">
        <v>500.0</v>
      </c>
      <c r="S90" s="22">
        <v>500.0</v>
      </c>
      <c r="T90" s="22">
        <v>500.0</v>
      </c>
      <c r="U90" s="22">
        <v>500.0</v>
      </c>
      <c r="V90" s="22">
        <v>500.0</v>
      </c>
      <c r="W90" s="22">
        <v>500.0</v>
      </c>
      <c r="X90" s="22">
        <v>500.0</v>
      </c>
      <c r="Y90" s="22">
        <v>500.0</v>
      </c>
      <c r="Z90" s="22">
        <v>500.0</v>
      </c>
      <c r="AA90" s="22">
        <v>500.0</v>
      </c>
      <c r="AB90" s="22">
        <v>500.0</v>
      </c>
      <c r="AC90" s="22">
        <v>500.0</v>
      </c>
      <c r="AD90" s="22">
        <v>500.0</v>
      </c>
      <c r="AE90" s="22">
        <v>500.0</v>
      </c>
      <c r="AF90" s="22">
        <v>500.0</v>
      </c>
      <c r="AG90" s="22">
        <v>500.0</v>
      </c>
    </row>
    <row r="91" ht="12.75" hidden="1" customHeight="1">
      <c r="A91" s="30" t="s">
        <v>142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>
        <v>500.0</v>
      </c>
      <c r="X91" s="22">
        <v>500.0</v>
      </c>
      <c r="Y91" s="22">
        <v>500.0</v>
      </c>
      <c r="Z91" s="22">
        <v>500.0</v>
      </c>
      <c r="AA91" s="22">
        <v>500.0</v>
      </c>
      <c r="AB91" s="22">
        <v>500.0</v>
      </c>
      <c r="AC91" s="22">
        <v>500.0</v>
      </c>
      <c r="AD91" s="22">
        <v>500.0</v>
      </c>
      <c r="AE91" s="22">
        <v>500.0</v>
      </c>
      <c r="AF91" s="22">
        <v>500.0</v>
      </c>
      <c r="AG91" s="22">
        <v>500.0</v>
      </c>
    </row>
    <row r="92" ht="12.75" hidden="1" customHeight="1">
      <c r="A92" s="30" t="s">
        <v>165</v>
      </c>
      <c r="B92" s="22">
        <f>+'P&amp;L Cash Flow Monthly'!B15*0.04</f>
        <v>110.8084</v>
      </c>
      <c r="C92" s="22">
        <f>+'P&amp;L Cash Flow Monthly'!C15*0.04</f>
        <v>135.5905995</v>
      </c>
      <c r="D92" s="22">
        <f>+'P&amp;L Cash Flow Monthly'!D15*0.04</f>
        <v>243.001038</v>
      </c>
      <c r="E92" s="22">
        <f>+'P&amp;L Cash Flow Monthly'!E15*0.04</f>
        <v>487.5547744</v>
      </c>
      <c r="F92" s="22">
        <f>+'P&amp;L Cash Flow Monthly'!F15*0.04</f>
        <v>775.2800662</v>
      </c>
      <c r="G92" s="22">
        <f>+'P&amp;L Cash Flow Monthly'!G15*0.04</f>
        <v>871.8324436</v>
      </c>
      <c r="H92" s="22">
        <f>+'P&amp;L Cash Flow Monthly'!H15*0.04</f>
        <v>922.1380831</v>
      </c>
      <c r="I92" s="22">
        <f>+'P&amp;L Cash Flow Monthly'!I15*0.04</f>
        <v>1554.7342</v>
      </c>
      <c r="J92" s="22">
        <f>+'P&amp;L Cash Flow Monthly'!J15*0.04</f>
        <v>1065.764884</v>
      </c>
      <c r="K92" s="22">
        <f>+'P&amp;L Cash Flow Monthly'!K15*0.04</f>
        <v>1287.741531</v>
      </c>
      <c r="L92" s="22">
        <f>+'P&amp;L Cash Flow Monthly'!L15*0.04</f>
        <v>2697.327021</v>
      </c>
      <c r="M92" s="22">
        <f>+'P&amp;L Cash Flow Monthly'!M15*0.04</f>
        <v>3835.57784</v>
      </c>
      <c r="N92" s="22">
        <f>+'P&amp;L Cash Flow Monthly'!N15*0.04</f>
        <v>3836.396686</v>
      </c>
      <c r="O92" s="22">
        <f>+'P&amp;L Cash Flow Monthly'!O15*0.04</f>
        <v>3378.053694</v>
      </c>
      <c r="P92" s="22">
        <f>+'P&amp;L Cash Flow Monthly'!P15*0.04</f>
        <v>2919.710703</v>
      </c>
      <c r="Q92" s="22">
        <f>+'P&amp;L Cash Flow Monthly'!Q15*0.17</f>
        <v>11482.38685</v>
      </c>
      <c r="R92" s="22">
        <f>+'P&amp;L Cash Flow Monthly'!R15*0.17</f>
        <v>13188.4904</v>
      </c>
      <c r="S92" s="22">
        <f>+'P&amp;L Cash Flow Monthly'!S15*0.17</f>
        <v>16288.80954</v>
      </c>
      <c r="T92" s="22">
        <f>+'P&amp;L Cash Flow Monthly'!T15*0.17</f>
        <v>22177.55986</v>
      </c>
      <c r="U92" s="22">
        <f>+'P&amp;L Cash Flow Monthly'!U15*0.17</f>
        <v>20464.39119</v>
      </c>
      <c r="V92" s="22">
        <f>+'P&amp;L Cash Flow Monthly'!V15*0.17</f>
        <v>17452.03859</v>
      </c>
      <c r="W92" s="22">
        <f>+'P&amp;L Cash Flow Monthly'!W15*0.17</f>
        <v>12772.59064</v>
      </c>
      <c r="X92" s="22">
        <f>+'P&amp;L Cash Flow Monthly'!X15*0.17</f>
        <v>13739.6612</v>
      </c>
      <c r="Y92" s="22">
        <f>+'P&amp;L Cash Flow Monthly'!Y15*0.17</f>
        <v>14687.60701</v>
      </c>
      <c r="Z92" s="22">
        <f>+'P&amp;L Cash Flow Monthly'!Z15*0.17</f>
        <v>14903.87123</v>
      </c>
      <c r="AA92" s="22">
        <f>+'P&amp;L Cash Flow Monthly'!AA15*0.17</f>
        <v>14986.26219</v>
      </c>
      <c r="AB92" s="22">
        <f>+'P&amp;L Cash Flow Monthly'!AB15*0.17</f>
        <v>13865.68507</v>
      </c>
      <c r="AC92" s="22">
        <f>+'P&amp;L Cash Flow Monthly'!AC15*0.17</f>
        <v>12460.62729</v>
      </c>
      <c r="AD92" s="22">
        <f>+'P&amp;L Cash Flow Monthly'!AD15*0.17</f>
        <v>11849.06817</v>
      </c>
      <c r="AE92" s="22">
        <f>+'P&amp;L Cash Flow Monthly'!AE15*0.17</f>
        <v>14427.68248</v>
      </c>
      <c r="AF92" s="22">
        <f>+'P&amp;L Cash Flow Monthly'!AF15*0.17</f>
        <v>17085.18639</v>
      </c>
      <c r="AG92" s="22">
        <f>+'P&amp;L Cash Flow Monthly'!AG15*0.04</f>
        <v>4014.338122</v>
      </c>
    </row>
    <row r="93" ht="12.75" hidden="1" customHeight="1">
      <c r="A93" s="112" t="s">
        <v>143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>
        <v>30000.0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ht="12.75" hidden="1" customHeight="1">
      <c r="A94" s="30" t="s">
        <v>166</v>
      </c>
      <c r="B94" s="12"/>
      <c r="C94" s="12"/>
      <c r="D94" s="12">
        <v>0.0</v>
      </c>
      <c r="E94" s="12">
        <v>0.0</v>
      </c>
      <c r="F94" s="12">
        <v>0.0</v>
      </c>
      <c r="G94" s="12">
        <v>0.0</v>
      </c>
      <c r="H94" s="12">
        <v>0.0</v>
      </c>
      <c r="I94" s="12">
        <v>0.0</v>
      </c>
      <c r="J94" s="12">
        <v>0.0</v>
      </c>
      <c r="K94" s="12">
        <f>+IF('P&amp;L Cash Flow Monthly'!J39&gt;2000000,'P&amp;L Cash Flow Monthly'!J23*0.05,0)</f>
        <v>0</v>
      </c>
      <c r="L94" s="12">
        <f>+IF('P&amp;L Cash Flow Monthly'!K39&gt;2000000,'P&amp;L Cash Flow Monthly'!K23*0.05,0)</f>
        <v>0</v>
      </c>
      <c r="M94" s="12">
        <f>+IF('P&amp;L Cash Flow Monthly'!L39&gt;2000000,'P&amp;L Cash Flow Monthly'!L23*0.05,0)</f>
        <v>0</v>
      </c>
      <c r="N94" s="12">
        <f>+IF('P&amp;L Cash Flow Monthly'!M39&gt;2000000,'P&amp;L Cash Flow Monthly'!M23*0.05,0)</f>
        <v>0</v>
      </c>
      <c r="O94" s="12">
        <f>+IF('P&amp;L Cash Flow Monthly'!N39&gt;2000000,'P&amp;L Cash Flow Monthly'!N23*0.05,0)</f>
        <v>0</v>
      </c>
      <c r="P94" s="12">
        <f>+IF('P&amp;L Cash Flow Monthly'!O39&gt;2000000,'P&amp;L Cash Flow Monthly'!O23*0.05,0)</f>
        <v>0</v>
      </c>
      <c r="Q94" s="12">
        <f>+IF('P&amp;L Cash Flow Monthly'!P39&gt;2000000,'P&amp;L Cash Flow Monthly'!P23*0.05,0)</f>
        <v>0</v>
      </c>
      <c r="R94" s="12">
        <f>+IF('P&amp;L Cash Flow Monthly'!Q39&gt;2000000,'P&amp;L Cash Flow Monthly'!Q23*0.05,0)</f>
        <v>0</v>
      </c>
      <c r="S94" s="12">
        <f>+IF('P&amp;L Cash Flow Monthly'!R39&gt;2000000,'P&amp;L Cash Flow Monthly'!R23*0.05,0)</f>
        <v>0</v>
      </c>
      <c r="T94" s="12">
        <f>+IF('P&amp;L Cash Flow Monthly'!S39&gt;2000000,'P&amp;L Cash Flow Monthly'!S23*0.05,0)</f>
        <v>0</v>
      </c>
      <c r="U94" s="12">
        <f>+IF('P&amp;L Cash Flow Monthly'!T39&gt;2000000,'P&amp;L Cash Flow Monthly'!T23*0.05,0)</f>
        <v>0</v>
      </c>
      <c r="V94" s="12">
        <f>+IF('P&amp;L Cash Flow Monthly'!U39&gt;2000000,'P&amp;L Cash Flow Monthly'!U23*0.05,0)</f>
        <v>0</v>
      </c>
      <c r="W94" s="12">
        <f>+IF('P&amp;L Cash Flow Monthly'!V39&gt;2000000,'P&amp;L Cash Flow Monthly'!V23*0.05,0)</f>
        <v>0</v>
      </c>
      <c r="X94" s="12">
        <f>+IF('P&amp;L Cash Flow Monthly'!W39&gt;2000000,'P&amp;L Cash Flow Monthly'!W23*0.05,0)</f>
        <v>0</v>
      </c>
      <c r="Y94" s="12">
        <f>+IF('P&amp;L Cash Flow Monthly'!X39&gt;2000000,'P&amp;L Cash Flow Monthly'!X23*0.05,0)</f>
        <v>0</v>
      </c>
      <c r="Z94" s="12">
        <f>+IF('P&amp;L Cash Flow Monthly'!Y39&gt;2000000,'P&amp;L Cash Flow Monthly'!Y23*0.05,0)</f>
        <v>0</v>
      </c>
      <c r="AA94" s="12">
        <f>+IF('P&amp;L Cash Flow Monthly'!Z39&gt;2000000,'P&amp;L Cash Flow Monthly'!Z23*0.05,0)</f>
        <v>0</v>
      </c>
      <c r="AB94" s="12">
        <f>+IF('P&amp;L Cash Flow Monthly'!AA39&gt;2000000,'P&amp;L Cash Flow Monthly'!AA23*0.05,0)</f>
        <v>0</v>
      </c>
      <c r="AC94" s="12">
        <f>+IF('P&amp;L Cash Flow Monthly'!AB39&gt;2000000,'P&amp;L Cash Flow Monthly'!AB23*0.05,0)</f>
        <v>0</v>
      </c>
      <c r="AD94" s="12">
        <f>+IF('P&amp;L Cash Flow Monthly'!AC39&gt;2000000,'P&amp;L Cash Flow Monthly'!AC23*0.05,0)</f>
        <v>0</v>
      </c>
      <c r="AE94" s="12">
        <f>+IF('P&amp;L Cash Flow Monthly'!AD39&gt;2000000,'P&amp;L Cash Flow Monthly'!AD23*0.05,0)</f>
        <v>0</v>
      </c>
      <c r="AF94" s="12">
        <f>+IF('P&amp;L Cash Flow Monthly'!AE39&gt;2000000,'P&amp;L Cash Flow Monthly'!AE23*0.05,0)</f>
        <v>0</v>
      </c>
      <c r="AG94" s="12">
        <f>+IF('P&amp;L Cash Flow Monthly'!AF39&gt;2000000,'P&amp;L Cash Flow Monthly'!AF23*0.05,0)</f>
        <v>0</v>
      </c>
    </row>
    <row r="95" ht="12.75" hidden="1" customHeight="1">
      <c r="A95" s="30" t="s">
        <v>141</v>
      </c>
      <c r="B95" s="22">
        <v>1000.0</v>
      </c>
      <c r="C95" s="22">
        <v>1000.0</v>
      </c>
      <c r="D95" s="22">
        <v>1000.0</v>
      </c>
      <c r="E95" s="22">
        <v>1000.0</v>
      </c>
      <c r="F95" s="22">
        <v>1000.0</v>
      </c>
      <c r="G95" s="22">
        <v>1000.0</v>
      </c>
      <c r="H95" s="22">
        <v>1000.0</v>
      </c>
      <c r="I95" s="22">
        <v>1000.0</v>
      </c>
      <c r="J95" s="22">
        <v>1000.0</v>
      </c>
      <c r="K95" s="22">
        <v>1000.0</v>
      </c>
      <c r="L95" s="22">
        <v>1000.0</v>
      </c>
      <c r="M95" s="22">
        <v>1000.0</v>
      </c>
      <c r="N95" s="22">
        <v>1000.0</v>
      </c>
      <c r="O95" s="22">
        <v>1000.0</v>
      </c>
      <c r="P95" s="22">
        <v>1000.0</v>
      </c>
      <c r="Q95" s="22">
        <v>1000.0</v>
      </c>
      <c r="R95" s="22">
        <v>1000.0</v>
      </c>
      <c r="S95" s="22">
        <v>1000.0</v>
      </c>
      <c r="T95" s="22">
        <v>1000.0</v>
      </c>
      <c r="U95" s="22">
        <v>1000.0</v>
      </c>
      <c r="V95" s="22">
        <v>2000.0</v>
      </c>
      <c r="W95" s="22">
        <v>2000.0</v>
      </c>
      <c r="X95" s="22">
        <v>2000.0</v>
      </c>
      <c r="Y95" s="22">
        <v>2000.0</v>
      </c>
      <c r="Z95" s="22">
        <v>2000.0</v>
      </c>
      <c r="AA95" s="22">
        <v>2000.0</v>
      </c>
      <c r="AB95" s="22">
        <v>2000.0</v>
      </c>
      <c r="AC95" s="22">
        <v>2000.0</v>
      </c>
      <c r="AD95" s="22">
        <v>2000.0</v>
      </c>
      <c r="AE95" s="22">
        <v>2000.0</v>
      </c>
      <c r="AF95" s="22">
        <v>2000.0</v>
      </c>
      <c r="AG95" s="22">
        <v>2000.0</v>
      </c>
    </row>
    <row r="96" ht="12.75" hidden="1" customHeight="1">
      <c r="A96" s="112" t="s">
        <v>167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>
        <v>5500.0</v>
      </c>
      <c r="X96" s="22">
        <v>5500.0</v>
      </c>
      <c r="Y96" s="22">
        <v>5500.0</v>
      </c>
      <c r="Z96" s="22"/>
      <c r="AA96" s="22"/>
      <c r="AB96" s="22"/>
      <c r="AC96" s="22"/>
      <c r="AD96" s="22"/>
      <c r="AE96" s="22"/>
      <c r="AF96" s="22"/>
      <c r="AG96" s="22"/>
    </row>
    <row r="97" ht="12.75" hidden="1" customHeight="1">
      <c r="A97" s="30" t="s">
        <v>168</v>
      </c>
      <c r="B97" s="22">
        <v>5000.0</v>
      </c>
      <c r="C97" s="22"/>
      <c r="D97" s="22"/>
      <c r="E97" s="22"/>
      <c r="F97" s="22"/>
      <c r="G97" s="22"/>
      <c r="H97" s="22"/>
      <c r="I97" s="22">
        <v>2000.0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>
        <v>30000.0</v>
      </c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ht="12.75" hidden="1" customHeight="1">
      <c r="A98" s="30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</row>
    <row r="99" ht="12.75" hidden="1" customHeight="1">
      <c r="A99" s="30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</row>
    <row r="100" ht="12.75" customHeight="1">
      <c r="A100" s="30"/>
      <c r="B100" s="10"/>
      <c r="C100" s="10"/>
      <c r="D100" s="10"/>
      <c r="E100" s="10"/>
      <c r="F100" s="10"/>
      <c r="G100" s="10"/>
      <c r="H100" s="10"/>
      <c r="I100" s="10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  <c r="CK100" s="89"/>
      <c r="CL100" s="89"/>
      <c r="CM100" s="89"/>
      <c r="CN100" s="89"/>
      <c r="CO100" s="89"/>
      <c r="CP100" s="89"/>
    </row>
    <row r="101" ht="12.75" customHeight="1">
      <c r="A101" s="30"/>
      <c r="B101" s="7"/>
      <c r="C101" s="7"/>
      <c r="D101" s="7"/>
      <c r="E101" s="7"/>
      <c r="F101" s="7"/>
      <c r="G101" s="7"/>
      <c r="H101" s="7"/>
      <c r="I101" s="7"/>
      <c r="J101" s="1"/>
      <c r="K101" s="1"/>
      <c r="L101" s="1"/>
      <c r="M101" s="1"/>
      <c r="AW101" s="50"/>
    </row>
    <row r="102" ht="12.75" customHeight="1">
      <c r="A102" s="30" t="s">
        <v>169</v>
      </c>
      <c r="B102" s="27">
        <f t="shared" ref="B102:CP102" si="3">SUM(B13:B100)</f>
        <v>29693.7035</v>
      </c>
      <c r="C102" s="27">
        <f t="shared" si="3"/>
        <v>26720.25143</v>
      </c>
      <c r="D102" s="27">
        <f t="shared" si="3"/>
        <v>26835.31486</v>
      </c>
      <c r="E102" s="27">
        <f t="shared" si="3"/>
        <v>25597.29305</v>
      </c>
      <c r="F102" s="27">
        <f t="shared" si="3"/>
        <v>25905.51877</v>
      </c>
      <c r="G102" s="27">
        <f t="shared" si="3"/>
        <v>27008.95051</v>
      </c>
      <c r="H102" s="27">
        <f t="shared" si="3"/>
        <v>32062.84042</v>
      </c>
      <c r="I102" s="27">
        <f t="shared" si="3"/>
        <v>40740.50901</v>
      </c>
      <c r="J102" s="27">
        <f t="shared" si="3"/>
        <v>28216.70063</v>
      </c>
      <c r="K102" s="27">
        <f t="shared" si="3"/>
        <v>41454.49312</v>
      </c>
      <c r="L102" s="27">
        <f t="shared" si="3"/>
        <v>44964.51157</v>
      </c>
      <c r="M102" s="27">
        <f t="shared" si="3"/>
        <v>46683.86276</v>
      </c>
      <c r="N102" s="27">
        <f t="shared" si="3"/>
        <v>44684.73995</v>
      </c>
      <c r="O102" s="27">
        <f t="shared" si="3"/>
        <v>39193.74002</v>
      </c>
      <c r="P102" s="27">
        <f t="shared" si="3"/>
        <v>41702.74009</v>
      </c>
      <c r="Q102" s="27">
        <f t="shared" si="3"/>
        <v>50249.88569</v>
      </c>
      <c r="R102" s="27">
        <f t="shared" si="3"/>
        <v>86984.59156</v>
      </c>
      <c r="S102" s="27">
        <f t="shared" si="3"/>
        <v>65136.88664</v>
      </c>
      <c r="T102" s="27">
        <f t="shared" si="3"/>
        <v>81124.36012</v>
      </c>
      <c r="U102" s="27">
        <f t="shared" si="3"/>
        <v>57382.47069</v>
      </c>
      <c r="V102" s="27">
        <f t="shared" si="3"/>
        <v>55319.61688</v>
      </c>
      <c r="W102" s="27">
        <f t="shared" si="3"/>
        <v>88561.71936</v>
      </c>
      <c r="X102" s="27">
        <f t="shared" si="3"/>
        <v>59545.00258</v>
      </c>
      <c r="Y102" s="27">
        <f t="shared" si="3"/>
        <v>49508.84042</v>
      </c>
      <c r="Z102" s="27">
        <f t="shared" si="3"/>
        <v>43228.73024</v>
      </c>
      <c r="AA102" s="27">
        <f t="shared" si="3"/>
        <v>42037.50247</v>
      </c>
      <c r="AB102" s="27">
        <f t="shared" si="3"/>
        <v>35898.1392</v>
      </c>
      <c r="AC102" s="27">
        <f t="shared" si="3"/>
        <v>34469.52604</v>
      </c>
      <c r="AD102" s="27">
        <f t="shared" si="3"/>
        <v>36847.71431</v>
      </c>
      <c r="AE102" s="27">
        <f t="shared" si="3"/>
        <v>53469.55833</v>
      </c>
      <c r="AF102" s="27">
        <f t="shared" si="3"/>
        <v>119171.6145</v>
      </c>
      <c r="AG102" s="27">
        <f t="shared" si="3"/>
        <v>57600.35971</v>
      </c>
      <c r="AH102" s="27">
        <f t="shared" si="3"/>
        <v>28150.03816</v>
      </c>
      <c r="AI102" s="27">
        <f t="shared" si="3"/>
        <v>32135.35404</v>
      </c>
      <c r="AJ102" s="27">
        <f t="shared" si="3"/>
        <v>26814.15515</v>
      </c>
      <c r="AK102" s="27">
        <f t="shared" si="3"/>
        <v>26466.5787</v>
      </c>
      <c r="AL102" s="27">
        <f t="shared" si="3"/>
        <v>26126.44117</v>
      </c>
      <c r="AM102" s="27">
        <f t="shared" si="3"/>
        <v>29885.85292</v>
      </c>
      <c r="AN102" s="27">
        <f t="shared" si="3"/>
        <v>29968.01221</v>
      </c>
      <c r="AO102" s="27">
        <f t="shared" si="3"/>
        <v>30050.27925</v>
      </c>
      <c r="AP102" s="27">
        <f t="shared" si="3"/>
        <v>40043.15643</v>
      </c>
      <c r="AQ102" s="27">
        <f t="shared" si="3"/>
        <v>31036.03361</v>
      </c>
      <c r="AR102" s="27">
        <f t="shared" si="3"/>
        <v>31996.15832</v>
      </c>
      <c r="AS102" s="27">
        <f t="shared" si="3"/>
        <v>30919.97318</v>
      </c>
      <c r="AT102" s="27">
        <f t="shared" si="3"/>
        <v>29770.56627</v>
      </c>
      <c r="AU102" s="27">
        <f t="shared" si="3"/>
        <v>35764.63536</v>
      </c>
      <c r="AV102" s="27">
        <f t="shared" si="3"/>
        <v>44964.77397</v>
      </c>
      <c r="AW102" s="27">
        <f t="shared" si="3"/>
        <v>55582.83874</v>
      </c>
      <c r="AX102" s="27">
        <f t="shared" si="3"/>
        <v>56050.21629</v>
      </c>
      <c r="AY102" s="27">
        <f t="shared" si="3"/>
        <v>56536.10074</v>
      </c>
      <c r="AZ102" s="27">
        <f t="shared" si="3"/>
        <v>56692.55949</v>
      </c>
      <c r="BA102" s="27">
        <f t="shared" si="3"/>
        <v>56967.68578</v>
      </c>
      <c r="BB102" s="27">
        <f t="shared" si="3"/>
        <v>60333.15929</v>
      </c>
      <c r="BC102" s="27">
        <f t="shared" si="3"/>
        <v>50156.43525</v>
      </c>
      <c r="BD102" s="27">
        <f t="shared" si="3"/>
        <v>49865.82738</v>
      </c>
      <c r="BE102" s="27">
        <f t="shared" si="3"/>
        <v>49320.39507</v>
      </c>
      <c r="BF102" s="27">
        <f t="shared" si="3"/>
        <v>49267.8889</v>
      </c>
      <c r="BG102" s="27">
        <f t="shared" si="3"/>
        <v>64455.98845</v>
      </c>
      <c r="BH102" s="27">
        <f t="shared" si="3"/>
        <v>47310.42801</v>
      </c>
      <c r="BI102" s="27">
        <f t="shared" si="3"/>
        <v>49145.1138</v>
      </c>
      <c r="BJ102" s="27">
        <f t="shared" si="3"/>
        <v>44400.29519</v>
      </c>
      <c r="BK102" s="27">
        <f t="shared" si="3"/>
        <v>46415.09922</v>
      </c>
      <c r="BL102" s="27">
        <f t="shared" si="3"/>
        <v>44436.411</v>
      </c>
      <c r="BM102" s="27">
        <f t="shared" si="3"/>
        <v>46448.0096</v>
      </c>
      <c r="BN102" s="27">
        <f t="shared" si="3"/>
        <v>44454.26996</v>
      </c>
      <c r="BO102" s="27">
        <f t="shared" si="3"/>
        <v>46434.4993</v>
      </c>
      <c r="BP102" s="27">
        <f t="shared" si="3"/>
        <v>51685.8274</v>
      </c>
      <c r="BQ102" s="27">
        <f t="shared" si="3"/>
        <v>59326.85375</v>
      </c>
      <c r="BR102" s="27">
        <f t="shared" si="3"/>
        <v>59571.71058</v>
      </c>
      <c r="BS102" s="27">
        <f t="shared" si="3"/>
        <v>62665.21721</v>
      </c>
      <c r="BT102" s="27">
        <f t="shared" si="3"/>
        <v>62644.80455</v>
      </c>
      <c r="BU102" s="27">
        <f t="shared" si="3"/>
        <v>67927.31519</v>
      </c>
      <c r="BV102" s="27">
        <f t="shared" si="3"/>
        <v>73480.92461</v>
      </c>
      <c r="BW102" s="27">
        <f t="shared" si="3"/>
        <v>74048.62364</v>
      </c>
      <c r="BX102" s="27">
        <f t="shared" si="3"/>
        <v>75378.61739</v>
      </c>
      <c r="BY102" s="27">
        <f t="shared" si="3"/>
        <v>80690.9063</v>
      </c>
      <c r="BZ102" s="27">
        <f t="shared" si="3"/>
        <v>81055.41975</v>
      </c>
      <c r="CA102" s="27">
        <f t="shared" si="3"/>
        <v>80407.64952</v>
      </c>
      <c r="CB102" s="27">
        <f t="shared" si="3"/>
        <v>80519.10311</v>
      </c>
      <c r="CC102" s="27">
        <f t="shared" si="3"/>
        <v>81626.11034</v>
      </c>
      <c r="CD102" s="27">
        <f t="shared" si="3"/>
        <v>81733.11756</v>
      </c>
      <c r="CE102" s="27">
        <f t="shared" si="3"/>
        <v>89869.22986</v>
      </c>
      <c r="CF102" s="27">
        <f t="shared" si="3"/>
        <v>90999.85837</v>
      </c>
      <c r="CG102" s="27">
        <f t="shared" si="3"/>
        <v>96385.24642</v>
      </c>
      <c r="CH102" s="27">
        <f t="shared" si="3"/>
        <v>102721.9438</v>
      </c>
      <c r="CI102" s="27">
        <f t="shared" si="3"/>
        <v>104062.4486</v>
      </c>
      <c r="CJ102" s="27">
        <f t="shared" si="3"/>
        <v>111430.5199</v>
      </c>
      <c r="CK102" s="27">
        <f t="shared" si="3"/>
        <v>111776.2015</v>
      </c>
      <c r="CL102" s="27">
        <f t="shared" si="3"/>
        <v>117383.3482</v>
      </c>
      <c r="CM102" s="27">
        <f t="shared" si="3"/>
        <v>117757.0853</v>
      </c>
      <c r="CN102" s="27">
        <f t="shared" si="3"/>
        <v>118112.2287</v>
      </c>
      <c r="CO102" s="27">
        <f t="shared" si="3"/>
        <v>118255.5438</v>
      </c>
      <c r="CP102" s="27">
        <f t="shared" si="3"/>
        <v>118398.8589</v>
      </c>
    </row>
    <row r="103" ht="12.75" customHeight="1">
      <c r="A103" s="3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</row>
    <row r="104" ht="12.75" customHeight="1">
      <c r="A104" s="114" t="s">
        <v>170</v>
      </c>
      <c r="B104" s="115" t="str">
        <f t="shared" ref="B104:AG104" si="4">SUM(B86,B85,B84,B83,B82,B81,B80,B79,B78,B77,B76,B75,B74,B73,B72,B71,#REF!)</f>
        <v>#REF!</v>
      </c>
      <c r="C104" s="115" t="str">
        <f t="shared" si="4"/>
        <v>#REF!</v>
      </c>
      <c r="D104" s="115" t="str">
        <f t="shared" si="4"/>
        <v>#REF!</v>
      </c>
      <c r="E104" s="115" t="str">
        <f t="shared" si="4"/>
        <v>#REF!</v>
      </c>
      <c r="F104" s="115" t="str">
        <f t="shared" si="4"/>
        <v>#REF!</v>
      </c>
      <c r="G104" s="115" t="str">
        <f t="shared" si="4"/>
        <v>#REF!</v>
      </c>
      <c r="H104" s="115" t="str">
        <f t="shared" si="4"/>
        <v>#REF!</v>
      </c>
      <c r="I104" s="115" t="str">
        <f t="shared" si="4"/>
        <v>#REF!</v>
      </c>
      <c r="J104" s="115" t="str">
        <f t="shared" si="4"/>
        <v>#REF!</v>
      </c>
      <c r="K104" s="115" t="str">
        <f t="shared" si="4"/>
        <v>#REF!</v>
      </c>
      <c r="L104" s="115" t="str">
        <f t="shared" si="4"/>
        <v>#REF!</v>
      </c>
      <c r="M104" s="115" t="str">
        <f t="shared" si="4"/>
        <v>#REF!</v>
      </c>
      <c r="N104" s="115" t="str">
        <f t="shared" si="4"/>
        <v>#REF!</v>
      </c>
      <c r="O104" s="115" t="str">
        <f t="shared" si="4"/>
        <v>#REF!</v>
      </c>
      <c r="P104" s="115" t="str">
        <f t="shared" si="4"/>
        <v>#REF!</v>
      </c>
      <c r="Q104" s="115" t="str">
        <f t="shared" si="4"/>
        <v>#REF!</v>
      </c>
      <c r="R104" s="115" t="str">
        <f t="shared" si="4"/>
        <v>#REF!</v>
      </c>
      <c r="S104" s="115" t="str">
        <f t="shared" si="4"/>
        <v>#REF!</v>
      </c>
      <c r="T104" s="115" t="str">
        <f t="shared" si="4"/>
        <v>#REF!</v>
      </c>
      <c r="U104" s="115" t="str">
        <f t="shared" si="4"/>
        <v>#REF!</v>
      </c>
      <c r="V104" s="115" t="str">
        <f t="shared" si="4"/>
        <v>#REF!</v>
      </c>
      <c r="W104" s="115" t="str">
        <f t="shared" si="4"/>
        <v>#REF!</v>
      </c>
      <c r="X104" s="115" t="str">
        <f t="shared" si="4"/>
        <v>#REF!</v>
      </c>
      <c r="Y104" s="115" t="str">
        <f t="shared" si="4"/>
        <v>#REF!</v>
      </c>
      <c r="Z104" s="115" t="str">
        <f t="shared" si="4"/>
        <v>#REF!</v>
      </c>
      <c r="AA104" s="115" t="str">
        <f t="shared" si="4"/>
        <v>#REF!</v>
      </c>
      <c r="AB104" s="115" t="str">
        <f t="shared" si="4"/>
        <v>#REF!</v>
      </c>
      <c r="AC104" s="115" t="str">
        <f t="shared" si="4"/>
        <v>#REF!</v>
      </c>
      <c r="AD104" s="115" t="str">
        <f t="shared" si="4"/>
        <v>#REF!</v>
      </c>
      <c r="AE104" s="115" t="str">
        <f t="shared" si="4"/>
        <v>#REF!</v>
      </c>
      <c r="AF104" s="115" t="str">
        <f t="shared" si="4"/>
        <v>#REF!</v>
      </c>
      <c r="AG104" s="115" t="str">
        <f t="shared" si="4"/>
        <v>#REF!</v>
      </c>
      <c r="AH104" s="115">
        <f>+AH27+AH34+AH21+AH22+AH15+AH23+AH58+AH46+AH47+AH48+AH50+AH45+AH55+AH42+AH20</f>
        <v>11356.07022</v>
      </c>
      <c r="AI104" s="115">
        <f t="shared" ref="AI104:CP104" si="5">+AI27+AI34+AI21+AI22+AI15+AI23+AI58+AI46+AI47+AI48+AI50+AI45+AI55+AI42</f>
        <v>15321.83802</v>
      </c>
      <c r="AJ104" s="115">
        <f t="shared" si="5"/>
        <v>15300.47473</v>
      </c>
      <c r="AK104" s="115">
        <f t="shared" si="5"/>
        <v>15277.35704</v>
      </c>
      <c r="AL104" s="115">
        <f t="shared" si="5"/>
        <v>15254.73413</v>
      </c>
      <c r="AM104" s="115">
        <f t="shared" si="5"/>
        <v>16958.68567</v>
      </c>
      <c r="AN104" s="115">
        <f t="shared" si="5"/>
        <v>16964.15017</v>
      </c>
      <c r="AO104" s="115">
        <f t="shared" si="5"/>
        <v>16969.62184</v>
      </c>
      <c r="AP104" s="115">
        <f t="shared" si="5"/>
        <v>26969.14809</v>
      </c>
      <c r="AQ104" s="115">
        <f t="shared" si="5"/>
        <v>17968.67435</v>
      </c>
      <c r="AR104" s="115">
        <f t="shared" si="5"/>
        <v>18966.0222</v>
      </c>
      <c r="AS104" s="115">
        <f t="shared" si="5"/>
        <v>17960.95504</v>
      </c>
      <c r="AT104" s="115">
        <f t="shared" si="5"/>
        <v>18951.01783</v>
      </c>
      <c r="AU104" s="115">
        <f t="shared" si="5"/>
        <v>20950.62336</v>
      </c>
      <c r="AV104" s="115">
        <f t="shared" si="5"/>
        <v>20963.93479</v>
      </c>
      <c r="AW104" s="115">
        <f t="shared" si="5"/>
        <v>21005.04295</v>
      </c>
      <c r="AX104" s="115">
        <f t="shared" si="5"/>
        <v>21036.12874</v>
      </c>
      <c r="AY104" s="115">
        <f t="shared" si="5"/>
        <v>21068.44544</v>
      </c>
      <c r="AZ104" s="115">
        <f t="shared" si="5"/>
        <v>21078.85168</v>
      </c>
      <c r="BA104" s="115">
        <f t="shared" si="5"/>
        <v>21097.15063</v>
      </c>
      <c r="BB104" s="115">
        <f t="shared" si="5"/>
        <v>24121.45867</v>
      </c>
      <c r="BC104" s="115">
        <f t="shared" si="5"/>
        <v>24109.70456</v>
      </c>
      <c r="BD104" s="115">
        <f t="shared" si="5"/>
        <v>24090.37592</v>
      </c>
      <c r="BE104" s="115">
        <f t="shared" si="5"/>
        <v>24054.09862</v>
      </c>
      <c r="BF104" s="115">
        <f t="shared" si="5"/>
        <v>24050.60638</v>
      </c>
      <c r="BG104" s="115">
        <f t="shared" si="5"/>
        <v>28689.72152</v>
      </c>
      <c r="BH104" s="115">
        <f t="shared" si="5"/>
        <v>26680.04014</v>
      </c>
      <c r="BI104" s="115">
        <f t="shared" si="5"/>
        <v>28669.04491</v>
      </c>
      <c r="BJ104" s="115">
        <f t="shared" si="5"/>
        <v>24619.50621</v>
      </c>
      <c r="BK104" s="115">
        <f t="shared" si="5"/>
        <v>26620.49085</v>
      </c>
      <c r="BL104" s="115">
        <f t="shared" si="5"/>
        <v>24621.90832</v>
      </c>
      <c r="BM104" s="115">
        <f t="shared" si="5"/>
        <v>26622.67975</v>
      </c>
      <c r="BN104" s="115">
        <f t="shared" si="5"/>
        <v>25623.09614</v>
      </c>
      <c r="BO104" s="115">
        <f t="shared" si="5"/>
        <v>27621.78117</v>
      </c>
      <c r="BP104" s="115">
        <f t="shared" si="5"/>
        <v>27638.49727</v>
      </c>
      <c r="BQ104" s="115">
        <f t="shared" si="5"/>
        <v>32854.5282</v>
      </c>
      <c r="BR104" s="115">
        <f t="shared" si="5"/>
        <v>32870.81389</v>
      </c>
      <c r="BS104" s="115">
        <f t="shared" si="5"/>
        <v>32870.38201</v>
      </c>
      <c r="BT104" s="115">
        <f t="shared" si="5"/>
        <v>32869.02434</v>
      </c>
      <c r="BU104" s="115">
        <f t="shared" si="5"/>
        <v>32887.81443</v>
      </c>
      <c r="BV104" s="115">
        <f t="shared" si="5"/>
        <v>32924.63559</v>
      </c>
      <c r="BW104" s="115">
        <f t="shared" si="5"/>
        <v>32962.39387</v>
      </c>
      <c r="BX104" s="115">
        <f t="shared" si="5"/>
        <v>32984.34211</v>
      </c>
      <c r="BY104" s="115">
        <f t="shared" si="5"/>
        <v>33005.11279</v>
      </c>
      <c r="BZ104" s="115">
        <f t="shared" si="5"/>
        <v>33029.35697</v>
      </c>
      <c r="CA104" s="115">
        <f t="shared" si="5"/>
        <v>33052.78416</v>
      </c>
      <c r="CB104" s="115">
        <f t="shared" si="5"/>
        <v>33060.19706</v>
      </c>
      <c r="CC104" s="115">
        <f t="shared" si="5"/>
        <v>33067.31422</v>
      </c>
      <c r="CD104" s="115">
        <f t="shared" si="5"/>
        <v>33074.43139</v>
      </c>
      <c r="CE104" s="115">
        <f t="shared" si="5"/>
        <v>36083.48437</v>
      </c>
      <c r="CF104" s="115">
        <f t="shared" si="5"/>
        <v>36092.17261</v>
      </c>
      <c r="CG104" s="115">
        <f t="shared" si="5"/>
        <v>36117.80519</v>
      </c>
      <c r="CH104" s="115">
        <f t="shared" si="5"/>
        <v>43140.1993</v>
      </c>
      <c r="CI104" s="115">
        <f t="shared" si="5"/>
        <v>43162.84664</v>
      </c>
      <c r="CJ104" s="115">
        <f t="shared" si="5"/>
        <v>45187.32746</v>
      </c>
      <c r="CK104" s="115">
        <f t="shared" si="5"/>
        <v>45210.31912</v>
      </c>
      <c r="CL104" s="115">
        <f t="shared" si="5"/>
        <v>45250.70111</v>
      </c>
      <c r="CM104" s="115">
        <f t="shared" si="5"/>
        <v>45275.55876</v>
      </c>
      <c r="CN104" s="115">
        <f t="shared" si="5"/>
        <v>45299.17974</v>
      </c>
      <c r="CO104" s="115">
        <f t="shared" si="5"/>
        <v>45308.71178</v>
      </c>
      <c r="CP104" s="115">
        <f t="shared" si="5"/>
        <v>45318.24382</v>
      </c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</row>
    <row r="106" ht="12.75" customHeight="1">
      <c r="A106" s="1" t="s">
        <v>171</v>
      </c>
      <c r="AO106" s="1"/>
      <c r="AP106" s="1"/>
      <c r="AQ106" s="1"/>
      <c r="AR106" s="1"/>
      <c r="AS106" s="1"/>
      <c r="AT106" s="9"/>
      <c r="AU106" s="1"/>
      <c r="AV106" s="1"/>
      <c r="AW106" s="1"/>
      <c r="AX106" s="1"/>
      <c r="AY106" s="9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</row>
    <row r="107" ht="12.75" customHeight="1">
      <c r="A107" s="1" t="s">
        <v>172</v>
      </c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  <c r="BM107" s="116"/>
      <c r="BN107" s="116"/>
      <c r="BO107" s="116"/>
      <c r="BP107" s="116"/>
      <c r="BQ107" s="116"/>
      <c r="BR107" s="116"/>
      <c r="BS107" s="116"/>
      <c r="BT107" s="116"/>
      <c r="BU107" s="116"/>
      <c r="BV107" s="116"/>
      <c r="BW107" s="116"/>
      <c r="BX107" s="116"/>
      <c r="BY107" s="116"/>
      <c r="BZ107" s="116"/>
      <c r="CA107" s="116"/>
      <c r="CB107" s="116"/>
      <c r="CC107" s="116"/>
      <c r="CD107" s="116"/>
      <c r="CE107" s="116"/>
      <c r="CF107" s="116"/>
      <c r="CG107" s="116"/>
      <c r="CH107" s="116"/>
      <c r="CI107" s="116"/>
      <c r="CJ107" s="116"/>
      <c r="CK107" s="116"/>
      <c r="CL107" s="116"/>
      <c r="CM107" s="116"/>
      <c r="CN107" s="116"/>
      <c r="CO107" s="116"/>
      <c r="CP107" s="116"/>
    </row>
    <row r="108" ht="12.75" customHeight="1">
      <c r="A108" s="1" t="s">
        <v>173</v>
      </c>
      <c r="B108" s="21">
        <v>3500.0</v>
      </c>
      <c r="C108" s="21">
        <v>3500.0</v>
      </c>
      <c r="D108" s="21">
        <v>3500.0</v>
      </c>
      <c r="E108" s="21">
        <v>3500.0</v>
      </c>
      <c r="F108" s="21">
        <v>3500.0</v>
      </c>
      <c r="G108" s="21">
        <v>3500.0</v>
      </c>
      <c r="H108" s="21">
        <v>3500.0</v>
      </c>
      <c r="I108" s="21">
        <v>3500.0</v>
      </c>
      <c r="J108" s="21">
        <v>3500.0</v>
      </c>
      <c r="K108" s="21">
        <v>3500.0</v>
      </c>
      <c r="L108" s="21">
        <v>3500.0</v>
      </c>
      <c r="M108" s="21">
        <v>3500.0</v>
      </c>
      <c r="N108" s="21">
        <v>3500.0</v>
      </c>
      <c r="O108" s="21">
        <v>3500.0</v>
      </c>
      <c r="P108" s="21">
        <v>3500.0</v>
      </c>
      <c r="Q108" s="21">
        <v>3500.0</v>
      </c>
      <c r="R108" s="21">
        <v>3500.0</v>
      </c>
      <c r="S108" s="21">
        <v>3500.0</v>
      </c>
      <c r="T108" s="21">
        <v>3500.0</v>
      </c>
      <c r="U108" s="21">
        <v>3500.0</v>
      </c>
      <c r="V108" s="21">
        <v>3500.0</v>
      </c>
      <c r="W108" s="21">
        <v>3500.0</v>
      </c>
      <c r="X108" s="21">
        <v>3500.0</v>
      </c>
      <c r="Y108" s="21">
        <v>3500.0</v>
      </c>
      <c r="Z108" s="21">
        <v>3500.0</v>
      </c>
      <c r="AA108" s="21">
        <v>3500.0</v>
      </c>
      <c r="AB108" s="21">
        <v>3500.0</v>
      </c>
      <c r="AC108" s="21">
        <v>3500.0</v>
      </c>
      <c r="AD108" s="21">
        <v>3500.0</v>
      </c>
      <c r="AE108" s="21">
        <v>3500.0</v>
      </c>
      <c r="AF108" s="21">
        <v>3500.0</v>
      </c>
      <c r="AG108" s="21">
        <v>3500.0</v>
      </c>
      <c r="AH108" s="21">
        <v>3500.0</v>
      </c>
      <c r="AI108" s="21">
        <v>3500.0</v>
      </c>
      <c r="AJ108" s="21">
        <v>3500.0</v>
      </c>
      <c r="AK108" s="21">
        <v>3500.0</v>
      </c>
      <c r="AL108" s="21">
        <v>3500.0</v>
      </c>
      <c r="AM108" s="21">
        <v>3500.0</v>
      </c>
      <c r="AN108" s="21">
        <v>3500.0</v>
      </c>
      <c r="AO108" s="21">
        <v>3500.0</v>
      </c>
      <c r="AP108" s="21">
        <v>3500.0</v>
      </c>
      <c r="AQ108" s="21">
        <v>3500.0</v>
      </c>
      <c r="AR108" s="21">
        <v>3500.0</v>
      </c>
      <c r="AS108" s="21">
        <v>3500.0</v>
      </c>
      <c r="AT108" s="21">
        <v>3500.0</v>
      </c>
      <c r="AU108" s="21">
        <v>3500.0</v>
      </c>
      <c r="AV108" s="21">
        <v>3500.0</v>
      </c>
      <c r="AW108" s="21">
        <v>3500.0</v>
      </c>
      <c r="AX108" s="21">
        <v>3500.0</v>
      </c>
      <c r="AY108" s="21">
        <v>3500.0</v>
      </c>
      <c r="AZ108" s="21">
        <v>3500.0</v>
      </c>
      <c r="BA108" s="21">
        <v>3500.0</v>
      </c>
      <c r="BB108" s="21">
        <v>3500.0</v>
      </c>
      <c r="BC108" s="21">
        <v>3500.0</v>
      </c>
      <c r="BD108" s="21">
        <v>3500.0</v>
      </c>
      <c r="BE108" s="21">
        <v>3500.0</v>
      </c>
      <c r="BF108" s="21">
        <v>3500.0</v>
      </c>
      <c r="BG108" s="21">
        <v>3500.0</v>
      </c>
      <c r="BH108" s="21">
        <v>3500.0</v>
      </c>
      <c r="BI108" s="21">
        <v>3500.0</v>
      </c>
      <c r="BJ108" s="21">
        <v>3500.0</v>
      </c>
      <c r="BK108" s="21">
        <v>3500.0</v>
      </c>
      <c r="BL108" s="21">
        <v>3500.0</v>
      </c>
      <c r="BM108" s="21">
        <v>3500.0</v>
      </c>
      <c r="BN108" s="21">
        <v>3500.0</v>
      </c>
      <c r="BO108" s="21">
        <v>3500.0</v>
      </c>
      <c r="BP108" s="21">
        <v>3500.0</v>
      </c>
      <c r="BQ108" s="21">
        <v>3500.0</v>
      </c>
      <c r="BR108" s="21">
        <v>3500.0</v>
      </c>
      <c r="BS108" s="21">
        <v>3500.0</v>
      </c>
      <c r="BT108" s="21">
        <v>3500.0</v>
      </c>
      <c r="BU108" s="21">
        <v>3500.0</v>
      </c>
      <c r="BV108" s="21">
        <v>3500.0</v>
      </c>
      <c r="BW108" s="21">
        <v>3500.0</v>
      </c>
      <c r="BX108" s="21">
        <v>3500.0</v>
      </c>
      <c r="BY108" s="21">
        <v>3500.0</v>
      </c>
      <c r="BZ108" s="21">
        <v>3500.0</v>
      </c>
      <c r="CA108" s="21">
        <v>3500.0</v>
      </c>
      <c r="CB108" s="21">
        <v>3500.0</v>
      </c>
      <c r="CC108" s="21">
        <v>3500.0</v>
      </c>
      <c r="CD108" s="21">
        <v>3500.0</v>
      </c>
      <c r="CE108" s="21">
        <v>3500.0</v>
      </c>
      <c r="CF108" s="21">
        <v>3500.0</v>
      </c>
      <c r="CG108" s="21">
        <v>3500.0</v>
      </c>
      <c r="CH108" s="21">
        <v>3500.0</v>
      </c>
      <c r="CI108" s="21">
        <v>3500.0</v>
      </c>
      <c r="CJ108" s="21">
        <v>3500.0</v>
      </c>
      <c r="CK108" s="21">
        <v>3500.0</v>
      </c>
      <c r="CL108" s="21">
        <v>3500.0</v>
      </c>
      <c r="CM108" s="21">
        <v>3500.0</v>
      </c>
      <c r="CN108" s="21">
        <v>3500.0</v>
      </c>
      <c r="CO108" s="21">
        <v>3500.0</v>
      </c>
      <c r="CP108" s="21">
        <v>3500.0</v>
      </c>
    </row>
    <row r="109" ht="12.75" customHeight="1">
      <c r="A109" s="1" t="s">
        <v>174</v>
      </c>
      <c r="B109" s="117">
        <v>0.05</v>
      </c>
      <c r="C109" s="117">
        <v>0.05</v>
      </c>
      <c r="D109" s="117">
        <v>0.05</v>
      </c>
      <c r="E109" s="117">
        <v>0.05</v>
      </c>
      <c r="F109" s="117">
        <v>0.05</v>
      </c>
      <c r="G109" s="117">
        <v>0.05</v>
      </c>
      <c r="H109" s="117">
        <v>0.05</v>
      </c>
      <c r="I109" s="117">
        <v>0.05</v>
      </c>
      <c r="J109" s="117">
        <v>0.05</v>
      </c>
      <c r="K109" s="117">
        <v>0.05</v>
      </c>
      <c r="L109" s="117">
        <v>0.05</v>
      </c>
      <c r="M109" s="117">
        <v>0.05</v>
      </c>
      <c r="N109" s="117">
        <v>0.05</v>
      </c>
      <c r="O109" s="117">
        <v>0.05</v>
      </c>
      <c r="P109" s="117">
        <v>0.05</v>
      </c>
      <c r="Q109" s="117">
        <v>0.05</v>
      </c>
      <c r="R109" s="117">
        <v>0.05</v>
      </c>
      <c r="S109" s="117">
        <v>0.05</v>
      </c>
      <c r="T109" s="117">
        <v>0.05</v>
      </c>
      <c r="U109" s="117">
        <v>0.05</v>
      </c>
      <c r="V109" s="117">
        <v>0.05</v>
      </c>
      <c r="W109" s="117">
        <v>0.05</v>
      </c>
      <c r="X109" s="117">
        <v>0.05</v>
      </c>
      <c r="Y109" s="117">
        <v>0.05</v>
      </c>
      <c r="Z109" s="117">
        <v>0.05</v>
      </c>
      <c r="AA109" s="117">
        <v>0.05</v>
      </c>
      <c r="AB109" s="117">
        <v>0.05</v>
      </c>
      <c r="AC109" s="117">
        <v>0.05</v>
      </c>
      <c r="AD109" s="117">
        <v>0.05</v>
      </c>
      <c r="AE109" s="117">
        <v>0.05</v>
      </c>
      <c r="AF109" s="117">
        <v>0.05</v>
      </c>
      <c r="AG109" s="117">
        <v>0.05</v>
      </c>
      <c r="AH109" s="117">
        <v>0.05</v>
      </c>
      <c r="AI109" s="117">
        <v>0.05</v>
      </c>
      <c r="AJ109" s="117">
        <v>0.05</v>
      </c>
      <c r="AK109" s="117">
        <v>0.05</v>
      </c>
      <c r="AL109" s="117">
        <v>0.05</v>
      </c>
      <c r="AM109" s="117">
        <v>0.05</v>
      </c>
      <c r="AN109" s="117">
        <v>0.05</v>
      </c>
      <c r="AO109" s="117">
        <v>0.05</v>
      </c>
      <c r="AP109" s="117">
        <v>0.05</v>
      </c>
      <c r="AQ109" s="117">
        <v>0.05</v>
      </c>
      <c r="AR109" s="117">
        <v>0.05</v>
      </c>
      <c r="AS109" s="117">
        <v>0.05</v>
      </c>
      <c r="AT109" s="117">
        <v>0.05</v>
      </c>
      <c r="AU109" s="117">
        <v>0.05</v>
      </c>
      <c r="AV109" s="117">
        <v>0.05</v>
      </c>
      <c r="AW109" s="117">
        <v>0.05</v>
      </c>
      <c r="AX109" s="117">
        <v>0.05</v>
      </c>
      <c r="AY109" s="117">
        <v>0.05</v>
      </c>
      <c r="AZ109" s="117">
        <v>0.05</v>
      </c>
      <c r="BA109" s="117">
        <v>0.05</v>
      </c>
      <c r="BB109" s="117">
        <v>0.05</v>
      </c>
      <c r="BC109" s="117">
        <v>0.05</v>
      </c>
      <c r="BD109" s="117">
        <v>0.05</v>
      </c>
      <c r="BE109" s="117">
        <v>0.05</v>
      </c>
      <c r="BF109" s="117">
        <v>0.05</v>
      </c>
      <c r="BG109" s="117">
        <v>0.05</v>
      </c>
      <c r="BH109" s="117">
        <v>0.05</v>
      </c>
      <c r="BI109" s="117">
        <v>0.05</v>
      </c>
      <c r="BJ109" s="117">
        <v>0.05</v>
      </c>
      <c r="BK109" s="117">
        <v>0.05</v>
      </c>
      <c r="BL109" s="117">
        <v>0.05</v>
      </c>
      <c r="BM109" s="117">
        <v>0.05</v>
      </c>
      <c r="BN109" s="117">
        <v>0.05</v>
      </c>
      <c r="BO109" s="117">
        <v>0.05</v>
      </c>
      <c r="BP109" s="117">
        <v>0.05</v>
      </c>
      <c r="BQ109" s="117">
        <v>0.05</v>
      </c>
      <c r="BR109" s="117">
        <v>0.05</v>
      </c>
      <c r="BS109" s="117">
        <v>0.05</v>
      </c>
      <c r="BT109" s="117">
        <v>0.05</v>
      </c>
      <c r="BU109" s="117">
        <v>0.05</v>
      </c>
      <c r="BV109" s="117">
        <v>0.05</v>
      </c>
      <c r="BW109" s="117">
        <v>0.05</v>
      </c>
      <c r="BX109" s="117">
        <v>0.05</v>
      </c>
      <c r="BY109" s="117">
        <v>0.05</v>
      </c>
      <c r="BZ109" s="117">
        <v>0.05</v>
      </c>
      <c r="CA109" s="117">
        <v>0.05</v>
      </c>
      <c r="CB109" s="117">
        <v>0.05</v>
      </c>
      <c r="CC109" s="117">
        <v>0.05</v>
      </c>
      <c r="CD109" s="117">
        <v>0.05</v>
      </c>
      <c r="CE109" s="117">
        <v>0.05</v>
      </c>
      <c r="CF109" s="117">
        <v>0.05</v>
      </c>
      <c r="CG109" s="117">
        <v>0.05</v>
      </c>
      <c r="CH109" s="117">
        <v>0.05</v>
      </c>
      <c r="CI109" s="117">
        <v>0.05</v>
      </c>
      <c r="CJ109" s="117">
        <v>0.05</v>
      </c>
      <c r="CK109" s="117">
        <v>0.05</v>
      </c>
      <c r="CL109" s="117">
        <v>0.05</v>
      </c>
      <c r="CM109" s="117">
        <v>0.05</v>
      </c>
      <c r="CN109" s="117">
        <v>0.05</v>
      </c>
      <c r="CO109" s="117">
        <v>0.05</v>
      </c>
      <c r="CP109" s="117">
        <v>0.05</v>
      </c>
    </row>
    <row r="110" ht="12.75" customHeight="1"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</row>
    <row r="111" ht="12.75" customHeight="1">
      <c r="A111" s="1" t="s">
        <v>175</v>
      </c>
      <c r="B111" s="7" t="str">
        <f>+'Rev 2'!U13</f>
        <v/>
      </c>
      <c r="C111" s="7">
        <f>+'Rev 2'!V13</f>
        <v>65.08498677</v>
      </c>
      <c r="D111" s="7">
        <f>+'Rev 2'!W13</f>
        <v>782.6959509</v>
      </c>
      <c r="E111" s="7">
        <f>+'Rev 2'!X13</f>
        <v>1192.759359</v>
      </c>
      <c r="F111" s="7">
        <f>+'Rev 2'!Y13</f>
        <v>1545.461656</v>
      </c>
      <c r="G111" s="7">
        <f>+'Rev 2'!Z13</f>
        <v>1523.211089</v>
      </c>
      <c r="H111" s="7">
        <f>+'Rev 2'!AA13</f>
        <v>2184.172078</v>
      </c>
      <c r="I111" s="7">
        <f>+'Rev 2'!AB13</f>
        <v>4280.354996</v>
      </c>
      <c r="J111" s="7">
        <f>+'Rev 2'!AC13</f>
        <v>4144.122108</v>
      </c>
      <c r="K111" s="7">
        <f>+'Rev 2'!AD13</f>
        <v>6693.538286</v>
      </c>
      <c r="L111" s="7">
        <f>+'Rev 2'!AE13</f>
        <v>8429.584441</v>
      </c>
      <c r="M111" s="7">
        <f>+'Rev 2'!AF13</f>
        <v>11986.61825</v>
      </c>
      <c r="N111" s="7">
        <f>+'Rev 2'!AG13</f>
        <v>11989.17714</v>
      </c>
      <c r="O111" s="7">
        <f>+'Rev 2'!AH13</f>
        <v>10556.8553</v>
      </c>
      <c r="P111" s="7">
        <f>+'Rev 2'!AI13</f>
        <v>9124.533447</v>
      </c>
      <c r="Q111" s="7">
        <f>+'Rev 2'!AJ13</f>
        <v>8443.369006</v>
      </c>
      <c r="R111" s="7">
        <f>+'Rev 2'!AK13</f>
        <v>9697.856912</v>
      </c>
      <c r="S111" s="7">
        <f>+'Rev 2'!AL13</f>
        <v>11977.50334</v>
      </c>
      <c r="T111" s="7">
        <f>+'Rev 2'!AM13</f>
        <v>16307.46681</v>
      </c>
      <c r="U111" s="7">
        <f>+'Rev 2'!AN13</f>
        <v>15047.78396</v>
      </c>
      <c r="V111" s="7">
        <f>+'Rev 2'!AO13</f>
        <v>12832.81882</v>
      </c>
      <c r="W111" s="7">
        <f>+'Rev 2'!AP13</f>
        <v>9392.048262</v>
      </c>
      <c r="X111" s="7">
        <f>+'Rev 2'!AQ13</f>
        <v>10103.12956</v>
      </c>
      <c r="Y111" s="7">
        <f>+'Rev 2'!AR13</f>
        <v>10800.14854</v>
      </c>
      <c r="Z111" s="7">
        <f>+'Rev 2'!AS13</f>
        <v>10959.16634</v>
      </c>
      <c r="AA111" s="7">
        <f>+'Rev 2'!AT13</f>
        <v>11019.74793</v>
      </c>
      <c r="AB111" s="7">
        <f>+'Rev 2'!AU13</f>
        <v>10195.79417</v>
      </c>
      <c r="AC111" s="7">
        <f>+'Rev 2'!AV13</f>
        <v>9162.663446</v>
      </c>
      <c r="AD111" s="7">
        <f>+'Rev 2'!AW13</f>
        <v>8712.987625</v>
      </c>
      <c r="AE111" s="7">
        <f>+'Rev 2'!AX13</f>
        <v>10609.02756</v>
      </c>
      <c r="AF111" s="7">
        <f>+'Rev 2'!AY13</f>
        <v>12563.07455</v>
      </c>
      <c r="AG111" s="7">
        <f>+'Rev 2'!AZ13</f>
        <v>12545.24413</v>
      </c>
      <c r="AH111" s="7">
        <f>+'Rev 2'!BA13</f>
        <v>11231.58732</v>
      </c>
      <c r="AI111" s="7">
        <f>+'Rev 2'!BB13</f>
        <v>9730.175075</v>
      </c>
      <c r="AJ111" s="7">
        <f>+'Rev 2'!BC13</f>
        <v>8793.188823</v>
      </c>
      <c r="AK111" s="7">
        <f>+'Rev 2'!BD13</f>
        <v>7779.255186</v>
      </c>
      <c r="AL111" s="7">
        <f>+'Rev 2'!BE13</f>
        <v>6787.022019</v>
      </c>
      <c r="AM111" s="7">
        <f>+'Rev 2'!BF13</f>
        <v>6960.335181</v>
      </c>
      <c r="AN111" s="7">
        <f>+'Rev 2'!BG13</f>
        <v>7200.006367</v>
      </c>
      <c r="AO111" s="7">
        <f>+'Rev 2'!BH13</f>
        <v>7439.991906</v>
      </c>
      <c r="AP111" s="7">
        <f>+'Rev 2'!BI13</f>
        <v>7419.213556</v>
      </c>
      <c r="AQ111" s="7">
        <f>+'Rev 2'!BJ13</f>
        <v>7398.435206</v>
      </c>
      <c r="AR111" s="7">
        <f>+'Rev 2'!BK13</f>
        <v>7282.112875</v>
      </c>
      <c r="AS111" s="7">
        <f>+'Rev 2'!BL13</f>
        <v>7059.869187</v>
      </c>
      <c r="AT111" s="7">
        <f>+'Rev 2'!BM13</f>
        <v>6624.026379</v>
      </c>
      <c r="AU111" s="7">
        <f>+'Rev 2'!BN13</f>
        <v>6606.725002</v>
      </c>
      <c r="AV111" s="7">
        <f>+'Rev 2'!BO13</f>
        <v>7190.559931</v>
      </c>
      <c r="AW111" s="7">
        <f>+'Rev 2'!BP13</f>
        <v>8993.549349</v>
      </c>
      <c r="AX111" s="7">
        <f>+'Rev 2'!BQ13</f>
        <v>10356.9611</v>
      </c>
      <c r="AY111" s="7">
        <f>+'Rev 2'!BR13</f>
        <v>11774.36032</v>
      </c>
      <c r="AZ111" s="7">
        <f>+'Rev 2'!BS13</f>
        <v>12230.77441</v>
      </c>
      <c r="BA111" s="7">
        <f>+'Rev 2'!BT13</f>
        <v>13033.35983</v>
      </c>
      <c r="BB111" s="7">
        <f>+'Rev 2'!BU13</f>
        <v>14099.50194</v>
      </c>
      <c r="BC111" s="7">
        <f>+'Rev 2'!BV13</f>
        <v>13583.97091</v>
      </c>
      <c r="BD111" s="7">
        <f>+'Rev 2'!BW13</f>
        <v>12736.22332</v>
      </c>
      <c r="BE111" s="7">
        <f>+'Rev 2'!BX13</f>
        <v>11145.11389</v>
      </c>
      <c r="BF111" s="7">
        <f>+'Rev 2'!BY13</f>
        <v>10991.94538</v>
      </c>
      <c r="BG111" s="7">
        <f>+'Rev 2'!BZ13</f>
        <v>12707.52167</v>
      </c>
      <c r="BH111" s="7">
        <f>+'Rev 2'!CA13</f>
        <v>12282.89959</v>
      </c>
      <c r="BI111" s="7">
        <f>+'Rev 2'!CB13</f>
        <v>11800.6528</v>
      </c>
      <c r="BJ111" s="7">
        <f>+'Rev 2'!CC13</f>
        <v>9627.903039</v>
      </c>
      <c r="BK111" s="7">
        <f>+'Rev 2'!CD13</f>
        <v>9671.088656</v>
      </c>
      <c r="BL111" s="7">
        <f>+'Rev 2'!CE13</f>
        <v>9733.2584</v>
      </c>
      <c r="BM111" s="7">
        <f>+'Rev 2'!CF13</f>
        <v>9767.093267</v>
      </c>
      <c r="BN111" s="7">
        <f>+'Rev 2'!CG13</f>
        <v>9785.355714</v>
      </c>
      <c r="BO111" s="7">
        <f>+'Rev 2'!CH13</f>
        <v>9727.681653</v>
      </c>
      <c r="BP111" s="7">
        <f>+'Rev 2'!CI13</f>
        <v>10460.84417</v>
      </c>
      <c r="BQ111" s="7">
        <f>+'Rev 2'!CJ13</f>
        <v>11163.95487</v>
      </c>
      <c r="BR111" s="7">
        <f>+'Rev 2'!CK13</f>
        <v>11878.23967</v>
      </c>
      <c r="BS111" s="7">
        <f>+'Rev 2'!CL13</f>
        <v>11859.29751</v>
      </c>
      <c r="BT111" s="7">
        <f>+'Rev 2'!CM13</f>
        <v>11799.75067</v>
      </c>
      <c r="BU111" s="7">
        <f>+'Rev 2'!CN13</f>
        <v>12623.87738</v>
      </c>
      <c r="BV111" s="7">
        <f>+'Rev 2'!CO13</f>
        <v>14238.84067</v>
      </c>
      <c r="BW111" s="7">
        <f>+'Rev 2'!CP13</f>
        <v>15894.90552</v>
      </c>
      <c r="BX111" s="7">
        <f>+'Rev 2'!CQ13</f>
        <v>16857.54775</v>
      </c>
      <c r="BY111" s="7">
        <f>+'Rev 2'!CR13</f>
        <v>17768.54224</v>
      </c>
      <c r="BZ111" s="7">
        <f>+'Rev 2'!CS13</f>
        <v>18831.88367</v>
      </c>
      <c r="CA111" s="7">
        <f>+'Rev 2'!CT13</f>
        <v>19859.39177</v>
      </c>
      <c r="CB111" s="7">
        <f>+'Rev 2'!CU13</f>
        <v>20184.51892</v>
      </c>
      <c r="CC111" s="7">
        <f>+'Rev 2'!CV13</f>
        <v>20496.67535</v>
      </c>
      <c r="CD111" s="7">
        <f>+'Rev 2'!CW13</f>
        <v>20808.83179</v>
      </c>
      <c r="CE111" s="7">
        <f>+'Rev 2'!CX13</f>
        <v>21205.89216</v>
      </c>
      <c r="CF111" s="7">
        <f>+'Rev 2'!CY13</f>
        <v>21586.95551</v>
      </c>
      <c r="CG111" s="7">
        <f>+'Rev 2'!CZ13</f>
        <v>22711.19134</v>
      </c>
      <c r="CH111" s="7">
        <f>+'Rev 2'!DA13</f>
        <v>23693.38919</v>
      </c>
      <c r="CI111" s="7">
        <f>+'Rev 2'!DB13</f>
        <v>24686.69375</v>
      </c>
      <c r="CJ111" s="7">
        <f>+'Rev 2'!DC13</f>
        <v>25760.41399</v>
      </c>
      <c r="CK111" s="7">
        <f>+'Rev 2'!DD13</f>
        <v>26768.82002</v>
      </c>
      <c r="CL111" s="7">
        <f>+'Rev 2'!DE13</f>
        <v>28539.95976</v>
      </c>
      <c r="CM111" s="7">
        <f>+'Rev 2'!DF13</f>
        <v>29630.20778</v>
      </c>
      <c r="CN111" s="7">
        <f>+'Rev 2'!DG13</f>
        <v>30666.21543</v>
      </c>
      <c r="CO111" s="7">
        <f>+'Rev 2'!DH13</f>
        <v>31084.28752</v>
      </c>
      <c r="CP111" s="7">
        <f>+'Rev 2'!DI13</f>
        <v>31502.35961</v>
      </c>
    </row>
    <row r="112" ht="12.75" customHeight="1"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</row>
    <row r="113" ht="12.75" customHeight="1">
      <c r="A113" s="1" t="s">
        <v>176</v>
      </c>
      <c r="B113" s="7">
        <f t="shared" ref="B113:CP113" si="6">IF(B107=0,0,B107*B108+B111*B109)</f>
        <v>0</v>
      </c>
      <c r="C113" s="7">
        <f t="shared" si="6"/>
        <v>0</v>
      </c>
      <c r="D113" s="7">
        <f t="shared" si="6"/>
        <v>0</v>
      </c>
      <c r="E113" s="7">
        <f t="shared" si="6"/>
        <v>0</v>
      </c>
      <c r="F113" s="7">
        <f t="shared" si="6"/>
        <v>0</v>
      </c>
      <c r="G113" s="7">
        <f t="shared" si="6"/>
        <v>0</v>
      </c>
      <c r="H113" s="7">
        <f t="shared" si="6"/>
        <v>0</v>
      </c>
      <c r="I113" s="7">
        <f t="shared" si="6"/>
        <v>0</v>
      </c>
      <c r="J113" s="7">
        <f t="shared" si="6"/>
        <v>0</v>
      </c>
      <c r="K113" s="7">
        <f t="shared" si="6"/>
        <v>0</v>
      </c>
      <c r="L113" s="7">
        <f t="shared" si="6"/>
        <v>0</v>
      </c>
      <c r="M113" s="7">
        <f t="shared" si="6"/>
        <v>0</v>
      </c>
      <c r="N113" s="7">
        <f t="shared" si="6"/>
        <v>0</v>
      </c>
      <c r="O113" s="7">
        <f t="shared" si="6"/>
        <v>0</v>
      </c>
      <c r="P113" s="7">
        <f t="shared" si="6"/>
        <v>0</v>
      </c>
      <c r="Q113" s="7">
        <f t="shared" si="6"/>
        <v>0</v>
      </c>
      <c r="R113" s="7">
        <f t="shared" si="6"/>
        <v>0</v>
      </c>
      <c r="S113" s="7">
        <f t="shared" si="6"/>
        <v>0</v>
      </c>
      <c r="T113" s="7">
        <f t="shared" si="6"/>
        <v>0</v>
      </c>
      <c r="U113" s="7">
        <f t="shared" si="6"/>
        <v>0</v>
      </c>
      <c r="V113" s="7">
        <f t="shared" si="6"/>
        <v>0</v>
      </c>
      <c r="W113" s="7">
        <f t="shared" si="6"/>
        <v>0</v>
      </c>
      <c r="X113" s="7">
        <f t="shared" si="6"/>
        <v>0</v>
      </c>
      <c r="Y113" s="7">
        <f t="shared" si="6"/>
        <v>0</v>
      </c>
      <c r="Z113" s="7">
        <f t="shared" si="6"/>
        <v>0</v>
      </c>
      <c r="AA113" s="7">
        <f t="shared" si="6"/>
        <v>0</v>
      </c>
      <c r="AB113" s="7">
        <f t="shared" si="6"/>
        <v>0</v>
      </c>
      <c r="AC113" s="7">
        <f t="shared" si="6"/>
        <v>0</v>
      </c>
      <c r="AD113" s="7">
        <f t="shared" si="6"/>
        <v>0</v>
      </c>
      <c r="AE113" s="7">
        <f t="shared" si="6"/>
        <v>0</v>
      </c>
      <c r="AF113" s="7">
        <f t="shared" si="6"/>
        <v>0</v>
      </c>
      <c r="AG113" s="7">
        <f t="shared" si="6"/>
        <v>0</v>
      </c>
      <c r="AH113" s="7">
        <f t="shared" si="6"/>
        <v>0</v>
      </c>
      <c r="AI113" s="7">
        <f t="shared" si="6"/>
        <v>0</v>
      </c>
      <c r="AJ113" s="7">
        <f t="shared" si="6"/>
        <v>0</v>
      </c>
      <c r="AK113" s="7">
        <f t="shared" si="6"/>
        <v>0</v>
      </c>
      <c r="AL113" s="7">
        <f t="shared" si="6"/>
        <v>0</v>
      </c>
      <c r="AM113" s="7">
        <f t="shared" si="6"/>
        <v>0</v>
      </c>
      <c r="AN113" s="7">
        <f t="shared" si="6"/>
        <v>0</v>
      </c>
      <c r="AO113" s="7">
        <f t="shared" si="6"/>
        <v>0</v>
      </c>
      <c r="AP113" s="7">
        <f t="shared" si="6"/>
        <v>0</v>
      </c>
      <c r="AQ113" s="7">
        <f t="shared" si="6"/>
        <v>0</v>
      </c>
      <c r="AR113" s="7">
        <f t="shared" si="6"/>
        <v>0</v>
      </c>
      <c r="AS113" s="7">
        <f t="shared" si="6"/>
        <v>0</v>
      </c>
      <c r="AT113" s="7">
        <f t="shared" si="6"/>
        <v>0</v>
      </c>
      <c r="AU113" s="7">
        <f t="shared" si="6"/>
        <v>0</v>
      </c>
      <c r="AV113" s="7">
        <f t="shared" si="6"/>
        <v>0</v>
      </c>
      <c r="AW113" s="7">
        <f t="shared" si="6"/>
        <v>0</v>
      </c>
      <c r="AX113" s="7">
        <f t="shared" si="6"/>
        <v>0</v>
      </c>
      <c r="AY113" s="7">
        <f t="shared" si="6"/>
        <v>0</v>
      </c>
      <c r="AZ113" s="7">
        <f t="shared" si="6"/>
        <v>0</v>
      </c>
      <c r="BA113" s="7">
        <f t="shared" si="6"/>
        <v>0</v>
      </c>
      <c r="BB113" s="7">
        <f t="shared" si="6"/>
        <v>0</v>
      </c>
      <c r="BC113" s="7">
        <f t="shared" si="6"/>
        <v>0</v>
      </c>
      <c r="BD113" s="7">
        <f t="shared" si="6"/>
        <v>0</v>
      </c>
      <c r="BE113" s="7">
        <f t="shared" si="6"/>
        <v>0</v>
      </c>
      <c r="BF113" s="7">
        <f t="shared" si="6"/>
        <v>0</v>
      </c>
      <c r="BG113" s="7">
        <f t="shared" si="6"/>
        <v>0</v>
      </c>
      <c r="BH113" s="7">
        <f t="shared" si="6"/>
        <v>0</v>
      </c>
      <c r="BI113" s="7">
        <f t="shared" si="6"/>
        <v>0</v>
      </c>
      <c r="BJ113" s="7">
        <f t="shared" si="6"/>
        <v>0</v>
      </c>
      <c r="BK113" s="7">
        <f t="shared" si="6"/>
        <v>0</v>
      </c>
      <c r="BL113" s="7">
        <f t="shared" si="6"/>
        <v>0</v>
      </c>
      <c r="BM113" s="7">
        <f t="shared" si="6"/>
        <v>0</v>
      </c>
      <c r="BN113" s="7">
        <f t="shared" si="6"/>
        <v>0</v>
      </c>
      <c r="BO113" s="7">
        <f t="shared" si="6"/>
        <v>0</v>
      </c>
      <c r="BP113" s="7">
        <f t="shared" si="6"/>
        <v>0</v>
      </c>
      <c r="BQ113" s="7">
        <f t="shared" si="6"/>
        <v>0</v>
      </c>
      <c r="BR113" s="7">
        <f t="shared" si="6"/>
        <v>0</v>
      </c>
      <c r="BS113" s="7">
        <f t="shared" si="6"/>
        <v>0</v>
      </c>
      <c r="BT113" s="7">
        <f t="shared" si="6"/>
        <v>0</v>
      </c>
      <c r="BU113" s="7">
        <f t="shared" si="6"/>
        <v>0</v>
      </c>
      <c r="BV113" s="7">
        <f t="shared" si="6"/>
        <v>0</v>
      </c>
      <c r="BW113" s="7">
        <f t="shared" si="6"/>
        <v>0</v>
      </c>
      <c r="BX113" s="7">
        <f t="shared" si="6"/>
        <v>0</v>
      </c>
      <c r="BY113" s="7">
        <f t="shared" si="6"/>
        <v>0</v>
      </c>
      <c r="BZ113" s="7">
        <f t="shared" si="6"/>
        <v>0</v>
      </c>
      <c r="CA113" s="7">
        <f t="shared" si="6"/>
        <v>0</v>
      </c>
      <c r="CB113" s="7">
        <f t="shared" si="6"/>
        <v>0</v>
      </c>
      <c r="CC113" s="7">
        <f t="shared" si="6"/>
        <v>0</v>
      </c>
      <c r="CD113" s="7">
        <f t="shared" si="6"/>
        <v>0</v>
      </c>
      <c r="CE113" s="7">
        <f t="shared" si="6"/>
        <v>0</v>
      </c>
      <c r="CF113" s="7">
        <f t="shared" si="6"/>
        <v>0</v>
      </c>
      <c r="CG113" s="7">
        <f t="shared" si="6"/>
        <v>0</v>
      </c>
      <c r="CH113" s="7">
        <f t="shared" si="6"/>
        <v>0</v>
      </c>
      <c r="CI113" s="7">
        <f t="shared" si="6"/>
        <v>0</v>
      </c>
      <c r="CJ113" s="7">
        <f t="shared" si="6"/>
        <v>0</v>
      </c>
      <c r="CK113" s="7">
        <f t="shared" si="6"/>
        <v>0</v>
      </c>
      <c r="CL113" s="7">
        <f t="shared" si="6"/>
        <v>0</v>
      </c>
      <c r="CM113" s="7">
        <f t="shared" si="6"/>
        <v>0</v>
      </c>
      <c r="CN113" s="7">
        <f t="shared" si="6"/>
        <v>0</v>
      </c>
      <c r="CO113" s="7">
        <f t="shared" si="6"/>
        <v>0</v>
      </c>
      <c r="CP113" s="7">
        <f t="shared" si="6"/>
        <v>0</v>
      </c>
    </row>
    <row r="114" ht="12.75" customHeight="1"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</row>
    <row r="115" ht="12.75" customHeight="1"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</row>
    <row r="116" ht="12.75" customHeight="1"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</row>
    <row r="117" ht="12.75" customHeight="1"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 ht="12.75" customHeight="1"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ht="12.75" customHeight="1"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 ht="12.75" customHeight="1"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ht="12.75" customHeight="1"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 ht="12.75" customHeight="1"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 ht="12.75" customHeight="1">
      <c r="P123" s="51" t="str">
        <f>SUM(#REF!)</f>
        <v>#REF!</v>
      </c>
      <c r="Q123" s="51">
        <f>SUM(K13:V75)</f>
        <v>105300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ht="12.75" customHeight="1"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 ht="12.75" customHeight="1"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 ht="12.75" customHeight="1"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 ht="12.75" customHeight="1"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 ht="12.75" customHeight="1"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 ht="12.75" customHeight="1"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 ht="12.75" customHeight="1"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 ht="12.75" customHeight="1"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 ht="12.75" customHeight="1"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 ht="12.75" customHeight="1"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 ht="12.75" customHeight="1"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 ht="12.75" customHeight="1"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 ht="12.75" customHeight="1"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 ht="12.75" customHeight="1"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 ht="12.75" customHeight="1"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 ht="12.75" customHeight="1"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 ht="12.75" customHeight="1"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 ht="12.75" customHeight="1"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 ht="12.75" customHeight="1"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 ht="12.75" customHeight="1"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</row>
    <row r="144" ht="12.75" customHeight="1"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</row>
    <row r="145" ht="12.75" customHeight="1"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</row>
    <row r="146" ht="12.75" customHeight="1"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</row>
    <row r="147" ht="12.75" customHeight="1"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</row>
    <row r="148" ht="12.75" customHeight="1"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 ht="12.75" customHeight="1"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 ht="12.75" customHeight="1"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 ht="12.75" customHeight="1"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 ht="12.75" customHeight="1"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 ht="12.75" customHeight="1"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 ht="12.75" customHeight="1"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 ht="12.75" customHeight="1"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 ht="12.75" customHeight="1"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 ht="12.75" customHeight="1"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</row>
    <row r="158" ht="12.75" customHeight="1"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</row>
    <row r="159" ht="12.75" customHeight="1"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</row>
    <row r="160" ht="12.75" customHeight="1"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</row>
    <row r="161" ht="12.75" customHeight="1"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 ht="12.75" customHeight="1"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 ht="12.75" customHeight="1"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</row>
    <row r="164" ht="12.75" customHeight="1"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</row>
    <row r="165" ht="12.75" customHeight="1"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 ht="12.75" customHeight="1"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 ht="12.75" customHeight="1"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</row>
    <row r="168" ht="12.75" customHeight="1"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</row>
    <row r="169" ht="12.75" customHeight="1"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</row>
    <row r="170" ht="12.75" customHeight="1"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</row>
    <row r="171" ht="12.75" customHeight="1"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 ht="12.75" customHeight="1"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 ht="12.75" customHeight="1"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</row>
    <row r="174" ht="12.75" customHeight="1"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 ht="12.75" customHeight="1"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</row>
    <row r="176" ht="12.75" customHeight="1"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  <row r="177" ht="12.75" customHeight="1"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</row>
    <row r="178" ht="12.75" customHeight="1"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</row>
    <row r="179" ht="12.75" customHeight="1"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</row>
    <row r="180" ht="12.75" customHeight="1"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</row>
    <row r="181" ht="12.75" customHeight="1"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</row>
    <row r="182" ht="12.75" customHeight="1"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</row>
    <row r="183" ht="12.75" customHeight="1"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</row>
    <row r="184" ht="12.75" customHeight="1"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</row>
    <row r="185" ht="12.75" customHeight="1"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</row>
    <row r="186" ht="12.75" customHeight="1"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</row>
    <row r="187" ht="12.75" customHeight="1"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</row>
    <row r="188" ht="12.75" customHeight="1"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</row>
    <row r="189" ht="12.75" customHeight="1"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</row>
    <row r="190" ht="12.75" customHeight="1"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</row>
    <row r="191" ht="12.75" customHeight="1"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</row>
    <row r="192" ht="12.75" customHeight="1"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</row>
    <row r="193" ht="12.75" customHeight="1"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</row>
    <row r="194" ht="12.75" customHeight="1"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</row>
    <row r="195" ht="12.75" customHeight="1"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</row>
    <row r="196" ht="12.75" customHeight="1"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</row>
    <row r="197" ht="12.75" customHeight="1"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</row>
    <row r="198" ht="12.75" customHeight="1"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</row>
    <row r="199" ht="12.75" customHeight="1"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</row>
    <row r="200" ht="12.75" customHeight="1"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</row>
    <row r="201" ht="12.75" customHeight="1"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</row>
    <row r="202" ht="12.75" customHeight="1"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</row>
    <row r="203" ht="12.75" customHeight="1"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</row>
    <row r="204" ht="12.75" customHeight="1"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</row>
    <row r="205" ht="12.75" customHeight="1"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</row>
    <row r="206" ht="12.75" customHeight="1"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</row>
    <row r="207" ht="12.75" customHeight="1"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</row>
    <row r="208" ht="12.75" customHeight="1"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</row>
    <row r="209" ht="12.75" customHeight="1"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</row>
    <row r="210" ht="12.75" customHeight="1"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</row>
    <row r="211" ht="12.75" customHeight="1"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</row>
    <row r="212" ht="12.75" customHeight="1"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</row>
    <row r="213" ht="12.75" customHeight="1"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</row>
    <row r="214" ht="12.75" customHeight="1"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</row>
    <row r="215" ht="12.75" customHeight="1"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</row>
    <row r="216" ht="12.75" customHeight="1"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</row>
    <row r="217" ht="12.75" customHeight="1"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</row>
    <row r="218" ht="12.75" customHeight="1"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</row>
    <row r="219" ht="12.75" customHeight="1"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</row>
    <row r="220" ht="12.75" customHeight="1"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</row>
    <row r="221" ht="12.75" customHeight="1"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</row>
    <row r="222" ht="12.75" customHeight="1"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</row>
    <row r="223" ht="12.75" customHeight="1"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</row>
    <row r="224" ht="12.75" customHeight="1"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</row>
    <row r="225" ht="12.75" customHeight="1"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</row>
    <row r="226" ht="12.75" customHeight="1"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</row>
    <row r="227" ht="12.75" customHeight="1"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</row>
    <row r="228" ht="12.75" customHeight="1"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</row>
    <row r="229" ht="12.75" customHeight="1"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</row>
    <row r="230" ht="12.75" customHeight="1"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</row>
    <row r="231" ht="12.75" customHeight="1"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</row>
    <row r="232" ht="12.75" customHeight="1"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</row>
    <row r="233" ht="12.75" customHeight="1"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</row>
    <row r="234" ht="12.75" customHeight="1"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</row>
    <row r="235" ht="12.75" customHeight="1"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</row>
    <row r="236" ht="12.75" customHeight="1"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</row>
    <row r="237" ht="12.75" customHeight="1"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</row>
    <row r="238" ht="12.75" customHeight="1"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</row>
    <row r="239" ht="12.75" customHeight="1"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</row>
    <row r="240" ht="12.75" customHeight="1"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</row>
    <row r="241" ht="12.75" customHeight="1"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</row>
    <row r="242" ht="12.75" customHeight="1"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</row>
    <row r="243" ht="12.75" customHeight="1"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</row>
    <row r="244" ht="12.75" customHeight="1"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</row>
    <row r="245" ht="12.75" customHeight="1"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</row>
    <row r="246" ht="12.75" customHeight="1"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</row>
    <row r="247" ht="12.75" customHeight="1"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</row>
    <row r="248" ht="12.75" customHeight="1"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</row>
    <row r="249" ht="12.75" customHeight="1"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</row>
    <row r="250" ht="12.75" customHeight="1"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</row>
    <row r="251" ht="12.75" customHeight="1"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</row>
    <row r="252" ht="12.75" customHeight="1"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</row>
    <row r="253" ht="12.75" customHeight="1"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</row>
    <row r="254" ht="12.75" customHeight="1"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</row>
    <row r="255" ht="12.75" customHeight="1"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</row>
    <row r="256" ht="12.75" customHeight="1"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</row>
    <row r="257" ht="12.75" customHeight="1"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</row>
    <row r="258" ht="12.75" customHeight="1"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</row>
    <row r="259" ht="12.75" customHeight="1"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</row>
    <row r="260" ht="12.75" customHeight="1"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</row>
    <row r="261" ht="12.75" customHeight="1"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</row>
    <row r="262" ht="12.75" customHeight="1"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</row>
    <row r="263" ht="12.75" customHeight="1"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</row>
    <row r="264" ht="12.75" customHeight="1"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</row>
    <row r="265" ht="12.75" customHeight="1"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</row>
    <row r="266" ht="12.75" customHeight="1"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</row>
    <row r="267" ht="12.75" customHeight="1"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</row>
    <row r="268" ht="12.75" customHeight="1"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</row>
    <row r="269" ht="12.75" customHeight="1"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</row>
    <row r="270" ht="12.75" customHeight="1"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</row>
    <row r="271" ht="12.75" customHeight="1"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</row>
    <row r="272" ht="12.75" customHeight="1"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</row>
    <row r="273" ht="12.75" customHeight="1"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</row>
    <row r="274" ht="12.75" customHeight="1"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</row>
    <row r="275" ht="12.75" customHeight="1"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</row>
    <row r="276" ht="12.75" customHeight="1"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</row>
    <row r="277" ht="12.75" customHeight="1"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</row>
    <row r="278" ht="12.75" customHeight="1"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</row>
    <row r="279" ht="12.75" customHeight="1"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</row>
    <row r="280" ht="12.75" customHeight="1"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</row>
    <row r="281" ht="12.75" customHeight="1"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</row>
    <row r="282" ht="12.75" customHeight="1"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</row>
    <row r="283" ht="12.75" customHeight="1"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</row>
    <row r="284" ht="12.75" customHeight="1"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</row>
    <row r="285" ht="12.75" customHeight="1"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</row>
    <row r="286" ht="12.75" customHeight="1"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</row>
    <row r="287" ht="12.75" customHeight="1"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</row>
    <row r="288" ht="12.75" customHeight="1"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</row>
    <row r="289" ht="12.75" customHeight="1"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</row>
    <row r="290" ht="12.75" customHeight="1"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</row>
    <row r="291" ht="12.75" customHeight="1"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</row>
    <row r="292" ht="12.75" customHeight="1"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</row>
    <row r="293" ht="12.75" customHeight="1"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</row>
    <row r="294" ht="12.75" customHeight="1"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</row>
    <row r="295" ht="12.75" customHeight="1"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</row>
    <row r="296" ht="12.75" customHeight="1"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</row>
    <row r="297" ht="12.75" customHeight="1"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</row>
    <row r="298" ht="12.75" customHeight="1"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</row>
    <row r="299" ht="12.75" customHeight="1"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</row>
    <row r="300" ht="12.75" customHeight="1"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</row>
    <row r="301" ht="12.75" customHeight="1"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</row>
    <row r="302" ht="12.75" customHeight="1"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</row>
    <row r="303" ht="12.75" customHeight="1"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</row>
    <row r="304" ht="12.75" customHeight="1"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</row>
    <row r="305" ht="12.75" customHeight="1"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</row>
    <row r="306" ht="12.75" customHeight="1"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</row>
    <row r="307" ht="12.75" customHeight="1"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</row>
    <row r="308" ht="12.75" customHeight="1"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</row>
    <row r="309" ht="12.75" customHeight="1"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</row>
    <row r="310" ht="12.75" customHeight="1"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</row>
    <row r="311" ht="12.75" customHeight="1"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</row>
    <row r="312" ht="12.75" customHeight="1"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</row>
    <row r="313" ht="12.75" customHeight="1"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</sheetData>
  <mergeCells count="2">
    <mergeCell ref="A3:M3"/>
    <mergeCell ref="A4:M4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4" max="6" width="8.71"/>
  </cols>
  <sheetData>
    <row r="1" ht="12.75" customHeight="1"/>
    <row r="2" ht="12.75" customHeight="1"/>
    <row r="3" ht="30.0" customHeight="1">
      <c r="A3" s="2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30.0" customHeight="1">
      <c r="A4" s="2" t="s">
        <v>177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>
      <c r="A10" s="30" t="s">
        <v>178</v>
      </c>
    </row>
    <row r="11" ht="12.75" customHeight="1">
      <c r="A11" s="30"/>
    </row>
    <row r="12" ht="12.75" customHeight="1">
      <c r="A12" s="30" t="s">
        <v>179</v>
      </c>
      <c r="B12" s="27">
        <v>400.0</v>
      </c>
      <c r="C12" s="5" t="s">
        <v>180</v>
      </c>
    </row>
    <row r="13" ht="12.75" customHeight="1">
      <c r="A13" s="30" t="s">
        <v>181</v>
      </c>
      <c r="B13" s="12">
        <v>250.0</v>
      </c>
      <c r="C13" s="1" t="s">
        <v>180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2.75" customHeight="1">
      <c r="A14" s="30" t="s">
        <v>182</v>
      </c>
      <c r="B14" s="12">
        <v>200.0</v>
      </c>
      <c r="C14" s="1" t="s">
        <v>180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2.75" customHeight="1">
      <c r="A15" s="30" t="s">
        <v>183</v>
      </c>
      <c r="B15" s="12">
        <v>1200.0</v>
      </c>
    </row>
    <row r="16" ht="12.75" customHeight="1">
      <c r="A16" s="30" t="s">
        <v>184</v>
      </c>
      <c r="B16" s="12">
        <v>100.0</v>
      </c>
    </row>
    <row r="17" ht="12.75" customHeight="1">
      <c r="A17" s="30" t="s">
        <v>185</v>
      </c>
      <c r="B17" s="12">
        <v>40.0</v>
      </c>
    </row>
    <row r="18" ht="12.75" customHeight="1">
      <c r="A18" s="30" t="s">
        <v>186</v>
      </c>
      <c r="B18" s="12">
        <v>50.0</v>
      </c>
    </row>
    <row r="19" ht="12.75" customHeight="1">
      <c r="A19" s="30" t="s">
        <v>187</v>
      </c>
      <c r="B19" s="12">
        <v>25.0</v>
      </c>
    </row>
    <row r="20" ht="12.75" customHeight="1">
      <c r="A20" s="30" t="s">
        <v>188</v>
      </c>
      <c r="B20" s="12">
        <v>1300.0</v>
      </c>
      <c r="C20" s="5" t="s">
        <v>180</v>
      </c>
    </row>
    <row r="21" ht="12.75" customHeight="1">
      <c r="A21" s="30" t="s">
        <v>189</v>
      </c>
      <c r="B21" s="12">
        <v>500.0</v>
      </c>
    </row>
    <row r="22" ht="12.75" customHeight="1">
      <c r="A22" s="30" t="s">
        <v>190</v>
      </c>
      <c r="B22" s="12">
        <v>45.0</v>
      </c>
    </row>
    <row r="23" ht="12.75" customHeight="1">
      <c r="A23" s="30" t="s">
        <v>191</v>
      </c>
      <c r="B23" s="12">
        <v>55.0</v>
      </c>
    </row>
    <row r="24" ht="12.75" customHeight="1">
      <c r="A24" s="30" t="s">
        <v>192</v>
      </c>
      <c r="B24" s="12">
        <v>589.0</v>
      </c>
      <c r="C24" s="5" t="s">
        <v>180</v>
      </c>
    </row>
    <row r="25" ht="12.75" customHeight="1">
      <c r="A25" s="30" t="s">
        <v>193</v>
      </c>
      <c r="B25" s="12">
        <v>40.0</v>
      </c>
    </row>
    <row r="26" ht="12.75" customHeight="1">
      <c r="A26" s="30" t="s">
        <v>194</v>
      </c>
      <c r="B26" s="12">
        <v>100.0</v>
      </c>
    </row>
    <row r="27" ht="12.75" customHeight="1">
      <c r="A27" s="30" t="s">
        <v>195</v>
      </c>
      <c r="B27" s="12">
        <v>400.0</v>
      </c>
    </row>
    <row r="28" ht="12.75" customHeight="1">
      <c r="A28" s="30" t="s">
        <v>196</v>
      </c>
      <c r="B28" s="12">
        <v>400.0</v>
      </c>
    </row>
    <row r="29" ht="12.75" customHeight="1">
      <c r="A29" s="30" t="s">
        <v>197</v>
      </c>
      <c r="B29" s="12">
        <v>40.0</v>
      </c>
    </row>
    <row r="30" ht="12.75" customHeight="1">
      <c r="A30" s="30" t="s">
        <v>198</v>
      </c>
      <c r="B30" s="12">
        <v>20.0</v>
      </c>
    </row>
    <row r="31" ht="12.75" customHeight="1">
      <c r="A31" s="30" t="s">
        <v>199</v>
      </c>
      <c r="B31" s="12">
        <v>200.0</v>
      </c>
      <c r="C31" s="5" t="s">
        <v>180</v>
      </c>
    </row>
    <row r="32" ht="12.75" customHeight="1">
      <c r="A32" s="30" t="s">
        <v>200</v>
      </c>
      <c r="B32" s="12">
        <v>60.0</v>
      </c>
    </row>
    <row r="33" ht="12.75" customHeight="1">
      <c r="A33" s="30" t="s">
        <v>201</v>
      </c>
      <c r="B33" s="118">
        <v>29.0</v>
      </c>
    </row>
    <row r="34" ht="12.75" customHeight="1">
      <c r="B34" s="27">
        <f>SUM(B12:B33)</f>
        <v>6043</v>
      </c>
    </row>
    <row r="35" ht="12.75" customHeight="1"/>
    <row r="36" ht="12.75" customHeight="1">
      <c r="A36" s="30" t="s">
        <v>202</v>
      </c>
      <c r="B36" s="27">
        <v>7000.0</v>
      </c>
      <c r="D36" s="50">
        <f>B15+B16+B17+B18+B19+B21+B22+B23+B25+B26+B27+B28+B29+B30+B32+B33</f>
        <v>3104</v>
      </c>
    </row>
    <row r="37" ht="12.75" customHeight="1"/>
    <row r="38" ht="12.75" customHeight="1"/>
    <row r="39" ht="12.75" customHeight="1">
      <c r="A39" s="30" t="s">
        <v>203</v>
      </c>
    </row>
    <row r="40" ht="12.75" customHeight="1">
      <c r="A40" s="30" t="s">
        <v>204</v>
      </c>
    </row>
    <row r="41" ht="12.75" customHeight="1">
      <c r="A41" s="30" t="s">
        <v>205</v>
      </c>
    </row>
    <row r="42" ht="12.75" customHeight="1">
      <c r="A42" s="30" t="s">
        <v>206</v>
      </c>
    </row>
    <row r="43" ht="12.75" customHeight="1">
      <c r="A43" s="30" t="s">
        <v>207</v>
      </c>
    </row>
    <row r="44" ht="12.75" customHeight="1">
      <c r="A44" s="30" t="s">
        <v>208</v>
      </c>
    </row>
    <row r="45" ht="12.75" customHeight="1">
      <c r="A45" s="30" t="s">
        <v>209</v>
      </c>
    </row>
    <row r="46" ht="12.75" customHeight="1">
      <c r="A46" s="30" t="s">
        <v>210</v>
      </c>
    </row>
    <row r="47" ht="12.75" customHeight="1">
      <c r="A47" s="30" t="s">
        <v>211</v>
      </c>
    </row>
    <row r="48" ht="12.75" customHeight="1">
      <c r="A48" s="30" t="s">
        <v>212</v>
      </c>
    </row>
    <row r="49" ht="12.75" customHeight="1">
      <c r="A49" s="30" t="s">
        <v>213</v>
      </c>
    </row>
    <row r="50" ht="12.75" customHeight="1">
      <c r="A50" s="30" t="s">
        <v>214</v>
      </c>
    </row>
    <row r="51" ht="12.75" customHeight="1">
      <c r="A51" s="30" t="s">
        <v>215</v>
      </c>
    </row>
    <row r="52" ht="12.75" customHeight="1">
      <c r="A52" s="30"/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3"/>
    <mergeCell ref="A4:C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36.14"/>
    <col customWidth="1" min="2" max="58" width="12.71"/>
    <col customWidth="1" min="59" max="87" width="15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>
      <c r="C11" s="6">
        <v>44196.0</v>
      </c>
      <c r="D11" s="6">
        <v>44227.0</v>
      </c>
      <c r="E11" s="6">
        <v>44255.0</v>
      </c>
      <c r="F11" s="6">
        <v>44286.0</v>
      </c>
      <c r="G11" s="6">
        <v>44316.0</v>
      </c>
      <c r="H11" s="6">
        <v>44347.0</v>
      </c>
      <c r="I11" s="6">
        <v>44377.0</v>
      </c>
      <c r="J11" s="6">
        <v>44408.0</v>
      </c>
      <c r="K11" s="6">
        <v>44439.0</v>
      </c>
      <c r="L11" s="6">
        <v>44469.0</v>
      </c>
      <c r="M11" s="6">
        <v>44500.0</v>
      </c>
      <c r="N11" s="6">
        <v>44530.0</v>
      </c>
      <c r="O11" s="6">
        <v>44561.0</v>
      </c>
      <c r="P11" s="6">
        <v>44592.0</v>
      </c>
      <c r="Q11" s="6">
        <v>44620.0</v>
      </c>
      <c r="R11" s="6">
        <v>44651.0</v>
      </c>
      <c r="S11" s="6">
        <v>44681.0</v>
      </c>
      <c r="T11" s="6">
        <v>44712.0</v>
      </c>
      <c r="U11" s="6">
        <v>44742.0</v>
      </c>
      <c r="V11" s="6">
        <v>44773.0</v>
      </c>
      <c r="W11" s="6">
        <v>44804.0</v>
      </c>
      <c r="X11" s="6">
        <v>44834.0</v>
      </c>
      <c r="Y11" s="6">
        <v>44865.0</v>
      </c>
      <c r="Z11" s="6">
        <v>44895.0</v>
      </c>
      <c r="AA11" s="6">
        <v>44926.0</v>
      </c>
      <c r="AB11" s="6">
        <v>44957.0</v>
      </c>
      <c r="AC11" s="6">
        <v>44985.0</v>
      </c>
      <c r="AD11" s="6">
        <v>45016.0</v>
      </c>
      <c r="AE11" s="6">
        <v>45046.0</v>
      </c>
      <c r="AF11" s="6">
        <v>45077.0</v>
      </c>
      <c r="AG11" s="6">
        <v>45107.0</v>
      </c>
      <c r="AH11" s="6">
        <v>45138.0</v>
      </c>
      <c r="AI11" s="6">
        <v>45169.0</v>
      </c>
      <c r="AJ11" s="6">
        <v>45199.0</v>
      </c>
      <c r="AK11" s="6">
        <v>45230.0</v>
      </c>
      <c r="AL11" s="6">
        <v>45260.0</v>
      </c>
      <c r="AM11" s="6">
        <v>45291.0</v>
      </c>
      <c r="AN11" s="6">
        <v>45322.0</v>
      </c>
      <c r="AO11" s="6">
        <v>45351.0</v>
      </c>
      <c r="AP11" s="6">
        <v>45382.0</v>
      </c>
      <c r="AQ11" s="6">
        <v>45412.0</v>
      </c>
      <c r="AR11" s="6">
        <v>45443.0</v>
      </c>
      <c r="AS11" s="6">
        <v>45473.0</v>
      </c>
      <c r="AT11" s="6">
        <v>45504.0</v>
      </c>
      <c r="AU11" s="6">
        <v>45535.0</v>
      </c>
      <c r="AV11" s="6">
        <v>45565.0</v>
      </c>
      <c r="AW11" s="6">
        <v>45596.0</v>
      </c>
      <c r="AX11" s="6">
        <v>45626.0</v>
      </c>
      <c r="AY11" s="6">
        <v>45657.0</v>
      </c>
      <c r="AZ11" s="6">
        <v>45688.0</v>
      </c>
      <c r="BA11" s="6">
        <v>45716.0</v>
      </c>
      <c r="BB11" s="6">
        <v>45747.0</v>
      </c>
      <c r="BC11" s="6">
        <v>45777.0</v>
      </c>
      <c r="BD11" s="6">
        <v>45808.0</v>
      </c>
      <c r="BE11" s="6">
        <v>45838.0</v>
      </c>
      <c r="BF11" s="6">
        <v>45869.0</v>
      </c>
      <c r="BG11" s="6">
        <v>45900.0</v>
      </c>
      <c r="BH11" s="6">
        <v>45930.0</v>
      </c>
      <c r="BI11" s="6">
        <v>45961.0</v>
      </c>
      <c r="BJ11" s="6">
        <v>45991.0</v>
      </c>
      <c r="BK11" s="6">
        <v>46022.0</v>
      </c>
      <c r="BL11" s="6">
        <v>46053.0</v>
      </c>
      <c r="BM11" s="6">
        <v>46081.0</v>
      </c>
      <c r="BN11" s="6">
        <v>46112.0</v>
      </c>
      <c r="BO11" s="6">
        <v>46142.0</v>
      </c>
      <c r="BP11" s="6">
        <v>46173.0</v>
      </c>
      <c r="BQ11" s="6">
        <v>46203.0</v>
      </c>
      <c r="BR11" s="6">
        <v>46234.0</v>
      </c>
      <c r="BS11" s="6">
        <v>46265.0</v>
      </c>
      <c r="BT11" s="6">
        <v>46295.0</v>
      </c>
      <c r="BU11" s="6">
        <v>46326.0</v>
      </c>
      <c r="BV11" s="6">
        <v>46356.0</v>
      </c>
      <c r="BW11" s="6">
        <v>46387.0</v>
      </c>
      <c r="BX11" s="6">
        <v>46418.0</v>
      </c>
      <c r="BY11" s="6">
        <v>46446.0</v>
      </c>
      <c r="BZ11" s="6">
        <v>46477.0</v>
      </c>
      <c r="CA11" s="6">
        <v>46507.0</v>
      </c>
      <c r="CB11" s="6">
        <v>46538.0</v>
      </c>
      <c r="CC11" s="6">
        <v>46568.0</v>
      </c>
      <c r="CD11" s="6">
        <v>46599.0</v>
      </c>
      <c r="CE11" s="6">
        <v>46630.0</v>
      </c>
      <c r="CF11" s="6">
        <v>46660.0</v>
      </c>
      <c r="CG11" s="6">
        <v>46691.0</v>
      </c>
      <c r="CH11" s="6">
        <v>46721.0</v>
      </c>
      <c r="CI11" s="6">
        <v>46752.0</v>
      </c>
      <c r="CJ11" s="6"/>
    </row>
    <row r="12" ht="12.75" customHeight="1"/>
    <row r="13" ht="12.75" customHeight="1">
      <c r="A13" s="5" t="s">
        <v>216</v>
      </c>
      <c r="D13" s="12">
        <f>+'P&amp;L Cash Flow Monthly'!K23</f>
        <v>-46920.45025</v>
      </c>
      <c r="E13" s="12">
        <f>+'P&amp;L Cash Flow Monthly'!L23</f>
        <v>-24958.9845</v>
      </c>
      <c r="F13" s="12">
        <f>+'P&amp;L Cash Flow Monthly'!M23</f>
        <v>-18236.30878</v>
      </c>
      <c r="G13" s="12">
        <f>+'P&amp;L Cash Flow Monthly'!N23</f>
        <v>-16231.11286</v>
      </c>
      <c r="H13" s="12">
        <f>+'P&amp;L Cash Flow Monthly'!O23</f>
        <v>-14139.49012</v>
      </c>
      <c r="I13" s="12">
        <f>+'P&amp;L Cash Flow Monthly'!P23</f>
        <v>-20047.86738</v>
      </c>
      <c r="J13" s="12">
        <f>+'P&amp;L Cash Flow Monthly'!Q23</f>
        <v>-30211.64325</v>
      </c>
      <c r="K13" s="12">
        <f>+'P&amp;L Cash Flow Monthly'!R23</f>
        <v>-63969.03116</v>
      </c>
      <c r="L13" s="12">
        <f>+'P&amp;L Cash Flow Monthly'!S23</f>
        <v>-36710.96538</v>
      </c>
      <c r="M13" s="12">
        <f>+'P&amp;L Cash Flow Monthly'!T23</f>
        <v>-42421.99224</v>
      </c>
      <c r="N13" s="12">
        <f>+'P&amp;L Cash Flow Monthly'!U23</f>
        <v>-21669.75008</v>
      </c>
      <c r="O13" s="12">
        <f>+'P&amp;L Cash Flow Monthly'!V23</f>
        <v>-24863.74689</v>
      </c>
      <c r="P13" s="12">
        <f>+'P&amp;L Cash Flow Monthly'!W23</f>
        <v>-66271.94482</v>
      </c>
      <c r="Q13" s="12">
        <f>+'P&amp;L Cash Flow Monthly'!X23</f>
        <v>-35567.59509</v>
      </c>
      <c r="R13" s="12">
        <f>+'P&amp;L Cash Flow Monthly'!Y23</f>
        <v>-23877.17456</v>
      </c>
      <c r="S13" s="12">
        <f>+'P&amp;L Cash Flow Monthly'!Z23</f>
        <v>-17219.66212</v>
      </c>
      <c r="T13" s="12">
        <f>+'P&amp;L Cash Flow Monthly'!AA23</f>
        <v>-15884.65404</v>
      </c>
      <c r="U13" s="12">
        <f>+'P&amp;L Cash Flow Monthly'!AB23</f>
        <v>-11700.80771</v>
      </c>
      <c r="V13" s="12">
        <f>+'P&amp;L Cash Flow Monthly'!AC23</f>
        <v>-12724.15813</v>
      </c>
      <c r="W13" s="12">
        <f>+'P&amp;L Cash Flow Monthly'!AD23</f>
        <v>-16169.57702</v>
      </c>
      <c r="X13" s="12">
        <f>+'P&amp;L Cash Flow Monthly'!AE23</f>
        <v>-28291.48626</v>
      </c>
      <c r="Y13" s="12">
        <f>+'P&amp;L Cash Flow Monthly'!AF23</f>
        <v>-89355.93758</v>
      </c>
      <c r="Z13" s="12">
        <f>+'P&amp;L Cash Flow Monthly'!AG23</f>
        <v>-27827.00031</v>
      </c>
      <c r="AA13" s="12">
        <f>+'P&amp;L Cash Flow Monthly'!AH23</f>
        <v>-1494.424247</v>
      </c>
      <c r="AB13" s="12">
        <f>+'P&amp;L Cash Flow Monthly'!AI23</f>
        <v>-1259.351801</v>
      </c>
      <c r="AC13" s="12">
        <f>+'P&amp;L Cash Flow Monthly'!AJ23</f>
        <v>1088.477377</v>
      </c>
      <c r="AD13" s="12">
        <f>+'P&amp;L Cash Flow Monthly'!AK23</f>
        <v>-1781.49558</v>
      </c>
      <c r="AE13" s="12">
        <f>+'P&amp;L Cash Flow Monthly'!AL23</f>
        <v>-4590.044632</v>
      </c>
      <c r="AF13" s="12">
        <f>+'P&amp;L Cash Flow Monthly'!AM23</f>
        <v>-7799.475951</v>
      </c>
      <c r="AG13" s="12">
        <f>+'P&amp;L Cash Flow Monthly'!AN23</f>
        <v>-7121.07867</v>
      </c>
      <c r="AH13" s="12">
        <f>+'P&amp;L Cash Flow Monthly'!AO23</f>
        <v>-6441.791602</v>
      </c>
      <c r="AI13" s="12">
        <f>+'P&amp;L Cash Flow Monthly'!AP23</f>
        <v>-16500.60541</v>
      </c>
      <c r="AJ13" s="12">
        <f>+'P&amp;L Cash Flow Monthly'!AQ23</f>
        <v>-7559.419226</v>
      </c>
      <c r="AK13" s="12">
        <f>+'P&amp;L Cash Flow Monthly'!AR23</f>
        <v>-8888.673463</v>
      </c>
      <c r="AL13" s="12">
        <f>+'P&amp;L Cash Flow Monthly'!AS23</f>
        <v>-8517.741629</v>
      </c>
      <c r="AM13" s="12">
        <f>+'P&amp;L Cash Flow Monthly'!AT23</f>
        <v>-8751.409224</v>
      </c>
      <c r="AN13" s="12">
        <f>+'P&amp;L Cash Flow Monthly'!AU23</f>
        <v>-14800.38135</v>
      </c>
      <c r="AO13" s="12">
        <f>+'P&amp;L Cash Flow Monthly'!AV23</f>
        <v>-22147.81712</v>
      </c>
      <c r="AP13" s="12">
        <f>+'P&amp;L Cash Flow Monthly'!AW23</f>
        <v>-27044.39547</v>
      </c>
      <c r="AQ13" s="12">
        <f>+'P&amp;L Cash Flow Monthly'!AX23</f>
        <v>-23185.21306</v>
      </c>
      <c r="AR13" s="12">
        <f>+'P&amp;L Cash Flow Monthly'!AY23</f>
        <v>-19173.21732</v>
      </c>
      <c r="AS13" s="12">
        <f>+'P&amp;L Cash Flow Monthly'!AZ23</f>
        <v>-17881.32204</v>
      </c>
      <c r="AT13" s="12">
        <f>+'P&amp;L Cash Flow Monthly'!BA23</f>
        <v>-15609.57724</v>
      </c>
      <c r="AU13" s="12">
        <f>+'P&amp;L Cash Flow Monthly'!BB23</f>
        <v>-15591.82646</v>
      </c>
      <c r="AV13" s="12">
        <f>+'P&amp;L Cash Flow Monthly'!BC23</f>
        <v>-7051.054236</v>
      </c>
      <c r="AW13" s="12">
        <f>+'P&amp;L Cash Flow Monthly'!BD23</f>
        <v>-9450.632044</v>
      </c>
      <c r="AX13" s="12">
        <f>+'P&amp;L Cash Flow Monthly'!BE23</f>
        <v>-13954.32031</v>
      </c>
      <c r="AY13" s="12">
        <f>+'P&amp;L Cash Flow Monthly'!BF23</f>
        <v>-14387.86888</v>
      </c>
      <c r="AZ13" s="12">
        <f>+'P&amp;L Cash Flow Monthly'!BG23</f>
        <v>-24131.87301</v>
      </c>
      <c r="BA13" s="12">
        <f>+'P&amp;L Cash Flow Monthly'!BH23</f>
        <v>-8333.779965</v>
      </c>
      <c r="BB13" s="12">
        <f>+'P&amp;L Cash Flow Monthly'!BI23</f>
        <v>-4382.700865</v>
      </c>
      <c r="BC13" s="12">
        <f>+'P&amp;L Cash Flow Monthly'!BJ23</f>
        <v>-7879.846326</v>
      </c>
      <c r="BD13" s="12">
        <f>+'P&amp;L Cash Flow Monthly'!BK23</f>
        <v>-9730.832915</v>
      </c>
      <c r="BE13" s="12">
        <f>+'P&amp;L Cash Flow Monthly'!BL23</f>
        <v>-7516.314141</v>
      </c>
      <c r="BF13" s="12">
        <f>+'P&amp;L Cash Flow Monthly'!BM23</f>
        <v>-9399.565803</v>
      </c>
      <c r="BG13" s="12">
        <f>+'P&amp;L Cash Flow Monthly'!BN23</f>
        <v>-7336.550621</v>
      </c>
      <c r="BH13" s="12">
        <f>+'P&amp;L Cash Flow Monthly'!BO23</f>
        <v>-2791.377611</v>
      </c>
      <c r="BI13" s="12">
        <f>+'P&amp;L Cash Flow Monthly'!BP23</f>
        <v>-4753.249918</v>
      </c>
      <c r="BJ13" s="12">
        <f>+'P&amp;L Cash Flow Monthly'!BQ23</f>
        <v>-9239.652909</v>
      </c>
      <c r="BK13" s="12">
        <f>+'P&amp;L Cash Flow Monthly'!BR23</f>
        <v>-6279.751922</v>
      </c>
      <c r="BL13" s="12">
        <f>+'P&amp;L Cash Flow Monthly'!BS23</f>
        <v>-9458.245703</v>
      </c>
      <c r="BM13" s="12">
        <f>+'P&amp;L Cash Flow Monthly'!BT23</f>
        <v>-9704.99989</v>
      </c>
      <c r="BN13" s="12">
        <f>+'P&amp;L Cash Flow Monthly'!BU23</f>
        <v>-11289.92867</v>
      </c>
      <c r="BO13" s="12">
        <f>+'P&amp;L Cash Flow Monthly'!BV23</f>
        <v>-9597.736137</v>
      </c>
      <c r="BP13" s="12">
        <f>+'P&amp;L Cash Flow Monthly'!BW23</f>
        <v>-2735.224213</v>
      </c>
      <c r="BQ13" s="12">
        <f>+'P&amp;L Cash Flow Monthly'!BX23</f>
        <v>253.8368333</v>
      </c>
      <c r="BR13" s="12">
        <f>+'P&amp;L Cash Flow Monthly'!BY23</f>
        <v>-971.1234535</v>
      </c>
      <c r="BS13" s="12">
        <f>+'P&amp;L Cash Flow Monthly'!BZ23</f>
        <v>3435.221661</v>
      </c>
      <c r="BT13" s="12">
        <f>+'P&amp;L Cash Flow Monthly'!CA23</f>
        <v>8693.07822</v>
      </c>
      <c r="BU13" s="12">
        <f>+'P&amp;L Cash Flow Monthly'!CB23</f>
        <v>10040.36176</v>
      </c>
      <c r="BV13" s="12">
        <f>+'P&amp;L Cash Flow Monthly'!CC23</f>
        <v>10333.89641</v>
      </c>
      <c r="BW13" s="12">
        <f>+'P&amp;L Cash Flow Monthly'!CD23</f>
        <v>11627.43106</v>
      </c>
      <c r="BX13" s="12">
        <f>+'P&amp;L Cash Flow Monthly'!CE23</f>
        <v>5272.796309</v>
      </c>
      <c r="BY13" s="12">
        <f>+'P&amp;L Cash Flow Monthly'!CF23</f>
        <v>5851.872024</v>
      </c>
      <c r="BZ13" s="12">
        <f>+'P&amp;L Cash Flow Monthly'!CG23</f>
        <v>5510.555396</v>
      </c>
      <c r="CA13" s="12">
        <f>+'P&amp;L Cash Flow Monthly'!CH23</f>
        <v>3580.652309</v>
      </c>
      <c r="CB13" s="12">
        <f>+'P&amp;L Cash Flow Monthly'!CI23</f>
        <v>6696.77398</v>
      </c>
      <c r="CC13" s="12">
        <f>+'P&amp;L Cash Flow Monthly'!CJ23</f>
        <v>4146.127484</v>
      </c>
      <c r="CD13" s="12">
        <f>+'P&amp;L Cash Flow Monthly'!CK23</f>
        <v>8324.827649</v>
      </c>
      <c r="CE13" s="12">
        <f>+'P&amp;L Cash Flow Monthly'!CL23</f>
        <v>10664.19458</v>
      </c>
      <c r="CF13" s="12">
        <f>+'P&amp;L Cash Flow Monthly'!CM23</f>
        <v>15182.03699</v>
      </c>
      <c r="CG13" s="12">
        <f>+'P&amp;L Cash Flow Monthly'!CN23</f>
        <v>19475.11457</v>
      </c>
      <c r="CH13" s="12">
        <f>+'P&amp;L Cash Flow Monthly'!CO23</f>
        <v>21207.54957</v>
      </c>
      <c r="CI13" s="12">
        <f>+'P&amp;L Cash Flow Monthly'!CP23</f>
        <v>22939.98456</v>
      </c>
    </row>
    <row r="14" ht="12.75" customHeight="1"/>
    <row r="15" ht="12.75" customHeight="1"/>
    <row r="16" ht="12.75" customHeight="1">
      <c r="F16" s="9">
        <f>SUM(D13:F13)</f>
        <v>-90115.74353</v>
      </c>
      <c r="H16" s="9">
        <f>SUM(G13:H13)</f>
        <v>-30370.60298</v>
      </c>
      <c r="K16" s="9">
        <f>SUM(I13:K13)</f>
        <v>-114228.5418</v>
      </c>
      <c r="O16" s="9">
        <f>SUM(L13:O13)</f>
        <v>-125666.4546</v>
      </c>
      <c r="R16" s="9">
        <f>SUM(P13:R13)</f>
        <v>-125716.7145</v>
      </c>
      <c r="T16" s="9">
        <f>SUM(S13:T13)</f>
        <v>-33104.31616</v>
      </c>
      <c r="W16" s="9">
        <f>SUM(U13:W13)</f>
        <v>-40594.54285</v>
      </c>
      <c r="AA16" s="9">
        <f>SUM(X13:AA13)</f>
        <v>-146968.8484</v>
      </c>
      <c r="AD16" s="9">
        <f>SUM(AB13:AD13)</f>
        <v>-1952.370004</v>
      </c>
      <c r="AF16" s="9">
        <f>SUM(AE13:AF13)</f>
        <v>-12389.52058</v>
      </c>
      <c r="AI16" s="9">
        <f>+AG13+AH13+AI13</f>
        <v>-30063.47569</v>
      </c>
      <c r="AM16" s="9">
        <f>SUM(AJ13:AM13)</f>
        <v>-33717.24354</v>
      </c>
      <c r="AP16" s="9">
        <f>SUM(AN13:AP13)</f>
        <v>-63992.59395</v>
      </c>
      <c r="AR16" s="9">
        <f>SUM(AQ13:AR13)</f>
        <v>-42358.43038</v>
      </c>
      <c r="AU16" s="9">
        <f>+AS13+AT13+AU13</f>
        <v>-49082.72574</v>
      </c>
      <c r="AY16" s="9">
        <f>SUM(AV13:AY13)</f>
        <v>-44843.87547</v>
      </c>
      <c r="BB16" s="9">
        <f>SUM(AZ13:BB13)</f>
        <v>-36848.35384</v>
      </c>
      <c r="BD16" s="9">
        <f>+BC13+BD13</f>
        <v>-17610.67924</v>
      </c>
      <c r="BG16" s="9">
        <f>+BE13+BF13+BG13</f>
        <v>-24252.43056</v>
      </c>
      <c r="BK16" s="9">
        <f>SUM(BH13:BK13)</f>
        <v>-23064.03236</v>
      </c>
      <c r="BN16" s="9">
        <f>SUM(BL13:BN13)</f>
        <v>-30453.17426</v>
      </c>
      <c r="BP16" s="9">
        <f>+BO13+BP13</f>
        <v>-12332.96035</v>
      </c>
      <c r="BS16" s="9">
        <f>+BQ13+BR13+BS13</f>
        <v>2717.935041</v>
      </c>
      <c r="BW16" s="9">
        <f>SUM(BT13:BW13)</f>
        <v>40694.76745</v>
      </c>
      <c r="BZ16" s="9">
        <f>SUM(BX13:BZ13)</f>
        <v>16635.22373</v>
      </c>
      <c r="CB16" s="9">
        <f>+CA13+CB13</f>
        <v>10277.42629</v>
      </c>
    </row>
    <row r="17" ht="12.75" customHeight="1"/>
    <row r="18" ht="12.75" customHeight="1">
      <c r="A18" s="5" t="s">
        <v>217</v>
      </c>
      <c r="F18" s="9">
        <f>+F16</f>
        <v>-90115.74353</v>
      </c>
      <c r="H18" s="9">
        <f>+H16+F18</f>
        <v>-120486.3465</v>
      </c>
      <c r="K18" s="9">
        <f>+K16+H18</f>
        <v>-234714.8883</v>
      </c>
      <c r="O18" s="9">
        <f>+O16+K18</f>
        <v>-360381.3429</v>
      </c>
      <c r="R18" s="9">
        <f>+R16+O18</f>
        <v>-486098.0574</v>
      </c>
      <c r="T18" s="9">
        <f>+T16+R18</f>
        <v>-519202.3735</v>
      </c>
      <c r="W18" s="9">
        <f>+W16+T18</f>
        <v>-559796.9164</v>
      </c>
      <c r="AA18" s="9">
        <f>+AA16+W18</f>
        <v>-706765.7648</v>
      </c>
      <c r="AD18" s="9">
        <f>+AD16+AA18</f>
        <v>-708718.1348</v>
      </c>
      <c r="AF18" s="9">
        <f>+AF16+AD18</f>
        <v>-721107.6554</v>
      </c>
      <c r="AI18" s="9">
        <f>+AI16+AF18</f>
        <v>-751171.1311</v>
      </c>
      <c r="AM18" s="9">
        <f>+AM16+AI18</f>
        <v>-784888.3746</v>
      </c>
      <c r="AP18" s="9">
        <f>+AP16+AM18</f>
        <v>-848880.9685</v>
      </c>
      <c r="AR18" s="9">
        <f>+AR16+AP18</f>
        <v>-891239.3989</v>
      </c>
      <c r="AU18" s="9">
        <f>+AU16+AR18</f>
        <v>-940322.1247</v>
      </c>
      <c r="AY18" s="9">
        <f>+AY16+AU18</f>
        <v>-985166.0001</v>
      </c>
      <c r="BB18" s="9">
        <f>+BB16+AY18</f>
        <v>-1022014.354</v>
      </c>
      <c r="BD18" s="9">
        <f>+BD16+BB18</f>
        <v>-1039625.033</v>
      </c>
      <c r="BG18" s="9">
        <f>+BG16+BD18</f>
        <v>-1063877.464</v>
      </c>
      <c r="BK18" s="9">
        <f>+BK16+BG18</f>
        <v>-1086941.496</v>
      </c>
      <c r="BN18" s="9">
        <f>+BN16+BK18</f>
        <v>-1117394.67</v>
      </c>
      <c r="BP18" s="9">
        <f>+BP16+BN18</f>
        <v>-1129727.631</v>
      </c>
      <c r="BS18" s="9">
        <f>+BS16+BP18</f>
        <v>-1127009.696</v>
      </c>
      <c r="BW18" s="9">
        <f>+BW16+BS18</f>
        <v>-1086314.928</v>
      </c>
      <c r="BZ18" s="9">
        <f>+BZ16+BW18</f>
        <v>-1069679.705</v>
      </c>
      <c r="CB18" s="9">
        <f>+CB16+BZ18</f>
        <v>-1059402.278</v>
      </c>
    </row>
    <row r="19" ht="12.75" customHeight="1"/>
    <row r="20" ht="12.75" customHeight="1">
      <c r="A20" s="5" t="s">
        <v>218</v>
      </c>
      <c r="F20" s="119">
        <v>0.4</v>
      </c>
      <c r="G20" s="120">
        <f t="shared" ref="G20:CI20" si="1">+$F20</f>
        <v>0.4</v>
      </c>
      <c r="H20" s="120">
        <f t="shared" si="1"/>
        <v>0.4</v>
      </c>
      <c r="I20" s="120">
        <f t="shared" si="1"/>
        <v>0.4</v>
      </c>
      <c r="J20" s="120">
        <f t="shared" si="1"/>
        <v>0.4</v>
      </c>
      <c r="K20" s="120">
        <f t="shared" si="1"/>
        <v>0.4</v>
      </c>
      <c r="L20" s="120">
        <f t="shared" si="1"/>
        <v>0.4</v>
      </c>
      <c r="M20" s="120">
        <f t="shared" si="1"/>
        <v>0.4</v>
      </c>
      <c r="N20" s="120">
        <f t="shared" si="1"/>
        <v>0.4</v>
      </c>
      <c r="O20" s="120">
        <f t="shared" si="1"/>
        <v>0.4</v>
      </c>
      <c r="P20" s="120">
        <f t="shared" si="1"/>
        <v>0.4</v>
      </c>
      <c r="Q20" s="120">
        <f t="shared" si="1"/>
        <v>0.4</v>
      </c>
      <c r="R20" s="120">
        <f t="shared" si="1"/>
        <v>0.4</v>
      </c>
      <c r="S20" s="120">
        <f t="shared" si="1"/>
        <v>0.4</v>
      </c>
      <c r="T20" s="120">
        <f t="shared" si="1"/>
        <v>0.4</v>
      </c>
      <c r="U20" s="120">
        <f t="shared" si="1"/>
        <v>0.4</v>
      </c>
      <c r="V20" s="120">
        <f t="shared" si="1"/>
        <v>0.4</v>
      </c>
      <c r="W20" s="120">
        <f t="shared" si="1"/>
        <v>0.4</v>
      </c>
      <c r="X20" s="120">
        <f t="shared" si="1"/>
        <v>0.4</v>
      </c>
      <c r="Y20" s="120">
        <f t="shared" si="1"/>
        <v>0.4</v>
      </c>
      <c r="Z20" s="120">
        <f t="shared" si="1"/>
        <v>0.4</v>
      </c>
      <c r="AA20" s="120">
        <f t="shared" si="1"/>
        <v>0.4</v>
      </c>
      <c r="AB20" s="120">
        <f t="shared" si="1"/>
        <v>0.4</v>
      </c>
      <c r="AC20" s="120">
        <f t="shared" si="1"/>
        <v>0.4</v>
      </c>
      <c r="AD20" s="120">
        <f t="shared" si="1"/>
        <v>0.4</v>
      </c>
      <c r="AE20" s="120">
        <f t="shared" si="1"/>
        <v>0.4</v>
      </c>
      <c r="AF20" s="120">
        <f t="shared" si="1"/>
        <v>0.4</v>
      </c>
      <c r="AG20" s="120">
        <f t="shared" si="1"/>
        <v>0.4</v>
      </c>
      <c r="AH20" s="120">
        <f t="shared" si="1"/>
        <v>0.4</v>
      </c>
      <c r="AI20" s="120">
        <f t="shared" si="1"/>
        <v>0.4</v>
      </c>
      <c r="AJ20" s="120">
        <f t="shared" si="1"/>
        <v>0.4</v>
      </c>
      <c r="AK20" s="120">
        <f t="shared" si="1"/>
        <v>0.4</v>
      </c>
      <c r="AL20" s="120">
        <f t="shared" si="1"/>
        <v>0.4</v>
      </c>
      <c r="AM20" s="120">
        <f t="shared" si="1"/>
        <v>0.4</v>
      </c>
      <c r="AN20" s="120">
        <f t="shared" si="1"/>
        <v>0.4</v>
      </c>
      <c r="AO20" s="120">
        <f t="shared" si="1"/>
        <v>0.4</v>
      </c>
      <c r="AP20" s="120">
        <f t="shared" si="1"/>
        <v>0.4</v>
      </c>
      <c r="AQ20" s="120">
        <f t="shared" si="1"/>
        <v>0.4</v>
      </c>
      <c r="AR20" s="120">
        <f t="shared" si="1"/>
        <v>0.4</v>
      </c>
      <c r="AS20" s="120">
        <f t="shared" si="1"/>
        <v>0.4</v>
      </c>
      <c r="AT20" s="120">
        <f t="shared" si="1"/>
        <v>0.4</v>
      </c>
      <c r="AU20" s="120">
        <f t="shared" si="1"/>
        <v>0.4</v>
      </c>
      <c r="AV20" s="120">
        <f t="shared" si="1"/>
        <v>0.4</v>
      </c>
      <c r="AW20" s="120">
        <f t="shared" si="1"/>
        <v>0.4</v>
      </c>
      <c r="AX20" s="120">
        <f t="shared" si="1"/>
        <v>0.4</v>
      </c>
      <c r="AY20" s="120">
        <f t="shared" si="1"/>
        <v>0.4</v>
      </c>
      <c r="AZ20" s="120">
        <f t="shared" si="1"/>
        <v>0.4</v>
      </c>
      <c r="BA20" s="120">
        <f t="shared" si="1"/>
        <v>0.4</v>
      </c>
      <c r="BB20" s="120">
        <f t="shared" si="1"/>
        <v>0.4</v>
      </c>
      <c r="BC20" s="120">
        <f t="shared" si="1"/>
        <v>0.4</v>
      </c>
      <c r="BD20" s="120">
        <f t="shared" si="1"/>
        <v>0.4</v>
      </c>
      <c r="BE20" s="120">
        <f t="shared" si="1"/>
        <v>0.4</v>
      </c>
      <c r="BF20" s="120">
        <f t="shared" si="1"/>
        <v>0.4</v>
      </c>
      <c r="BG20" s="120">
        <f t="shared" si="1"/>
        <v>0.4</v>
      </c>
      <c r="BH20" s="120">
        <f t="shared" si="1"/>
        <v>0.4</v>
      </c>
      <c r="BI20" s="120">
        <f t="shared" si="1"/>
        <v>0.4</v>
      </c>
      <c r="BJ20" s="120">
        <f t="shared" si="1"/>
        <v>0.4</v>
      </c>
      <c r="BK20" s="120">
        <f t="shared" si="1"/>
        <v>0.4</v>
      </c>
      <c r="BL20" s="120">
        <f t="shared" si="1"/>
        <v>0.4</v>
      </c>
      <c r="BM20" s="120">
        <f t="shared" si="1"/>
        <v>0.4</v>
      </c>
      <c r="BN20" s="120">
        <f t="shared" si="1"/>
        <v>0.4</v>
      </c>
      <c r="BO20" s="120">
        <f t="shared" si="1"/>
        <v>0.4</v>
      </c>
      <c r="BP20" s="120">
        <f t="shared" si="1"/>
        <v>0.4</v>
      </c>
      <c r="BQ20" s="120">
        <f t="shared" si="1"/>
        <v>0.4</v>
      </c>
      <c r="BR20" s="120">
        <f t="shared" si="1"/>
        <v>0.4</v>
      </c>
      <c r="BS20" s="120">
        <f t="shared" si="1"/>
        <v>0.4</v>
      </c>
      <c r="BT20" s="120">
        <f t="shared" si="1"/>
        <v>0.4</v>
      </c>
      <c r="BU20" s="120">
        <f t="shared" si="1"/>
        <v>0.4</v>
      </c>
      <c r="BV20" s="120">
        <f t="shared" si="1"/>
        <v>0.4</v>
      </c>
      <c r="BW20" s="120">
        <f t="shared" si="1"/>
        <v>0.4</v>
      </c>
      <c r="BX20" s="120">
        <f t="shared" si="1"/>
        <v>0.4</v>
      </c>
      <c r="BY20" s="120">
        <f t="shared" si="1"/>
        <v>0.4</v>
      </c>
      <c r="BZ20" s="120">
        <f t="shared" si="1"/>
        <v>0.4</v>
      </c>
      <c r="CA20" s="120">
        <f t="shared" si="1"/>
        <v>0.4</v>
      </c>
      <c r="CB20" s="120">
        <f t="shared" si="1"/>
        <v>0.4</v>
      </c>
      <c r="CC20" s="120">
        <f t="shared" si="1"/>
        <v>0.4</v>
      </c>
      <c r="CD20" s="120">
        <f t="shared" si="1"/>
        <v>0.4</v>
      </c>
      <c r="CE20" s="120">
        <f t="shared" si="1"/>
        <v>0.4</v>
      </c>
      <c r="CF20" s="120">
        <f t="shared" si="1"/>
        <v>0.4</v>
      </c>
      <c r="CG20" s="120">
        <f t="shared" si="1"/>
        <v>0.4</v>
      </c>
      <c r="CH20" s="120">
        <f t="shared" si="1"/>
        <v>0.4</v>
      </c>
      <c r="CI20" s="120">
        <f t="shared" si="1"/>
        <v>0.4</v>
      </c>
    </row>
    <row r="21" ht="12.75" customHeight="1"/>
    <row r="22" ht="12.75" customHeight="1"/>
    <row r="23" ht="12.75" customHeight="1">
      <c r="A23" s="5" t="s">
        <v>219</v>
      </c>
      <c r="F23" s="9">
        <f t="shared" ref="F23:CP23" si="2">IF(F18&lt;0,0,F18*F20)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  <c r="Q23" s="9">
        <f t="shared" si="2"/>
        <v>0</v>
      </c>
      <c r="R23" s="9">
        <f t="shared" si="2"/>
        <v>0</v>
      </c>
      <c r="S23" s="9">
        <f t="shared" si="2"/>
        <v>0</v>
      </c>
      <c r="T23" s="9">
        <f t="shared" si="2"/>
        <v>0</v>
      </c>
      <c r="U23" s="9">
        <f t="shared" si="2"/>
        <v>0</v>
      </c>
      <c r="V23" s="9">
        <f t="shared" si="2"/>
        <v>0</v>
      </c>
      <c r="W23" s="9">
        <f t="shared" si="2"/>
        <v>0</v>
      </c>
      <c r="X23" s="9">
        <f t="shared" si="2"/>
        <v>0</v>
      </c>
      <c r="Y23" s="9">
        <f t="shared" si="2"/>
        <v>0</v>
      </c>
      <c r="Z23" s="9">
        <f t="shared" si="2"/>
        <v>0</v>
      </c>
      <c r="AA23" s="9">
        <f t="shared" si="2"/>
        <v>0</v>
      </c>
      <c r="AB23" s="9">
        <f t="shared" si="2"/>
        <v>0</v>
      </c>
      <c r="AC23" s="9">
        <f t="shared" si="2"/>
        <v>0</v>
      </c>
      <c r="AD23" s="9">
        <f t="shared" si="2"/>
        <v>0</v>
      </c>
      <c r="AE23" s="9">
        <f t="shared" si="2"/>
        <v>0</v>
      </c>
      <c r="AF23" s="9">
        <f t="shared" si="2"/>
        <v>0</v>
      </c>
      <c r="AG23" s="9">
        <f t="shared" si="2"/>
        <v>0</v>
      </c>
      <c r="AH23" s="9">
        <f t="shared" si="2"/>
        <v>0</v>
      </c>
      <c r="AI23" s="9">
        <f t="shared" si="2"/>
        <v>0</v>
      </c>
      <c r="AJ23" s="9">
        <f t="shared" si="2"/>
        <v>0</v>
      </c>
      <c r="AK23" s="9">
        <f t="shared" si="2"/>
        <v>0</v>
      </c>
      <c r="AL23" s="9">
        <f t="shared" si="2"/>
        <v>0</v>
      </c>
      <c r="AM23" s="9">
        <f t="shared" si="2"/>
        <v>0</v>
      </c>
      <c r="AN23" s="9">
        <f t="shared" si="2"/>
        <v>0</v>
      </c>
      <c r="AO23" s="9">
        <f t="shared" si="2"/>
        <v>0</v>
      </c>
      <c r="AP23" s="9">
        <f t="shared" si="2"/>
        <v>0</v>
      </c>
      <c r="AQ23" s="9">
        <f t="shared" si="2"/>
        <v>0</v>
      </c>
      <c r="AR23" s="9">
        <f t="shared" si="2"/>
        <v>0</v>
      </c>
      <c r="AS23" s="9">
        <f t="shared" si="2"/>
        <v>0</v>
      </c>
      <c r="AT23" s="9">
        <f t="shared" si="2"/>
        <v>0</v>
      </c>
      <c r="AU23" s="9">
        <f t="shared" si="2"/>
        <v>0</v>
      </c>
      <c r="AV23" s="9">
        <f t="shared" si="2"/>
        <v>0</v>
      </c>
      <c r="AW23" s="9">
        <f t="shared" si="2"/>
        <v>0</v>
      </c>
      <c r="AX23" s="9">
        <f t="shared" si="2"/>
        <v>0</v>
      </c>
      <c r="AY23" s="9">
        <f t="shared" si="2"/>
        <v>0</v>
      </c>
      <c r="AZ23" s="9">
        <f t="shared" si="2"/>
        <v>0</v>
      </c>
      <c r="BA23" s="9">
        <f t="shared" si="2"/>
        <v>0</v>
      </c>
      <c r="BB23" s="9">
        <f t="shared" si="2"/>
        <v>0</v>
      </c>
      <c r="BC23" s="9">
        <f t="shared" si="2"/>
        <v>0</v>
      </c>
      <c r="BD23" s="9">
        <f t="shared" si="2"/>
        <v>0</v>
      </c>
      <c r="BE23" s="9">
        <f t="shared" si="2"/>
        <v>0</v>
      </c>
      <c r="BF23" s="9">
        <f t="shared" si="2"/>
        <v>0</v>
      </c>
      <c r="BG23" s="9">
        <f t="shared" si="2"/>
        <v>0</v>
      </c>
      <c r="BH23" s="9">
        <f t="shared" si="2"/>
        <v>0</v>
      </c>
      <c r="BI23" s="9">
        <f t="shared" si="2"/>
        <v>0</v>
      </c>
      <c r="BJ23" s="9">
        <f t="shared" si="2"/>
        <v>0</v>
      </c>
      <c r="BK23" s="9">
        <f t="shared" si="2"/>
        <v>0</v>
      </c>
      <c r="BL23" s="9">
        <f t="shared" si="2"/>
        <v>0</v>
      </c>
      <c r="BM23" s="9">
        <f t="shared" si="2"/>
        <v>0</v>
      </c>
      <c r="BN23" s="9">
        <f t="shared" si="2"/>
        <v>0</v>
      </c>
      <c r="BO23" s="9">
        <f t="shared" si="2"/>
        <v>0</v>
      </c>
      <c r="BP23" s="9">
        <f t="shared" si="2"/>
        <v>0</v>
      </c>
      <c r="BQ23" s="9">
        <f t="shared" si="2"/>
        <v>0</v>
      </c>
      <c r="BR23" s="9">
        <f t="shared" si="2"/>
        <v>0</v>
      </c>
      <c r="BS23" s="9">
        <f t="shared" si="2"/>
        <v>0</v>
      </c>
      <c r="BT23" s="9">
        <f t="shared" si="2"/>
        <v>0</v>
      </c>
      <c r="BU23" s="9">
        <f t="shared" si="2"/>
        <v>0</v>
      </c>
      <c r="BV23" s="9">
        <f t="shared" si="2"/>
        <v>0</v>
      </c>
      <c r="BW23" s="9">
        <f t="shared" si="2"/>
        <v>0</v>
      </c>
      <c r="BX23" s="9">
        <f t="shared" si="2"/>
        <v>0</v>
      </c>
      <c r="BY23" s="9">
        <f t="shared" si="2"/>
        <v>0</v>
      </c>
      <c r="BZ23" s="9">
        <f t="shared" si="2"/>
        <v>0</v>
      </c>
      <c r="CA23" s="9">
        <f t="shared" si="2"/>
        <v>0</v>
      </c>
      <c r="CB23" s="9">
        <f t="shared" si="2"/>
        <v>0</v>
      </c>
      <c r="CC23" s="9">
        <f t="shared" si="2"/>
        <v>0</v>
      </c>
      <c r="CD23" s="9">
        <f t="shared" si="2"/>
        <v>0</v>
      </c>
      <c r="CE23" s="9">
        <f t="shared" si="2"/>
        <v>0</v>
      </c>
      <c r="CF23" s="9">
        <f t="shared" si="2"/>
        <v>0</v>
      </c>
      <c r="CG23" s="9">
        <f t="shared" si="2"/>
        <v>0</v>
      </c>
      <c r="CH23" s="9">
        <f t="shared" si="2"/>
        <v>0</v>
      </c>
      <c r="CI23" s="9">
        <f t="shared" si="2"/>
        <v>0</v>
      </c>
      <c r="CJ23" s="9">
        <f t="shared" si="2"/>
        <v>0</v>
      </c>
      <c r="CK23" s="9">
        <f t="shared" si="2"/>
        <v>0</v>
      </c>
      <c r="CL23" s="9">
        <f t="shared" si="2"/>
        <v>0</v>
      </c>
      <c r="CM23" s="9">
        <f t="shared" si="2"/>
        <v>0</v>
      </c>
      <c r="CN23" s="9">
        <f t="shared" si="2"/>
        <v>0</v>
      </c>
      <c r="CO23" s="9">
        <f t="shared" si="2"/>
        <v>0</v>
      </c>
      <c r="CP23" s="9">
        <f t="shared" si="2"/>
        <v>0</v>
      </c>
    </row>
    <row r="24" ht="12.75" customHeight="1"/>
    <row r="25" ht="12.75" customHeight="1">
      <c r="F25" s="9"/>
      <c r="H25" s="9"/>
      <c r="K25" s="9"/>
      <c r="O25" s="9"/>
      <c r="R25" s="9"/>
      <c r="T25" s="9"/>
      <c r="W25" s="9"/>
      <c r="AA25" s="9"/>
      <c r="AD25" s="9"/>
      <c r="AF25" s="9"/>
      <c r="AI25" s="9"/>
      <c r="AM25" s="9"/>
      <c r="AP25" s="9"/>
      <c r="AR25" s="9"/>
      <c r="AU25" s="9"/>
      <c r="AY25" s="9"/>
      <c r="BB25" s="9"/>
      <c r="BD25" s="9"/>
      <c r="BG25" s="9"/>
      <c r="BK25" s="9"/>
      <c r="BN25" s="9"/>
      <c r="BP25" s="9"/>
      <c r="BS25" s="9"/>
      <c r="BW25" s="9"/>
      <c r="BZ25" s="9"/>
      <c r="CB25" s="9"/>
      <c r="CE25" s="9"/>
      <c r="CI25" s="9"/>
      <c r="CL25" s="9"/>
      <c r="CN25" s="9"/>
    </row>
    <row r="26" ht="12.75" customHeight="1">
      <c r="A26" s="5" t="s">
        <v>220</v>
      </c>
      <c r="F26" s="9">
        <f>SUM(D23:F23)</f>
        <v>0</v>
      </c>
      <c r="H26" s="9">
        <f>+F26+H23</f>
        <v>0</v>
      </c>
      <c r="K26" s="9">
        <f>+K23+H26</f>
        <v>0</v>
      </c>
      <c r="O26" s="9">
        <f>+O23+K26</f>
        <v>0</v>
      </c>
      <c r="R26" s="9">
        <f>SUM(P23:R23)</f>
        <v>0</v>
      </c>
      <c r="T26" s="9">
        <f>SUM(S23:T23)</f>
        <v>0</v>
      </c>
      <c r="W26" s="9">
        <f>SUM(U23:W23)</f>
        <v>0</v>
      </c>
      <c r="AA26" s="9">
        <f>SUM(X23:AA23)</f>
        <v>0</v>
      </c>
      <c r="AD26" s="9">
        <f>SUM(AB23:AD23)</f>
        <v>0</v>
      </c>
      <c r="AF26" s="9">
        <f>SUM(AE23:AF23)</f>
        <v>0</v>
      </c>
      <c r="AI26" s="9">
        <f>+AG23+AH23+AI23</f>
        <v>0</v>
      </c>
      <c r="AM26" s="9">
        <f>SUM(AJ23:AM23)</f>
        <v>0</v>
      </c>
      <c r="AP26" s="9">
        <f>SUM(AN23:AP23)</f>
        <v>0</v>
      </c>
      <c r="AR26" s="9">
        <f>SUM(AQ23:AR23)</f>
        <v>0</v>
      </c>
      <c r="AU26" s="9">
        <f>+AS23+AT23+AU23</f>
        <v>0</v>
      </c>
      <c r="AY26" s="9">
        <f>SUM(AV23:AY23)</f>
        <v>0</v>
      </c>
      <c r="BB26" s="9">
        <f>SUM(AZ23:BB23)</f>
        <v>0</v>
      </c>
      <c r="BD26" s="9">
        <f>+BC23+BD23</f>
        <v>0</v>
      </c>
      <c r="BG26" s="9">
        <f>+BE23+BF23+BG23</f>
        <v>0</v>
      </c>
      <c r="BK26" s="9">
        <f>SUM(BH23:BK23)</f>
        <v>0</v>
      </c>
      <c r="BN26" s="9">
        <f>SUM(BL23:BN23)</f>
        <v>0</v>
      </c>
      <c r="BP26" s="9">
        <f>+BO23+BP23</f>
        <v>0</v>
      </c>
      <c r="BS26" s="9">
        <f>+BQ23+BR23+BS23</f>
        <v>0</v>
      </c>
      <c r="BW26" s="9">
        <f>SUM(BT23:BW23)</f>
        <v>0</v>
      </c>
      <c r="BZ26" s="9">
        <f>SUM(BX23:BZ23)</f>
        <v>0</v>
      </c>
      <c r="CB26" s="9">
        <f>+CA23+CB23</f>
        <v>0</v>
      </c>
      <c r="CE26" s="9">
        <f>+CC23+CD23+CE23</f>
        <v>0</v>
      </c>
      <c r="CI26" s="9">
        <f>SUM(CF23:CI23)</f>
        <v>0</v>
      </c>
      <c r="CL26" s="9">
        <f>SUM(CJ23:CL23)</f>
        <v>0</v>
      </c>
      <c r="CN26" s="9">
        <f>+CM23+CN23</f>
        <v>0</v>
      </c>
    </row>
    <row r="27" ht="12.75" customHeight="1"/>
    <row r="28" ht="12.75" customHeight="1">
      <c r="A28" s="5" t="s">
        <v>221</v>
      </c>
      <c r="F28" s="10">
        <f>IF(F26&lt;0,0,0)</f>
        <v>0</v>
      </c>
      <c r="G28" s="10"/>
      <c r="H28" s="10">
        <f>IF(H26&lt;0,0,F26)</f>
        <v>0</v>
      </c>
      <c r="I28" s="10"/>
      <c r="J28" s="10"/>
      <c r="K28" s="10">
        <f>IF(K26&lt;0,0,H26)</f>
        <v>0</v>
      </c>
      <c r="L28" s="10"/>
      <c r="M28" s="10"/>
      <c r="N28" s="10"/>
      <c r="O28" s="10">
        <f>IF(O26&lt;0,0,K26)</f>
        <v>0</v>
      </c>
      <c r="P28" s="10"/>
      <c r="Q28" s="10"/>
      <c r="R28" s="10">
        <f>IF(R26&lt;0,0,O26)</f>
        <v>0</v>
      </c>
      <c r="S28" s="10"/>
      <c r="T28" s="10">
        <f>IF(T26&lt;0,0,R26)</f>
        <v>0</v>
      </c>
      <c r="U28" s="10"/>
      <c r="V28" s="10"/>
      <c r="W28" s="10">
        <f>IF(W26&lt;0,0,T26)</f>
        <v>0</v>
      </c>
      <c r="X28" s="10"/>
      <c r="Y28" s="10"/>
      <c r="Z28" s="10"/>
      <c r="AA28" s="10">
        <f>IF(AA26&lt;0,0,W26)</f>
        <v>0</v>
      </c>
      <c r="AB28" s="10"/>
      <c r="AC28" s="10"/>
      <c r="AD28" s="10">
        <f>IF(AD26&lt;0,0,AA26)</f>
        <v>0</v>
      </c>
      <c r="AE28" s="10"/>
      <c r="AF28" s="10">
        <f>IF(AF26&lt;0,0,AD26)</f>
        <v>0</v>
      </c>
      <c r="AG28" s="10"/>
      <c r="AH28" s="10"/>
      <c r="AI28" s="10">
        <f>IF(AI26&lt;0,0,AF26)</f>
        <v>0</v>
      </c>
      <c r="AJ28" s="10"/>
      <c r="AK28" s="10"/>
      <c r="AL28" s="10"/>
      <c r="AM28" s="10">
        <f>IF(AM26&lt;0,0,AI26)</f>
        <v>0</v>
      </c>
      <c r="AN28" s="10"/>
      <c r="AO28" s="10"/>
      <c r="AP28" s="10">
        <f>IF(AP26&lt;0,0,AM26)</f>
        <v>0</v>
      </c>
      <c r="AQ28" s="10"/>
      <c r="AR28" s="10">
        <f>IF(AR26&lt;0,0,AP26)</f>
        <v>0</v>
      </c>
      <c r="AS28" s="10"/>
      <c r="AT28" s="10"/>
      <c r="AU28" s="10">
        <f>IF(AU26&lt;0,0,AR26)</f>
        <v>0</v>
      </c>
      <c r="AV28" s="10"/>
      <c r="AW28" s="10"/>
      <c r="AX28" s="10"/>
      <c r="AY28" s="10">
        <f>IF(AY26&lt;0,0,AU26)</f>
        <v>0</v>
      </c>
      <c r="AZ28" s="10"/>
      <c r="BA28" s="10"/>
      <c r="BB28" s="10">
        <f>IF(BB26&lt;0,0,AY26)</f>
        <v>0</v>
      </c>
      <c r="BC28" s="10"/>
      <c r="BD28" s="10">
        <f>IF(BD26&lt;0,0,BB26)</f>
        <v>0</v>
      </c>
      <c r="BE28" s="10"/>
      <c r="BF28" s="10"/>
      <c r="BG28" s="10">
        <f>IF(BG26&lt;0,0,BD26)</f>
        <v>0</v>
      </c>
      <c r="BH28" s="10"/>
      <c r="BI28" s="10"/>
      <c r="BJ28" s="10"/>
      <c r="BK28" s="10">
        <f>IF(BK26&lt;0,0,BG26)</f>
        <v>0</v>
      </c>
      <c r="BL28" s="10"/>
      <c r="BM28" s="10"/>
      <c r="BN28" s="10">
        <f>IF(BN26&lt;0,0,BK26)</f>
        <v>0</v>
      </c>
      <c r="BO28" s="10"/>
      <c r="BP28" s="10">
        <f>IF(BP26&lt;0,0,BN26)</f>
        <v>0</v>
      </c>
      <c r="BQ28" s="10"/>
      <c r="BR28" s="10"/>
      <c r="BS28" s="10">
        <f>IF(BS26&lt;0,0,BP26)</f>
        <v>0</v>
      </c>
      <c r="BT28" s="10"/>
      <c r="BU28" s="10"/>
      <c r="BV28" s="10"/>
      <c r="BW28" s="10">
        <f>IF(BW26&lt;0,0,BS26)</f>
        <v>0</v>
      </c>
      <c r="BX28" s="10"/>
      <c r="BY28" s="10"/>
      <c r="BZ28" s="10">
        <f>IF(BZ26&lt;0,0,BW26)</f>
        <v>0</v>
      </c>
      <c r="CA28" s="10"/>
      <c r="CB28" s="10">
        <f>IF(CB26&lt;0,0,BZ26)</f>
        <v>0</v>
      </c>
      <c r="CC28" s="10"/>
      <c r="CD28" s="10"/>
      <c r="CE28" s="10">
        <f>IF(CE26&lt;0,0,CB26)</f>
        <v>0</v>
      </c>
      <c r="CF28" s="10"/>
      <c r="CG28" s="10"/>
      <c r="CH28" s="10"/>
      <c r="CI28" s="10">
        <f>IF(CI26&lt;0,0,CE26)</f>
        <v>0</v>
      </c>
      <c r="CJ28" s="10"/>
      <c r="CK28" s="10"/>
      <c r="CL28" s="10">
        <f>IF(CL26&lt;0,0,CI26)</f>
        <v>0</v>
      </c>
      <c r="CM28" s="10"/>
      <c r="CN28" s="10">
        <f>IF(CN26&lt;0,0,CL26)</f>
        <v>0</v>
      </c>
      <c r="CO28" s="10"/>
      <c r="CP28" s="10"/>
    </row>
    <row r="29" ht="12.75" customHeight="1"/>
    <row r="30" ht="12.75" customHeight="1">
      <c r="A30" s="5" t="s">
        <v>222</v>
      </c>
      <c r="F30" s="9">
        <f>+F26-F28</f>
        <v>0</v>
      </c>
      <c r="H30" s="9">
        <f>+H26-H28</f>
        <v>0</v>
      </c>
      <c r="K30" s="9">
        <f>+K26-K28</f>
        <v>0</v>
      </c>
      <c r="O30" s="9">
        <f>+O26-O28</f>
        <v>0</v>
      </c>
      <c r="R30" s="9">
        <f>+R26-R28</f>
        <v>0</v>
      </c>
      <c r="T30" s="9">
        <f>+T26-T28</f>
        <v>0</v>
      </c>
      <c r="W30" s="9">
        <f>+W26-W28</f>
        <v>0</v>
      </c>
      <c r="AA30" s="9">
        <f>+AA26-AA28</f>
        <v>0</v>
      </c>
      <c r="AD30" s="9">
        <f>+AD26-AD28</f>
        <v>0</v>
      </c>
      <c r="AF30" s="9">
        <f>+AF26-AF28</f>
        <v>0</v>
      </c>
      <c r="AI30" s="9">
        <f>+AI26-AI28</f>
        <v>0</v>
      </c>
      <c r="AM30" s="9">
        <f>+AM26-AM28</f>
        <v>0</v>
      </c>
      <c r="AP30" s="9">
        <f>+AP26-AP28</f>
        <v>0</v>
      </c>
      <c r="AR30" s="9">
        <f>+AR26-AR28</f>
        <v>0</v>
      </c>
      <c r="AU30" s="9">
        <f>+AU26-AU28</f>
        <v>0</v>
      </c>
      <c r="AY30" s="9">
        <f>+AY26-AY28</f>
        <v>0</v>
      </c>
      <c r="BB30" s="9">
        <f>+BB26-BB28</f>
        <v>0</v>
      </c>
      <c r="BD30" s="9">
        <f>+BD26-BD28</f>
        <v>0</v>
      </c>
      <c r="BG30" s="9">
        <f>+BG26-BG28</f>
        <v>0</v>
      </c>
      <c r="BK30" s="9">
        <f>+BK26-BK28</f>
        <v>0</v>
      </c>
      <c r="BN30" s="9">
        <f>+BN26-BN28</f>
        <v>0</v>
      </c>
      <c r="BP30" s="9">
        <f>+BP26-BP28</f>
        <v>0</v>
      </c>
      <c r="BS30" s="9">
        <f>+BS26-BS28</f>
        <v>0</v>
      </c>
      <c r="BW30" s="9">
        <f>+BW26-BW28</f>
        <v>0</v>
      </c>
      <c r="BZ30" s="9">
        <f>+BZ26-BZ28</f>
        <v>0</v>
      </c>
      <c r="CB30" s="9">
        <f>+CB26-CB28</f>
        <v>0</v>
      </c>
      <c r="CE30" s="9">
        <f>+CE26-CE28</f>
        <v>0</v>
      </c>
      <c r="CI30" s="9">
        <f>+CI26-CI28</f>
        <v>0</v>
      </c>
      <c r="CL30" s="9">
        <f>+CL26-CL28</f>
        <v>0</v>
      </c>
      <c r="CN30" s="9">
        <f>+CN26-CN28</f>
        <v>0</v>
      </c>
    </row>
    <row r="31" ht="12.75" customHeight="1"/>
    <row r="32" ht="12.75" customHeight="1">
      <c r="A32" s="5" t="s">
        <v>223</v>
      </c>
      <c r="G32" s="9">
        <f>IF(F30&lt;0,0,F30)</f>
        <v>0</v>
      </c>
      <c r="H32" s="9"/>
      <c r="I32" s="9">
        <f>IF(H30&lt;0,0,H30)</f>
        <v>0</v>
      </c>
      <c r="J32" s="9"/>
      <c r="K32" s="9"/>
      <c r="L32" s="9">
        <f>IF(K30&lt;0,0,K30)</f>
        <v>0</v>
      </c>
      <c r="M32" s="9"/>
      <c r="N32" s="9"/>
      <c r="O32" s="9"/>
      <c r="P32" s="9">
        <f>IF(O30&lt;0,0,O30)</f>
        <v>0</v>
      </c>
      <c r="Q32" s="9"/>
      <c r="R32" s="9"/>
      <c r="S32" s="9">
        <f>IF(R30&lt;0,0,R30)</f>
        <v>0</v>
      </c>
      <c r="T32" s="9"/>
      <c r="U32" s="9">
        <f>IF(T30&lt;0,0,T30)</f>
        <v>0</v>
      </c>
      <c r="V32" s="9"/>
      <c r="W32" s="9"/>
      <c r="X32" s="9">
        <f>IF(W30&lt;0,0,W30)</f>
        <v>0</v>
      </c>
      <c r="Y32" s="9"/>
      <c r="Z32" s="9"/>
      <c r="AA32" s="9"/>
      <c r="AB32" s="9">
        <f>IF(AA30&lt;0,0,AA30)</f>
        <v>0</v>
      </c>
      <c r="AC32" s="9"/>
      <c r="AD32" s="9"/>
      <c r="AE32" s="9">
        <f>IF(AD30&lt;0,0,AD30)</f>
        <v>0</v>
      </c>
      <c r="AF32" s="9"/>
      <c r="AG32" s="9">
        <f>IF(AF30&lt;0,0,AF30)</f>
        <v>0</v>
      </c>
      <c r="AH32" s="9"/>
      <c r="AI32" s="9"/>
      <c r="AJ32" s="9">
        <f>IF(AI30&lt;0,0,AI30)</f>
        <v>0</v>
      </c>
      <c r="AK32" s="9"/>
      <c r="AL32" s="9"/>
      <c r="AM32" s="9"/>
      <c r="AN32" s="9">
        <f>IF(AM30&lt;0,0,AM30)</f>
        <v>0</v>
      </c>
      <c r="AO32" s="9"/>
      <c r="AP32" s="9"/>
      <c r="AQ32" s="9">
        <f>IF(AP30&lt;0,0,AP30)</f>
        <v>0</v>
      </c>
      <c r="AR32" s="9"/>
      <c r="AS32" s="9">
        <f>IF(AR30&lt;0,0,AR30)</f>
        <v>0</v>
      </c>
      <c r="AT32" s="9"/>
      <c r="AU32" s="9"/>
      <c r="AV32" s="9">
        <f>IF(AU30&lt;0,0,AU30)</f>
        <v>0</v>
      </c>
      <c r="AW32" s="9"/>
      <c r="AX32" s="9"/>
      <c r="AY32" s="9"/>
      <c r="AZ32" s="9">
        <f>IF(AY30&lt;0,0,AY30)</f>
        <v>0</v>
      </c>
      <c r="BA32" s="9"/>
      <c r="BB32" s="9"/>
      <c r="BC32" s="9">
        <f>IF(BB30&lt;0,0,BB30)</f>
        <v>0</v>
      </c>
      <c r="BD32" s="9"/>
      <c r="BE32" s="9">
        <f>IF(BD30&lt;0,0,BD30)</f>
        <v>0</v>
      </c>
      <c r="BF32" s="9"/>
      <c r="BG32" s="9"/>
      <c r="BH32" s="9">
        <f>IF(BG30&lt;0,0,BG30)</f>
        <v>0</v>
      </c>
      <c r="BI32" s="9"/>
      <c r="BJ32" s="9"/>
      <c r="BK32" s="9"/>
      <c r="BL32" s="9">
        <f>IF(BK30&lt;0,0,BK30)</f>
        <v>0</v>
      </c>
      <c r="BM32" s="9"/>
      <c r="BN32" s="9"/>
      <c r="BO32" s="9">
        <f>IF(BN30&lt;0,0,BN30)</f>
        <v>0</v>
      </c>
      <c r="BP32" s="9"/>
      <c r="BQ32" s="9">
        <f>IF(BP30&lt;0,0,BP30)</f>
        <v>0</v>
      </c>
      <c r="BR32" s="9"/>
      <c r="BS32" s="9"/>
      <c r="BT32" s="9">
        <f>IF(BS30&lt;0,0,BS30)</f>
        <v>0</v>
      </c>
      <c r="BU32" s="9"/>
      <c r="BV32" s="9"/>
      <c r="BW32" s="9"/>
      <c r="BX32" s="9">
        <f>IF(BW30&lt;0,0,BW30)</f>
        <v>0</v>
      </c>
      <c r="BY32" s="9"/>
      <c r="BZ32" s="9"/>
      <c r="CA32" s="9">
        <f>IF(BZ30&lt;0,0,BZ30)</f>
        <v>0</v>
      </c>
      <c r="CB32" s="9"/>
      <c r="CC32" s="9">
        <f>IF(CB30&lt;0,0,CB30)</f>
        <v>0</v>
      </c>
      <c r="CD32" s="9"/>
      <c r="CE32" s="9"/>
      <c r="CF32" s="9">
        <f>IF(CE30&lt;0,0,CE30)</f>
        <v>0</v>
      </c>
      <c r="CG32" s="9"/>
      <c r="CH32" s="9"/>
      <c r="CI32" s="9"/>
      <c r="CJ32" s="9">
        <f>IF(CI30&lt;0,0,CI30)</f>
        <v>0</v>
      </c>
      <c r="CK32" s="9"/>
      <c r="CL32" s="9"/>
      <c r="CM32" s="9">
        <f>IF(CL30&lt;0,0,CL30)</f>
        <v>0</v>
      </c>
      <c r="CN32" s="9"/>
      <c r="CO32" s="9">
        <f>IF(CN30&lt;0,0,CN30)</f>
        <v>0</v>
      </c>
      <c r="CP32" s="9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57"/>
  </cols>
  <sheetData>
    <row r="1" ht="15.0" customHeight="1">
      <c r="A1" s="121" t="s">
        <v>224</v>
      </c>
      <c r="B1" s="5" t="s">
        <v>225</v>
      </c>
      <c r="C1" s="5" t="s">
        <v>226</v>
      </c>
      <c r="D1" s="5"/>
    </row>
    <row r="2" ht="15.0" customHeight="1">
      <c r="A2" s="5" t="s">
        <v>227</v>
      </c>
      <c r="B2" s="90">
        <v>36000.0</v>
      </c>
      <c r="C2" s="122">
        <v>12600.0</v>
      </c>
    </row>
    <row r="3" ht="15.0" customHeight="1">
      <c r="A3" s="5" t="s">
        <v>228</v>
      </c>
      <c r="B3" s="90">
        <v>95000.0</v>
      </c>
      <c r="C3" s="122">
        <v>21000.0</v>
      </c>
    </row>
    <row r="4" ht="15.0" customHeight="1">
      <c r="A4" s="5" t="s">
        <v>229</v>
      </c>
      <c r="B4" s="90">
        <v>40000.0</v>
      </c>
    </row>
    <row r="5" ht="15.0" customHeight="1">
      <c r="A5" s="5" t="s">
        <v>230</v>
      </c>
      <c r="B5" s="90">
        <v>15000.0</v>
      </c>
    </row>
    <row r="6" ht="15.0" customHeight="1">
      <c r="A6" s="5" t="s">
        <v>231</v>
      </c>
      <c r="B6" s="90">
        <v>85000.0</v>
      </c>
      <c r="C6" s="122">
        <v>15120.0</v>
      </c>
    </row>
    <row r="7">
      <c r="A7" s="5" t="s">
        <v>232</v>
      </c>
      <c r="B7" s="90">
        <v>45000.0</v>
      </c>
    </row>
    <row r="8" ht="15.0" customHeight="1">
      <c r="A8" s="5" t="s">
        <v>233</v>
      </c>
      <c r="B8" s="90">
        <v>10000.0</v>
      </c>
    </row>
    <row r="9" ht="15.0" customHeight="1">
      <c r="A9" s="5" t="s">
        <v>234</v>
      </c>
      <c r="B9" s="90">
        <v>20000.0</v>
      </c>
    </row>
    <row r="10" ht="15.0" customHeight="1">
      <c r="A10" s="5" t="s">
        <v>235</v>
      </c>
      <c r="B10" s="90">
        <v>10000.0</v>
      </c>
    </row>
    <row r="11" ht="15.0" customHeight="1">
      <c r="A11" s="5"/>
      <c r="B11" s="90"/>
    </row>
    <row r="12" ht="15.0" customHeight="1">
      <c r="A12" s="121" t="s">
        <v>236</v>
      </c>
      <c r="B12" s="90">
        <f>SUM(B2:B10)</f>
        <v>356000</v>
      </c>
    </row>
    <row r="15">
      <c r="A15" s="121" t="s">
        <v>237</v>
      </c>
      <c r="B15" s="90"/>
      <c r="C15" s="5" t="s">
        <v>238</v>
      </c>
    </row>
    <row r="16">
      <c r="A16" s="123" t="s">
        <v>239</v>
      </c>
      <c r="B16" s="90">
        <v>5000.0</v>
      </c>
    </row>
    <row r="17">
      <c r="A17" s="123" t="s">
        <v>240</v>
      </c>
      <c r="B17" s="90">
        <v>2000.0</v>
      </c>
    </row>
    <row r="18">
      <c r="A18" s="5" t="s">
        <v>241</v>
      </c>
      <c r="B18" s="90">
        <v>7000.0</v>
      </c>
      <c r="C18" s="5">
        <v>26.0</v>
      </c>
    </row>
    <row r="19">
      <c r="A19" s="5" t="s">
        <v>242</v>
      </c>
      <c r="B19" s="90">
        <v>5000.0</v>
      </c>
    </row>
    <row r="20">
      <c r="A20" s="5" t="s">
        <v>243</v>
      </c>
      <c r="B20" s="90">
        <v>10000.0</v>
      </c>
    </row>
    <row r="22">
      <c r="A22" s="121" t="s">
        <v>236</v>
      </c>
      <c r="B22" s="90">
        <f>SUM(B16:B20)</f>
        <v>29000</v>
      </c>
    </row>
    <row r="23">
      <c r="A23" s="121"/>
    </row>
    <row r="24" ht="15.75" customHeight="1"/>
    <row r="25" ht="15.75" customHeight="1">
      <c r="A25" s="121" t="s">
        <v>244</v>
      </c>
    </row>
    <row r="26" ht="15.75" customHeight="1">
      <c r="A26" s="5" t="s">
        <v>245</v>
      </c>
      <c r="B26" s="90">
        <v>30000.0</v>
      </c>
    </row>
    <row r="27" ht="15.75" customHeight="1">
      <c r="A27" s="5" t="s">
        <v>246</v>
      </c>
      <c r="B27" s="90">
        <v>10000.0</v>
      </c>
    </row>
    <row r="28" ht="15.75" customHeight="1">
      <c r="A28" s="5" t="s">
        <v>247</v>
      </c>
      <c r="B28" s="90">
        <v>10000.0</v>
      </c>
    </row>
    <row r="29" ht="15.75" customHeight="1"/>
    <row r="30" ht="15.75" customHeight="1">
      <c r="A30" s="121" t="s">
        <v>248</v>
      </c>
      <c r="B30" s="90">
        <f>SUM(B26:B28)</f>
        <v>50000</v>
      </c>
    </row>
    <row r="31" ht="15.75" customHeight="1">
      <c r="A31" s="121"/>
    </row>
    <row r="32" ht="15.75" customHeight="1">
      <c r="A32" s="121"/>
    </row>
    <row r="33" ht="15.75" customHeight="1">
      <c r="A33" s="121" t="s">
        <v>249</v>
      </c>
    </row>
    <row r="34" ht="15.75" customHeight="1">
      <c r="A34" s="5" t="s">
        <v>250</v>
      </c>
      <c r="B34" s="90">
        <v>40000.0</v>
      </c>
    </row>
    <row r="35" ht="15.75" customHeight="1">
      <c r="A35" s="5" t="s">
        <v>251</v>
      </c>
      <c r="B35" s="90">
        <v>75000.0</v>
      </c>
    </row>
    <row r="36" ht="15.75" customHeight="1"/>
    <row r="37" ht="15.75" customHeight="1">
      <c r="A37" s="121" t="s">
        <v>252</v>
      </c>
      <c r="B37" s="90">
        <f>SUM(B34:B35)</f>
        <v>115000</v>
      </c>
    </row>
    <row r="38" ht="15.75" customHeight="1"/>
    <row r="39" ht="15.75" customHeight="1"/>
    <row r="40" ht="15.75" customHeight="1">
      <c r="A40" s="121" t="s">
        <v>253</v>
      </c>
      <c r="B40" s="90">
        <f>SUM(B37,B30,B22,B12)</f>
        <v>550000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72.86"/>
  </cols>
  <sheetData>
    <row r="9" ht="15.0" customHeight="1">
      <c r="A9" s="5" t="s">
        <v>254</v>
      </c>
    </row>
    <row r="11" ht="15.0" customHeight="1">
      <c r="A11" s="5">
        <v>1.0</v>
      </c>
      <c r="B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6" width="12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>
      <c r="A9" s="30" t="s">
        <v>255</v>
      </c>
      <c r="B9" s="30"/>
      <c r="C9" s="30"/>
      <c r="D9" s="30"/>
      <c r="E9" s="30"/>
    </row>
    <row r="10" ht="12.75" customHeight="1">
      <c r="A10" s="30"/>
      <c r="C10" s="30"/>
      <c r="D10" s="31"/>
    </row>
    <row r="11" ht="12.75" customHeight="1">
      <c r="A11" s="30" t="s">
        <v>256</v>
      </c>
      <c r="B11" s="111"/>
    </row>
    <row r="12" ht="12.75" customHeight="1">
      <c r="A12" s="30" t="s">
        <v>257</v>
      </c>
      <c r="B12" s="22"/>
    </row>
    <row r="13" ht="12.75" customHeight="1">
      <c r="A13" s="30" t="s">
        <v>258</v>
      </c>
      <c r="B13" s="22"/>
    </row>
    <row r="14" ht="12.75" customHeight="1">
      <c r="A14" s="30" t="s">
        <v>259</v>
      </c>
      <c r="B14" s="22"/>
    </row>
    <row r="15" ht="12.75" customHeight="1">
      <c r="A15" s="30" t="s">
        <v>260</v>
      </c>
      <c r="B15" s="22"/>
    </row>
    <row r="16" ht="12.75" customHeight="1">
      <c r="A16" s="30" t="s">
        <v>261</v>
      </c>
      <c r="B16" s="22"/>
    </row>
    <row r="17" ht="12.75" customHeight="1">
      <c r="A17" s="30"/>
      <c r="B17" s="124"/>
    </row>
    <row r="18" ht="12.75" customHeight="1">
      <c r="A18" s="30"/>
      <c r="B18" s="31"/>
    </row>
    <row r="19" ht="12.75" customHeight="1">
      <c r="A19" s="30"/>
      <c r="B19" s="31"/>
    </row>
    <row r="20" ht="12.75" customHeight="1">
      <c r="A20" s="30" t="s">
        <v>262</v>
      </c>
      <c r="B20" s="27">
        <f>SUM(B11:B17)</f>
        <v>0</v>
      </c>
    </row>
    <row r="21" ht="12.75" customHeight="1"/>
    <row r="22" ht="12.75" customHeight="1"/>
    <row r="23" ht="12.75" customHeight="1">
      <c r="A23" s="30" t="s">
        <v>263</v>
      </c>
    </row>
    <row r="24" ht="12.75" customHeight="1">
      <c r="A24" s="30" t="s">
        <v>264</v>
      </c>
      <c r="B24" s="31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0"/>
  </cols>
  <sheetData>
    <row r="1" ht="15.75" customHeight="1">
      <c r="A1" s="30" t="s">
        <v>265</v>
      </c>
    </row>
    <row r="2" ht="15.75" customHeight="1"/>
    <row r="3" ht="15.75" customHeight="1">
      <c r="A3" s="30" t="s">
        <v>266</v>
      </c>
      <c r="B3" s="30">
        <v>600.0</v>
      </c>
      <c r="C3" s="47" t="s">
        <v>267</v>
      </c>
    </row>
    <row r="4" ht="15.75" customHeight="1">
      <c r="A4" s="30" t="s">
        <v>268</v>
      </c>
      <c r="C4" s="47">
        <v>2500.0</v>
      </c>
    </row>
    <row r="5" ht="15.75" customHeight="1">
      <c r="C5" s="47" t="str">
        <f>SUM(C3+C4)</f>
        <v>#VALUE!</v>
      </c>
    </row>
    <row r="6" ht="15.75" customHeight="1"/>
    <row r="7" ht="15.75" customHeight="1"/>
    <row r="8" ht="15.75" customHeight="1">
      <c r="C8" s="30" t="s">
        <v>269</v>
      </c>
    </row>
    <row r="9" ht="15.75" customHeight="1">
      <c r="A9" s="30" t="s">
        <v>270</v>
      </c>
      <c r="B9" s="30">
        <v>100.0</v>
      </c>
    </row>
    <row r="10" ht="15.75" customHeight="1">
      <c r="A10" s="30" t="s">
        <v>271</v>
      </c>
      <c r="B10" s="30">
        <v>20.0</v>
      </c>
      <c r="C10" s="47">
        <v>7000.0</v>
      </c>
    </row>
    <row r="11" ht="15.75" customHeight="1">
      <c r="A11" s="30" t="s">
        <v>272</v>
      </c>
      <c r="B11" s="31" t="str">
        <f>C5/B10</f>
        <v>#VALUE!</v>
      </c>
    </row>
    <row r="12" ht="15.75" customHeight="1"/>
    <row r="13" ht="15.75" customHeight="1"/>
    <row r="14" ht="15.75" customHeight="1">
      <c r="B14" s="31"/>
    </row>
    <row r="15" ht="15.75" customHeight="1">
      <c r="B15" s="30"/>
    </row>
    <row r="16" ht="15.75" customHeight="1"/>
    <row r="17" ht="15.75" customHeight="1">
      <c r="C17" s="31" t="str">
        <f>SUM(B15*B11)</f>
        <v>#VALUE!</v>
      </c>
    </row>
    <row r="18" ht="15.75" customHeight="1"/>
    <row r="19" ht="15.75" customHeight="1">
      <c r="C19" s="125"/>
      <c r="D19" s="125"/>
    </row>
    <row r="20" ht="15.75" customHeight="1">
      <c r="C20" s="1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4" max="4" width="22.29"/>
  </cols>
  <sheetData>
    <row r="1" ht="15.75" customHeight="1">
      <c r="A1" s="30" t="s">
        <v>23</v>
      </c>
      <c r="B1" s="30"/>
      <c r="C1" s="30"/>
      <c r="D1" s="30" t="s">
        <v>273</v>
      </c>
      <c r="E1" s="30"/>
      <c r="F1" s="30"/>
      <c r="G1" s="30"/>
      <c r="H1" s="30"/>
      <c r="I1" s="30"/>
    </row>
    <row r="2" ht="15.75" customHeight="1">
      <c r="A2" s="30" t="s">
        <v>274</v>
      </c>
      <c r="B2" s="31">
        <v>0.0</v>
      </c>
      <c r="D2" s="30"/>
      <c r="F2" s="30" t="s">
        <v>275</v>
      </c>
      <c r="G2" s="31">
        <f>SUM(B2+B3-E12)</f>
        <v>-28000</v>
      </c>
    </row>
    <row r="3" ht="15.75" customHeight="1">
      <c r="A3" s="30" t="s">
        <v>276</v>
      </c>
      <c r="B3" s="31"/>
      <c r="D3" s="30" t="s">
        <v>256</v>
      </c>
      <c r="E3" s="31">
        <v>3500.0</v>
      </c>
    </row>
    <row r="4" ht="15.75" customHeight="1">
      <c r="A4" s="30"/>
      <c r="D4" s="30" t="s">
        <v>257</v>
      </c>
      <c r="E4" s="31">
        <v>5000.0</v>
      </c>
    </row>
    <row r="5" ht="15.75" customHeight="1">
      <c r="A5" s="30" t="s">
        <v>277</v>
      </c>
      <c r="B5" s="31"/>
      <c r="D5" s="30" t="s">
        <v>258</v>
      </c>
      <c r="E5" s="31">
        <v>2000.0</v>
      </c>
    </row>
    <row r="6" ht="15.75" customHeight="1">
      <c r="D6" s="30" t="s">
        <v>259</v>
      </c>
      <c r="E6" s="31">
        <v>2500.0</v>
      </c>
    </row>
    <row r="7" ht="15.75" customHeight="1">
      <c r="A7" s="30"/>
      <c r="B7" s="31"/>
      <c r="D7" s="30" t="s">
        <v>260</v>
      </c>
      <c r="E7" s="31" t="s">
        <v>278</v>
      </c>
    </row>
    <row r="8" ht="15.75" customHeight="1">
      <c r="A8" s="30" t="s">
        <v>279</v>
      </c>
      <c r="B8" s="31"/>
      <c r="D8" s="30" t="s">
        <v>261</v>
      </c>
      <c r="E8" s="31">
        <v>15000.0</v>
      </c>
    </row>
    <row r="9" ht="15.75" customHeight="1">
      <c r="A9" s="30" t="s">
        <v>280</v>
      </c>
      <c r="B9" s="31"/>
      <c r="D9" s="30"/>
      <c r="E9" s="31"/>
    </row>
    <row r="10" ht="15.75" customHeight="1">
      <c r="A10" s="30" t="s">
        <v>275</v>
      </c>
      <c r="B10" s="31"/>
      <c r="D10" s="30"/>
      <c r="E10" s="31"/>
    </row>
    <row r="11" ht="15.75" customHeight="1">
      <c r="D11" s="30"/>
      <c r="E11" s="31"/>
    </row>
    <row r="12" ht="15.75" customHeight="1">
      <c r="D12" s="30" t="s">
        <v>262</v>
      </c>
      <c r="E12" s="31">
        <f>SUM(E3:E10)</f>
        <v>28000</v>
      </c>
    </row>
    <row r="13" ht="15.75" customHeight="1"/>
    <row r="14" ht="15.75" customHeight="1"/>
    <row r="15" ht="15.75" customHeight="1">
      <c r="D15" s="30" t="s">
        <v>263</v>
      </c>
    </row>
    <row r="16" ht="15.75" customHeight="1">
      <c r="D16" s="30" t="s">
        <v>264</v>
      </c>
      <c r="E16" s="31">
        <v>600.0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14"/>
  </cols>
  <sheetData>
    <row r="1" ht="15.75" customHeight="1">
      <c r="A1" s="126" t="s">
        <v>281</v>
      </c>
      <c r="B1" s="127">
        <v>43648.0</v>
      </c>
      <c r="C1" s="127">
        <v>43680.0</v>
      </c>
      <c r="D1" s="127">
        <v>43712.0</v>
      </c>
      <c r="E1" s="127">
        <v>43743.0</v>
      </c>
      <c r="F1" s="127">
        <v>43775.0</v>
      </c>
      <c r="G1" s="127">
        <v>43806.0</v>
      </c>
      <c r="H1" s="127">
        <v>43831.0</v>
      </c>
      <c r="I1" s="127">
        <v>43863.0</v>
      </c>
      <c r="J1" s="127">
        <v>43893.0</v>
      </c>
      <c r="K1" s="127">
        <v>43925.0</v>
      </c>
      <c r="L1" s="113"/>
    </row>
    <row r="2" ht="15.75" customHeight="1">
      <c r="A2" s="113"/>
    </row>
    <row r="3" ht="15.75" customHeight="1">
      <c r="A3" s="113"/>
    </row>
    <row r="4" ht="15.75" customHeight="1">
      <c r="A4" s="113" t="s">
        <v>282</v>
      </c>
      <c r="B4" s="31">
        <f>SUM(Capital!G2)</f>
        <v>-28000</v>
      </c>
      <c r="C4" s="31" t="str">
        <f t="shared" ref="C4:J4" si="1">SUM(B10)</f>
        <v>#REF!</v>
      </c>
      <c r="D4" s="31" t="str">
        <f t="shared" si="1"/>
        <v>#REF!</v>
      </c>
      <c r="E4" s="31" t="str">
        <f t="shared" si="1"/>
        <v>#REF!</v>
      </c>
      <c r="F4" s="31" t="str">
        <f t="shared" si="1"/>
        <v>#REF!</v>
      </c>
      <c r="G4" s="31" t="str">
        <f t="shared" si="1"/>
        <v>#REF!</v>
      </c>
      <c r="H4" s="31" t="str">
        <f t="shared" si="1"/>
        <v>#REF!</v>
      </c>
      <c r="I4" s="31" t="str">
        <f t="shared" si="1"/>
        <v>#REF!</v>
      </c>
      <c r="J4" s="31" t="str">
        <f t="shared" si="1"/>
        <v>#REF!</v>
      </c>
      <c r="K4" s="31"/>
    </row>
    <row r="5" ht="15.75" customHeight="1">
      <c r="A5" s="113"/>
    </row>
    <row r="6" ht="15.75" customHeight="1">
      <c r="A6" s="113" t="s">
        <v>283</v>
      </c>
      <c r="B6" s="47" t="e">
        <v>#REF!</v>
      </c>
      <c r="C6" s="47" t="e">
        <v>#REF!</v>
      </c>
      <c r="D6" s="47" t="e">
        <v>#REF!</v>
      </c>
      <c r="E6" s="47" t="e">
        <v>#REF!</v>
      </c>
      <c r="F6" s="47" t="e">
        <v>#REF!</v>
      </c>
      <c r="G6" s="47" t="e">
        <v>#REF!</v>
      </c>
      <c r="H6" s="47" t="e">
        <v>#REF!</v>
      </c>
      <c r="I6" s="47" t="e">
        <v>#REF!</v>
      </c>
      <c r="J6" s="47" t="e">
        <v>#REF!</v>
      </c>
    </row>
    <row r="7" ht="15.75" customHeight="1">
      <c r="A7" s="113" t="s">
        <v>105</v>
      </c>
      <c r="B7" s="31" t="e">
        <v>#REF!</v>
      </c>
      <c r="C7" s="31" t="e">
        <v>#REF!</v>
      </c>
      <c r="D7" s="31" t="e">
        <v>#REF!</v>
      </c>
      <c r="E7" s="31" t="e">
        <v>#REF!</v>
      </c>
      <c r="F7" s="31" t="e">
        <v>#REF!</v>
      </c>
      <c r="G7" s="31" t="e">
        <v>#REF!</v>
      </c>
      <c r="H7" s="31" t="e">
        <v>#REF!</v>
      </c>
      <c r="I7" s="31" t="e">
        <v>#REF!</v>
      </c>
      <c r="J7" s="31" t="e">
        <v>#REF!</v>
      </c>
    </row>
    <row r="8" ht="15.75" customHeight="1">
      <c r="A8" s="113" t="s">
        <v>284</v>
      </c>
      <c r="B8" s="128" t="str">
        <f t="shared" ref="B8:J8" si="2">SUM(B6-B7)</f>
        <v>#REF!</v>
      </c>
      <c r="C8" s="128" t="str">
        <f t="shared" si="2"/>
        <v>#REF!</v>
      </c>
      <c r="D8" s="128" t="str">
        <f t="shared" si="2"/>
        <v>#REF!</v>
      </c>
      <c r="E8" s="128" t="str">
        <f t="shared" si="2"/>
        <v>#REF!</v>
      </c>
      <c r="F8" s="128" t="str">
        <f t="shared" si="2"/>
        <v>#REF!</v>
      </c>
      <c r="G8" s="128" t="str">
        <f t="shared" si="2"/>
        <v>#REF!</v>
      </c>
      <c r="H8" s="129" t="str">
        <f t="shared" si="2"/>
        <v>#REF!</v>
      </c>
      <c r="I8" s="129" t="str">
        <f t="shared" si="2"/>
        <v>#REF!</v>
      </c>
      <c r="J8" s="129" t="str">
        <f t="shared" si="2"/>
        <v>#REF!</v>
      </c>
    </row>
    <row r="9" ht="15.75" customHeight="1">
      <c r="A9" s="113"/>
    </row>
    <row r="10" ht="15.75" customHeight="1">
      <c r="A10" s="113" t="s">
        <v>285</v>
      </c>
      <c r="B10" s="31" t="str">
        <f t="shared" ref="B10:J10" si="3">SUM(B4+B6-B7)</f>
        <v>#REF!</v>
      </c>
      <c r="C10" s="31" t="str">
        <f t="shared" si="3"/>
        <v>#REF!</v>
      </c>
      <c r="D10" s="31" t="str">
        <f t="shared" si="3"/>
        <v>#REF!</v>
      </c>
      <c r="E10" s="31" t="str">
        <f t="shared" si="3"/>
        <v>#REF!</v>
      </c>
      <c r="F10" s="31" t="str">
        <f t="shared" si="3"/>
        <v>#REF!</v>
      </c>
      <c r="G10" s="31" t="str">
        <f t="shared" si="3"/>
        <v>#REF!</v>
      </c>
      <c r="H10" s="31" t="str">
        <f t="shared" si="3"/>
        <v>#REF!</v>
      </c>
      <c r="I10" s="31" t="str">
        <f t="shared" si="3"/>
        <v>#REF!</v>
      </c>
      <c r="J10" s="31" t="str">
        <f t="shared" si="3"/>
        <v>#REF!</v>
      </c>
    </row>
    <row r="11" ht="15.75" customHeight="1">
      <c r="A11" s="113"/>
    </row>
    <row r="12" ht="15.75" customHeight="1">
      <c r="A12" s="113"/>
    </row>
    <row r="13" ht="15.75" customHeight="1">
      <c r="A13" s="113"/>
      <c r="G13" s="39"/>
    </row>
    <row r="14" ht="15.75" customHeight="1">
      <c r="A14" s="113"/>
    </row>
    <row r="15" ht="15.75" customHeight="1">
      <c r="A15" s="113"/>
    </row>
    <row r="16" ht="15.75" customHeight="1">
      <c r="A16" s="113"/>
    </row>
    <row r="17" ht="15.75" customHeight="1">
      <c r="A17" s="113"/>
    </row>
    <row r="18" ht="15.75" customHeight="1">
      <c r="A18" s="113"/>
    </row>
    <row r="19" ht="15.75" customHeight="1">
      <c r="A19" s="113"/>
    </row>
    <row r="20" ht="15.75" customHeight="1">
      <c r="A20" s="113"/>
    </row>
    <row r="21" ht="15.75" customHeight="1">
      <c r="A21" s="113"/>
    </row>
    <row r="22" ht="15.75" customHeight="1">
      <c r="A22" s="113"/>
    </row>
    <row r="23" ht="15.75" customHeight="1">
      <c r="A23" s="113"/>
    </row>
    <row r="24" ht="15.75" customHeight="1">
      <c r="A24" s="113"/>
    </row>
    <row r="25" ht="15.75" customHeight="1">
      <c r="A25" s="113"/>
    </row>
    <row r="26" ht="15.75" customHeight="1">
      <c r="A26" s="113"/>
    </row>
    <row r="27" ht="15.75" customHeight="1">
      <c r="A27" s="113"/>
    </row>
    <row r="28" ht="15.75" customHeight="1">
      <c r="A28" s="113"/>
    </row>
    <row r="29" ht="15.75" customHeight="1">
      <c r="A29" s="113"/>
    </row>
    <row r="30" ht="15.75" customHeight="1">
      <c r="A30" s="113"/>
    </row>
    <row r="31" ht="15.75" customHeight="1">
      <c r="A31" s="113"/>
    </row>
    <row r="32" ht="15.75" customHeight="1">
      <c r="A32" s="113"/>
    </row>
    <row r="33" ht="15.75" customHeight="1">
      <c r="A33" s="113"/>
    </row>
    <row r="34" ht="15.75" customHeight="1">
      <c r="A34" s="113"/>
    </row>
    <row r="35" ht="15.75" customHeight="1">
      <c r="A35" s="113"/>
    </row>
    <row r="36" ht="15.75" customHeight="1">
      <c r="A36" s="113"/>
    </row>
    <row r="37" ht="15.75" customHeight="1">
      <c r="A37" s="113"/>
    </row>
    <row r="38" ht="15.75" customHeight="1">
      <c r="A38" s="113"/>
    </row>
    <row r="39" ht="15.75" customHeight="1">
      <c r="A39" s="113"/>
    </row>
    <row r="40" ht="15.75" customHeight="1">
      <c r="A40" s="113"/>
    </row>
    <row r="41" ht="15.75" customHeight="1">
      <c r="A41" s="113"/>
    </row>
    <row r="42" ht="15.75" customHeight="1">
      <c r="A42" s="113"/>
    </row>
    <row r="43" ht="15.75" customHeight="1">
      <c r="A43" s="113"/>
    </row>
    <row r="44" ht="15.75" customHeight="1">
      <c r="A44" s="113"/>
    </row>
    <row r="45" ht="15.75" customHeight="1">
      <c r="A45" s="113"/>
    </row>
    <row r="46" ht="15.75" customHeight="1">
      <c r="A46" s="113"/>
    </row>
    <row r="47" ht="15.75" customHeight="1">
      <c r="A47" s="113"/>
    </row>
    <row r="48" ht="15.75" customHeight="1">
      <c r="A48" s="113"/>
    </row>
    <row r="49" ht="15.75" customHeight="1">
      <c r="A49" s="113"/>
    </row>
    <row r="50" ht="15.75" customHeight="1">
      <c r="A50" s="113"/>
    </row>
    <row r="51" ht="15.75" customHeight="1">
      <c r="A51" s="113"/>
    </row>
    <row r="52" ht="15.75" customHeight="1">
      <c r="A52" s="113"/>
    </row>
    <row r="53" ht="15.75" customHeight="1">
      <c r="A53" s="113"/>
    </row>
    <row r="54" ht="15.75" customHeight="1">
      <c r="A54" s="113"/>
    </row>
    <row r="55" ht="15.75" customHeight="1">
      <c r="A55" s="113"/>
    </row>
    <row r="56" ht="15.75" customHeight="1">
      <c r="A56" s="113"/>
    </row>
    <row r="57" ht="15.75" customHeight="1">
      <c r="A57" s="113"/>
    </row>
    <row r="58" ht="15.75" customHeight="1">
      <c r="A58" s="113"/>
    </row>
    <row r="59" ht="15.75" customHeight="1">
      <c r="A59" s="113"/>
    </row>
    <row r="60" ht="15.75" customHeight="1">
      <c r="A60" s="113"/>
    </row>
    <row r="61" ht="15.75" customHeight="1">
      <c r="A61" s="113"/>
    </row>
    <row r="62" ht="15.75" customHeight="1">
      <c r="A62" s="113"/>
    </row>
    <row r="63" ht="15.75" customHeight="1">
      <c r="A63" s="113"/>
    </row>
    <row r="64" ht="15.75" customHeight="1">
      <c r="A64" s="113"/>
    </row>
    <row r="65" ht="15.75" customHeight="1">
      <c r="A65" s="113"/>
    </row>
    <row r="66" ht="15.75" customHeight="1">
      <c r="A66" s="113"/>
    </row>
    <row r="67" ht="15.75" customHeight="1">
      <c r="A67" s="113"/>
    </row>
    <row r="68" ht="15.75" customHeight="1">
      <c r="A68" s="113"/>
    </row>
    <row r="69" ht="15.75" customHeight="1">
      <c r="A69" s="113"/>
    </row>
    <row r="70" ht="15.75" customHeight="1">
      <c r="A70" s="113"/>
    </row>
    <row r="71" ht="15.75" customHeight="1">
      <c r="A71" s="113"/>
    </row>
    <row r="72" ht="15.75" customHeight="1">
      <c r="A72" s="113"/>
    </row>
    <row r="73" ht="15.75" customHeight="1">
      <c r="A73" s="113"/>
    </row>
    <row r="74" ht="15.75" customHeight="1">
      <c r="A74" s="113"/>
    </row>
    <row r="75" ht="15.75" customHeight="1">
      <c r="A75" s="113"/>
    </row>
    <row r="76" ht="15.75" customHeight="1">
      <c r="A76" s="113"/>
    </row>
    <row r="77" ht="15.75" customHeight="1">
      <c r="A77" s="113"/>
    </row>
    <row r="78" ht="15.75" customHeight="1">
      <c r="A78" s="113"/>
    </row>
    <row r="79" ht="15.75" customHeight="1">
      <c r="A79" s="113"/>
    </row>
    <row r="80" ht="15.75" customHeight="1">
      <c r="A80" s="113"/>
    </row>
    <row r="81" ht="15.75" customHeight="1">
      <c r="A81" s="113"/>
    </row>
    <row r="82" ht="15.75" customHeight="1">
      <c r="A82" s="113"/>
    </row>
    <row r="83" ht="15.75" customHeight="1">
      <c r="A83" s="113"/>
    </row>
    <row r="84" ht="15.75" customHeight="1">
      <c r="A84" s="113"/>
    </row>
    <row r="85" ht="15.75" customHeight="1">
      <c r="A85" s="113"/>
    </row>
    <row r="86" ht="15.75" customHeight="1">
      <c r="A86" s="113"/>
    </row>
    <row r="87" ht="15.75" customHeight="1">
      <c r="A87" s="113"/>
    </row>
    <row r="88" ht="15.75" customHeight="1">
      <c r="A88" s="113"/>
    </row>
    <row r="89" ht="15.75" customHeight="1">
      <c r="A89" s="113"/>
    </row>
    <row r="90" ht="15.75" customHeight="1">
      <c r="A90" s="113"/>
    </row>
    <row r="91" ht="15.75" customHeight="1">
      <c r="A91" s="113"/>
    </row>
    <row r="92" ht="15.75" customHeight="1">
      <c r="A92" s="113"/>
    </row>
    <row r="93" ht="15.75" customHeight="1">
      <c r="A93" s="113"/>
    </row>
    <row r="94" ht="15.75" customHeight="1">
      <c r="A94" s="113"/>
    </row>
    <row r="95" ht="15.75" customHeight="1">
      <c r="A95" s="113"/>
    </row>
    <row r="96" ht="15.75" customHeight="1">
      <c r="A96" s="113"/>
    </row>
    <row r="97" ht="15.75" customHeight="1">
      <c r="A97" s="113"/>
    </row>
    <row r="98" ht="15.75" customHeight="1">
      <c r="A98" s="113"/>
    </row>
    <row r="99" ht="15.75" customHeight="1">
      <c r="A99" s="113"/>
    </row>
    <row r="100" ht="15.75" customHeight="1">
      <c r="A100" s="113"/>
    </row>
    <row r="101" ht="15.75" customHeight="1">
      <c r="A101" s="113"/>
    </row>
    <row r="102" ht="15.75" customHeight="1">
      <c r="A102" s="113"/>
    </row>
    <row r="103" ht="15.75" customHeight="1">
      <c r="A103" s="113"/>
    </row>
    <row r="104" ht="15.75" customHeight="1">
      <c r="A104" s="113"/>
    </row>
    <row r="105" ht="15.75" customHeight="1">
      <c r="A105" s="113"/>
    </row>
    <row r="106" ht="15.75" customHeight="1">
      <c r="A106" s="113"/>
    </row>
    <row r="107" ht="15.75" customHeight="1">
      <c r="A107" s="113"/>
    </row>
    <row r="108" ht="15.75" customHeight="1">
      <c r="A108" s="113"/>
    </row>
    <row r="109" ht="15.75" customHeight="1">
      <c r="A109" s="113"/>
    </row>
    <row r="110" ht="15.75" customHeight="1">
      <c r="A110" s="113"/>
    </row>
    <row r="111" ht="15.75" customHeight="1">
      <c r="A111" s="113"/>
    </row>
    <row r="112" ht="15.75" customHeight="1">
      <c r="A112" s="113"/>
    </row>
    <row r="113" ht="15.75" customHeight="1">
      <c r="A113" s="113"/>
    </row>
    <row r="114" ht="15.75" customHeight="1">
      <c r="A114" s="113"/>
    </row>
    <row r="115" ht="15.75" customHeight="1">
      <c r="A115" s="113"/>
    </row>
    <row r="116" ht="15.75" customHeight="1">
      <c r="A116" s="113"/>
    </row>
    <row r="117" ht="15.75" customHeight="1">
      <c r="A117" s="113"/>
    </row>
    <row r="118" ht="15.75" customHeight="1">
      <c r="A118" s="113"/>
    </row>
    <row r="119" ht="15.75" customHeight="1">
      <c r="A119" s="113"/>
    </row>
    <row r="120" ht="15.75" customHeight="1">
      <c r="A120" s="113"/>
    </row>
    <row r="121" ht="15.75" customHeight="1">
      <c r="A121" s="113"/>
    </row>
    <row r="122" ht="15.75" customHeight="1">
      <c r="A122" s="113"/>
    </row>
    <row r="123" ht="15.75" customHeight="1">
      <c r="A123" s="113"/>
    </row>
    <row r="124" ht="15.75" customHeight="1">
      <c r="A124" s="113"/>
    </row>
    <row r="125" ht="15.75" customHeight="1">
      <c r="A125" s="113"/>
    </row>
    <row r="126" ht="15.75" customHeight="1">
      <c r="A126" s="113"/>
    </row>
    <row r="127" ht="15.75" customHeight="1">
      <c r="A127" s="113"/>
    </row>
    <row r="128" ht="15.75" customHeight="1">
      <c r="A128" s="113"/>
    </row>
    <row r="129" ht="15.75" customHeight="1">
      <c r="A129" s="113"/>
    </row>
    <row r="130" ht="15.75" customHeight="1">
      <c r="A130" s="113"/>
    </row>
    <row r="131" ht="15.75" customHeight="1">
      <c r="A131" s="113"/>
    </row>
    <row r="132" ht="15.75" customHeight="1">
      <c r="A132" s="113"/>
    </row>
    <row r="133" ht="15.75" customHeight="1">
      <c r="A133" s="113"/>
    </row>
    <row r="134" ht="15.75" customHeight="1">
      <c r="A134" s="113"/>
    </row>
    <row r="135" ht="15.75" customHeight="1">
      <c r="A135" s="113"/>
    </row>
    <row r="136" ht="15.75" customHeight="1">
      <c r="A136" s="113"/>
    </row>
    <row r="137" ht="15.75" customHeight="1">
      <c r="A137" s="113"/>
    </row>
    <row r="138" ht="15.75" customHeight="1">
      <c r="A138" s="113"/>
    </row>
    <row r="139" ht="15.75" customHeight="1">
      <c r="A139" s="113"/>
    </row>
    <row r="140" ht="15.75" customHeight="1">
      <c r="A140" s="113"/>
    </row>
    <row r="141" ht="15.75" customHeight="1">
      <c r="A141" s="113"/>
    </row>
    <row r="142" ht="15.75" customHeight="1">
      <c r="A142" s="113"/>
    </row>
    <row r="143" ht="15.75" customHeight="1">
      <c r="A143" s="113"/>
    </row>
    <row r="144" ht="15.75" customHeight="1">
      <c r="A144" s="113"/>
    </row>
    <row r="145" ht="15.75" customHeight="1">
      <c r="A145" s="113"/>
    </row>
    <row r="146" ht="15.75" customHeight="1">
      <c r="A146" s="113"/>
    </row>
    <row r="147" ht="15.75" customHeight="1">
      <c r="A147" s="113"/>
    </row>
    <row r="148" ht="15.75" customHeight="1">
      <c r="A148" s="113"/>
    </row>
    <row r="149" ht="15.75" customHeight="1">
      <c r="A149" s="113"/>
    </row>
    <row r="150" ht="15.75" customHeight="1">
      <c r="A150" s="113"/>
    </row>
    <row r="151" ht="15.75" customHeight="1">
      <c r="A151" s="113"/>
    </row>
    <row r="152" ht="15.75" customHeight="1">
      <c r="A152" s="113"/>
    </row>
    <row r="153" ht="15.75" customHeight="1">
      <c r="A153" s="113"/>
    </row>
    <row r="154" ht="15.75" customHeight="1">
      <c r="A154" s="113"/>
    </row>
    <row r="155" ht="15.75" customHeight="1">
      <c r="A155" s="113"/>
    </row>
    <row r="156" ht="15.75" customHeight="1">
      <c r="A156" s="113"/>
    </row>
    <row r="157" ht="15.75" customHeight="1">
      <c r="A157" s="113"/>
    </row>
    <row r="158" ht="15.75" customHeight="1">
      <c r="A158" s="113"/>
    </row>
    <row r="159" ht="15.75" customHeight="1">
      <c r="A159" s="113"/>
    </row>
    <row r="160" ht="15.75" customHeight="1">
      <c r="A160" s="113"/>
    </row>
    <row r="161" ht="15.75" customHeight="1">
      <c r="A161" s="113"/>
    </row>
    <row r="162" ht="15.75" customHeight="1">
      <c r="A162" s="113"/>
    </row>
    <row r="163" ht="15.75" customHeight="1">
      <c r="A163" s="113"/>
    </row>
    <row r="164" ht="15.75" customHeight="1">
      <c r="A164" s="113"/>
    </row>
    <row r="165" ht="15.75" customHeight="1">
      <c r="A165" s="113"/>
    </row>
    <row r="166" ht="15.75" customHeight="1">
      <c r="A166" s="113"/>
    </row>
    <row r="167" ht="15.75" customHeight="1">
      <c r="A167" s="113"/>
    </row>
    <row r="168" ht="15.75" customHeight="1">
      <c r="A168" s="113"/>
    </row>
    <row r="169" ht="15.75" customHeight="1">
      <c r="A169" s="113"/>
    </row>
    <row r="170" ht="15.75" customHeight="1">
      <c r="A170" s="113"/>
    </row>
    <row r="171" ht="15.75" customHeight="1">
      <c r="A171" s="113"/>
    </row>
    <row r="172" ht="15.75" customHeight="1">
      <c r="A172" s="113"/>
    </row>
    <row r="173" ht="15.75" customHeight="1">
      <c r="A173" s="113"/>
    </row>
    <row r="174" ht="15.75" customHeight="1">
      <c r="A174" s="113"/>
    </row>
    <row r="175" ht="15.75" customHeight="1">
      <c r="A175" s="113"/>
    </row>
    <row r="176" ht="15.75" customHeight="1">
      <c r="A176" s="113"/>
    </row>
    <row r="177" ht="15.75" customHeight="1">
      <c r="A177" s="113"/>
    </row>
    <row r="178" ht="15.75" customHeight="1">
      <c r="A178" s="113"/>
    </row>
    <row r="179" ht="15.75" customHeight="1">
      <c r="A179" s="113"/>
    </row>
    <row r="180" ht="15.75" customHeight="1">
      <c r="A180" s="113"/>
    </row>
    <row r="181" ht="15.75" customHeight="1">
      <c r="A181" s="113"/>
    </row>
    <row r="182" ht="15.75" customHeight="1">
      <c r="A182" s="113"/>
    </row>
    <row r="183" ht="15.75" customHeight="1">
      <c r="A183" s="113"/>
    </row>
    <row r="184" ht="15.75" customHeight="1">
      <c r="A184" s="113"/>
    </row>
    <row r="185" ht="15.75" customHeight="1">
      <c r="A185" s="113"/>
    </row>
    <row r="186" ht="15.75" customHeight="1">
      <c r="A186" s="113"/>
    </row>
    <row r="187" ht="15.75" customHeight="1">
      <c r="A187" s="113"/>
    </row>
    <row r="188" ht="15.75" customHeight="1">
      <c r="A188" s="113"/>
    </row>
    <row r="189" ht="15.75" customHeight="1">
      <c r="A189" s="113"/>
    </row>
    <row r="190" ht="15.75" customHeight="1">
      <c r="A190" s="113"/>
    </row>
    <row r="191" ht="15.75" customHeight="1">
      <c r="A191" s="113"/>
    </row>
    <row r="192" ht="15.75" customHeight="1">
      <c r="A192" s="113"/>
    </row>
    <row r="193" ht="15.75" customHeight="1">
      <c r="A193" s="113"/>
    </row>
    <row r="194" ht="15.75" customHeight="1">
      <c r="A194" s="113"/>
    </row>
    <row r="195" ht="15.75" customHeight="1">
      <c r="A195" s="113"/>
    </row>
    <row r="196" ht="15.75" customHeight="1">
      <c r="A196" s="113"/>
    </row>
    <row r="197" ht="15.75" customHeight="1">
      <c r="A197" s="113"/>
    </row>
    <row r="198" ht="15.75" customHeight="1">
      <c r="A198" s="113"/>
    </row>
    <row r="199" ht="15.75" customHeight="1">
      <c r="A199" s="113"/>
    </row>
    <row r="200" ht="15.75" customHeight="1">
      <c r="A200" s="113"/>
    </row>
    <row r="201" ht="15.75" customHeight="1">
      <c r="A201" s="113"/>
    </row>
    <row r="202" ht="15.75" customHeight="1">
      <c r="A202" s="113"/>
    </row>
    <row r="203" ht="15.75" customHeight="1">
      <c r="A203" s="113"/>
    </row>
    <row r="204" ht="15.75" customHeight="1">
      <c r="A204" s="113"/>
    </row>
    <row r="205" ht="15.75" customHeight="1">
      <c r="A205" s="113"/>
    </row>
    <row r="206" ht="15.75" customHeight="1">
      <c r="A206" s="113"/>
    </row>
    <row r="207" ht="15.75" customHeight="1">
      <c r="A207" s="113"/>
    </row>
    <row r="208" ht="15.75" customHeight="1">
      <c r="A208" s="113"/>
    </row>
    <row r="209" ht="15.75" customHeight="1">
      <c r="A209" s="113"/>
    </row>
    <row r="210" ht="15.75" customHeight="1">
      <c r="A210" s="113"/>
    </row>
    <row r="211" ht="15.75" customHeight="1">
      <c r="A211" s="113"/>
    </row>
    <row r="212" ht="15.75" customHeight="1">
      <c r="A212" s="113"/>
    </row>
    <row r="213" ht="15.75" customHeight="1">
      <c r="A213" s="113"/>
    </row>
    <row r="214" ht="15.75" customHeight="1">
      <c r="A214" s="113"/>
    </row>
    <row r="215" ht="15.75" customHeight="1">
      <c r="A215" s="113"/>
    </row>
    <row r="216" ht="15.75" customHeight="1">
      <c r="A216" s="113"/>
    </row>
    <row r="217" ht="15.75" customHeight="1">
      <c r="A217" s="113"/>
    </row>
    <row r="218" ht="15.75" customHeight="1">
      <c r="A218" s="113"/>
    </row>
    <row r="219" ht="15.75" customHeight="1">
      <c r="A219" s="113"/>
    </row>
    <row r="220" ht="15.75" customHeight="1">
      <c r="A220" s="1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5" max="5" width="22.71"/>
  </cols>
  <sheetData>
    <row r="1" ht="15.75" customHeight="1">
      <c r="B1" s="30" t="s">
        <v>225</v>
      </c>
      <c r="C1" s="30" t="s">
        <v>286</v>
      </c>
      <c r="D1" s="30" t="s">
        <v>287</v>
      </c>
      <c r="E1" s="30" t="s">
        <v>288</v>
      </c>
      <c r="F1" s="30"/>
    </row>
    <row r="2" ht="15.75" customHeight="1">
      <c r="A2" s="30" t="s">
        <v>289</v>
      </c>
      <c r="B2" s="31">
        <v>25.0</v>
      </c>
      <c r="C2" s="30">
        <v>10.0</v>
      </c>
      <c r="D2" s="125">
        <v>111000.0</v>
      </c>
      <c r="E2" s="81">
        <v>0.025</v>
      </c>
    </row>
    <row r="3" ht="15.75" customHeight="1">
      <c r="A3" s="30" t="s">
        <v>290</v>
      </c>
      <c r="B3" s="31">
        <v>25.0</v>
      </c>
      <c r="C3" s="30">
        <v>10.0</v>
      </c>
    </row>
    <row r="4" ht="15.75" customHeight="1">
      <c r="A4" s="30" t="s">
        <v>291</v>
      </c>
      <c r="B4" s="31">
        <v>25.0</v>
      </c>
      <c r="C4" s="30">
        <v>10.0</v>
      </c>
      <c r="D4" s="125">
        <v>33500.0</v>
      </c>
      <c r="E4" s="81">
        <v>0.033</v>
      </c>
    </row>
    <row r="5" ht="15.75" customHeight="1">
      <c r="A5" s="30" t="s">
        <v>292</v>
      </c>
      <c r="B5" s="31">
        <v>25.0</v>
      </c>
      <c r="C5" s="30">
        <v>10.0</v>
      </c>
    </row>
    <row r="6" ht="15.75" customHeight="1">
      <c r="A6" s="30" t="s">
        <v>293</v>
      </c>
      <c r="B6" s="31">
        <v>25.0</v>
      </c>
      <c r="C6" s="30">
        <v>10.0</v>
      </c>
      <c r="D6" s="125">
        <v>78700.0</v>
      </c>
      <c r="E6" s="81">
        <v>0.035</v>
      </c>
    </row>
    <row r="7" ht="15.75" customHeight="1">
      <c r="A7" s="30" t="s">
        <v>294</v>
      </c>
      <c r="B7" s="31">
        <v>25.0</v>
      </c>
      <c r="C7" s="30">
        <v>10.0</v>
      </c>
      <c r="D7" s="125">
        <v>2199.0</v>
      </c>
      <c r="E7" s="130">
        <v>0.1</v>
      </c>
    </row>
    <row r="8" ht="15.75" customHeight="1">
      <c r="A8" s="30" t="s">
        <v>295</v>
      </c>
      <c r="B8" s="31">
        <v>25.0</v>
      </c>
      <c r="C8" s="30">
        <v>10.0</v>
      </c>
      <c r="D8" s="125">
        <v>116000.0</v>
      </c>
      <c r="E8" s="81">
        <v>0.034</v>
      </c>
    </row>
    <row r="9" ht="15.75" customHeight="1">
      <c r="A9" s="30" t="s">
        <v>296</v>
      </c>
      <c r="B9" s="31">
        <v>25.0</v>
      </c>
      <c r="C9" s="30">
        <v>10.0</v>
      </c>
      <c r="D9" s="125">
        <v>52100.0</v>
      </c>
    </row>
    <row r="10" ht="15.75" customHeight="1">
      <c r="A10" s="30" t="s">
        <v>297</v>
      </c>
      <c r="B10" s="31">
        <v>25.0</v>
      </c>
      <c r="C10" s="30">
        <v>10.0</v>
      </c>
      <c r="D10" s="125">
        <v>23500.0</v>
      </c>
    </row>
    <row r="11" ht="15.75" customHeight="1">
      <c r="A11" s="30" t="s">
        <v>298</v>
      </c>
      <c r="D11" s="125">
        <v>36100.0</v>
      </c>
    </row>
    <row r="12" ht="15.75" customHeight="1">
      <c r="A12" s="30" t="s">
        <v>299</v>
      </c>
      <c r="D12" s="125">
        <v>117000.0</v>
      </c>
      <c r="E12" s="81">
        <v>0.021</v>
      </c>
    </row>
    <row r="13" ht="15.75" customHeight="1">
      <c r="A13" s="30" t="s">
        <v>300</v>
      </c>
      <c r="D13" s="125">
        <v>69900.0</v>
      </c>
    </row>
    <row r="14" ht="15.75" customHeight="1">
      <c r="A14" s="30" t="s">
        <v>301</v>
      </c>
      <c r="D14" s="125">
        <v>1000000.0</v>
      </c>
      <c r="E14" s="130">
        <v>0.03</v>
      </c>
    </row>
    <row r="15" ht="15.75" customHeight="1"/>
    <row r="16" ht="15.75" customHeight="1">
      <c r="B16" s="31">
        <f t="shared" ref="B16:C16" si="1">SUM(B2:B10)</f>
        <v>225</v>
      </c>
      <c r="C16" s="5">
        <f t="shared" si="1"/>
        <v>90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6.0"/>
  </cols>
  <sheetData>
    <row r="1" ht="15.75" customHeight="1">
      <c r="A1" s="39" t="s">
        <v>98</v>
      </c>
      <c r="B1" s="30"/>
    </row>
    <row r="2" ht="15.75" customHeight="1">
      <c r="A2" s="30" t="s">
        <v>99</v>
      </c>
      <c r="B2" s="43">
        <v>0.85</v>
      </c>
    </row>
    <row r="3" ht="15.75" customHeight="1">
      <c r="A3" s="30" t="s">
        <v>100</v>
      </c>
      <c r="B3" s="43">
        <v>0.25</v>
      </c>
    </row>
    <row r="4" ht="15.75" customHeight="1">
      <c r="A4" s="30" t="s">
        <v>101</v>
      </c>
      <c r="B4" s="43">
        <v>0.1</v>
      </c>
    </row>
    <row r="5" ht="15.75" customHeight="1">
      <c r="A5" s="30" t="s">
        <v>102</v>
      </c>
      <c r="B5" s="31">
        <v>0.25</v>
      </c>
    </row>
    <row r="6" ht="15.75" customHeight="1">
      <c r="A6" s="30" t="s">
        <v>103</v>
      </c>
      <c r="B6" s="43">
        <f>SUM(B2:B5)</f>
        <v>1.45</v>
      </c>
    </row>
    <row r="7" ht="15.75" customHeight="1">
      <c r="A7" s="30"/>
      <c r="B7" s="30"/>
    </row>
    <row r="8" ht="15.75" customHeight="1">
      <c r="A8" s="30"/>
      <c r="B8" s="30"/>
    </row>
    <row r="9" ht="15.75" customHeight="1">
      <c r="A9" s="39" t="s">
        <v>302</v>
      </c>
      <c r="B9" s="30"/>
    </row>
    <row r="10" ht="15.75" customHeight="1">
      <c r="A10" s="30" t="s">
        <v>303</v>
      </c>
      <c r="B10" s="43">
        <v>300.0</v>
      </c>
      <c r="H10" s="30">
        <v>1394.0</v>
      </c>
    </row>
    <row r="11" ht="15.75" customHeight="1">
      <c r="A11" s="30" t="s">
        <v>304</v>
      </c>
      <c r="B11" s="43">
        <v>20.0</v>
      </c>
      <c r="H11" s="30">
        <v>1560.0</v>
      </c>
    </row>
    <row r="12" ht="15.75" customHeight="1">
      <c r="A12" s="30" t="s">
        <v>305</v>
      </c>
      <c r="B12" s="31">
        <f>SUM(B11*4*8)</f>
        <v>640</v>
      </c>
      <c r="E12" s="31">
        <f>SUM(B12*2)</f>
        <v>1280</v>
      </c>
      <c r="F12" s="30">
        <v>246.5</v>
      </c>
      <c r="G12" s="31">
        <f>SUM(E12:F12)</f>
        <v>1526.5</v>
      </c>
      <c r="H12" s="30">
        <v>1697.0</v>
      </c>
    </row>
    <row r="13" ht="15.75" customHeight="1">
      <c r="H13" s="5">
        <f>SUM(H10:H12)</f>
        <v>4651</v>
      </c>
    </row>
    <row r="14" ht="15.75" customHeight="1">
      <c r="A14" s="30" t="s">
        <v>306</v>
      </c>
      <c r="B14" s="31">
        <f>SUM(B10,B12)</f>
        <v>940</v>
      </c>
      <c r="E14" s="31">
        <v>2963.0</v>
      </c>
    </row>
    <row r="15" ht="15.75" customHeight="1"/>
    <row r="16" ht="15.75" customHeight="1">
      <c r="A16" s="30" t="s">
        <v>307</v>
      </c>
      <c r="E16" s="31">
        <v>5363.0</v>
      </c>
      <c r="I16" s="31">
        <f>SUM(E16/H13)</f>
        <v>1.153085358</v>
      </c>
    </row>
    <row r="17" ht="15.75" customHeight="1"/>
    <row r="18" ht="15.75" customHeight="1">
      <c r="A18" s="30" t="s">
        <v>308</v>
      </c>
      <c r="B18" s="31">
        <f>SUM(B14*2)+B12</f>
        <v>2520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0"/>
  </cols>
  <sheetData>
    <row r="1" ht="15.75" customHeight="1">
      <c r="A1" s="39"/>
    </row>
    <row r="2" ht="15.75" customHeight="1">
      <c r="A2" s="39" t="s">
        <v>309</v>
      </c>
    </row>
    <row r="3" ht="15.75" customHeight="1">
      <c r="A3" s="30" t="s">
        <v>310</v>
      </c>
      <c r="B3" s="30">
        <v>60.0</v>
      </c>
      <c r="C3" s="30">
        <v>75.0</v>
      </c>
      <c r="D3" s="30">
        <v>100.0</v>
      </c>
      <c r="E3" s="30">
        <v>120.0</v>
      </c>
      <c r="F3" s="30">
        <v>150.0</v>
      </c>
      <c r="G3" s="30">
        <v>175.0</v>
      </c>
      <c r="H3" s="30">
        <v>200.0</v>
      </c>
      <c r="I3" s="30">
        <v>250.0</v>
      </c>
    </row>
    <row r="4" ht="15.75" customHeight="1">
      <c r="A4" s="30" t="s">
        <v>311</v>
      </c>
      <c r="B4" s="30">
        <v>2500.0</v>
      </c>
      <c r="C4" s="30">
        <v>3150.0</v>
      </c>
      <c r="D4" s="30">
        <v>4200.0</v>
      </c>
      <c r="E4" s="30">
        <v>5000.0</v>
      </c>
      <c r="F4" s="30">
        <v>6300.0</v>
      </c>
      <c r="G4" s="125">
        <v>7300.0</v>
      </c>
      <c r="H4" s="125">
        <v>8400.0</v>
      </c>
      <c r="I4" s="125">
        <v>25500.0</v>
      </c>
    </row>
    <row r="5" ht="15.75" customHeight="1"/>
    <row r="6" ht="15.75" customHeight="1">
      <c r="A6" s="30" t="s">
        <v>312</v>
      </c>
      <c r="B6" s="31">
        <v>1.25</v>
      </c>
      <c r="C6" s="31">
        <f>SUM('Cost of bar break down'!B18/C4)</f>
        <v>0.8</v>
      </c>
      <c r="D6" s="31">
        <f>SUM('Cost of bar break down'!B18/D4)</f>
        <v>0.6</v>
      </c>
      <c r="E6" s="31">
        <f>SUM('Cost of bar break down'!B18/E4)</f>
        <v>0.504</v>
      </c>
      <c r="F6" s="31">
        <f>SUM('Cost of bar break down'!B18/F4)</f>
        <v>0.4</v>
      </c>
      <c r="G6" s="31">
        <f>SUM('Cost of bar break down'!B18/G4)</f>
        <v>0.3452054795</v>
      </c>
      <c r="H6" s="31">
        <f>SUM('Cost of bar break down'!B18/H4)</f>
        <v>0.3</v>
      </c>
      <c r="I6" s="31">
        <f>SUM('Cost of bar break down'!B18/I4)</f>
        <v>0.09882352941</v>
      </c>
    </row>
    <row r="7" ht="15.75" customHeight="1"/>
    <row r="8" ht="15.75" customHeight="1">
      <c r="A8" s="30" t="s">
        <v>85</v>
      </c>
      <c r="B8" s="31">
        <f>SUM('Cost of bar break down'!B6+B6)</f>
        <v>2.7</v>
      </c>
      <c r="C8" s="31">
        <f>SUM('Cost of bar break down'!B6+C6)</f>
        <v>2.25</v>
      </c>
      <c r="D8" s="31">
        <f>SUM('Cost of bar break down'!B6+D6)</f>
        <v>2.05</v>
      </c>
      <c r="E8" s="31">
        <f>SUM('Cost of bar break down'!B6+E6)</f>
        <v>1.954</v>
      </c>
      <c r="F8" s="31">
        <f>SUM('Cost of bar break down'!B6+F6)</f>
        <v>1.85</v>
      </c>
      <c r="G8" s="31">
        <f>SUM('Cost of bar break down'!B6+G6)</f>
        <v>1.795205479</v>
      </c>
      <c r="H8" s="31">
        <f>SUM('Cost of bar break down'!B6+H6)</f>
        <v>1.75</v>
      </c>
      <c r="I8" s="31">
        <f>SUM('Cost of bar break down'!B6+I6)</f>
        <v>1.548823529</v>
      </c>
    </row>
    <row r="9" ht="15.75" customHeight="1"/>
    <row r="10" ht="15.75" customHeight="1"/>
    <row r="11" ht="15.75" customHeight="1"/>
    <row r="12" ht="15.75" customHeight="1"/>
    <row r="13" ht="15.75" customHeight="1">
      <c r="A13" s="30" t="s">
        <v>313</v>
      </c>
    </row>
    <row r="14" ht="15.75" customHeight="1"/>
    <row r="15" ht="15.75" customHeight="1"/>
    <row r="16" ht="15.75" customHeight="1">
      <c r="B16" s="5">
        <f t="shared" ref="B16:I16" si="1">+B4/B3</f>
        <v>41.66666667</v>
      </c>
      <c r="C16" s="5">
        <f t="shared" si="1"/>
        <v>42</v>
      </c>
      <c r="D16" s="5">
        <f t="shared" si="1"/>
        <v>42</v>
      </c>
      <c r="E16" s="5">
        <f t="shared" si="1"/>
        <v>41.66666667</v>
      </c>
      <c r="F16" s="5">
        <f t="shared" si="1"/>
        <v>42</v>
      </c>
      <c r="G16" s="5">
        <f t="shared" si="1"/>
        <v>41.71428571</v>
      </c>
      <c r="H16" s="5">
        <f t="shared" si="1"/>
        <v>42</v>
      </c>
      <c r="I16" s="5">
        <f t="shared" si="1"/>
        <v>102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3" max="3" width="20.57"/>
    <col customWidth="1" min="4" max="4" width="21.86"/>
    <col customWidth="1" min="5" max="5" width="28.43"/>
  </cols>
  <sheetData>
    <row r="1" ht="15.75" customHeight="1">
      <c r="A1" s="39" t="s">
        <v>314</v>
      </c>
    </row>
    <row r="2" ht="15.75" customHeight="1">
      <c r="A2" s="30"/>
      <c r="B2" s="31"/>
    </row>
    <row r="3" ht="15.75" customHeight="1">
      <c r="A3" s="30" t="s">
        <v>315</v>
      </c>
      <c r="B3" s="31">
        <v>1200.0</v>
      </c>
    </row>
    <row r="4" ht="15.75" customHeight="1">
      <c r="A4" s="30" t="s">
        <v>316</v>
      </c>
      <c r="B4" s="31">
        <v>70.0</v>
      </c>
    </row>
    <row r="5" ht="15.75" customHeight="1">
      <c r="A5" s="30"/>
      <c r="B5" s="31"/>
    </row>
    <row r="6" ht="15.75" customHeight="1">
      <c r="A6" s="39" t="s">
        <v>317</v>
      </c>
      <c r="B6" s="31" t="s">
        <v>318</v>
      </c>
      <c r="C6" s="30" t="s">
        <v>319</v>
      </c>
    </row>
    <row r="7" ht="15.75" customHeight="1">
      <c r="A7" s="30" t="s">
        <v>320</v>
      </c>
      <c r="B7" s="31">
        <v>10.0</v>
      </c>
      <c r="C7" s="30">
        <v>300.0</v>
      </c>
      <c r="D7" s="31">
        <f t="shared" ref="D7:D12" si="1">SUM(B7*C7)</f>
        <v>3000</v>
      </c>
    </row>
    <row r="8" ht="15.75" customHeight="1">
      <c r="A8" s="30" t="s">
        <v>321</v>
      </c>
      <c r="B8" s="31">
        <v>15.0</v>
      </c>
      <c r="C8" s="30">
        <v>66.0</v>
      </c>
      <c r="D8" s="31">
        <f t="shared" si="1"/>
        <v>990</v>
      </c>
    </row>
    <row r="9" ht="15.75" customHeight="1">
      <c r="A9" s="30" t="s">
        <v>322</v>
      </c>
      <c r="B9" s="31">
        <v>12.0</v>
      </c>
      <c r="C9" s="30">
        <v>40.0</v>
      </c>
      <c r="D9" s="31">
        <f t="shared" si="1"/>
        <v>480</v>
      </c>
    </row>
    <row r="10" ht="15.75" customHeight="1">
      <c r="A10" s="30" t="s">
        <v>323</v>
      </c>
      <c r="B10" s="31">
        <v>1.0</v>
      </c>
      <c r="C10" s="30">
        <v>1000.0</v>
      </c>
      <c r="D10" s="31">
        <f t="shared" si="1"/>
        <v>1000</v>
      </c>
    </row>
    <row r="11" ht="15.75" customHeight="1">
      <c r="A11" s="30" t="s">
        <v>324</v>
      </c>
      <c r="B11" s="31">
        <v>150.0</v>
      </c>
      <c r="C11" s="30">
        <v>30.0</v>
      </c>
      <c r="D11" s="31">
        <f t="shared" si="1"/>
        <v>4500</v>
      </c>
    </row>
    <row r="12" ht="15.75" customHeight="1">
      <c r="A12" s="30" t="s">
        <v>325</v>
      </c>
      <c r="B12" s="31">
        <v>50.0</v>
      </c>
      <c r="C12" s="30">
        <v>30.0</v>
      </c>
      <c r="D12" s="31">
        <f t="shared" si="1"/>
        <v>1500</v>
      </c>
    </row>
    <row r="13" ht="15.75" customHeight="1">
      <c r="A13" s="30"/>
      <c r="B13" s="31"/>
    </row>
    <row r="14" ht="15.75" customHeight="1">
      <c r="A14" s="39"/>
      <c r="B14" s="31" t="s">
        <v>225</v>
      </c>
      <c r="C14" s="30"/>
      <c r="D14" s="30"/>
      <c r="E14" s="30"/>
    </row>
    <row r="15" ht="15.75" customHeight="1">
      <c r="A15" s="39" t="s">
        <v>326</v>
      </c>
      <c r="B15" s="31">
        <v>2000.0</v>
      </c>
    </row>
    <row r="16" ht="15.75" customHeight="1">
      <c r="A16" s="30"/>
      <c r="B16" s="125" t="s">
        <v>327</v>
      </c>
      <c r="C16" s="30" t="s">
        <v>328</v>
      </c>
      <c r="D16" s="30" t="s">
        <v>329</v>
      </c>
      <c r="E16" s="30"/>
    </row>
    <row r="17" ht="15.75" customHeight="1">
      <c r="A17" s="30" t="s">
        <v>330</v>
      </c>
      <c r="B17" s="125">
        <v>800.0</v>
      </c>
      <c r="C17" s="30">
        <v>800.0</v>
      </c>
      <c r="D17" s="30">
        <v>800.0</v>
      </c>
    </row>
    <row r="18" ht="15.75" customHeight="1">
      <c r="A18" s="30" t="s">
        <v>331</v>
      </c>
      <c r="B18" s="130">
        <v>0.03</v>
      </c>
      <c r="C18" s="130">
        <v>0.03</v>
      </c>
      <c r="D18" s="130">
        <v>0.03</v>
      </c>
      <c r="E18" s="30" t="s">
        <v>332</v>
      </c>
    </row>
    <row r="19" ht="15.75" customHeight="1">
      <c r="A19" s="30" t="s">
        <v>333</v>
      </c>
      <c r="B19" s="30">
        <f t="shared" ref="B19:D19" si="2">SUM(B17*B18)</f>
        <v>24</v>
      </c>
      <c r="C19" s="30">
        <f t="shared" si="2"/>
        <v>24</v>
      </c>
      <c r="D19" s="30">
        <f t="shared" si="2"/>
        <v>24</v>
      </c>
      <c r="E19" s="5">
        <f>SUM(B19:D19)</f>
        <v>72</v>
      </c>
    </row>
    <row r="20" ht="15.75" customHeight="1">
      <c r="A20" s="30" t="s">
        <v>334</v>
      </c>
      <c r="B20" s="47">
        <f t="shared" ref="B20:D20" si="3">SUM(B19*40)</f>
        <v>960</v>
      </c>
      <c r="C20" s="47">
        <f t="shared" si="3"/>
        <v>960</v>
      </c>
      <c r="D20" s="47">
        <f t="shared" si="3"/>
        <v>960</v>
      </c>
    </row>
    <row r="21" ht="15.75" customHeight="1">
      <c r="A21" s="30" t="s">
        <v>335</v>
      </c>
      <c r="B21" s="47">
        <f>SUM(B4)</f>
        <v>70</v>
      </c>
    </row>
    <row r="22" ht="15.75" customHeight="1">
      <c r="A22" s="30"/>
      <c r="E22" s="30" t="s">
        <v>336</v>
      </c>
    </row>
    <row r="23" ht="15.75" customHeight="1">
      <c r="A23" s="30"/>
      <c r="E23" s="47">
        <f>SUM(E19*B21-B15)</f>
        <v>3040</v>
      </c>
    </row>
    <row r="24" ht="15.75" customHeight="1">
      <c r="A24" s="39" t="s">
        <v>337</v>
      </c>
      <c r="B24" s="30" t="s">
        <v>338</v>
      </c>
      <c r="C24" s="30" t="s">
        <v>339</v>
      </c>
    </row>
    <row r="25" ht="15.75" customHeight="1">
      <c r="A25" s="30" t="s">
        <v>340</v>
      </c>
      <c r="B25" s="47">
        <v>350.0</v>
      </c>
      <c r="C25" s="47">
        <f t="shared" ref="C25:C26" si="4">SUM(B25*12)</f>
        <v>4200</v>
      </c>
    </row>
    <row r="26" ht="15.75" customHeight="1">
      <c r="A26" s="30" t="s">
        <v>341</v>
      </c>
      <c r="B26" s="47">
        <v>200.0</v>
      </c>
      <c r="C26" s="47">
        <f t="shared" si="4"/>
        <v>2400</v>
      </c>
    </row>
    <row r="27" ht="15.75" customHeight="1">
      <c r="A27" s="30"/>
    </row>
    <row r="28" ht="15.75" customHeight="1">
      <c r="A28" s="30"/>
    </row>
    <row r="29" ht="15.75" customHeight="1">
      <c r="A29" s="30"/>
    </row>
    <row r="30" ht="15.75" customHeight="1">
      <c r="A30" s="39" t="s">
        <v>342</v>
      </c>
    </row>
    <row r="31" ht="15.75" customHeight="1">
      <c r="A31" s="30" t="s">
        <v>343</v>
      </c>
      <c r="B31" s="31">
        <v>350.0</v>
      </c>
    </row>
    <row r="32" ht="15.75" customHeight="1">
      <c r="A32" s="30" t="s">
        <v>344</v>
      </c>
      <c r="B32" s="47">
        <v>1000.0</v>
      </c>
    </row>
    <row r="33" ht="15.75" customHeight="1">
      <c r="A33" s="30" t="s">
        <v>345</v>
      </c>
      <c r="B33" s="47">
        <v>200.0</v>
      </c>
    </row>
    <row r="34" ht="15.75" customHeight="1">
      <c r="A34" s="30" t="s">
        <v>346</v>
      </c>
      <c r="B34" s="47">
        <v>750.0</v>
      </c>
    </row>
    <row r="35" ht="15.75" customHeight="1">
      <c r="A35" s="30" t="s">
        <v>347</v>
      </c>
      <c r="B35" s="31">
        <v>500.0</v>
      </c>
    </row>
    <row r="36" ht="15.75" customHeight="1">
      <c r="A36" s="30" t="s">
        <v>348</v>
      </c>
      <c r="B36" s="31">
        <f>SUM(B31:B35)</f>
        <v>2800</v>
      </c>
    </row>
    <row r="37" ht="15.75" customHeight="1"/>
    <row r="38" ht="15.75" customHeight="1">
      <c r="A38" s="39" t="s">
        <v>349</v>
      </c>
      <c r="B38" s="30" t="s">
        <v>350</v>
      </c>
      <c r="C38" s="30" t="s">
        <v>351</v>
      </c>
      <c r="D38" s="30" t="s">
        <v>352</v>
      </c>
      <c r="E38" s="30" t="s">
        <v>353</v>
      </c>
      <c r="F38" s="30"/>
    </row>
    <row r="39" ht="15.75" customHeight="1">
      <c r="A39" s="30" t="s">
        <v>354</v>
      </c>
      <c r="B39" s="31">
        <v>5000.0</v>
      </c>
      <c r="C39" s="125">
        <v>30000.0</v>
      </c>
      <c r="D39" s="130">
        <v>0.02</v>
      </c>
      <c r="E39" s="30">
        <f>SUM(C39*D39)</f>
        <v>600</v>
      </c>
      <c r="F39" s="30"/>
    </row>
    <row r="40" ht="15.75" customHeight="1">
      <c r="A40" s="56" t="s">
        <v>355</v>
      </c>
      <c r="B40" s="131">
        <v>1800.0</v>
      </c>
      <c r="D40" s="30" t="s">
        <v>356</v>
      </c>
      <c r="E40" s="31">
        <v>40.0</v>
      </c>
    </row>
    <row r="41" ht="15.75" customHeight="1">
      <c r="A41" s="30"/>
      <c r="B41" s="47" t="s">
        <v>357</v>
      </c>
      <c r="C41" s="30" t="s">
        <v>358</v>
      </c>
      <c r="D41" s="30" t="s">
        <v>359</v>
      </c>
      <c r="E41" s="31">
        <f>SUM(E39*E40)</f>
        <v>24000</v>
      </c>
    </row>
    <row r="42" ht="15.75" customHeight="1">
      <c r="A42" s="30" t="s">
        <v>360</v>
      </c>
      <c r="B42" s="30">
        <v>200.0</v>
      </c>
      <c r="C42" s="30">
        <v>20.0</v>
      </c>
      <c r="D42" s="30" t="s">
        <v>361</v>
      </c>
      <c r="E42" s="47">
        <v>3100.0</v>
      </c>
    </row>
    <row r="43" ht="15.75" customHeight="1">
      <c r="A43" s="30" t="s">
        <v>362</v>
      </c>
      <c r="B43" s="31">
        <v>1000.0</v>
      </c>
    </row>
    <row r="44" ht="15.75" customHeight="1">
      <c r="D44" s="30" t="s">
        <v>363</v>
      </c>
      <c r="E44" s="31">
        <f>SUM(E40:E43)</f>
        <v>27140</v>
      </c>
    </row>
    <row r="45" ht="15.75" customHeight="1">
      <c r="D45" s="30" t="s">
        <v>364</v>
      </c>
      <c r="E45" s="31">
        <v>5890.0</v>
      </c>
    </row>
    <row r="46" ht="15.75" customHeight="1">
      <c r="A46" s="30" t="s">
        <v>365</v>
      </c>
      <c r="B46" s="30" t="s">
        <v>366</v>
      </c>
      <c r="C46" s="47" t="s">
        <v>367</v>
      </c>
    </row>
    <row r="47" ht="15.75" customHeight="1">
      <c r="A47" s="30" t="s">
        <v>368</v>
      </c>
      <c r="B47" s="31">
        <v>1350.0</v>
      </c>
      <c r="E47" s="39" t="s">
        <v>369</v>
      </c>
    </row>
    <row r="48" ht="15.75" customHeight="1">
      <c r="A48" s="30" t="s">
        <v>370</v>
      </c>
      <c r="B48" s="31">
        <v>1000.0</v>
      </c>
      <c r="D48" s="30" t="s">
        <v>371</v>
      </c>
      <c r="E48" s="30">
        <v>300.0</v>
      </c>
    </row>
    <row r="49" ht="15.75" customHeight="1">
      <c r="A49" s="30" t="s">
        <v>372</v>
      </c>
      <c r="B49" s="47">
        <v>300.0</v>
      </c>
      <c r="D49" s="30" t="s">
        <v>373</v>
      </c>
      <c r="E49" s="30">
        <v>10.0</v>
      </c>
    </row>
    <row r="50" ht="15.75" customHeight="1"/>
    <row r="51" ht="15.75" customHeight="1">
      <c r="A51" s="30" t="s">
        <v>374</v>
      </c>
      <c r="B51" s="47">
        <f>SUM(B49,B48,B47,B43,B40,B39)</f>
        <v>10450</v>
      </c>
      <c r="D51" s="30" t="s">
        <v>375</v>
      </c>
      <c r="E51" s="47">
        <f>SUM(E48*B21)</f>
        <v>21000</v>
      </c>
    </row>
    <row r="52" ht="15.75" customHeight="1">
      <c r="D52" s="30" t="s">
        <v>376</v>
      </c>
      <c r="E52" s="31">
        <f>SUM(B3*E49)</f>
        <v>12000</v>
      </c>
    </row>
    <row r="53" ht="15.75" customHeight="1">
      <c r="D53" s="30" t="s">
        <v>236</v>
      </c>
      <c r="E53" s="47">
        <f>SUM(E51:E52)</f>
        <v>33000</v>
      </c>
    </row>
    <row r="54" ht="15.75" customHeight="1">
      <c r="A54" s="39"/>
      <c r="B54" s="30"/>
    </row>
    <row r="55" ht="15.75" customHeight="1">
      <c r="A55" s="39"/>
      <c r="B55" s="30" t="s">
        <v>377</v>
      </c>
      <c r="C55" s="30" t="s">
        <v>351</v>
      </c>
      <c r="D55" s="30" t="s">
        <v>352</v>
      </c>
      <c r="E55" s="30" t="s">
        <v>353</v>
      </c>
    </row>
    <row r="56" ht="15.75" customHeight="1">
      <c r="A56" s="30" t="s">
        <v>378</v>
      </c>
      <c r="B56" s="31">
        <v>10000.0</v>
      </c>
      <c r="C56" s="125">
        <v>200000.0</v>
      </c>
      <c r="D56" s="81">
        <v>0.005</v>
      </c>
      <c r="E56" s="30">
        <f>SUM(C56*D56)</f>
        <v>1000</v>
      </c>
    </row>
    <row r="57" ht="15.75" customHeight="1">
      <c r="A57" s="56" t="s">
        <v>355</v>
      </c>
      <c r="B57" s="131">
        <v>4000.0</v>
      </c>
      <c r="D57" s="30" t="s">
        <v>356</v>
      </c>
      <c r="E57" s="31">
        <v>40.0</v>
      </c>
    </row>
    <row r="58" ht="15.75" customHeight="1">
      <c r="A58" s="30"/>
      <c r="B58" s="47" t="s">
        <v>357</v>
      </c>
      <c r="C58" s="30" t="s">
        <v>358</v>
      </c>
      <c r="D58" s="30" t="s">
        <v>359</v>
      </c>
      <c r="E58" s="31">
        <f>SUM(E56*E57)</f>
        <v>40000</v>
      </c>
    </row>
    <row r="59" ht="15.75" customHeight="1">
      <c r="A59" s="30" t="s">
        <v>360</v>
      </c>
      <c r="B59" s="30">
        <v>500.0</v>
      </c>
      <c r="C59" s="30">
        <v>100.0</v>
      </c>
      <c r="D59" s="30" t="s">
        <v>361</v>
      </c>
      <c r="E59" s="47">
        <v>15000.0</v>
      </c>
    </row>
    <row r="60" ht="15.75" customHeight="1">
      <c r="A60" s="30" t="s">
        <v>362</v>
      </c>
      <c r="B60" s="31">
        <v>2000.0</v>
      </c>
    </row>
    <row r="61" ht="15.75" customHeight="1">
      <c r="D61" s="30" t="s">
        <v>363</v>
      </c>
      <c r="E61" s="31">
        <f>SUM(E57:E60)</f>
        <v>55040</v>
      </c>
    </row>
    <row r="62" ht="15.75" customHeight="1">
      <c r="D62" s="30" t="s">
        <v>379</v>
      </c>
      <c r="E62" s="31">
        <f>SUM(E56*18)</f>
        <v>18000</v>
      </c>
    </row>
    <row r="63" ht="15.75" customHeight="1">
      <c r="D63" s="30" t="s">
        <v>364</v>
      </c>
      <c r="E63" s="31">
        <f>SUM(E61-E62)</f>
        <v>37040</v>
      </c>
    </row>
    <row r="64" ht="15.75" customHeight="1">
      <c r="A64" s="30" t="s">
        <v>380</v>
      </c>
      <c r="B64" s="30" t="s">
        <v>366</v>
      </c>
      <c r="C64" s="47" t="s">
        <v>367</v>
      </c>
    </row>
    <row r="65" ht="15.75" customHeight="1">
      <c r="A65" s="30" t="s">
        <v>368</v>
      </c>
      <c r="B65" s="31">
        <v>1350.0</v>
      </c>
      <c r="E65" s="39" t="s">
        <v>369</v>
      </c>
    </row>
    <row r="66" ht="15.75" customHeight="1">
      <c r="A66" s="30" t="s">
        <v>370</v>
      </c>
      <c r="B66" s="31">
        <v>1000.0</v>
      </c>
      <c r="D66" s="30" t="s">
        <v>371</v>
      </c>
      <c r="E66" s="30">
        <f>SUM(E56/2)</f>
        <v>500</v>
      </c>
    </row>
    <row r="67" ht="15.75" customHeight="1">
      <c r="A67" s="30" t="s">
        <v>372</v>
      </c>
      <c r="B67" s="47">
        <v>600.0</v>
      </c>
      <c r="D67" s="30" t="s">
        <v>373</v>
      </c>
      <c r="E67" s="30">
        <v>30.0</v>
      </c>
    </row>
    <row r="68" ht="15.75" customHeight="1"/>
    <row r="69" ht="15.75" customHeight="1">
      <c r="A69" s="30" t="s">
        <v>374</v>
      </c>
      <c r="B69" s="47">
        <f>SUM(B67,B66,B65,B60,B57,B56)</f>
        <v>18950</v>
      </c>
      <c r="D69" s="30" t="s">
        <v>375</v>
      </c>
      <c r="E69" s="31">
        <f>SUM(E66*B4)</f>
        <v>35000</v>
      </c>
    </row>
    <row r="70" ht="15.75" customHeight="1">
      <c r="D70" s="30" t="s">
        <v>376</v>
      </c>
      <c r="E70" s="31">
        <f>SUM(B3*E67)</f>
        <v>36000</v>
      </c>
    </row>
    <row r="71" ht="15.75" customHeight="1">
      <c r="D71" s="30" t="s">
        <v>236</v>
      </c>
      <c r="E71" s="31">
        <f>SUM(E69:E70)</f>
        <v>71000</v>
      </c>
    </row>
    <row r="72" ht="15.75" customHeight="1">
      <c r="A72" s="39"/>
      <c r="B72" s="30"/>
    </row>
    <row r="73" ht="15.75" customHeight="1">
      <c r="A73" s="39"/>
      <c r="B73" s="30"/>
    </row>
    <row r="74" ht="15.75" customHeight="1">
      <c r="A74" s="39"/>
      <c r="B74" s="30"/>
    </row>
    <row r="75" ht="15.75" customHeight="1">
      <c r="A75" s="39"/>
      <c r="B75" s="30"/>
    </row>
    <row r="76" ht="15.75" customHeight="1">
      <c r="A76" s="39"/>
      <c r="B76" s="30"/>
    </row>
    <row r="77" ht="15.75" customHeight="1">
      <c r="A77" s="39" t="s">
        <v>381</v>
      </c>
      <c r="B77" s="30" t="s">
        <v>382</v>
      </c>
      <c r="C77" s="30" t="s">
        <v>383</v>
      </c>
      <c r="D77" s="30" t="s">
        <v>331</v>
      </c>
      <c r="E77" s="30" t="s">
        <v>384</v>
      </c>
    </row>
    <row r="78" ht="15.75" customHeight="1">
      <c r="A78" s="30" t="s">
        <v>385</v>
      </c>
      <c r="B78" s="30"/>
      <c r="C78" s="30">
        <v>200.0</v>
      </c>
      <c r="D78" s="130">
        <v>0.05</v>
      </c>
      <c r="E78" s="30">
        <f>SUM(C78*D78)</f>
        <v>10</v>
      </c>
    </row>
    <row r="79" ht="15.75" customHeight="1">
      <c r="A79" s="30" t="s">
        <v>386</v>
      </c>
      <c r="B79" s="31">
        <v>5.4</v>
      </c>
    </row>
    <row r="80" ht="15.75" customHeight="1">
      <c r="A80" s="30" t="s">
        <v>387</v>
      </c>
      <c r="B80" s="31">
        <v>0.3</v>
      </c>
      <c r="D80" s="30" t="s">
        <v>388</v>
      </c>
      <c r="E80" s="31">
        <f>SUM(B3*E78)</f>
        <v>12000</v>
      </c>
    </row>
    <row r="81" ht="15.75" customHeight="1">
      <c r="A81" s="30" t="s">
        <v>389</v>
      </c>
      <c r="B81" s="31">
        <v>7.0</v>
      </c>
    </row>
    <row r="82" ht="15.75" customHeight="1">
      <c r="A82" s="30" t="s">
        <v>390</v>
      </c>
      <c r="B82" s="31">
        <f>SUM(B78:B81)</f>
        <v>12.7</v>
      </c>
    </row>
    <row r="83" ht="15.75" customHeight="1">
      <c r="A83" s="30"/>
    </row>
    <row r="84" ht="15.75" customHeight="1">
      <c r="A84" s="30" t="s">
        <v>391</v>
      </c>
      <c r="B84" s="31">
        <f>SUM(B82*C78)</f>
        <v>2540</v>
      </c>
    </row>
    <row r="85" ht="15.75" customHeight="1"/>
    <row r="86" ht="15.75" customHeight="1">
      <c r="E86" s="30"/>
    </row>
    <row r="87" ht="15.75" customHeight="1"/>
    <row r="88" ht="15.75" customHeight="1"/>
    <row r="89" ht="15.75" customHeight="1">
      <c r="A89" s="30" t="s">
        <v>392</v>
      </c>
      <c r="B89" s="31">
        <f>SUM(B84,B51,B15,D12,D11,D8,D7,D9,C25,C26,B69,B36,D10)</f>
        <v>54810</v>
      </c>
    </row>
    <row r="90" ht="15.75" customHeight="1"/>
    <row r="91" ht="15.75" customHeight="1">
      <c r="A91" s="30" t="s">
        <v>393</v>
      </c>
      <c r="B91" s="31">
        <f>SUM(E80,E53,E45,E23,E71,E63)</f>
        <v>161970</v>
      </c>
    </row>
    <row r="92" ht="15.75" customHeight="1">
      <c r="A92" s="30" t="s">
        <v>394</v>
      </c>
      <c r="B92" s="31">
        <f>SUM(B91-B89)</f>
        <v>107160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2022-04-28T16:56:42Z</dcterms:created>
  <dc:creator>Michael DeStefano</dc:creator>
</cp:coreProperties>
</file>