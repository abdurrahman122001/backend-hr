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zarya\Downloads\"/>
    </mc:Choice>
  </mc:AlternateContent>
  <xr:revisionPtr revIDLastSave="0" documentId="13_ncr:1_{0FA6A997-331E-4AA2-A3C4-DA968FE4340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in Sheet" sheetId="9" r:id="rId1"/>
    <sheet name="BS" sheetId="1" r:id="rId2"/>
    <sheet name="BS analysis" sheetId="10" r:id="rId3"/>
    <sheet name="PnL" sheetId="2" r:id="rId4"/>
    <sheet name="PnL Analysis" sheetId="11" r:id="rId5"/>
    <sheet name="Notes" sheetId="3" r:id="rId6"/>
    <sheet name="Va8ive" sheetId="8" state="hidden" r:id="rId7"/>
  </sheets>
  <externalReferences>
    <externalReference r:id="rId8"/>
  </externalReferences>
  <definedNames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age1" localSheetId="1">BS!#REF!</definedName>
    <definedName name="page1" localSheetId="2">'BS analysis'!#REF!</definedName>
    <definedName name="page4" localSheetId="5">Notes!#REF!</definedName>
    <definedName name="page5" localSheetId="5">Notes!$A$113</definedName>
    <definedName name="page6" localSheetId="5">Notes!#REF!</definedName>
    <definedName name="_xlnm.Print_Area" localSheetId="1">BS!$A$1:$E$48</definedName>
    <definedName name="_xlnm.Print_Area" localSheetId="2">'BS analysis'!$A$1:$E$48</definedName>
    <definedName name="_xlnm.Print_Area" localSheetId="0">'Main Sheet'!$A$1:$H$25</definedName>
    <definedName name="_xlnm.Print_Area" localSheetId="5">Notes!$A$1:$E$185</definedName>
    <definedName name="_xlnm.Print_Area" localSheetId="3">PnL!$A$1:$E$33</definedName>
    <definedName name="_xlnm.Print_Area" localSheetId="4">'PnL Analysis'!$A$1:$E$33</definedName>
    <definedName name="_xlnm.Print_Titles" localSheetId="6">Va8ive!$A:$B,Va8ive!$1:$2</definedName>
    <definedName name="QB_COLUMN_290" localSheetId="6" hidden="1">Va8ive!$C$1</definedName>
    <definedName name="QB_COLUMN_57200" localSheetId="6" hidden="1">Va8ive!$C$2</definedName>
    <definedName name="QB_COLUMN_58210" localSheetId="6" hidden="1">Va8ive!$E$2</definedName>
    <definedName name="QB_DATA_0" localSheetId="6" hidden="1">Va8ive!$3:$3,Va8ive!$4:$4,Va8ive!$5:$5,Va8ive!$6:$6,Va8ive!$7:$7,Va8ive!$8:$8,Va8ive!$9:$9,Va8ive!$10:$10,Va8ive!$11:$11,Va8ive!$12:$12,Va8ive!$13:$13,Va8ive!$14:$14,Va8ive!$15:$15,Va8ive!$16:$16,Va8ive!$17:$17,Va8ive!$18:$18</definedName>
    <definedName name="QB_DATA_1" localSheetId="6" hidden="1">Va8ive!$19:$19,Va8ive!$20:$20,Va8ive!$21:$21,Va8ive!$22:$22,Va8ive!$23:$23,Va8ive!$24:$24,Va8ive!$25:$25,Va8ive!$26:$26,Va8ive!$27:$27,Va8ive!$28:$28,Va8ive!$29:$29,Va8ive!$30:$30,Va8ive!$31:$31,Va8ive!$32:$32,Va8ive!$33:$33,Va8ive!$34:$34</definedName>
    <definedName name="QB_DATA_2" localSheetId="6" hidden="1">Va8ive!$35:$35,Va8ive!$36:$36,Va8ive!$37:$37,Va8ive!$38:$38,Va8ive!$39:$39,Va8ive!$40:$40,Va8ive!$41:$41,Va8ive!$42:$42,Va8ive!$43:$43,Va8ive!$44:$44,Va8ive!$45:$45,Va8ive!$46:$46,Va8ive!$47:$47,Va8ive!$48:$48,Va8ive!$49:$49,Va8ive!$50:$50</definedName>
    <definedName name="QB_DATA_3" localSheetId="6" hidden="1">Va8ive!$51:$51,Va8ive!$52:$52,Va8ive!$53:$53,Va8ive!$54:$54,Va8ive!$55:$55,Va8ive!$56:$56,Va8ive!$57:$57,Va8ive!$58:$58,Va8ive!$59:$59,Va8ive!$60:$60,Va8ive!$61:$61,Va8ive!$62:$62,Va8ive!$63:$63,Va8ive!$64:$64,Va8ive!$65:$65,Va8ive!$66:$66</definedName>
    <definedName name="QB_DATA_4" localSheetId="6" hidden="1">Va8ive!$67:$67,Va8ive!$68:$68,Va8ive!$69:$69,Va8ive!$70:$70,Va8ive!$71:$71,Va8ive!$72:$72,Va8ive!$73:$73,Va8ive!$74:$74,Va8ive!$75:$75,Va8ive!$76:$76,Va8ive!$77:$77,Va8ive!$78:$78,Va8ive!$79:$79,Va8ive!$80:$80,Va8ive!$81:$81,Va8ive!$82:$82</definedName>
    <definedName name="QB_DATA_5" localSheetId="6" hidden="1">Va8ive!$83:$83,Va8ive!$84:$84,Va8ive!$85:$85,Va8ive!$86:$86,Va8ive!$87:$87,Va8ive!$88:$88,Va8ive!$89:$89,Va8ive!$90:$90</definedName>
    <definedName name="QB_FORMULA_0" localSheetId="6" hidden="1">Va8ive!$C$91,Va8ive!$E$91</definedName>
    <definedName name="QB_ROW_108210" localSheetId="6" hidden="1">Va8ive!$B$50</definedName>
    <definedName name="QB_ROW_109210" localSheetId="6" hidden="1">Va8ive!$B$49</definedName>
    <definedName name="QB_ROW_111210" localSheetId="6" hidden="1">Va8ive!$B$48</definedName>
    <definedName name="QB_ROW_112210" localSheetId="6" hidden="1">Va8ive!$B$47</definedName>
    <definedName name="QB_ROW_114210" localSheetId="6" hidden="1">Va8ive!$B$46</definedName>
    <definedName name="QB_ROW_116210" localSheetId="6" hidden="1">Va8ive!$B$31</definedName>
    <definedName name="QB_ROW_118210" localSheetId="6" hidden="1">Va8ive!$B$54</definedName>
    <definedName name="QB_ROW_119210" localSheetId="6" hidden="1">Va8ive!$B$11</definedName>
    <definedName name="QB_ROW_124210" localSheetId="6" hidden="1">Va8ive!$B$10</definedName>
    <definedName name="QB_ROW_127210" localSheetId="6" hidden="1">Va8ive!$B$37</definedName>
    <definedName name="QB_ROW_130210" localSheetId="6" hidden="1">Va8ive!$B$52</definedName>
    <definedName name="QB_ROW_131210" localSheetId="6" hidden="1">Va8ive!$B$51</definedName>
    <definedName name="QB_ROW_133210" localSheetId="6" hidden="1">Va8ive!$B$4</definedName>
    <definedName name="QB_ROW_134210" localSheetId="6" hidden="1">Va8ive!$B$3</definedName>
    <definedName name="QB_ROW_136210" localSheetId="6" hidden="1">Va8ive!$B$90</definedName>
    <definedName name="QB_ROW_137210" localSheetId="6" hidden="1">Va8ive!$B$89</definedName>
    <definedName name="QB_ROW_138210" localSheetId="6" hidden="1">Va8ive!$B$30</definedName>
    <definedName name="QB_ROW_139210" localSheetId="6" hidden="1">Va8ive!$B$53</definedName>
    <definedName name="QB_ROW_140210" localSheetId="6" hidden="1">Va8ive!$B$38</definedName>
    <definedName name="QB_ROW_146210" localSheetId="6" hidden="1">Va8ive!$B$45</definedName>
    <definedName name="QB_ROW_147210" localSheetId="6" hidden="1">Va8ive!$B$60</definedName>
    <definedName name="QB_ROW_149210" localSheetId="6" hidden="1">Va8ive!$B$29</definedName>
    <definedName name="QB_ROW_155210" localSheetId="6" hidden="1">Va8ive!$B$61</definedName>
    <definedName name="QB_ROW_157210" localSheetId="6" hidden="1">Va8ive!$B$59</definedName>
    <definedName name="QB_ROW_160210" localSheetId="6" hidden="1">Va8ive!$B$58</definedName>
    <definedName name="QB_ROW_161210" localSheetId="6" hidden="1">Va8ive!$B$63</definedName>
    <definedName name="QB_ROW_163210" localSheetId="6" hidden="1">Va8ive!$B$22</definedName>
    <definedName name="QB_ROW_165210" localSheetId="6" hidden="1">Va8ive!$B$9</definedName>
    <definedName name="QB_ROW_167210" localSheetId="6" hidden="1">Va8ive!$B$21</definedName>
    <definedName name="QB_ROW_168210" localSheetId="6" hidden="1">Va8ive!$B$28</definedName>
    <definedName name="QB_ROW_169210" localSheetId="6" hidden="1">Va8ive!$B$13</definedName>
    <definedName name="QB_ROW_170210" localSheetId="6" hidden="1">Va8ive!$B$70</definedName>
    <definedName name="QB_ROW_171210" localSheetId="6" hidden="1">Va8ive!$B$27</definedName>
    <definedName name="QB_ROW_17210" localSheetId="6" hidden="1">Va8ive!$B$55</definedName>
    <definedName name="QB_ROW_172210" localSheetId="6" hidden="1">Va8ive!$B$20</definedName>
    <definedName name="QB_ROW_175210" localSheetId="6" hidden="1">Va8ive!$B$42</definedName>
    <definedName name="QB_ROW_176210" localSheetId="6" hidden="1">Va8ive!$B$18</definedName>
    <definedName name="QB_ROW_177210" localSheetId="6" hidden="1">Va8ive!$B$62</definedName>
    <definedName name="QB_ROW_178210" localSheetId="6" hidden="1">Va8ive!$B$17</definedName>
    <definedName name="QB_ROW_179210" localSheetId="6" hidden="1">Va8ive!$B$16</definedName>
    <definedName name="QB_ROW_180210" localSheetId="6" hidden="1">Va8ive!$B$26</definedName>
    <definedName name="QB_ROW_18210" localSheetId="6" hidden="1">Va8ive!$B$56</definedName>
    <definedName name="QB_ROW_182210" localSheetId="6" hidden="1">Va8ive!$B$25</definedName>
    <definedName name="QB_ROW_183210" localSheetId="6" hidden="1">Va8ive!$B$24</definedName>
    <definedName name="QB_ROW_190210" localSheetId="6" hidden="1">Va8ive!$B$36</definedName>
    <definedName name="QB_ROW_191210" localSheetId="6" hidden="1">Va8ive!$B$35</definedName>
    <definedName name="QB_ROW_192210" localSheetId="6" hidden="1">Va8ive!$B$8</definedName>
    <definedName name="QB_ROW_22210" localSheetId="6" hidden="1">Va8ive!$B$66</definedName>
    <definedName name="QB_ROW_23210" localSheetId="6" hidden="1">Va8ive!$B$67</definedName>
    <definedName name="QB_ROW_24210" localSheetId="6" hidden="1">Va8ive!$B$72</definedName>
    <definedName name="QB_ROW_25210" localSheetId="6" hidden="1">Va8ive!$B$74</definedName>
    <definedName name="QB_ROW_25301" localSheetId="6" hidden="1">Va8ive!$A$91</definedName>
    <definedName name="QB_ROW_27210" localSheetId="6" hidden="1">Va8ive!$B$79</definedName>
    <definedName name="QB_ROW_29210" localSheetId="6" hidden="1">Va8ive!$B$83</definedName>
    <definedName name="QB_ROW_34210" localSheetId="6" hidden="1">Va8ive!$B$44</definedName>
    <definedName name="QB_ROW_35210" localSheetId="6" hidden="1">Va8ive!$B$75</definedName>
    <definedName name="QB_ROW_38210" localSheetId="6" hidden="1">Va8ive!$B$5</definedName>
    <definedName name="QB_ROW_4210" localSheetId="6" hidden="1">Va8ive!$B$15</definedName>
    <definedName name="QB_ROW_43210" localSheetId="6" hidden="1">Va8ive!$B$14</definedName>
    <definedName name="QB_ROW_44210" localSheetId="6" hidden="1">Va8ive!$B$7</definedName>
    <definedName name="QB_ROW_45210" localSheetId="6" hidden="1">Va8ive!$B$73</definedName>
    <definedName name="QB_ROW_46210" localSheetId="6" hidden="1">Va8ive!$B$85</definedName>
    <definedName name="QB_ROW_47210" localSheetId="6" hidden="1">Va8ive!$B$82</definedName>
    <definedName name="QB_ROW_48210" localSheetId="6" hidden="1">Va8ive!$B$84</definedName>
    <definedName name="QB_ROW_50210" localSheetId="6" hidden="1">Va8ive!$B$40</definedName>
    <definedName name="QB_ROW_51210" localSheetId="6" hidden="1">Va8ive!$B$39</definedName>
    <definedName name="QB_ROW_5210" localSheetId="6" hidden="1">Va8ive!$B$19</definedName>
    <definedName name="QB_ROW_52210" localSheetId="6" hidden="1">Va8ive!$B$77</definedName>
    <definedName name="QB_ROW_54210" localSheetId="6" hidden="1">Va8ive!$B$12</definedName>
    <definedName name="QB_ROW_57210" localSheetId="6" hidden="1">Va8ive!$B$23</definedName>
    <definedName name="QB_ROW_59210" localSheetId="6" hidden="1">Va8ive!$B$87</definedName>
    <definedName name="QB_ROW_60210" localSheetId="6" hidden="1">Va8ive!$B$41</definedName>
    <definedName name="QB_ROW_61210" localSheetId="6" hidden="1">Va8ive!$B$71</definedName>
    <definedName name="QB_ROW_62210" localSheetId="6" hidden="1">Va8ive!$B$69</definedName>
    <definedName name="QB_ROW_66210" localSheetId="6" hidden="1">Va8ive!$B$80</definedName>
    <definedName name="QB_ROW_67210" localSheetId="6" hidden="1">Va8ive!$B$81</definedName>
    <definedName name="QB_ROW_68210" localSheetId="6" hidden="1">Va8ive!$B$76</definedName>
    <definedName name="QB_ROW_69210" localSheetId="6" hidden="1">Va8ive!$B$88</definedName>
    <definedName name="QB_ROW_70210" localSheetId="6" hidden="1">Va8ive!$B$86</definedName>
    <definedName name="QB_ROW_72210" localSheetId="6" hidden="1">Va8ive!$B$65</definedName>
    <definedName name="QB_ROW_73210" localSheetId="6" hidden="1">Va8ive!$B$64</definedName>
    <definedName name="QB_ROW_74210" localSheetId="6" hidden="1">Va8ive!$B$78</definedName>
    <definedName name="QB_ROW_75210" localSheetId="6" hidden="1">Va8ive!$B$57</definedName>
    <definedName name="QB_ROW_76210" localSheetId="6" hidden="1">Va8ive!$B$68</definedName>
    <definedName name="QB_ROW_82210" localSheetId="6" hidden="1">Va8ive!$B$33</definedName>
    <definedName name="QB_ROW_83210" localSheetId="6" hidden="1">Va8ive!$B$34</definedName>
    <definedName name="QB_ROW_86210" localSheetId="6" hidden="1">Va8ive!$B$32</definedName>
    <definedName name="QB_ROW_92210" localSheetId="6" hidden="1">Va8ive!$B$43</definedName>
    <definedName name="QB_ROW_97210" localSheetId="6" hidden="1">Va8ive!$B$6</definedName>
    <definedName name="QBCANSUPPORTUPDATE" localSheetId="6">TRUE</definedName>
    <definedName name="QBCOMPANYFILENAME" localSheetId="6">"Z:\Intuit\QuickBooks\Company Files\Va8ive Digital Marketing Pvt Ltd.qbw"</definedName>
    <definedName name="QBENDDATE" localSheetId="6">20201231</definedName>
    <definedName name="QBHEADERSONSCREEN" localSheetId="6">FALSE</definedName>
    <definedName name="QBMETADATASIZE" localSheetId="6">5914</definedName>
    <definedName name="QBPRESERVECOLOR" localSheetId="6">TRUE</definedName>
    <definedName name="QBPRESERVEFONT" localSheetId="6">TRUE</definedName>
    <definedName name="QBPRESERVEROWHEIGHT" localSheetId="6">TRUE</definedName>
    <definedName name="QBPRESERVESPACE" localSheetId="6">TRUE</definedName>
    <definedName name="QBREPORTCOLAXIS" localSheetId="6">0</definedName>
    <definedName name="QBREPORTCOMPANYID" localSheetId="6">"a6cce7daed6d426fb8540acc6752ea7a"</definedName>
    <definedName name="QBREPORTCOMPARECOL_ANNUALBUDGET" localSheetId="6">FALSE</definedName>
    <definedName name="QBREPORTCOMPARECOL_AVGCOGS" localSheetId="6">FALSE</definedName>
    <definedName name="QBREPORTCOMPARECOL_AVGPRICE" localSheetId="6">FALSE</definedName>
    <definedName name="QBREPORTCOMPARECOL_BUDDIFF" localSheetId="6">FALSE</definedName>
    <definedName name="QBREPORTCOMPARECOL_BUDGET" localSheetId="6">FALSE</definedName>
    <definedName name="QBREPORTCOMPARECOL_BUDPCT" localSheetId="6">FALSE</definedName>
    <definedName name="QBREPORTCOMPARECOL_COGS" localSheetId="6">FALSE</definedName>
    <definedName name="QBREPORTCOMPARECOL_EXCLUDEAMOUNT" localSheetId="6">FALSE</definedName>
    <definedName name="QBREPORTCOMPARECOL_EXCLUDECURPERIOD" localSheetId="6">FALSE</definedName>
    <definedName name="QBREPORTCOMPARECOL_FORECAST" localSheetId="6">FALSE</definedName>
    <definedName name="QBREPORTCOMPARECOL_GROSSMARGIN" localSheetId="6">FALSE</definedName>
    <definedName name="QBREPORTCOMPARECOL_GROSSMARGINPCT" localSheetId="6">FALSE</definedName>
    <definedName name="QBREPORTCOMPARECOL_HOURS" localSheetId="6">FALSE</definedName>
    <definedName name="QBREPORTCOMPARECOL_PCTCOL" localSheetId="6">FALSE</definedName>
    <definedName name="QBREPORTCOMPARECOL_PCTEXPENSE" localSheetId="6">FALSE</definedName>
    <definedName name="QBREPORTCOMPARECOL_PCTINCOME" localSheetId="6">FALSE</definedName>
    <definedName name="QBREPORTCOMPARECOL_PCTOFSALES" localSheetId="6">FALSE</definedName>
    <definedName name="QBREPORTCOMPARECOL_PCTROW" localSheetId="6">FALSE</definedName>
    <definedName name="QBREPORTCOMPARECOL_PPDIFF" localSheetId="6">FALSE</definedName>
    <definedName name="QBREPORTCOMPARECOL_PPPCT" localSheetId="6">FALSE</definedName>
    <definedName name="QBREPORTCOMPARECOL_PREVPERIOD" localSheetId="6">FALSE</definedName>
    <definedName name="QBREPORTCOMPARECOL_PREVYEAR" localSheetId="6">FALSE</definedName>
    <definedName name="QBREPORTCOMPARECOL_PYDIFF" localSheetId="6">FALSE</definedName>
    <definedName name="QBREPORTCOMPARECOL_PYPCT" localSheetId="6">FALSE</definedName>
    <definedName name="QBREPORTCOMPARECOL_QTY" localSheetId="6">FALSE</definedName>
    <definedName name="QBREPORTCOMPARECOL_RATE" localSheetId="6">FALSE</definedName>
    <definedName name="QBREPORTCOMPARECOL_TRIPBILLEDMILES" localSheetId="6">FALSE</definedName>
    <definedName name="QBREPORTCOMPARECOL_TRIPBILLINGAMOUNT" localSheetId="6">FALSE</definedName>
    <definedName name="QBREPORTCOMPARECOL_TRIPMILES" localSheetId="6">FALSE</definedName>
    <definedName name="QBREPORTCOMPARECOL_TRIPNOTBILLABLEMILES" localSheetId="6">FALSE</definedName>
    <definedName name="QBREPORTCOMPARECOL_TRIPTAXDEDUCTIBLEAMOUNT" localSheetId="6">FALSE</definedName>
    <definedName name="QBREPORTCOMPARECOL_TRIPUNBILLEDMILES" localSheetId="6">FALSE</definedName>
    <definedName name="QBREPORTCOMPARECOL_YTD" localSheetId="6">FALSE</definedName>
    <definedName name="QBREPORTCOMPARECOL_YTDBUDGET" localSheetId="6">FALSE</definedName>
    <definedName name="QBREPORTCOMPARECOL_YTDPCT" localSheetId="6">FALSE</definedName>
    <definedName name="QBREPORTROWAXIS" localSheetId="6">12</definedName>
    <definedName name="QBREPORTSUBCOLAXIS" localSheetId="6">23</definedName>
    <definedName name="QBREPORTTYPE" localSheetId="6">27</definedName>
    <definedName name="QBROWHEADERS" localSheetId="6">2</definedName>
    <definedName name="QBSTARTDATE" localSheetId="6">20200701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1" l="1"/>
  <c r="E21" i="11"/>
  <c r="C21" i="11"/>
  <c r="E45" i="10"/>
  <c r="C44" i="10"/>
  <c r="C43" i="10"/>
  <c r="E38" i="10"/>
  <c r="C37" i="10"/>
  <c r="C38" i="10" s="1"/>
  <c r="E34" i="10"/>
  <c r="I33" i="10"/>
  <c r="F33" i="10"/>
  <c r="C30" i="10"/>
  <c r="I30" i="10" s="1"/>
  <c r="E24" i="10"/>
  <c r="C22" i="10"/>
  <c r="G21" i="10"/>
  <c r="G20" i="10"/>
  <c r="G19" i="10"/>
  <c r="G18" i="10"/>
  <c r="G17" i="10"/>
  <c r="G16" i="10"/>
  <c r="G10" i="10"/>
  <c r="E21" i="2"/>
  <c r="C21" i="2"/>
  <c r="E47" i="10" l="1"/>
  <c r="F30" i="10"/>
  <c r="C84" i="3"/>
  <c r="E113" i="8"/>
  <c r="C113" i="8"/>
  <c r="C111" i="8"/>
  <c r="E48" i="8"/>
  <c r="E111" i="8" s="1"/>
  <c r="E181" i="3"/>
  <c r="E154" i="3" s="1"/>
  <c r="E171" i="3" s="1"/>
  <c r="E26" i="11" s="1"/>
  <c r="E145" i="3"/>
  <c r="E116" i="3" s="1"/>
  <c r="E134" i="3" s="1"/>
  <c r="E25" i="11" s="1"/>
  <c r="E29" i="11" s="1"/>
  <c r="E107" i="3"/>
  <c r="E12" i="11" s="1"/>
  <c r="E114" i="8" l="1"/>
  <c r="C43" i="1"/>
  <c r="C26" i="3"/>
  <c r="C18" i="3"/>
  <c r="C13" i="3"/>
  <c r="C95" i="3"/>
  <c r="C94" i="3"/>
  <c r="C93" i="3"/>
  <c r="C92" i="3"/>
  <c r="C91" i="3"/>
  <c r="C90" i="3"/>
  <c r="C89" i="3"/>
  <c r="C88" i="3"/>
  <c r="C87" i="3"/>
  <c r="E97" i="3"/>
  <c r="E98" i="3" s="1"/>
  <c r="C52" i="3"/>
  <c r="E11" i="2" l="1"/>
  <c r="E11" i="11"/>
  <c r="E14" i="11" s="1"/>
  <c r="E23" i="11" s="1"/>
  <c r="E31" i="11" s="1"/>
  <c r="C97" i="3"/>
  <c r="I33" i="1" l="1"/>
  <c r="E34" i="1" l="1"/>
  <c r="C44" i="1"/>
  <c r="C37" i="1"/>
  <c r="C30" i="1" l="1"/>
  <c r="I30" i="1" s="1"/>
  <c r="G132" i="3"/>
  <c r="C123" i="3" s="1"/>
  <c r="C118" i="3"/>
  <c r="C130" i="3"/>
  <c r="G157" i="3"/>
  <c r="C176" i="3" s="1"/>
  <c r="G158" i="3"/>
  <c r="C175" i="3" s="1"/>
  <c r="E79" i="3"/>
  <c r="C79" i="3"/>
  <c r="C59" i="3"/>
  <c r="C48" i="3"/>
  <c r="C41" i="3"/>
  <c r="C39" i="3"/>
  <c r="C38" i="3"/>
  <c r="C35" i="3"/>
  <c r="C34" i="3"/>
  <c r="C10" i="3"/>
  <c r="L143" i="3"/>
  <c r="K143" i="3"/>
  <c r="K142" i="3"/>
  <c r="L142" i="3"/>
  <c r="L144" i="3" l="1"/>
  <c r="C35" i="11" s="1"/>
  <c r="F33" i="1"/>
  <c r="C47" i="3"/>
  <c r="C49" i="3" l="1"/>
  <c r="C17" i="1" l="1"/>
  <c r="C17" i="10"/>
  <c r="E43" i="3"/>
  <c r="G21" i="1"/>
  <c r="G20" i="1"/>
  <c r="G18" i="1"/>
  <c r="C72" i="3" l="1"/>
  <c r="C74" i="3"/>
  <c r="C35" i="2" l="1"/>
  <c r="F30" i="1"/>
  <c r="G48" i="3"/>
  <c r="C11" i="3"/>
  <c r="C22" i="1"/>
  <c r="G156" i="3" l="1"/>
  <c r="C155" i="3"/>
  <c r="C77" i="3"/>
  <c r="C12" i="3"/>
  <c r="C174" i="3" l="1"/>
  <c r="C138" i="3"/>
  <c r="H19" i="3"/>
  <c r="G18" i="3"/>
  <c r="G134" i="3"/>
  <c r="C125" i="3" s="1"/>
  <c r="G20" i="3" l="1"/>
  <c r="E27" i="3"/>
  <c r="E12" i="10" s="1"/>
  <c r="E13" i="10" s="1"/>
  <c r="E26" i="10" s="1"/>
  <c r="E49" i="10" s="1"/>
  <c r="C27" i="3"/>
  <c r="C12" i="10" s="1"/>
  <c r="C28" i="2"/>
  <c r="C184" i="3"/>
  <c r="E26" i="2"/>
  <c r="E25" i="2"/>
  <c r="E12" i="2"/>
  <c r="C27" i="2" l="1"/>
  <c r="C27" i="11"/>
  <c r="C21" i="3"/>
  <c r="C169" i="3"/>
  <c r="G130" i="3"/>
  <c r="C121" i="3" s="1"/>
  <c r="C104" i="3"/>
  <c r="C16" i="3"/>
  <c r="G126" i="3"/>
  <c r="C117" i="3" s="1"/>
  <c r="G137" i="3" l="1"/>
  <c r="C128" i="3" s="1"/>
  <c r="C170" i="3"/>
  <c r="G140" i="3"/>
  <c r="G162" i="3"/>
  <c r="C180" i="3" s="1"/>
  <c r="C166" i="3" l="1"/>
  <c r="C131" i="3"/>
  <c r="G129" i="3"/>
  <c r="G142" i="3"/>
  <c r="G141" i="3"/>
  <c r="G139" i="3"/>
  <c r="G136" i="3"/>
  <c r="C127" i="3" s="1"/>
  <c r="G135" i="3"/>
  <c r="C126" i="3" s="1"/>
  <c r="G133" i="3"/>
  <c r="C124" i="3" s="1"/>
  <c r="G138" i="3"/>
  <c r="G128" i="3"/>
  <c r="C105" i="3"/>
  <c r="C75" i="3"/>
  <c r="C73" i="3"/>
  <c r="C167" i="3" l="1"/>
  <c r="C133" i="3"/>
  <c r="C165" i="3"/>
  <c r="C129" i="3"/>
  <c r="C168" i="3"/>
  <c r="C132" i="3"/>
  <c r="U135" i="3"/>
  <c r="V135" i="3" s="1"/>
  <c r="V136" i="3" s="1"/>
  <c r="C54" i="3"/>
  <c r="C60" i="3"/>
  <c r="C23" i="10" s="1"/>
  <c r="C160" i="3"/>
  <c r="C163" i="3"/>
  <c r="C164" i="3"/>
  <c r="C157" i="3"/>
  <c r="C120" i="3"/>
  <c r="C119" i="3"/>
  <c r="C156" i="3"/>
  <c r="C158" i="3"/>
  <c r="C159" i="3"/>
  <c r="C19" i="1" l="1"/>
  <c r="C19" i="10"/>
  <c r="C17" i="3"/>
  <c r="C15" i="3"/>
  <c r="C14" i="3"/>
  <c r="C19" i="3" l="1"/>
  <c r="C10" i="10" s="1"/>
  <c r="C13" i="10" s="1"/>
  <c r="G19" i="3"/>
  <c r="H18" i="3"/>
  <c r="E80" i="3"/>
  <c r="E19" i="3"/>
  <c r="C12" i="1"/>
  <c r="E12" i="1"/>
  <c r="G17" i="1"/>
  <c r="C139" i="3" l="1"/>
  <c r="G161" i="3" l="1"/>
  <c r="C179" i="3" s="1"/>
  <c r="G160" i="3"/>
  <c r="C142" i="3" s="1"/>
  <c r="C143" i="3" l="1"/>
  <c r="C178" i="3"/>
  <c r="G159" i="3"/>
  <c r="C140" i="3"/>
  <c r="G155" i="3"/>
  <c r="C137" i="3" s="1"/>
  <c r="C106" i="3"/>
  <c r="C107" i="3" s="1"/>
  <c r="C12" i="11" s="1"/>
  <c r="C38" i="1"/>
  <c r="C173" i="3" l="1"/>
  <c r="G163" i="3"/>
  <c r="C78" i="3"/>
  <c r="C76" i="3"/>
  <c r="C80" i="3" s="1"/>
  <c r="C42" i="10" s="1"/>
  <c r="C45" i="10" s="1"/>
  <c r="E60" i="3" l="1"/>
  <c r="C177" i="3" l="1"/>
  <c r="C141" i="3"/>
  <c r="C181" i="3" l="1"/>
  <c r="C144" i="3" l="1"/>
  <c r="C145" i="3" s="1"/>
  <c r="C116" i="3" s="1"/>
  <c r="C12" i="2"/>
  <c r="G10" i="1"/>
  <c r="G19" i="1"/>
  <c r="C36" i="3"/>
  <c r="C40" i="3"/>
  <c r="E38" i="1"/>
  <c r="C23" i="1"/>
  <c r="E36" i="3"/>
  <c r="C43" i="3" l="1"/>
  <c r="E29" i="2"/>
  <c r="E14" i="2" s="1"/>
  <c r="E23" i="2" s="1"/>
  <c r="E31" i="2" s="1"/>
  <c r="E13" i="1"/>
  <c r="C154" i="3"/>
  <c r="E45" i="1"/>
  <c r="E47" i="1" s="1"/>
  <c r="G16" i="1"/>
  <c r="C16" i="1" l="1"/>
  <c r="C16" i="10"/>
  <c r="E24" i="1"/>
  <c r="E26" i="1" l="1"/>
  <c r="E49" i="1" s="1"/>
  <c r="C42" i="1"/>
  <c r="C45" i="1" l="1"/>
  <c r="C161" i="3" l="1"/>
  <c r="C171" i="3" s="1"/>
  <c r="C134" i="3"/>
  <c r="C10" i="1"/>
  <c r="C25" i="2" l="1"/>
  <c r="C25" i="11"/>
  <c r="C29" i="11" s="1"/>
  <c r="C26" i="2"/>
  <c r="C26" i="11"/>
  <c r="C13" i="1"/>
  <c r="C29" i="2"/>
  <c r="C85" i="3" s="1"/>
  <c r="C11" i="2" l="1"/>
  <c r="I11" i="2" s="1"/>
  <c r="C11" i="11"/>
  <c r="C98" i="3"/>
  <c r="C20" i="10" s="1"/>
  <c r="P20" i="10" l="1"/>
  <c r="C24" i="10"/>
  <c r="C26" i="10" s="1"/>
  <c r="I11" i="11"/>
  <c r="G11" i="11"/>
  <c r="C14" i="11"/>
  <c r="C23" i="11" s="1"/>
  <c r="C31" i="11" s="1"/>
  <c r="C36" i="11" s="1"/>
  <c r="C20" i="1"/>
  <c r="C24" i="1" s="1"/>
  <c r="C26" i="1" s="1"/>
  <c r="G11" i="2"/>
  <c r="C14" i="2"/>
  <c r="C23" i="2" l="1"/>
  <c r="C31" i="2" s="1"/>
  <c r="C32" i="10" s="1"/>
  <c r="P20" i="1"/>
  <c r="O32" i="10" l="1"/>
  <c r="O40" i="10" s="1"/>
  <c r="J32" i="10"/>
  <c r="C34" i="10"/>
  <c r="C47" i="10" s="1"/>
  <c r="C49" i="10" s="1"/>
  <c r="C36" i="2"/>
  <c r="C32" i="1"/>
  <c r="C34" i="1"/>
  <c r="C47" i="1" s="1"/>
  <c r="C49" i="1" s="1"/>
  <c r="J32" i="1"/>
  <c r="O32" i="1"/>
  <c r="O40" i="1" s="1"/>
</calcChain>
</file>

<file path=xl/sharedStrings.xml><?xml version="1.0" encoding="utf-8"?>
<sst xmlns="http://schemas.openxmlformats.org/spreadsheetml/2006/main" count="508" uniqueCount="266">
  <si>
    <t>VA8IVE (PVT.) LIMITED</t>
  </si>
  <si>
    <t>BALANCE SHEET</t>
  </si>
  <si>
    <t>JUNE</t>
  </si>
  <si>
    <t>Note</t>
  </si>
  <si>
    <t>(Rupees)</t>
  </si>
  <si>
    <t>ASSETS</t>
  </si>
  <si>
    <t>NON-CURRENT ASSETS</t>
  </si>
  <si>
    <t>Property, plant and equipment</t>
  </si>
  <si>
    <t>CURRENT ASSETS</t>
  </si>
  <si>
    <t>Cash and bank balances</t>
  </si>
  <si>
    <t>Advances and prepayments</t>
  </si>
  <si>
    <t>-</t>
  </si>
  <si>
    <t>Other receivables</t>
  </si>
  <si>
    <t>TOTAL ASSETS</t>
  </si>
  <si>
    <t>CAPITAL AND RESERVES</t>
  </si>
  <si>
    <t>NON-CURRENT LIABILITES</t>
  </si>
  <si>
    <t>Long Term Loan</t>
  </si>
  <si>
    <t>CURRENT LIABILITIES</t>
  </si>
  <si>
    <t>Trade and other payables</t>
  </si>
  <si>
    <t>TOTAL EQUITY AND LIABILITIES</t>
  </si>
  <si>
    <t>PROFIT AND LOSS ACCOUNT</t>
  </si>
  <si>
    <t>Land Rent</t>
  </si>
  <si>
    <t>Operational Cost</t>
  </si>
  <si>
    <t>Administrative Cost</t>
  </si>
  <si>
    <t>NOTES TO THE FINANCIAL STATEMENTS</t>
  </si>
  <si>
    <t>1    Property, plant and equipment</t>
  </si>
  <si>
    <t>Building - Improvement</t>
  </si>
  <si>
    <t>Computer &amp; Accessories</t>
  </si>
  <si>
    <t>Furniture and Equipment</t>
  </si>
  <si>
    <t>Vehicle</t>
  </si>
  <si>
    <t>Others</t>
  </si>
  <si>
    <t>Less: Accumulated Deprecitaion</t>
  </si>
  <si>
    <t>BAHL # 04018</t>
  </si>
  <si>
    <t>BAHL # 15014</t>
  </si>
  <si>
    <t>In hand</t>
  </si>
  <si>
    <t>Creditors</t>
  </si>
  <si>
    <t>Loan From Sharholders</t>
  </si>
  <si>
    <t>Payroll Liabilities</t>
  </si>
  <si>
    <t>EOBI - Contribution</t>
  </si>
  <si>
    <t>Salaries and benefits</t>
  </si>
  <si>
    <t>IT Related Expenses</t>
  </si>
  <si>
    <t>Rent Expense</t>
  </si>
  <si>
    <t>Utilities Expense</t>
  </si>
  <si>
    <t>Pre Incorporation Expenses</t>
  </si>
  <si>
    <t>Other Expense</t>
  </si>
  <si>
    <t>Depreciation Expense</t>
  </si>
  <si>
    <t>Generator &amp; Fuel Expenses</t>
  </si>
  <si>
    <t>Janitorial</t>
  </si>
  <si>
    <t>Legal &amp; Professional Fee</t>
  </si>
  <si>
    <t>License &amp; Permit</t>
  </si>
  <si>
    <t>Office Supplies</t>
  </si>
  <si>
    <t>Repair &amp; Maintenance</t>
  </si>
  <si>
    <t>Bonus</t>
  </si>
  <si>
    <t>Incentive</t>
  </si>
  <si>
    <t>Medical Allowance</t>
  </si>
  <si>
    <t>Payroll Expenses - Other</t>
  </si>
  <si>
    <t>Donation</t>
  </si>
  <si>
    <t>Insurance Expense</t>
  </si>
  <si>
    <t>Loan to OFL Security</t>
  </si>
  <si>
    <t xml:space="preserve">     Advance W/Tax Cash</t>
  </si>
  <si>
    <t>Treasury Accounts</t>
  </si>
  <si>
    <t>with banks:</t>
  </si>
  <si>
    <t>Treasury Account # 6915-01-9</t>
  </si>
  <si>
    <t>Treasury Account # 5804-01-3</t>
  </si>
  <si>
    <t>Solar Panel</t>
  </si>
  <si>
    <t>Entertainment Fund</t>
  </si>
  <si>
    <t>Interest Income</t>
  </si>
  <si>
    <t>T-Call  # 6915-01-9</t>
  </si>
  <si>
    <t>T-Call  # 5804-01-03</t>
  </si>
  <si>
    <t>Travelling Expense</t>
  </si>
  <si>
    <t>Uniform</t>
  </si>
  <si>
    <t>Interest Expense</t>
  </si>
  <si>
    <t>Entertainment Expense</t>
  </si>
  <si>
    <t>Treasury Account:Treasury Account # 6915-01-9</t>
  </si>
  <si>
    <t>Treasury Account:Treasury Account # 5804-01-3</t>
  </si>
  <si>
    <t>Bank &amp; Cash:BAHL # 04018</t>
  </si>
  <si>
    <t>Bank &amp; Cash:BAHL # 15014</t>
  </si>
  <si>
    <t>Bank &amp; Cash:Petty Cash</t>
  </si>
  <si>
    <t>Bank &amp; Cash:PR Bank</t>
  </si>
  <si>
    <t>Debit</t>
  </si>
  <si>
    <t>Credit</t>
  </si>
  <si>
    <t>Appliances</t>
  </si>
  <si>
    <t>Accumulated Depreciation</t>
  </si>
  <si>
    <t>Provisions:License and Permit</t>
  </si>
  <si>
    <t>WithHolding Tax - Contribution:WHT-SST</t>
  </si>
  <si>
    <t>WithHolding Tax - Contribution:EOBI - Contribution</t>
  </si>
  <si>
    <t>WithHolding Tax - Contribution:Payroll - WHT Sec(149)</t>
  </si>
  <si>
    <t>WithHolding Tax - Contribution:Purchase of Goods - WHT</t>
  </si>
  <si>
    <t>Loan from Elevation Venture</t>
  </si>
  <si>
    <t>Murtaza Haider</t>
  </si>
  <si>
    <t>Paid up Capital</t>
  </si>
  <si>
    <t>Retained Earnings</t>
  </si>
  <si>
    <t>Sales - Software:Indoleads</t>
  </si>
  <si>
    <t>Sales - Software:Innova8e</t>
  </si>
  <si>
    <t>Sales - Software:AffiliateGateway</t>
  </si>
  <si>
    <t>Sales - Software:AdmitAd</t>
  </si>
  <si>
    <t>Interest Income:T-Call  # 6915-01-9</t>
  </si>
  <si>
    <t>Interest Income:T-Call  # 5804-01-03</t>
  </si>
  <si>
    <t>Security Expense</t>
  </si>
  <si>
    <t>Delivery Charge</t>
  </si>
  <si>
    <t>Auditor Fees</t>
  </si>
  <si>
    <t>Bank Service Charges</t>
  </si>
  <si>
    <t>Computer and Internet Expenses</t>
  </si>
  <si>
    <t>Computer and Internet Expenses:Atlassian</t>
  </si>
  <si>
    <t>Dues and Subscriptions</t>
  </si>
  <si>
    <t>Meals and Entertainment</t>
  </si>
  <si>
    <t>Miscellaneous Expense</t>
  </si>
  <si>
    <t>Payroll Expenses</t>
  </si>
  <si>
    <t>Payroll Expenses:EOBI - Contribution</t>
  </si>
  <si>
    <t>Payroll Expenses:Incentive</t>
  </si>
  <si>
    <t>Payroll Expenses:Medical Allowance</t>
  </si>
  <si>
    <t>Rent Expense:Rent - WHT FBR Sec (155)</t>
  </si>
  <si>
    <t>Rent Expense:Rent - WHT SRB</t>
  </si>
  <si>
    <t>Travel Expense</t>
  </si>
  <si>
    <t>Utilities:Electricity</t>
  </si>
  <si>
    <t>Utilities:Groceries</t>
  </si>
  <si>
    <t>Utilities:Nestle Water</t>
  </si>
  <si>
    <t>Utilities:Water</t>
  </si>
  <si>
    <t>Other Deduction:Interest WHT # 6915-01-9</t>
  </si>
  <si>
    <t>Other Deduction:Interest WHT # 5804-01-3</t>
  </si>
  <si>
    <t>Unifrom</t>
  </si>
  <si>
    <t>Entertainment</t>
  </si>
  <si>
    <t>Payroll Expenses:Bonus</t>
  </si>
  <si>
    <t>Fuel / Services:Generator Fuel</t>
  </si>
  <si>
    <t>TOTAL</t>
  </si>
  <si>
    <t>FINANCIAL STATEMENTS</t>
  </si>
  <si>
    <t>Depreciation</t>
  </si>
  <si>
    <t>Postage</t>
  </si>
  <si>
    <t>Intangible Assets</t>
  </si>
  <si>
    <t>Long Term Deposit</t>
  </si>
  <si>
    <t>Building - Improvement:Cameras</t>
  </si>
  <si>
    <t>2    Intangible Assets</t>
  </si>
  <si>
    <t>Less: Accumulated Intangible Assets</t>
  </si>
  <si>
    <t>Tenancy Deposit</t>
  </si>
  <si>
    <t>TDR # 3457</t>
  </si>
  <si>
    <t>TDR # 3446</t>
  </si>
  <si>
    <t>Prepayment</t>
  </si>
  <si>
    <t>Investment</t>
  </si>
  <si>
    <t>Receivable from Innovate under cost + 20%</t>
  </si>
  <si>
    <t>SBP Loan</t>
  </si>
  <si>
    <t>Intangible Asset</t>
  </si>
  <si>
    <t>Vehicle:Kia Sportage</t>
  </si>
  <si>
    <t>Vehicle:Bike</t>
  </si>
  <si>
    <t>Vehicle:Changan Van</t>
  </si>
  <si>
    <t>Receivable From Innova8e</t>
  </si>
  <si>
    <t>Advance to CEO</t>
  </si>
  <si>
    <t>Advance to CEO:Loan to Employee:Junaid Gill</t>
  </si>
  <si>
    <t>Advance to CEO:Loan to Employee:Shuja Ur Rehman</t>
  </si>
  <si>
    <t>Advance to CEO:Loan to Employee:Syed Irteza</t>
  </si>
  <si>
    <t>Advance to CEO:Loan to Employee:M Faisal</t>
  </si>
  <si>
    <t>SBP Loan Current</t>
  </si>
  <si>
    <t>Accrued Expense</t>
  </si>
  <si>
    <t>Fuel / Services:Changan Fuel / Services</t>
  </si>
  <si>
    <t>Fuel / Services:KIA Services</t>
  </si>
  <si>
    <t>Fuel / Services:Bike Fuel / Services</t>
  </si>
  <si>
    <t>Legal &amp; Professional Fee:Director Fees</t>
  </si>
  <si>
    <t>Utilities:PTCL / Mobile</t>
  </si>
  <si>
    <t>Advance to CEO:Loan to Employee:Atif Hussain</t>
  </si>
  <si>
    <t>Rent - WHT FBR Sec (155)</t>
  </si>
  <si>
    <t>Google Adwords</t>
  </si>
  <si>
    <t>Advertising Expenses</t>
  </si>
  <si>
    <t>Generator</t>
  </si>
  <si>
    <t>Generrator</t>
  </si>
  <si>
    <t>Loan:8TH Loop Ventures</t>
  </si>
  <si>
    <t>Advance to CEO:Loan to Employee:Rajab Ahmed</t>
  </si>
  <si>
    <t>Sales - Software:Daraz</t>
  </si>
  <si>
    <t>Interest Income:Interest Inome-TDRs</t>
  </si>
  <si>
    <t>Interest Inome-TDRs</t>
  </si>
  <si>
    <t>Telephone Expense</t>
  </si>
  <si>
    <t>Other Deduction:Interest WHT - TDR # 3457</t>
  </si>
  <si>
    <t>Other Deduction:Interest WHT - TDR # 3446</t>
  </si>
  <si>
    <t>Share Application Money</t>
  </si>
  <si>
    <t>Dues and Subscriptions:Seo Expense</t>
  </si>
  <si>
    <t>Amortization</t>
  </si>
  <si>
    <t>Bank Charges</t>
  </si>
  <si>
    <t>Loss on disposal of assets</t>
  </si>
  <si>
    <t>Finance Charges Cost</t>
  </si>
  <si>
    <t>Other Expenses</t>
  </si>
  <si>
    <t>PF Payable</t>
  </si>
  <si>
    <t>Payroll Expenses:Provident Fund</t>
  </si>
  <si>
    <t>Loan:Syed Ali Naqi</t>
  </si>
  <si>
    <t>Office Expenses</t>
  </si>
  <si>
    <t>PF Expense</t>
  </si>
  <si>
    <t>Rent Payable</t>
  </si>
  <si>
    <t>Advance to CEO:Loan to Employee:Jackson</t>
  </si>
  <si>
    <t>Advance to CEO:Loan to Employee:Murtaza Haider</t>
  </si>
  <si>
    <t>Advance to CEO:Loan to Employee:Umer Javed</t>
  </si>
  <si>
    <t>Provident Fund Payable</t>
  </si>
  <si>
    <t>Sales - Software:Brand Reward</t>
  </si>
  <si>
    <t>Sales - Software:Duomai</t>
  </si>
  <si>
    <t>Sales - Software:Trade Doubler</t>
  </si>
  <si>
    <t>Office Expense</t>
  </si>
  <si>
    <t>Fuel / Services:Generator Fuel / Services</t>
  </si>
  <si>
    <t>Supplies</t>
  </si>
  <si>
    <t>Repairs &amp; Maintenance</t>
  </si>
  <si>
    <t>13    OTHER CHARGES</t>
  </si>
  <si>
    <t>Opening Balance</t>
  </si>
  <si>
    <t>Cost + 20%</t>
  </si>
  <si>
    <t>Loan to 8th Loop</t>
  </si>
  <si>
    <t>Advance to CEO:Loan to Employee:Meer Umair Ali</t>
  </si>
  <si>
    <t>Advance to CEO:Loan to Employee:Ammar Ali</t>
  </si>
  <si>
    <t>Business Tax</t>
  </si>
  <si>
    <t>Accrued Markup On TDR</t>
  </si>
  <si>
    <t>Accrued Expense:Provision For Taxation</t>
  </si>
  <si>
    <t>Share Premium/Share Application Money</t>
  </si>
  <si>
    <t>Accrued Expense:Accrued Interest</t>
  </si>
  <si>
    <t>Accrued Expense:Grant Thornton (G.T)</t>
  </si>
  <si>
    <t>Dues and Subscriptions:Bluehost</t>
  </si>
  <si>
    <t>Dues and Subscriptions:Google SG</t>
  </si>
  <si>
    <t>Dues and Subscriptions:Google Gsuite</t>
  </si>
  <si>
    <t>Accrued Interest</t>
  </si>
  <si>
    <t>Accrued Expenses</t>
  </si>
  <si>
    <t>Loan (Syed Ali Naqi)</t>
  </si>
  <si>
    <t>Advance to CEO:Loan to Employee:Ahsan Ullah</t>
  </si>
  <si>
    <t>Dues and Subscriptions:Linkedin</t>
  </si>
  <si>
    <t>2    Long Term Deposit</t>
  </si>
  <si>
    <t>3   INVESTMENTS</t>
  </si>
  <si>
    <t>4   ADVANCE &amp; PREPAYMENTS</t>
  </si>
  <si>
    <t>5    OTHER RECEIVABLE</t>
  </si>
  <si>
    <t>Accrued markup on short-term investment</t>
  </si>
  <si>
    <t>Short-term loan</t>
  </si>
  <si>
    <t>Authorized Capital  350,000 (2020: 350,000) Ordinary shares of Rs. 100/-</t>
  </si>
  <si>
    <t>Issued, subscribed and paid-up capital</t>
  </si>
  <si>
    <t>Share premium</t>
  </si>
  <si>
    <t>Accumulated profit</t>
  </si>
  <si>
    <t>Advance against equity</t>
  </si>
  <si>
    <t>5   TRADE &amp; OTHER PAYABLES</t>
  </si>
  <si>
    <t>6    RECEIVABLE FROM INNOVA8E</t>
  </si>
  <si>
    <t>7   Interest Income</t>
  </si>
  <si>
    <t>8    OPERATIONAL COST</t>
  </si>
  <si>
    <t>8.1 Salaries &amp; Benefits</t>
  </si>
  <si>
    <t>9    ADMINISTRATIVE COST</t>
  </si>
  <si>
    <t>9.1   Salaries &amp; Benefits</t>
  </si>
  <si>
    <t>10    FINANCE CHARGES</t>
  </si>
  <si>
    <t>Other Receivables:Content Hub</t>
  </si>
  <si>
    <t>Advance Rent</t>
  </si>
  <si>
    <t>Advance to CEO:Loan to Employee:Hashim Raza</t>
  </si>
  <si>
    <t>Advance to CEO:Loan to Employee:Zeeshan</t>
  </si>
  <si>
    <t>Rent - WHT SRB</t>
  </si>
  <si>
    <t>Dues and Subscriptions:Google Asia Pacific</t>
  </si>
  <si>
    <t>Dues and Subscriptions:Google Storage</t>
  </si>
  <si>
    <t>Advances/Loan to Employees</t>
  </si>
  <si>
    <t>WithHolding Tax -Payable</t>
  </si>
  <si>
    <t>Dues &amp; Subscriptions</t>
  </si>
  <si>
    <t>AS AT MARCH 31, 2022</t>
  </si>
  <si>
    <t>MARCH</t>
  </si>
  <si>
    <t>Mar 31, 22</t>
  </si>
  <si>
    <t>Vehicle:Hilux Revo</t>
  </si>
  <si>
    <r>
      <t xml:space="preserve">2   CASH AND BANK BALANCES </t>
    </r>
    <r>
      <rPr>
        <sz val="10"/>
        <rFont val="Arial Narrow"/>
        <family val="2"/>
      </rPr>
      <t>With banks:</t>
    </r>
  </si>
  <si>
    <t>Advance to CEO:Loan to Employee:Amin Khan</t>
  </si>
  <si>
    <t>First Habib Modarba</t>
  </si>
  <si>
    <t>Sales - Software:Ali Express</t>
  </si>
  <si>
    <t>Syed Ali Naqi.</t>
  </si>
  <si>
    <t>First Habib Modaraba</t>
  </si>
  <si>
    <t>FOR NINE MONTHS ENDED MARCH 31, 2022</t>
  </si>
  <si>
    <t>FOR THE PERIOD ENDED MARCH 31, 2022</t>
  </si>
  <si>
    <t>Revenue (Cost + 20%)</t>
  </si>
  <si>
    <t>Entity Name</t>
  </si>
  <si>
    <t>Period</t>
  </si>
  <si>
    <t>ENTITY NAME</t>
  </si>
  <si>
    <t>GROSS COSTS</t>
  </si>
  <si>
    <t>Payroll</t>
  </si>
  <si>
    <t>ABC</t>
  </si>
  <si>
    <t>XYZ</t>
  </si>
  <si>
    <t>GROSS PROFIT</t>
  </si>
  <si>
    <t>Profit / Loss for the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</si>
</sst>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.0_);_(* \(#,##0.0\);_(* &quot;-&quot;??_);_(@_)"/>
    <numFmt numFmtId="166" formatCode="_(* #,##0_);_(* \(#,##0\);_(* &quot;-&quot;??_);_(@_)"/>
    <numFmt numFmtId="167" formatCode="#,##0.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10"/>
      <name val="Arial"/>
      <family val="2"/>
    </font>
    <font>
      <sz val="11"/>
      <color theme="1"/>
      <name val="Arial Black"/>
      <family val="2"/>
    </font>
    <font>
      <sz val="18"/>
      <color indexed="8"/>
      <name val="Calibri"/>
      <family val="2"/>
    </font>
    <font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9"/>
      <color theme="1"/>
      <name val="Arial Narrow"/>
      <family val="2"/>
    </font>
    <font>
      <sz val="10"/>
      <color theme="1"/>
      <name val="Arial Narrow"/>
      <family val="2"/>
    </font>
    <font>
      <sz val="9"/>
      <color theme="1"/>
      <name val="Arial Narrow"/>
      <family val="2"/>
    </font>
    <font>
      <sz val="9"/>
      <name val="Arial Narrow"/>
      <family val="2"/>
    </font>
    <font>
      <sz val="9"/>
      <color rgb="FFFF0000"/>
      <name val="Arial Narrow"/>
      <family val="2"/>
    </font>
    <font>
      <b/>
      <sz val="11"/>
      <color theme="1"/>
      <name val="Arial Narrow"/>
      <family val="2"/>
    </font>
    <font>
      <b/>
      <sz val="10"/>
      <color theme="1"/>
      <name val="Arial Narrow"/>
      <family val="2"/>
    </font>
    <font>
      <sz val="10"/>
      <name val="Arial Narrow"/>
      <family val="2"/>
    </font>
    <font>
      <sz val="10"/>
      <color rgb="FFFF0000"/>
      <name val="Arial Narrow"/>
      <family val="2"/>
    </font>
    <font>
      <b/>
      <sz val="11"/>
      <name val="Arial Narrow"/>
      <family val="2"/>
    </font>
    <font>
      <b/>
      <sz val="10"/>
      <name val="Arial Narrow"/>
      <family val="2"/>
    </font>
    <font>
      <b/>
      <sz val="9"/>
      <color rgb="FF000000"/>
      <name val="Arial Narrow"/>
      <family val="2"/>
    </font>
    <font>
      <sz val="9"/>
      <color rgb="FF000000"/>
      <name val="Arial Narrow"/>
      <family val="2"/>
    </font>
    <font>
      <b/>
      <sz val="9"/>
      <color rgb="FFFF0000"/>
      <name val="Arial Narrow"/>
      <family val="2"/>
    </font>
    <font>
      <b/>
      <sz val="9"/>
      <name val="Arial Narrow"/>
      <family val="2"/>
    </font>
    <font>
      <sz val="8"/>
      <name val="Arial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4" fillId="0" borderId="0"/>
  </cellStyleXfs>
  <cellXfs count="139">
    <xf numFmtId="0" fontId="0" fillId="0" borderId="0" xfId="0"/>
    <xf numFmtId="49" fontId="2" fillId="0" borderId="0" xfId="0" applyNumberFormat="1" applyFont="1"/>
    <xf numFmtId="49" fontId="0" fillId="0" borderId="7" xfId="0" applyNumberFormat="1" applyBorder="1" applyAlignment="1">
      <alignment horizontal="centerContinuous"/>
    </xf>
    <xf numFmtId="49" fontId="2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0" xfId="4" applyFont="1"/>
    <xf numFmtId="0" fontId="6" fillId="0" borderId="0" xfId="4" applyFont="1"/>
    <xf numFmtId="0" fontId="5" fillId="0" borderId="0" xfId="4" applyFont="1"/>
    <xf numFmtId="0" fontId="0" fillId="0" borderId="0" xfId="0" applyAlignment="1">
      <alignment horizontal="center"/>
    </xf>
    <xf numFmtId="0" fontId="2" fillId="0" borderId="0" xfId="0" applyFont="1"/>
    <xf numFmtId="0" fontId="7" fillId="0" borderId="0" xfId="4" applyFont="1"/>
    <xf numFmtId="49" fontId="8" fillId="0" borderId="0" xfId="0" applyNumberFormat="1" applyFont="1"/>
    <xf numFmtId="0" fontId="10" fillId="0" borderId="0" xfId="0" applyFont="1" applyAlignment="1">
      <alignment vertical="center"/>
    </xf>
    <xf numFmtId="3" fontId="16" fillId="0" borderId="2" xfId="0" applyNumberFormat="1" applyFont="1" applyBorder="1" applyAlignment="1">
      <alignment horizontal="right" vertical="center"/>
    </xf>
    <xf numFmtId="3" fontId="16" fillId="0" borderId="4" xfId="0" applyNumberFormat="1" applyFont="1" applyBorder="1" applyAlignment="1">
      <alignment horizontal="right" vertical="center"/>
    </xf>
    <xf numFmtId="3" fontId="16" fillId="0" borderId="0" xfId="0" applyNumberFormat="1" applyFont="1" applyAlignment="1">
      <alignment horizontal="right" vertical="center"/>
    </xf>
    <xf numFmtId="3" fontId="16" fillId="0" borderId="6" xfId="0" applyNumberFormat="1" applyFont="1" applyBorder="1" applyAlignment="1">
      <alignment horizontal="right" vertical="center"/>
    </xf>
    <xf numFmtId="166" fontId="16" fillId="0" borderId="0" xfId="1" applyNumberFormat="1" applyFont="1" applyAlignment="1">
      <alignment vertical="center"/>
    </xf>
    <xf numFmtId="166" fontId="10" fillId="0" borderId="0" xfId="1" applyNumberFormat="1" applyFont="1" applyBorder="1" applyAlignment="1">
      <alignment vertical="center"/>
    </xf>
    <xf numFmtId="166" fontId="16" fillId="0" borderId="0" xfId="1" applyNumberFormat="1" applyFont="1" applyBorder="1" applyAlignment="1">
      <alignment vertical="center"/>
    </xf>
    <xf numFmtId="166" fontId="16" fillId="0" borderId="2" xfId="1" applyNumberFormat="1" applyFont="1" applyBorder="1" applyAlignment="1">
      <alignment horizontal="right" vertical="center"/>
    </xf>
    <xf numFmtId="3" fontId="16" fillId="0" borderId="3" xfId="0" applyNumberFormat="1" applyFont="1" applyBorder="1" applyAlignment="1">
      <alignment horizontal="right" vertical="center"/>
    </xf>
    <xf numFmtId="166" fontId="16" fillId="0" borderId="3" xfId="1" applyNumberFormat="1" applyFont="1" applyBorder="1" applyAlignment="1">
      <alignment horizontal="right" vertical="center"/>
    </xf>
    <xf numFmtId="166" fontId="16" fillId="0" borderId="4" xfId="1" applyNumberFormat="1" applyFont="1" applyBorder="1" applyAlignment="1">
      <alignment horizontal="right" vertical="center"/>
    </xf>
    <xf numFmtId="166" fontId="10" fillId="0" borderId="5" xfId="1" applyNumberFormat="1" applyFont="1" applyBorder="1" applyAlignment="1">
      <alignment horizontal="right" vertical="center"/>
    </xf>
    <xf numFmtId="166" fontId="16" fillId="0" borderId="5" xfId="1" applyNumberFormat="1" applyFont="1" applyBorder="1" applyAlignment="1">
      <alignment horizontal="right" vertical="center"/>
    </xf>
    <xf numFmtId="0" fontId="10" fillId="0" borderId="0" xfId="0" applyFont="1"/>
    <xf numFmtId="166" fontId="10" fillId="0" borderId="2" xfId="1" applyNumberFormat="1" applyFont="1" applyBorder="1" applyAlignment="1">
      <alignment horizontal="right" vertical="center"/>
    </xf>
    <xf numFmtId="166" fontId="10" fillId="0" borderId="0" xfId="1" applyNumberFormat="1" applyFont="1" applyBorder="1" applyAlignment="1">
      <alignment horizontal="right" vertical="center"/>
    </xf>
    <xf numFmtId="166" fontId="10" fillId="0" borderId="4" xfId="1" applyNumberFormat="1" applyFont="1" applyBorder="1" applyAlignment="1">
      <alignment horizontal="right" vertical="center"/>
    </xf>
    <xf numFmtId="166" fontId="16" fillId="0" borderId="0" xfId="1" applyNumberFormat="1" applyFont="1" applyBorder="1" applyAlignment="1">
      <alignment horizontal="right" vertical="center"/>
    </xf>
    <xf numFmtId="166" fontId="10" fillId="0" borderId="3" xfId="1" applyNumberFormat="1" applyFont="1" applyBorder="1" applyAlignment="1">
      <alignment horizontal="right" vertical="center"/>
    </xf>
    <xf numFmtId="166" fontId="16" fillId="0" borderId="0" xfId="1" applyNumberFormat="1" applyFont="1"/>
    <xf numFmtId="0" fontId="15" fillId="0" borderId="0" xfId="0" applyFont="1"/>
    <xf numFmtId="166" fontId="10" fillId="0" borderId="0" xfId="1" applyNumberFormat="1" applyFont="1" applyBorder="1"/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166" fontId="10" fillId="0" borderId="0" xfId="1" applyNumberFormat="1" applyFont="1" applyFill="1" applyBorder="1" applyAlignment="1">
      <alignment horizontal="right" vertical="center"/>
    </xf>
    <xf numFmtId="166" fontId="10" fillId="0" borderId="0" xfId="0" applyNumberFormat="1" applyFont="1"/>
    <xf numFmtId="164" fontId="10" fillId="0" borderId="0" xfId="1" applyFont="1" applyBorder="1"/>
    <xf numFmtId="0" fontId="15" fillId="0" borderId="0" xfId="0" applyFont="1" applyAlignment="1">
      <alignment horizontal="left" vertical="center"/>
    </xf>
    <xf numFmtId="166" fontId="10" fillId="0" borderId="0" xfId="1" applyNumberFormat="1" applyFont="1" applyBorder="1" applyAlignment="1"/>
    <xf numFmtId="164" fontId="17" fillId="0" borderId="0" xfId="1" applyFont="1" applyBorder="1"/>
    <xf numFmtId="166" fontId="10" fillId="0" borderId="6" xfId="1" applyNumberFormat="1" applyFont="1" applyBorder="1" applyAlignment="1">
      <alignment horizontal="right" vertical="center"/>
    </xf>
    <xf numFmtId="3" fontId="10" fillId="0" borderId="5" xfId="0" applyNumberFormat="1" applyFont="1" applyBorder="1" applyAlignment="1">
      <alignment horizontal="right" vertical="center"/>
    </xf>
    <xf numFmtId="166" fontId="10" fillId="0" borderId="0" xfId="1" applyNumberFormat="1" applyFont="1" applyFill="1" applyBorder="1"/>
    <xf numFmtId="164" fontId="10" fillId="0" borderId="0" xfId="1" applyFont="1" applyBorder="1" applyAlignment="1">
      <alignment horizontal="right" vertical="center"/>
    </xf>
    <xf numFmtId="165" fontId="10" fillId="0" borderId="0" xfId="1" applyNumberFormat="1" applyFont="1" applyBorder="1" applyAlignment="1">
      <alignment horizontal="right" vertical="center"/>
    </xf>
    <xf numFmtId="0" fontId="11" fillId="0" borderId="0" xfId="0" applyFont="1"/>
    <xf numFmtId="0" fontId="9" fillId="0" borderId="0" xfId="0" applyFont="1"/>
    <xf numFmtId="49" fontId="20" fillId="0" borderId="0" xfId="0" applyNumberFormat="1" applyFont="1"/>
    <xf numFmtId="49" fontId="20" fillId="0" borderId="0" xfId="0" applyNumberFormat="1" applyFont="1" applyAlignment="1">
      <alignment horizontal="centerContinuous"/>
    </xf>
    <xf numFmtId="49" fontId="9" fillId="0" borderId="0" xfId="0" applyNumberFormat="1" applyFont="1" applyAlignment="1">
      <alignment horizontal="centerContinuous"/>
    </xf>
    <xf numFmtId="49" fontId="20" fillId="0" borderId="0" xfId="0" applyNumberFormat="1" applyFont="1" applyAlignment="1">
      <alignment horizontal="center"/>
    </xf>
    <xf numFmtId="49" fontId="20" fillId="0" borderId="10" xfId="0" applyNumberFormat="1" applyFont="1" applyBorder="1" applyAlignment="1">
      <alignment horizontal="center"/>
    </xf>
    <xf numFmtId="49" fontId="20" fillId="0" borderId="8" xfId="0" applyNumberFormat="1" applyFont="1" applyBorder="1" applyAlignment="1">
      <alignment horizontal="center"/>
    </xf>
    <xf numFmtId="49" fontId="21" fillId="0" borderId="0" xfId="0" applyNumberFormat="1" applyFont="1"/>
    <xf numFmtId="166" fontId="20" fillId="0" borderId="0" xfId="1" applyNumberFormat="1" applyFont="1" applyFill="1"/>
    <xf numFmtId="0" fontId="22" fillId="0" borderId="0" xfId="0" applyFont="1"/>
    <xf numFmtId="166" fontId="22" fillId="2" borderId="0" xfId="1" applyNumberFormat="1" applyFont="1" applyFill="1"/>
    <xf numFmtId="166" fontId="22" fillId="0" borderId="0" xfId="1" applyNumberFormat="1" applyFont="1" applyBorder="1"/>
    <xf numFmtId="49" fontId="12" fillId="0" borderId="0" xfId="0" applyNumberFormat="1" applyFont="1"/>
    <xf numFmtId="0" fontId="16" fillId="0" borderId="0" xfId="0" applyFont="1" applyAlignment="1">
      <alignment vertical="center"/>
    </xf>
    <xf numFmtId="166" fontId="16" fillId="0" borderId="4" xfId="1" applyNumberFormat="1" applyFont="1" applyFill="1" applyBorder="1" applyAlignment="1">
      <alignment horizontal="right" vertical="center"/>
    </xf>
    <xf numFmtId="166" fontId="16" fillId="0" borderId="0" xfId="1" applyNumberFormat="1" applyFont="1" applyAlignment="1">
      <alignment horizontal="right" vertical="center"/>
    </xf>
    <xf numFmtId="49" fontId="2" fillId="0" borderId="0" xfId="0" applyNumberFormat="1" applyFont="1" applyAlignment="1">
      <alignment horizontal="centerContinuous"/>
    </xf>
    <xf numFmtId="49" fontId="0" fillId="0" borderId="0" xfId="0" applyNumberFormat="1" applyAlignment="1">
      <alignment horizontal="centerContinuous"/>
    </xf>
    <xf numFmtId="49" fontId="2" fillId="0" borderId="8" xfId="0" applyNumberFormat="1" applyFont="1" applyBorder="1" applyAlignment="1">
      <alignment horizontal="center"/>
    </xf>
    <xf numFmtId="39" fontId="8" fillId="0" borderId="0" xfId="0" applyNumberFormat="1" applyFont="1"/>
    <xf numFmtId="39" fontId="2" fillId="0" borderId="9" xfId="0" applyNumberFormat="1" applyFont="1" applyBorder="1"/>
    <xf numFmtId="0" fontId="19" fillId="0" borderId="0" xfId="0" applyFont="1" applyAlignment="1">
      <alignment horizontal="center" vertical="center"/>
    </xf>
    <xf numFmtId="0" fontId="16" fillId="0" borderId="0" xfId="0" applyFont="1"/>
    <xf numFmtId="166" fontId="16" fillId="0" borderId="0" xfId="1" applyNumberFormat="1" applyFont="1" applyAlignment="1"/>
    <xf numFmtId="0" fontId="19" fillId="0" borderId="0" xfId="0" applyFont="1" applyAlignment="1">
      <alignment horizontal="right" vertical="center"/>
    </xf>
    <xf numFmtId="0" fontId="19" fillId="0" borderId="0" xfId="0" applyFont="1" applyAlignment="1">
      <alignment vertical="center"/>
    </xf>
    <xf numFmtId="0" fontId="16" fillId="0" borderId="0" xfId="0" applyFont="1" applyAlignment="1">
      <alignment horizontal="right" vertical="center"/>
    </xf>
    <xf numFmtId="166" fontId="16" fillId="0" borderId="0" xfId="0" applyNumberFormat="1" applyFont="1"/>
    <xf numFmtId="166" fontId="16" fillId="0" borderId="5" xfId="1" applyNumberFormat="1" applyFont="1" applyBorder="1" applyAlignment="1">
      <alignment horizontal="center" vertical="center"/>
    </xf>
    <xf numFmtId="166" fontId="16" fillId="0" borderId="0" xfId="1" applyNumberFormat="1" applyFont="1" applyBorder="1" applyAlignment="1">
      <alignment horizontal="center" vertical="center"/>
    </xf>
    <xf numFmtId="166" fontId="16" fillId="0" borderId="1" xfId="1" applyNumberFormat="1" applyFont="1" applyBorder="1" applyAlignment="1">
      <alignment vertical="center"/>
    </xf>
    <xf numFmtId="166" fontId="16" fillId="0" borderId="5" xfId="1" applyNumberFormat="1" applyFont="1" applyBorder="1" applyAlignment="1">
      <alignment vertical="center"/>
    </xf>
    <xf numFmtId="0" fontId="16" fillId="0" borderId="0" xfId="0" applyFont="1" applyAlignment="1">
      <alignment vertical="center" wrapText="1"/>
    </xf>
    <xf numFmtId="166" fontId="19" fillId="0" borderId="0" xfId="1" applyNumberFormat="1" applyFont="1" applyBorder="1" applyAlignment="1">
      <alignment vertical="center"/>
    </xf>
    <xf numFmtId="166" fontId="16" fillId="0" borderId="0" xfId="1" applyNumberFormat="1" applyFont="1" applyFill="1" applyBorder="1" applyAlignment="1">
      <alignment horizontal="right" vertical="center"/>
    </xf>
    <xf numFmtId="166" fontId="16" fillId="0" borderId="6" xfId="1" applyNumberFormat="1" applyFont="1" applyBorder="1" applyAlignment="1">
      <alignment horizontal="right" vertical="center"/>
    </xf>
    <xf numFmtId="166" fontId="16" fillId="0" borderId="11" xfId="1" applyNumberFormat="1" applyFont="1" applyBorder="1" applyAlignment="1">
      <alignment horizontal="right" vertical="center"/>
    </xf>
    <xf numFmtId="167" fontId="0" fillId="0" borderId="0" xfId="0" applyNumberFormat="1"/>
    <xf numFmtId="166" fontId="22" fillId="0" borderId="4" xfId="1" applyNumberFormat="1" applyFont="1" applyBorder="1"/>
    <xf numFmtId="0" fontId="13" fillId="0" borderId="0" xfId="0" applyFont="1"/>
    <xf numFmtId="0" fontId="23" fillId="0" borderId="0" xfId="0" applyFont="1"/>
    <xf numFmtId="166" fontId="23" fillId="2" borderId="0" xfId="1" applyNumberFormat="1" applyFont="1" applyFill="1"/>
    <xf numFmtId="166" fontId="23" fillId="0" borderId="0" xfId="1" applyNumberFormat="1" applyFont="1" applyBorder="1"/>
    <xf numFmtId="166" fontId="23" fillId="0" borderId="0" xfId="1" applyNumberFormat="1" applyFont="1"/>
    <xf numFmtId="39" fontId="22" fillId="0" borderId="3" xfId="0" applyNumberFormat="1" applyFont="1" applyBorder="1"/>
    <xf numFmtId="164" fontId="10" fillId="0" borderId="0" xfId="0" applyNumberFormat="1" applyFont="1"/>
    <xf numFmtId="166" fontId="23" fillId="2" borderId="0" xfId="1" applyNumberFormat="1" applyFont="1" applyFill="1" applyBorder="1"/>
    <xf numFmtId="166" fontId="16" fillId="0" borderId="2" xfId="1" applyNumberFormat="1" applyFont="1" applyFill="1" applyBorder="1" applyAlignment="1">
      <alignment horizontal="right" vertical="center"/>
    </xf>
    <xf numFmtId="166" fontId="16" fillId="0" borderId="3" xfId="1" applyNumberFormat="1" applyFont="1" applyFill="1" applyBorder="1" applyAlignment="1">
      <alignment horizontal="right" vertical="center"/>
    </xf>
    <xf numFmtId="166" fontId="24" fillId="0" borderId="2" xfId="1" applyNumberFormat="1" applyFont="1" applyBorder="1"/>
    <xf numFmtId="166" fontId="24" fillId="0" borderId="3" xfId="1" applyNumberFormat="1" applyFont="1" applyBorder="1"/>
    <xf numFmtId="166" fontId="24" fillId="0" borderId="0" xfId="1" applyNumberFormat="1" applyFont="1" applyBorder="1"/>
    <xf numFmtId="166" fontId="24" fillId="2" borderId="4" xfId="1" applyNumberFormat="1" applyFont="1" applyFill="1" applyBorder="1"/>
    <xf numFmtId="166" fontId="24" fillId="0" borderId="3" xfId="1" applyNumberFormat="1" applyFont="1" applyFill="1" applyBorder="1"/>
    <xf numFmtId="0" fontId="16" fillId="0" borderId="0" xfId="0" applyFont="1" applyAlignment="1">
      <alignment horizontal="left" vertical="center" indent="2"/>
    </xf>
    <xf numFmtId="0" fontId="19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 indent="3"/>
    </xf>
    <xf numFmtId="0" fontId="16" fillId="0" borderId="0" xfId="0" applyFont="1" applyAlignment="1">
      <alignment horizontal="left" vertical="center" indent="1"/>
    </xf>
    <xf numFmtId="0" fontId="16" fillId="0" borderId="0" xfId="0" applyFont="1" applyAlignment="1">
      <alignment horizontal="left" vertical="center"/>
    </xf>
    <xf numFmtId="166" fontId="12" fillId="0" borderId="0" xfId="1" applyNumberFormat="1" applyFont="1" applyBorder="1"/>
    <xf numFmtId="166" fontId="24" fillId="2" borderId="3" xfId="1" applyNumberFormat="1" applyFont="1" applyFill="1" applyBorder="1"/>
    <xf numFmtId="166" fontId="12" fillId="0" borderId="0" xfId="1" applyNumberFormat="1" applyFont="1"/>
    <xf numFmtId="166" fontId="24" fillId="2" borderId="2" xfId="1" applyNumberFormat="1" applyFont="1" applyFill="1" applyBorder="1"/>
    <xf numFmtId="166" fontId="24" fillId="0" borderId="4" xfId="1" applyNumberFormat="1" applyFont="1" applyBorder="1"/>
    <xf numFmtId="39" fontId="24" fillId="0" borderId="2" xfId="0" applyNumberFormat="1" applyFont="1" applyBorder="1"/>
    <xf numFmtId="166" fontId="15" fillId="0" borderId="0" xfId="1" applyNumberFormat="1" applyFont="1" applyBorder="1"/>
    <xf numFmtId="39" fontId="24" fillId="0" borderId="3" xfId="0" applyNumberFormat="1" applyFont="1" applyBorder="1"/>
    <xf numFmtId="39" fontId="24" fillId="0" borderId="4" xfId="0" applyNumberFormat="1" applyFont="1" applyBorder="1"/>
    <xf numFmtId="166" fontId="19" fillId="0" borderId="0" xfId="1" applyNumberFormat="1" applyFont="1" applyBorder="1"/>
    <xf numFmtId="166" fontId="25" fillId="0" borderId="0" xfId="1" applyNumberFormat="1" applyFont="1"/>
    <xf numFmtId="166" fontId="12" fillId="2" borderId="0" xfId="1" applyNumberFormat="1" applyFont="1" applyFill="1"/>
    <xf numFmtId="166" fontId="10" fillId="0" borderId="4" xfId="0" applyNumberFormat="1" applyFont="1" applyBorder="1"/>
    <xf numFmtId="0" fontId="10" fillId="0" borderId="4" xfId="0" applyFont="1" applyBorder="1"/>
    <xf numFmtId="166" fontId="12" fillId="2" borderId="0" xfId="1" applyNumberFormat="1" applyFont="1" applyFill="1" applyBorder="1"/>
    <xf numFmtId="166" fontId="12" fillId="0" borderId="9" xfId="1" applyNumberFormat="1" applyFont="1" applyBorder="1"/>
    <xf numFmtId="166" fontId="0" fillId="0" borderId="0" xfId="1" applyNumberFormat="1" applyFont="1"/>
    <xf numFmtId="0" fontId="16" fillId="0" borderId="0" xfId="0" applyFont="1" applyAlignment="1">
      <alignment horizontal="center" vertical="center"/>
    </xf>
    <xf numFmtId="166" fontId="16" fillId="0" borderId="2" xfId="1" applyNumberFormat="1" applyFont="1" applyBorder="1" applyAlignment="1">
      <alignment vertical="center"/>
    </xf>
    <xf numFmtId="166" fontId="16" fillId="0" borderId="4" xfId="1" applyNumberFormat="1" applyFont="1" applyBorder="1" applyAlignment="1">
      <alignment vertical="center"/>
    </xf>
    <xf numFmtId="166" fontId="16" fillId="0" borderId="0" xfId="1" applyNumberFormat="1" applyFont="1" applyAlignment="1">
      <alignment horizontal="center" vertical="center"/>
    </xf>
    <xf numFmtId="166" fontId="16" fillId="0" borderId="6" xfId="1" applyNumberFormat="1" applyFont="1" applyBorder="1" applyAlignment="1">
      <alignment vertical="center"/>
    </xf>
    <xf numFmtId="3" fontId="16" fillId="0" borderId="0" xfId="0" applyNumberFormat="1" applyFont="1"/>
    <xf numFmtId="4" fontId="0" fillId="0" borderId="0" xfId="0" applyNumberFormat="1"/>
    <xf numFmtId="4" fontId="2" fillId="0" borderId="0" xfId="0" applyNumberFormat="1" applyFont="1"/>
    <xf numFmtId="3" fontId="16" fillId="0" borderId="0" xfId="0" applyNumberFormat="1" applyFont="1" applyAlignment="1">
      <alignment vertical="center"/>
    </xf>
    <xf numFmtId="3" fontId="16" fillId="0" borderId="12" xfId="0" applyNumberFormat="1" applyFont="1" applyBorder="1" applyAlignment="1">
      <alignment horizontal="right" vertical="center"/>
    </xf>
    <xf numFmtId="0" fontId="5" fillId="0" borderId="0" xfId="4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5">
    <cellStyle name="Comma" xfId="1" builtinId="3"/>
    <cellStyle name="Comma 7" xfId="3" xr:uid="{00000000-0005-0000-0000-000001000000}"/>
    <cellStyle name="Normal" xfId="0" builtinId="0"/>
    <cellStyle name="Normal 11" xfId="4" xr:uid="{00000000-0005-0000-0000-000003000000}"/>
    <cellStyle name="Normal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716280</xdr:colOff>
          <xdr:row>1</xdr:row>
          <xdr:rowOff>30480</xdr:rowOff>
        </xdr:to>
        <xdr:sp macro="" textlink="">
          <xdr:nvSpPr>
            <xdr:cNvPr id="12289" name="FILTER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6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716280</xdr:colOff>
          <xdr:row>1</xdr:row>
          <xdr:rowOff>30480</xdr:rowOff>
        </xdr:to>
        <xdr:sp macro="" textlink="">
          <xdr:nvSpPr>
            <xdr:cNvPr id="12290" name="HEADER" hidden="1">
              <a:extLst>
                <a:ext uri="{63B3BB69-23CF-44E3-9099-C40C66FF867C}">
                  <a14:compatExt spid="_x0000_s12290"/>
                </a:ext>
                <a:ext uri="{FF2B5EF4-FFF2-40B4-BE49-F238E27FC236}">
                  <a16:creationId xmlns:a16="http://schemas.microsoft.com/office/drawing/2014/main" id="{00000000-0008-0000-0600-00000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hulam.ibrahim/Downloads/VA8ive_Statements-Jun,2020_15-07-2020%20(SRK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Sheet"/>
      <sheetName val="BS"/>
      <sheetName val="PnL"/>
      <sheetName val="Cash Flow"/>
      <sheetName val="Notes"/>
      <sheetName val="Va8ive (2)"/>
      <sheetName val="Va8ive"/>
    </sheetNames>
    <sheetDataSet>
      <sheetData sheetId="0"/>
      <sheetData sheetId="1"/>
      <sheetData sheetId="2"/>
      <sheetData sheetId="3"/>
      <sheetData sheetId="4">
        <row r="196">
          <cell r="C196">
            <v>0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0:H19"/>
  <sheetViews>
    <sheetView showGridLines="0" showRowColHeaders="0" tabSelected="1" view="pageBreakPreview" topLeftCell="A2" zoomScaleNormal="100" zoomScaleSheetLayoutView="100" workbookViewId="0">
      <selection activeCell="A20" sqref="A20"/>
    </sheetView>
  </sheetViews>
  <sheetFormatPr defaultRowHeight="14.4" x14ac:dyDescent="0.3"/>
  <cols>
    <col min="1" max="4" width="9.109375" style="5"/>
    <col min="5" max="5" width="16" style="5" customWidth="1"/>
    <col min="6" max="6" width="13.44140625" style="5" customWidth="1"/>
    <col min="7" max="7" width="9.109375" style="5"/>
    <col min="8" max="8" width="9.109375" style="5" customWidth="1"/>
    <col min="9" max="260" width="9.109375" style="5"/>
    <col min="261" max="261" width="16" style="5" customWidth="1"/>
    <col min="262" max="262" width="13.44140625" style="5" customWidth="1"/>
    <col min="263" max="263" width="9.109375" style="5"/>
    <col min="264" max="264" width="9.109375" style="5" customWidth="1"/>
    <col min="265" max="516" width="9.109375" style="5"/>
    <col min="517" max="517" width="16" style="5" customWidth="1"/>
    <col min="518" max="518" width="13.44140625" style="5" customWidth="1"/>
    <col min="519" max="519" width="9.109375" style="5"/>
    <col min="520" max="520" width="9.109375" style="5" customWidth="1"/>
    <col min="521" max="772" width="9.109375" style="5"/>
    <col min="773" max="773" width="16" style="5" customWidth="1"/>
    <col min="774" max="774" width="13.44140625" style="5" customWidth="1"/>
    <col min="775" max="775" width="9.109375" style="5"/>
    <col min="776" max="776" width="9.109375" style="5" customWidth="1"/>
    <col min="777" max="1028" width="9.109375" style="5"/>
    <col min="1029" max="1029" width="16" style="5" customWidth="1"/>
    <col min="1030" max="1030" width="13.44140625" style="5" customWidth="1"/>
    <col min="1031" max="1031" width="9.109375" style="5"/>
    <col min="1032" max="1032" width="9.109375" style="5" customWidth="1"/>
    <col min="1033" max="1284" width="9.109375" style="5"/>
    <col min="1285" max="1285" width="16" style="5" customWidth="1"/>
    <col min="1286" max="1286" width="13.44140625" style="5" customWidth="1"/>
    <col min="1287" max="1287" width="9.109375" style="5"/>
    <col min="1288" max="1288" width="9.109375" style="5" customWidth="1"/>
    <col min="1289" max="1540" width="9.109375" style="5"/>
    <col min="1541" max="1541" width="16" style="5" customWidth="1"/>
    <col min="1542" max="1542" width="13.44140625" style="5" customWidth="1"/>
    <col min="1543" max="1543" width="9.109375" style="5"/>
    <col min="1544" max="1544" width="9.109375" style="5" customWidth="1"/>
    <col min="1545" max="1796" width="9.109375" style="5"/>
    <col min="1797" max="1797" width="16" style="5" customWidth="1"/>
    <col min="1798" max="1798" width="13.44140625" style="5" customWidth="1"/>
    <col min="1799" max="1799" width="9.109375" style="5"/>
    <col min="1800" max="1800" width="9.109375" style="5" customWidth="1"/>
    <col min="1801" max="2052" width="9.109375" style="5"/>
    <col min="2053" max="2053" width="16" style="5" customWidth="1"/>
    <col min="2054" max="2054" width="13.44140625" style="5" customWidth="1"/>
    <col min="2055" max="2055" width="9.109375" style="5"/>
    <col min="2056" max="2056" width="9.109375" style="5" customWidth="1"/>
    <col min="2057" max="2308" width="9.109375" style="5"/>
    <col min="2309" max="2309" width="16" style="5" customWidth="1"/>
    <col min="2310" max="2310" width="13.44140625" style="5" customWidth="1"/>
    <col min="2311" max="2311" width="9.109375" style="5"/>
    <col min="2312" max="2312" width="9.109375" style="5" customWidth="1"/>
    <col min="2313" max="2564" width="9.109375" style="5"/>
    <col min="2565" max="2565" width="16" style="5" customWidth="1"/>
    <col min="2566" max="2566" width="13.44140625" style="5" customWidth="1"/>
    <col min="2567" max="2567" width="9.109375" style="5"/>
    <col min="2568" max="2568" width="9.109375" style="5" customWidth="1"/>
    <col min="2569" max="2820" width="9.109375" style="5"/>
    <col min="2821" max="2821" width="16" style="5" customWidth="1"/>
    <col min="2822" max="2822" width="13.44140625" style="5" customWidth="1"/>
    <col min="2823" max="2823" width="9.109375" style="5"/>
    <col min="2824" max="2824" width="9.109375" style="5" customWidth="1"/>
    <col min="2825" max="3076" width="9.109375" style="5"/>
    <col min="3077" max="3077" width="16" style="5" customWidth="1"/>
    <col min="3078" max="3078" width="13.44140625" style="5" customWidth="1"/>
    <col min="3079" max="3079" width="9.109375" style="5"/>
    <col min="3080" max="3080" width="9.109375" style="5" customWidth="1"/>
    <col min="3081" max="3332" width="9.109375" style="5"/>
    <col min="3333" max="3333" width="16" style="5" customWidth="1"/>
    <col min="3334" max="3334" width="13.44140625" style="5" customWidth="1"/>
    <col min="3335" max="3335" width="9.109375" style="5"/>
    <col min="3336" max="3336" width="9.109375" style="5" customWidth="1"/>
    <col min="3337" max="3588" width="9.109375" style="5"/>
    <col min="3589" max="3589" width="16" style="5" customWidth="1"/>
    <col min="3590" max="3590" width="13.44140625" style="5" customWidth="1"/>
    <col min="3591" max="3591" width="9.109375" style="5"/>
    <col min="3592" max="3592" width="9.109375" style="5" customWidth="1"/>
    <col min="3593" max="3844" width="9.109375" style="5"/>
    <col min="3845" max="3845" width="16" style="5" customWidth="1"/>
    <col min="3846" max="3846" width="13.44140625" style="5" customWidth="1"/>
    <col min="3847" max="3847" width="9.109375" style="5"/>
    <col min="3848" max="3848" width="9.109375" style="5" customWidth="1"/>
    <col min="3849" max="4100" width="9.109375" style="5"/>
    <col min="4101" max="4101" width="16" style="5" customWidth="1"/>
    <col min="4102" max="4102" width="13.44140625" style="5" customWidth="1"/>
    <col min="4103" max="4103" width="9.109375" style="5"/>
    <col min="4104" max="4104" width="9.109375" style="5" customWidth="1"/>
    <col min="4105" max="4356" width="9.109375" style="5"/>
    <col min="4357" max="4357" width="16" style="5" customWidth="1"/>
    <col min="4358" max="4358" width="13.44140625" style="5" customWidth="1"/>
    <col min="4359" max="4359" width="9.109375" style="5"/>
    <col min="4360" max="4360" width="9.109375" style="5" customWidth="1"/>
    <col min="4361" max="4612" width="9.109375" style="5"/>
    <col min="4613" max="4613" width="16" style="5" customWidth="1"/>
    <col min="4614" max="4614" width="13.44140625" style="5" customWidth="1"/>
    <col min="4615" max="4615" width="9.109375" style="5"/>
    <col min="4616" max="4616" width="9.109375" style="5" customWidth="1"/>
    <col min="4617" max="4868" width="9.109375" style="5"/>
    <col min="4869" max="4869" width="16" style="5" customWidth="1"/>
    <col min="4870" max="4870" width="13.44140625" style="5" customWidth="1"/>
    <col min="4871" max="4871" width="9.109375" style="5"/>
    <col min="4872" max="4872" width="9.109375" style="5" customWidth="1"/>
    <col min="4873" max="5124" width="9.109375" style="5"/>
    <col min="5125" max="5125" width="16" style="5" customWidth="1"/>
    <col min="5126" max="5126" width="13.44140625" style="5" customWidth="1"/>
    <col min="5127" max="5127" width="9.109375" style="5"/>
    <col min="5128" max="5128" width="9.109375" style="5" customWidth="1"/>
    <col min="5129" max="5380" width="9.109375" style="5"/>
    <col min="5381" max="5381" width="16" style="5" customWidth="1"/>
    <col min="5382" max="5382" width="13.44140625" style="5" customWidth="1"/>
    <col min="5383" max="5383" width="9.109375" style="5"/>
    <col min="5384" max="5384" width="9.109375" style="5" customWidth="1"/>
    <col min="5385" max="5636" width="9.109375" style="5"/>
    <col min="5637" max="5637" width="16" style="5" customWidth="1"/>
    <col min="5638" max="5638" width="13.44140625" style="5" customWidth="1"/>
    <col min="5639" max="5639" width="9.109375" style="5"/>
    <col min="5640" max="5640" width="9.109375" style="5" customWidth="1"/>
    <col min="5641" max="5892" width="9.109375" style="5"/>
    <col min="5893" max="5893" width="16" style="5" customWidth="1"/>
    <col min="5894" max="5894" width="13.44140625" style="5" customWidth="1"/>
    <col min="5895" max="5895" width="9.109375" style="5"/>
    <col min="5896" max="5896" width="9.109375" style="5" customWidth="1"/>
    <col min="5897" max="6148" width="9.109375" style="5"/>
    <col min="6149" max="6149" width="16" style="5" customWidth="1"/>
    <col min="6150" max="6150" width="13.44140625" style="5" customWidth="1"/>
    <col min="6151" max="6151" width="9.109375" style="5"/>
    <col min="6152" max="6152" width="9.109375" style="5" customWidth="1"/>
    <col min="6153" max="6404" width="9.109375" style="5"/>
    <col min="6405" max="6405" width="16" style="5" customWidth="1"/>
    <col min="6406" max="6406" width="13.44140625" style="5" customWidth="1"/>
    <col min="6407" max="6407" width="9.109375" style="5"/>
    <col min="6408" max="6408" width="9.109375" style="5" customWidth="1"/>
    <col min="6409" max="6660" width="9.109375" style="5"/>
    <col min="6661" max="6661" width="16" style="5" customWidth="1"/>
    <col min="6662" max="6662" width="13.44140625" style="5" customWidth="1"/>
    <col min="6663" max="6663" width="9.109375" style="5"/>
    <col min="6664" max="6664" width="9.109375" style="5" customWidth="1"/>
    <col min="6665" max="6916" width="9.109375" style="5"/>
    <col min="6917" max="6917" width="16" style="5" customWidth="1"/>
    <col min="6918" max="6918" width="13.44140625" style="5" customWidth="1"/>
    <col min="6919" max="6919" width="9.109375" style="5"/>
    <col min="6920" max="6920" width="9.109375" style="5" customWidth="1"/>
    <col min="6921" max="7172" width="9.109375" style="5"/>
    <col min="7173" max="7173" width="16" style="5" customWidth="1"/>
    <col min="7174" max="7174" width="13.44140625" style="5" customWidth="1"/>
    <col min="7175" max="7175" width="9.109375" style="5"/>
    <col min="7176" max="7176" width="9.109375" style="5" customWidth="1"/>
    <col min="7177" max="7428" width="9.109375" style="5"/>
    <col min="7429" max="7429" width="16" style="5" customWidth="1"/>
    <col min="7430" max="7430" width="13.44140625" style="5" customWidth="1"/>
    <col min="7431" max="7431" width="9.109375" style="5"/>
    <col min="7432" max="7432" width="9.109375" style="5" customWidth="1"/>
    <col min="7433" max="7684" width="9.109375" style="5"/>
    <col min="7685" max="7685" width="16" style="5" customWidth="1"/>
    <col min="7686" max="7686" width="13.44140625" style="5" customWidth="1"/>
    <col min="7687" max="7687" width="9.109375" style="5"/>
    <col min="7688" max="7688" width="9.109375" style="5" customWidth="1"/>
    <col min="7689" max="7940" width="9.109375" style="5"/>
    <col min="7941" max="7941" width="16" style="5" customWidth="1"/>
    <col min="7942" max="7942" width="13.44140625" style="5" customWidth="1"/>
    <col min="7943" max="7943" width="9.109375" style="5"/>
    <col min="7944" max="7944" width="9.109375" style="5" customWidth="1"/>
    <col min="7945" max="8196" width="9.109375" style="5"/>
    <col min="8197" max="8197" width="16" style="5" customWidth="1"/>
    <col min="8198" max="8198" width="13.44140625" style="5" customWidth="1"/>
    <col min="8199" max="8199" width="9.109375" style="5"/>
    <col min="8200" max="8200" width="9.109375" style="5" customWidth="1"/>
    <col min="8201" max="8452" width="9.109375" style="5"/>
    <col min="8453" max="8453" width="16" style="5" customWidth="1"/>
    <col min="8454" max="8454" width="13.44140625" style="5" customWidth="1"/>
    <col min="8455" max="8455" width="9.109375" style="5"/>
    <col min="8456" max="8456" width="9.109375" style="5" customWidth="1"/>
    <col min="8457" max="8708" width="9.109375" style="5"/>
    <col min="8709" max="8709" width="16" style="5" customWidth="1"/>
    <col min="8710" max="8710" width="13.44140625" style="5" customWidth="1"/>
    <col min="8711" max="8711" width="9.109375" style="5"/>
    <col min="8712" max="8712" width="9.109375" style="5" customWidth="1"/>
    <col min="8713" max="8964" width="9.109375" style="5"/>
    <col min="8965" max="8965" width="16" style="5" customWidth="1"/>
    <col min="8966" max="8966" width="13.44140625" style="5" customWidth="1"/>
    <col min="8967" max="8967" width="9.109375" style="5"/>
    <col min="8968" max="8968" width="9.109375" style="5" customWidth="1"/>
    <col min="8969" max="9220" width="9.109375" style="5"/>
    <col min="9221" max="9221" width="16" style="5" customWidth="1"/>
    <col min="9222" max="9222" width="13.44140625" style="5" customWidth="1"/>
    <col min="9223" max="9223" width="9.109375" style="5"/>
    <col min="9224" max="9224" width="9.109375" style="5" customWidth="1"/>
    <col min="9225" max="9476" width="9.109375" style="5"/>
    <col min="9477" max="9477" width="16" style="5" customWidth="1"/>
    <col min="9478" max="9478" width="13.44140625" style="5" customWidth="1"/>
    <col min="9479" max="9479" width="9.109375" style="5"/>
    <col min="9480" max="9480" width="9.109375" style="5" customWidth="1"/>
    <col min="9481" max="9732" width="9.109375" style="5"/>
    <col min="9733" max="9733" width="16" style="5" customWidth="1"/>
    <col min="9734" max="9734" width="13.44140625" style="5" customWidth="1"/>
    <col min="9735" max="9735" width="9.109375" style="5"/>
    <col min="9736" max="9736" width="9.109375" style="5" customWidth="1"/>
    <col min="9737" max="9988" width="9.109375" style="5"/>
    <col min="9989" max="9989" width="16" style="5" customWidth="1"/>
    <col min="9990" max="9990" width="13.44140625" style="5" customWidth="1"/>
    <col min="9991" max="9991" width="9.109375" style="5"/>
    <col min="9992" max="9992" width="9.109375" style="5" customWidth="1"/>
    <col min="9993" max="10244" width="9.109375" style="5"/>
    <col min="10245" max="10245" width="16" style="5" customWidth="1"/>
    <col min="10246" max="10246" width="13.44140625" style="5" customWidth="1"/>
    <col min="10247" max="10247" width="9.109375" style="5"/>
    <col min="10248" max="10248" width="9.109375" style="5" customWidth="1"/>
    <col min="10249" max="10500" width="9.109375" style="5"/>
    <col min="10501" max="10501" width="16" style="5" customWidth="1"/>
    <col min="10502" max="10502" width="13.44140625" style="5" customWidth="1"/>
    <col min="10503" max="10503" width="9.109375" style="5"/>
    <col min="10504" max="10504" width="9.109375" style="5" customWidth="1"/>
    <col min="10505" max="10756" width="9.109375" style="5"/>
    <col min="10757" max="10757" width="16" style="5" customWidth="1"/>
    <col min="10758" max="10758" width="13.44140625" style="5" customWidth="1"/>
    <col min="10759" max="10759" width="9.109375" style="5"/>
    <col min="10760" max="10760" width="9.109375" style="5" customWidth="1"/>
    <col min="10761" max="11012" width="9.109375" style="5"/>
    <col min="11013" max="11013" width="16" style="5" customWidth="1"/>
    <col min="11014" max="11014" width="13.44140625" style="5" customWidth="1"/>
    <col min="11015" max="11015" width="9.109375" style="5"/>
    <col min="11016" max="11016" width="9.109375" style="5" customWidth="1"/>
    <col min="11017" max="11268" width="9.109375" style="5"/>
    <col min="11269" max="11269" width="16" style="5" customWidth="1"/>
    <col min="11270" max="11270" width="13.44140625" style="5" customWidth="1"/>
    <col min="11271" max="11271" width="9.109375" style="5"/>
    <col min="11272" max="11272" width="9.109375" style="5" customWidth="1"/>
    <col min="11273" max="11524" width="9.109375" style="5"/>
    <col min="11525" max="11525" width="16" style="5" customWidth="1"/>
    <col min="11526" max="11526" width="13.44140625" style="5" customWidth="1"/>
    <col min="11527" max="11527" width="9.109375" style="5"/>
    <col min="11528" max="11528" width="9.109375" style="5" customWidth="1"/>
    <col min="11529" max="11780" width="9.109375" style="5"/>
    <col min="11781" max="11781" width="16" style="5" customWidth="1"/>
    <col min="11782" max="11782" width="13.44140625" style="5" customWidth="1"/>
    <col min="11783" max="11783" width="9.109375" style="5"/>
    <col min="11784" max="11784" width="9.109375" style="5" customWidth="1"/>
    <col min="11785" max="12036" width="9.109375" style="5"/>
    <col min="12037" max="12037" width="16" style="5" customWidth="1"/>
    <col min="12038" max="12038" width="13.44140625" style="5" customWidth="1"/>
    <col min="12039" max="12039" width="9.109375" style="5"/>
    <col min="12040" max="12040" width="9.109375" style="5" customWidth="1"/>
    <col min="12041" max="12292" width="9.109375" style="5"/>
    <col min="12293" max="12293" width="16" style="5" customWidth="1"/>
    <col min="12294" max="12294" width="13.44140625" style="5" customWidth="1"/>
    <col min="12295" max="12295" width="9.109375" style="5"/>
    <col min="12296" max="12296" width="9.109375" style="5" customWidth="1"/>
    <col min="12297" max="12548" width="9.109375" style="5"/>
    <col min="12549" max="12549" width="16" style="5" customWidth="1"/>
    <col min="12550" max="12550" width="13.44140625" style="5" customWidth="1"/>
    <col min="12551" max="12551" width="9.109375" style="5"/>
    <col min="12552" max="12552" width="9.109375" style="5" customWidth="1"/>
    <col min="12553" max="12804" width="9.109375" style="5"/>
    <col min="12805" max="12805" width="16" style="5" customWidth="1"/>
    <col min="12806" max="12806" width="13.44140625" style="5" customWidth="1"/>
    <col min="12807" max="12807" width="9.109375" style="5"/>
    <col min="12808" max="12808" width="9.109375" style="5" customWidth="1"/>
    <col min="12809" max="13060" width="9.109375" style="5"/>
    <col min="13061" max="13061" width="16" style="5" customWidth="1"/>
    <col min="13062" max="13062" width="13.44140625" style="5" customWidth="1"/>
    <col min="13063" max="13063" width="9.109375" style="5"/>
    <col min="13064" max="13064" width="9.109375" style="5" customWidth="1"/>
    <col min="13065" max="13316" width="9.109375" style="5"/>
    <col min="13317" max="13317" width="16" style="5" customWidth="1"/>
    <col min="13318" max="13318" width="13.44140625" style="5" customWidth="1"/>
    <col min="13319" max="13319" width="9.109375" style="5"/>
    <col min="13320" max="13320" width="9.109375" style="5" customWidth="1"/>
    <col min="13321" max="13572" width="9.109375" style="5"/>
    <col min="13573" max="13573" width="16" style="5" customWidth="1"/>
    <col min="13574" max="13574" width="13.44140625" style="5" customWidth="1"/>
    <col min="13575" max="13575" width="9.109375" style="5"/>
    <col min="13576" max="13576" width="9.109375" style="5" customWidth="1"/>
    <col min="13577" max="13828" width="9.109375" style="5"/>
    <col min="13829" max="13829" width="16" style="5" customWidth="1"/>
    <col min="13830" max="13830" width="13.44140625" style="5" customWidth="1"/>
    <col min="13831" max="13831" width="9.109375" style="5"/>
    <col min="13832" max="13832" width="9.109375" style="5" customWidth="1"/>
    <col min="13833" max="14084" width="9.109375" style="5"/>
    <col min="14085" max="14085" width="16" style="5" customWidth="1"/>
    <col min="14086" max="14086" width="13.44140625" style="5" customWidth="1"/>
    <col min="14087" max="14087" width="9.109375" style="5"/>
    <col min="14088" max="14088" width="9.109375" style="5" customWidth="1"/>
    <col min="14089" max="14340" width="9.109375" style="5"/>
    <col min="14341" max="14341" width="16" style="5" customWidth="1"/>
    <col min="14342" max="14342" width="13.44140625" style="5" customWidth="1"/>
    <col min="14343" max="14343" width="9.109375" style="5"/>
    <col min="14344" max="14344" width="9.109375" style="5" customWidth="1"/>
    <col min="14345" max="14596" width="9.109375" style="5"/>
    <col min="14597" max="14597" width="16" style="5" customWidth="1"/>
    <col min="14598" max="14598" width="13.44140625" style="5" customWidth="1"/>
    <col min="14599" max="14599" width="9.109375" style="5"/>
    <col min="14600" max="14600" width="9.109375" style="5" customWidth="1"/>
    <col min="14601" max="14852" width="9.109375" style="5"/>
    <col min="14853" max="14853" width="16" style="5" customWidth="1"/>
    <col min="14854" max="14854" width="13.44140625" style="5" customWidth="1"/>
    <col min="14855" max="14855" width="9.109375" style="5"/>
    <col min="14856" max="14856" width="9.109375" style="5" customWidth="1"/>
    <col min="14857" max="15108" width="9.109375" style="5"/>
    <col min="15109" max="15109" width="16" style="5" customWidth="1"/>
    <col min="15110" max="15110" width="13.44140625" style="5" customWidth="1"/>
    <col min="15111" max="15111" width="9.109375" style="5"/>
    <col min="15112" max="15112" width="9.109375" style="5" customWidth="1"/>
    <col min="15113" max="15364" width="9.109375" style="5"/>
    <col min="15365" max="15365" width="16" style="5" customWidth="1"/>
    <col min="15366" max="15366" width="13.44140625" style="5" customWidth="1"/>
    <col min="15367" max="15367" width="9.109375" style="5"/>
    <col min="15368" max="15368" width="9.109375" style="5" customWidth="1"/>
    <col min="15369" max="15620" width="9.109375" style="5"/>
    <col min="15621" max="15621" width="16" style="5" customWidth="1"/>
    <col min="15622" max="15622" width="13.44140625" style="5" customWidth="1"/>
    <col min="15623" max="15623" width="9.109375" style="5"/>
    <col min="15624" max="15624" width="9.109375" style="5" customWidth="1"/>
    <col min="15625" max="15876" width="9.109375" style="5"/>
    <col min="15877" max="15877" width="16" style="5" customWidth="1"/>
    <col min="15878" max="15878" width="13.44140625" style="5" customWidth="1"/>
    <col min="15879" max="15879" width="9.109375" style="5"/>
    <col min="15880" max="15880" width="9.109375" style="5" customWidth="1"/>
    <col min="15881" max="16132" width="9.109375" style="5"/>
    <col min="16133" max="16133" width="16" style="5" customWidth="1"/>
    <col min="16134" max="16134" width="13.44140625" style="5" customWidth="1"/>
    <col min="16135" max="16135" width="9.109375" style="5"/>
    <col min="16136" max="16136" width="9.109375" style="5" customWidth="1"/>
    <col min="16137" max="16384" width="9.109375" style="5"/>
  </cols>
  <sheetData>
    <row r="10" spans="1:8" x14ac:dyDescent="0.3">
      <c r="E10" s="10"/>
    </row>
    <row r="15" spans="1:8" ht="23.4" x14ac:dyDescent="0.45">
      <c r="A15" s="136" t="s">
        <v>257</v>
      </c>
      <c r="B15" s="136"/>
      <c r="C15" s="136"/>
      <c r="D15" s="136"/>
      <c r="E15" s="136"/>
      <c r="F15" s="136"/>
      <c r="G15" s="136"/>
      <c r="H15" s="136"/>
    </row>
    <row r="16" spans="1:8" ht="23.4" x14ac:dyDescent="0.45">
      <c r="A16" s="6"/>
      <c r="B16" s="6"/>
      <c r="C16" s="6"/>
      <c r="D16" s="7"/>
      <c r="E16" s="7"/>
      <c r="F16" s="7"/>
      <c r="G16" s="7"/>
      <c r="H16" s="6"/>
    </row>
    <row r="17" spans="1:8" ht="23.4" x14ac:dyDescent="0.45">
      <c r="A17" s="136" t="s">
        <v>125</v>
      </c>
      <c r="B17" s="136"/>
      <c r="C17" s="136"/>
      <c r="D17" s="136"/>
      <c r="E17" s="136"/>
      <c r="F17" s="136"/>
      <c r="G17" s="136"/>
      <c r="H17" s="136"/>
    </row>
    <row r="18" spans="1:8" ht="23.4" x14ac:dyDescent="0.45">
      <c r="A18" s="6"/>
      <c r="B18" s="6"/>
      <c r="C18" s="6"/>
      <c r="D18" s="7"/>
      <c r="E18" s="7"/>
      <c r="F18" s="7"/>
      <c r="G18" s="7"/>
      <c r="H18" s="6"/>
    </row>
    <row r="19" spans="1:8" ht="23.4" x14ac:dyDescent="0.45">
      <c r="A19" s="136" t="s">
        <v>258</v>
      </c>
      <c r="B19" s="136"/>
      <c r="C19" s="136"/>
      <c r="D19" s="136"/>
      <c r="E19" s="136"/>
      <c r="F19" s="136"/>
      <c r="G19" s="136"/>
      <c r="H19" s="136"/>
    </row>
  </sheetData>
  <mergeCells count="3">
    <mergeCell ref="A15:H15"/>
    <mergeCell ref="A17:H17"/>
    <mergeCell ref="A19:H19"/>
  </mergeCells>
  <pageMargins left="0.7" right="0.7" top="1.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0"/>
  <sheetViews>
    <sheetView view="pageBreakPreview" zoomScaleNormal="100" zoomScaleSheetLayoutView="100" workbookViewId="0">
      <selection activeCell="E20" sqref="E20"/>
    </sheetView>
  </sheetViews>
  <sheetFormatPr defaultColWidth="9.109375" defaultRowHeight="13.8" x14ac:dyDescent="0.3"/>
  <cols>
    <col min="1" max="1" width="41.5546875" style="72" customWidth="1"/>
    <col min="2" max="2" width="4.6640625" style="72" bestFit="1" customWidth="1"/>
    <col min="3" max="3" width="16.33203125" style="72" customWidth="1"/>
    <col min="4" max="4" width="4.6640625" style="72" customWidth="1"/>
    <col min="5" max="5" width="16.33203125" style="72" customWidth="1"/>
    <col min="6" max="6" width="16.33203125" style="72" hidden="1" customWidth="1"/>
    <col min="7" max="7" width="9.88671875" style="72" hidden="1" customWidth="1"/>
    <col min="8" max="9" width="11.33203125" style="73" hidden="1" customWidth="1"/>
    <col min="10" max="10" width="13.44140625" style="73" hidden="1" customWidth="1"/>
    <col min="11" max="11" width="11.33203125" style="73" hidden="1" customWidth="1"/>
    <col min="12" max="13" width="9.109375" style="73" hidden="1" customWidth="1"/>
    <col min="14" max="14" width="19.88671875" style="73" hidden="1" customWidth="1"/>
    <col min="15" max="15" width="15" style="73" hidden="1" customWidth="1"/>
    <col min="16" max="16" width="12.33203125" style="72" customWidth="1"/>
    <col min="17" max="16384" width="9.109375" style="72"/>
  </cols>
  <sheetData>
    <row r="1" spans="1:15" x14ac:dyDescent="0.3">
      <c r="A1" s="137" t="s">
        <v>259</v>
      </c>
      <c r="B1" s="137"/>
      <c r="C1" s="137"/>
      <c r="D1" s="137"/>
      <c r="E1" s="137"/>
      <c r="F1" s="71"/>
    </row>
    <row r="2" spans="1:15" x14ac:dyDescent="0.3">
      <c r="A2" s="137" t="s">
        <v>1</v>
      </c>
      <c r="B2" s="137"/>
      <c r="C2" s="137"/>
      <c r="D2" s="137"/>
      <c r="E2" s="137"/>
      <c r="F2" s="71"/>
    </row>
    <row r="3" spans="1:15" x14ac:dyDescent="0.3">
      <c r="A3" s="137" t="s">
        <v>244</v>
      </c>
      <c r="B3" s="137"/>
      <c r="C3" s="137"/>
      <c r="D3" s="137"/>
      <c r="E3" s="137"/>
      <c r="F3" s="71"/>
    </row>
    <row r="4" spans="1:15" x14ac:dyDescent="0.3">
      <c r="A4" s="63"/>
      <c r="B4" s="63"/>
      <c r="C4" s="71" t="s">
        <v>245</v>
      </c>
      <c r="D4" s="63"/>
      <c r="E4" s="71" t="s">
        <v>2</v>
      </c>
      <c r="F4" s="71"/>
    </row>
    <row r="5" spans="1:15" x14ac:dyDescent="0.3">
      <c r="A5" s="63"/>
      <c r="B5" s="63"/>
      <c r="C5" s="71">
        <v>2022</v>
      </c>
      <c r="E5" s="71">
        <v>2021</v>
      </c>
      <c r="F5" s="71"/>
      <c r="H5" s="72"/>
      <c r="I5" s="72"/>
      <c r="J5" s="72"/>
      <c r="K5" s="72"/>
      <c r="L5" s="72"/>
      <c r="M5" s="72"/>
      <c r="N5" s="72"/>
      <c r="O5" s="72"/>
    </row>
    <row r="6" spans="1:15" x14ac:dyDescent="0.3">
      <c r="A6" s="63"/>
      <c r="B6" s="74" t="s">
        <v>3</v>
      </c>
      <c r="C6" s="71" t="s">
        <v>4</v>
      </c>
      <c r="D6" s="63"/>
      <c r="E6" s="71" t="s">
        <v>4</v>
      </c>
      <c r="F6" s="71"/>
      <c r="H6" s="72"/>
      <c r="I6" s="72"/>
      <c r="J6" s="72"/>
      <c r="K6" s="72"/>
      <c r="L6" s="72"/>
      <c r="M6" s="72"/>
      <c r="N6" s="72"/>
      <c r="O6" s="72"/>
    </row>
    <row r="7" spans="1:15" x14ac:dyDescent="0.3">
      <c r="A7" s="75" t="s">
        <v>5</v>
      </c>
      <c r="B7" s="63"/>
      <c r="C7" s="63"/>
      <c r="D7" s="63"/>
      <c r="E7" s="63"/>
      <c r="F7" s="63"/>
      <c r="H7" s="72"/>
      <c r="I7" s="72"/>
      <c r="J7" s="72"/>
      <c r="K7" s="72"/>
      <c r="L7" s="72"/>
      <c r="M7" s="72"/>
      <c r="N7" s="72"/>
      <c r="O7" s="72"/>
    </row>
    <row r="8" spans="1:15" x14ac:dyDescent="0.3">
      <c r="A8" s="75" t="s">
        <v>6</v>
      </c>
      <c r="B8" s="63"/>
      <c r="C8" s="63"/>
      <c r="D8" s="63"/>
      <c r="E8" s="63"/>
      <c r="F8" s="63"/>
      <c r="H8" s="72"/>
      <c r="I8" s="72"/>
      <c r="J8" s="72"/>
      <c r="K8" s="72"/>
      <c r="L8" s="72"/>
      <c r="M8" s="72"/>
      <c r="N8" s="72"/>
      <c r="O8" s="72"/>
    </row>
    <row r="9" spans="1:15" x14ac:dyDescent="0.3">
      <c r="A9" s="63"/>
      <c r="B9" s="63"/>
      <c r="C9" s="63"/>
      <c r="D9" s="63"/>
      <c r="E9" s="63"/>
      <c r="F9" s="63"/>
      <c r="H9" s="72"/>
      <c r="I9" s="72"/>
      <c r="J9" s="72"/>
      <c r="K9" s="72"/>
      <c r="L9" s="72"/>
      <c r="M9" s="72"/>
      <c r="N9" s="72"/>
      <c r="O9" s="72"/>
    </row>
    <row r="10" spans="1:15" x14ac:dyDescent="0.3">
      <c r="A10" s="63" t="s">
        <v>7</v>
      </c>
      <c r="B10" s="76">
        <v>1</v>
      </c>
      <c r="C10" s="97">
        <f>+Notes!C19</f>
        <v>36188823.960000001</v>
      </c>
      <c r="D10" s="19"/>
      <c r="E10" s="20">
        <v>22993036</v>
      </c>
      <c r="F10" s="30">
        <v>22993036</v>
      </c>
      <c r="G10" s="77">
        <f>E10-F10</f>
        <v>0</v>
      </c>
      <c r="H10" s="77"/>
      <c r="I10" s="72"/>
      <c r="J10" s="72"/>
      <c r="K10" s="72"/>
      <c r="L10" s="72"/>
      <c r="M10" s="72"/>
      <c r="N10" s="72"/>
      <c r="O10" s="72"/>
    </row>
    <row r="11" spans="1:15" hidden="1" x14ac:dyDescent="0.3">
      <c r="A11" s="63" t="s">
        <v>128</v>
      </c>
      <c r="B11" s="76"/>
      <c r="C11" s="98">
        <v>0</v>
      </c>
      <c r="D11" s="19"/>
      <c r="E11" s="22">
        <v>0</v>
      </c>
      <c r="F11" s="30"/>
      <c r="H11" s="72"/>
      <c r="I11" s="72"/>
      <c r="J11" s="72"/>
      <c r="K11" s="72"/>
      <c r="L11" s="72"/>
      <c r="M11" s="72"/>
      <c r="N11" s="72"/>
      <c r="O11" s="72"/>
    </row>
    <row r="12" spans="1:15" x14ac:dyDescent="0.3">
      <c r="A12" s="63" t="s">
        <v>129</v>
      </c>
      <c r="B12" s="76">
        <v>3</v>
      </c>
      <c r="C12" s="23">
        <f>+Notes!C27</f>
        <v>4158000</v>
      </c>
      <c r="D12" s="19"/>
      <c r="E12" s="23">
        <f>+Notes!E27</f>
        <v>0</v>
      </c>
      <c r="F12" s="30"/>
      <c r="H12" s="72"/>
      <c r="I12" s="72"/>
      <c r="J12" s="72"/>
      <c r="K12" s="72"/>
      <c r="L12" s="72"/>
      <c r="M12" s="72"/>
      <c r="N12" s="72"/>
      <c r="O12" s="72"/>
    </row>
    <row r="13" spans="1:15" x14ac:dyDescent="0.3">
      <c r="A13" s="63"/>
      <c r="B13" s="63"/>
      <c r="C13" s="65">
        <f>SUM(C10:C12)</f>
        <v>40346823.960000001</v>
      </c>
      <c r="D13" s="73"/>
      <c r="E13" s="65">
        <f>SUM(E10:E12)</f>
        <v>22993036</v>
      </c>
      <c r="F13" s="65"/>
      <c r="H13" s="72"/>
      <c r="I13" s="72"/>
      <c r="J13" s="72"/>
      <c r="K13" s="72"/>
      <c r="L13" s="72"/>
      <c r="M13" s="72"/>
      <c r="N13" s="72"/>
      <c r="O13" s="72"/>
    </row>
    <row r="14" spans="1:15" x14ac:dyDescent="0.3">
      <c r="A14" s="75" t="s">
        <v>8</v>
      </c>
      <c r="B14" s="63"/>
      <c r="C14" s="17"/>
      <c r="D14" s="17"/>
      <c r="E14" s="17"/>
      <c r="F14" s="17"/>
      <c r="H14" s="72"/>
      <c r="I14" s="72"/>
      <c r="J14" s="72"/>
      <c r="K14" s="72"/>
      <c r="L14" s="72"/>
      <c r="M14" s="72"/>
      <c r="N14" s="72"/>
      <c r="O14" s="72"/>
    </row>
    <row r="15" spans="1:15" x14ac:dyDescent="0.3">
      <c r="A15" s="63"/>
      <c r="B15" s="63"/>
      <c r="C15" s="19"/>
      <c r="D15" s="17"/>
      <c r="E15" s="19"/>
      <c r="F15" s="19"/>
      <c r="H15" s="72"/>
      <c r="I15" s="72"/>
      <c r="J15" s="72"/>
      <c r="K15" s="72"/>
      <c r="L15" s="72"/>
      <c r="M15" s="72"/>
      <c r="N15" s="72"/>
      <c r="O15" s="72"/>
    </row>
    <row r="16" spans="1:15" x14ac:dyDescent="0.3">
      <c r="A16" s="63" t="s">
        <v>9</v>
      </c>
      <c r="B16" s="76">
        <v>2</v>
      </c>
      <c r="C16" s="20">
        <f>+Notes!C43</f>
        <v>22595976.43</v>
      </c>
      <c r="D16" s="19"/>
      <c r="E16" s="20">
        <v>30348317</v>
      </c>
      <c r="F16" s="30">
        <v>30348317</v>
      </c>
      <c r="G16" s="77">
        <f t="shared" ref="G16:G21" si="0">E16-F16</f>
        <v>0</v>
      </c>
      <c r="H16" s="72"/>
      <c r="I16" s="72"/>
      <c r="J16" s="72"/>
      <c r="K16" s="72"/>
      <c r="L16" s="72"/>
      <c r="M16" s="72"/>
      <c r="N16" s="72"/>
      <c r="O16" s="72"/>
    </row>
    <row r="17" spans="1:16" x14ac:dyDescent="0.3">
      <c r="A17" s="63" t="s">
        <v>137</v>
      </c>
      <c r="B17" s="76">
        <v>3</v>
      </c>
      <c r="C17" s="22">
        <f>+Notes!C49</f>
        <v>18500000</v>
      </c>
      <c r="D17" s="19"/>
      <c r="E17" s="22">
        <v>18500000</v>
      </c>
      <c r="F17" s="30">
        <v>18500000</v>
      </c>
      <c r="G17" s="77">
        <f t="shared" si="0"/>
        <v>0</v>
      </c>
      <c r="H17" s="72"/>
      <c r="I17" s="72"/>
      <c r="J17" s="72"/>
      <c r="K17" s="72"/>
      <c r="L17" s="72"/>
      <c r="M17" s="72"/>
      <c r="N17" s="72"/>
      <c r="O17" s="72"/>
    </row>
    <row r="18" spans="1:16" x14ac:dyDescent="0.3">
      <c r="A18" s="63" t="s">
        <v>219</v>
      </c>
      <c r="B18" s="76"/>
      <c r="C18" s="22">
        <v>214618</v>
      </c>
      <c r="D18" s="19"/>
      <c r="E18" s="22">
        <v>214618</v>
      </c>
      <c r="F18" s="30">
        <v>0</v>
      </c>
      <c r="G18" s="77">
        <f t="shared" si="0"/>
        <v>214618</v>
      </c>
      <c r="H18" s="72"/>
      <c r="I18" s="72"/>
      <c r="J18" s="72"/>
      <c r="K18" s="72"/>
      <c r="L18" s="72"/>
      <c r="M18" s="72"/>
      <c r="N18" s="72"/>
      <c r="O18" s="72"/>
    </row>
    <row r="19" spans="1:16" x14ac:dyDescent="0.3">
      <c r="A19" s="63" t="s">
        <v>10</v>
      </c>
      <c r="B19" s="76">
        <v>4</v>
      </c>
      <c r="C19" s="22">
        <f>+Notes!C54</f>
        <v>1375929</v>
      </c>
      <c r="D19" s="19"/>
      <c r="E19" s="22">
        <v>545100</v>
      </c>
      <c r="F19" s="30">
        <v>545100</v>
      </c>
      <c r="G19" s="77">
        <f t="shared" si="0"/>
        <v>0</v>
      </c>
      <c r="H19" s="72"/>
      <c r="I19" s="72"/>
      <c r="J19" s="72"/>
      <c r="K19" s="72"/>
      <c r="L19" s="72"/>
      <c r="M19" s="72"/>
      <c r="N19" s="72"/>
      <c r="O19" s="72"/>
    </row>
    <row r="20" spans="1:16" x14ac:dyDescent="0.3">
      <c r="A20" s="63" t="s">
        <v>138</v>
      </c>
      <c r="B20" s="76"/>
      <c r="C20" s="22">
        <f>+Notes!C98+360031</f>
        <v>129494520.91999999</v>
      </c>
      <c r="D20" s="19"/>
      <c r="E20" s="22">
        <v>65941521</v>
      </c>
      <c r="F20" s="30"/>
      <c r="G20" s="77">
        <f t="shared" si="0"/>
        <v>65941521</v>
      </c>
      <c r="H20" s="72"/>
      <c r="I20" s="72"/>
      <c r="J20" s="72"/>
      <c r="K20" s="72"/>
      <c r="L20" s="72"/>
      <c r="M20" s="72"/>
      <c r="N20" s="72"/>
      <c r="O20" s="72"/>
      <c r="P20" s="32">
        <f>+C20/183.48</f>
        <v>705769.13516459556</v>
      </c>
    </row>
    <row r="21" spans="1:16" hidden="1" x14ac:dyDescent="0.3">
      <c r="A21" s="63" t="s">
        <v>220</v>
      </c>
      <c r="B21" s="76"/>
      <c r="C21" s="22">
        <v>0</v>
      </c>
      <c r="D21" s="19"/>
      <c r="E21" s="22">
        <v>0</v>
      </c>
      <c r="F21" s="30"/>
      <c r="G21" s="77">
        <f t="shared" si="0"/>
        <v>0</v>
      </c>
      <c r="H21" s="72"/>
      <c r="I21" s="72"/>
      <c r="J21" s="72"/>
      <c r="K21" s="72"/>
      <c r="L21" s="72"/>
      <c r="M21" s="72"/>
      <c r="N21" s="72"/>
      <c r="O21" s="72"/>
    </row>
    <row r="22" spans="1:16" x14ac:dyDescent="0.3">
      <c r="A22" s="63" t="s">
        <v>198</v>
      </c>
      <c r="B22" s="76"/>
      <c r="C22" s="22">
        <f>+Notes!K29</f>
        <v>30157677</v>
      </c>
      <c r="D22" s="19"/>
      <c r="E22" s="22">
        <v>40157677</v>
      </c>
      <c r="F22" s="30"/>
      <c r="H22" s="22">
        <v>40000000</v>
      </c>
      <c r="I22" s="72"/>
      <c r="J22" s="72"/>
      <c r="K22" s="72"/>
      <c r="L22" s="72"/>
      <c r="M22" s="72"/>
      <c r="N22" s="72"/>
      <c r="O22" s="72"/>
    </row>
    <row r="23" spans="1:16" x14ac:dyDescent="0.3">
      <c r="A23" s="63" t="s">
        <v>12</v>
      </c>
      <c r="B23" s="76"/>
      <c r="C23" s="23">
        <f>+Notes!C60</f>
        <v>177000</v>
      </c>
      <c r="D23" s="19"/>
      <c r="E23" s="23">
        <v>0</v>
      </c>
      <c r="F23" s="30"/>
      <c r="H23" s="72"/>
      <c r="I23" s="72"/>
      <c r="J23" s="72"/>
      <c r="K23" s="72"/>
      <c r="L23" s="72"/>
      <c r="M23" s="72"/>
      <c r="N23" s="72"/>
      <c r="O23" s="72"/>
    </row>
    <row r="24" spans="1:16" x14ac:dyDescent="0.3">
      <c r="A24" s="63"/>
      <c r="B24" s="63"/>
      <c r="C24" s="17">
        <f>SUM(C16:C23)</f>
        <v>202515721.34999999</v>
      </c>
      <c r="D24" s="73"/>
      <c r="E24" s="17">
        <f>SUM(E16:E23)</f>
        <v>155707233</v>
      </c>
      <c r="F24" s="17"/>
      <c r="H24" s="72"/>
      <c r="I24" s="72"/>
      <c r="J24" s="72"/>
      <c r="K24" s="72"/>
      <c r="L24" s="72"/>
      <c r="M24" s="72"/>
      <c r="N24" s="72"/>
      <c r="O24" s="72"/>
    </row>
    <row r="25" spans="1:16" x14ac:dyDescent="0.3">
      <c r="A25" s="63"/>
      <c r="B25" s="63"/>
      <c r="C25" s="19"/>
      <c r="D25" s="17"/>
      <c r="E25" s="19"/>
      <c r="F25" s="19"/>
      <c r="H25" s="72"/>
      <c r="I25" s="72"/>
      <c r="J25" s="72"/>
      <c r="K25" s="72"/>
      <c r="L25" s="72"/>
      <c r="M25" s="72"/>
      <c r="N25" s="72"/>
      <c r="O25" s="72"/>
    </row>
    <row r="26" spans="1:16" ht="14.4" thickBot="1" x14ac:dyDescent="0.35">
      <c r="A26" s="75" t="s">
        <v>13</v>
      </c>
      <c r="B26" s="63"/>
      <c r="C26" s="78">
        <f>C13+C24</f>
        <v>242862545.31</v>
      </c>
      <c r="D26" s="73"/>
      <c r="E26" s="78">
        <f>E13+E24</f>
        <v>178700269</v>
      </c>
      <c r="F26" s="79"/>
      <c r="H26" s="72"/>
      <c r="I26" s="72"/>
      <c r="J26" s="72"/>
      <c r="K26" s="72"/>
      <c r="L26" s="72"/>
      <c r="M26" s="72"/>
      <c r="N26" s="72"/>
      <c r="O26" s="72"/>
    </row>
    <row r="27" spans="1:16" ht="14.4" thickTop="1" x14ac:dyDescent="0.3">
      <c r="A27" s="75"/>
      <c r="B27" s="63"/>
      <c r="C27" s="17"/>
      <c r="D27" s="17"/>
      <c r="E27" s="17"/>
      <c r="F27" s="17"/>
      <c r="H27" s="72"/>
      <c r="I27" s="72"/>
      <c r="J27" s="72"/>
      <c r="K27" s="72"/>
      <c r="L27" s="72"/>
      <c r="M27" s="72"/>
      <c r="N27" s="72"/>
      <c r="O27" s="72"/>
    </row>
    <row r="28" spans="1:16" x14ac:dyDescent="0.3">
      <c r="A28" s="75" t="s">
        <v>14</v>
      </c>
      <c r="B28" s="63"/>
      <c r="C28" s="17"/>
      <c r="D28" s="17"/>
      <c r="E28" s="17"/>
      <c r="F28" s="17"/>
      <c r="H28" s="72"/>
      <c r="I28" s="72"/>
      <c r="J28" s="72"/>
      <c r="K28" s="72"/>
      <c r="L28" s="72"/>
      <c r="M28" s="72"/>
      <c r="N28" s="72"/>
      <c r="O28" s="72"/>
    </row>
    <row r="29" spans="1:16" ht="28.2" thickBot="1" x14ac:dyDescent="0.35">
      <c r="A29" s="82" t="s">
        <v>221</v>
      </c>
      <c r="B29" s="63"/>
      <c r="C29" s="86">
        <v>35000000</v>
      </c>
      <c r="D29" s="83"/>
      <c r="E29" s="86">
        <v>35000000</v>
      </c>
      <c r="F29" s="30"/>
      <c r="H29" s="72"/>
      <c r="I29" s="72"/>
      <c r="J29" s="72"/>
      <c r="K29" s="72"/>
      <c r="L29" s="72"/>
      <c r="M29" s="72"/>
      <c r="N29" s="72"/>
      <c r="O29" s="72"/>
    </row>
    <row r="30" spans="1:16" ht="14.4" thickTop="1" x14ac:dyDescent="0.3">
      <c r="A30" s="63" t="s">
        <v>222</v>
      </c>
      <c r="B30" s="63"/>
      <c r="C30" s="30">
        <f>+Notes!L70+Notes!L71</f>
        <v>137443539</v>
      </c>
      <c r="D30" s="19"/>
      <c r="E30" s="30">
        <v>31412500</v>
      </c>
      <c r="F30" s="30">
        <f>C30-E30</f>
        <v>106031039</v>
      </c>
      <c r="H30" s="72"/>
      <c r="I30" s="77">
        <f>C30-E30</f>
        <v>106031039</v>
      </c>
      <c r="J30" s="72"/>
      <c r="K30" s="72"/>
      <c r="L30" s="72"/>
      <c r="M30" s="72"/>
      <c r="N30" s="72"/>
      <c r="O30" s="72"/>
    </row>
    <row r="31" spans="1:16" hidden="1" x14ac:dyDescent="0.3">
      <c r="A31" s="63" t="s">
        <v>223</v>
      </c>
      <c r="B31" s="63"/>
      <c r="C31" s="30">
        <v>0</v>
      </c>
      <c r="D31" s="19"/>
      <c r="E31" s="30">
        <v>0</v>
      </c>
      <c r="F31" s="30"/>
      <c r="H31" s="72"/>
      <c r="I31" s="72"/>
      <c r="J31" s="72"/>
      <c r="K31" s="72"/>
      <c r="L31" s="72"/>
      <c r="M31" s="72"/>
      <c r="N31" s="72"/>
      <c r="O31" s="72"/>
    </row>
    <row r="32" spans="1:16" x14ac:dyDescent="0.3">
      <c r="A32" s="63" t="s">
        <v>224</v>
      </c>
      <c r="B32" s="63"/>
      <c r="C32" s="84">
        <f>+E32+PnL!C31</f>
        <v>82369892.049999982</v>
      </c>
      <c r="D32" s="19"/>
      <c r="E32" s="30">
        <v>55183646</v>
      </c>
      <c r="F32" s="30"/>
      <c r="H32" s="72"/>
      <c r="I32" s="72"/>
      <c r="J32" s="77">
        <f>C32-I32</f>
        <v>82369892.049999982</v>
      </c>
      <c r="K32" s="72"/>
      <c r="L32" s="72"/>
      <c r="N32" s="32">
        <v>54823614.560000002</v>
      </c>
      <c r="O32" s="32">
        <f>C32-N32</f>
        <v>27546277.48999998</v>
      </c>
    </row>
    <row r="33" spans="1:15" x14ac:dyDescent="0.3">
      <c r="A33" s="63" t="s">
        <v>225</v>
      </c>
      <c r="B33" s="63"/>
      <c r="C33" s="30">
        <v>0</v>
      </c>
      <c r="D33" s="19"/>
      <c r="E33" s="30">
        <v>84000000</v>
      </c>
      <c r="F33" s="30">
        <f>C33-E33</f>
        <v>-84000000</v>
      </c>
      <c r="H33" s="72"/>
      <c r="I33" s="77">
        <f>C33-E33</f>
        <v>-84000000</v>
      </c>
      <c r="J33" s="72"/>
      <c r="K33" s="72"/>
      <c r="L33" s="72"/>
      <c r="M33" s="72"/>
      <c r="N33" s="72"/>
      <c r="O33" s="72"/>
    </row>
    <row r="34" spans="1:15" x14ac:dyDescent="0.3">
      <c r="A34" s="63"/>
      <c r="B34" s="63"/>
      <c r="C34" s="85">
        <f>SUM(C30:C33)</f>
        <v>219813431.04999998</v>
      </c>
      <c r="D34" s="73"/>
      <c r="E34" s="85">
        <f>SUM(E30:E33)</f>
        <v>170596146</v>
      </c>
      <c r="F34" s="65"/>
      <c r="H34" s="72"/>
      <c r="I34" s="72"/>
      <c r="J34" s="72"/>
      <c r="K34" s="72"/>
      <c r="L34" s="72"/>
      <c r="M34" s="72"/>
      <c r="N34" s="72"/>
      <c r="O34" s="72"/>
    </row>
    <row r="35" spans="1:15" x14ac:dyDescent="0.3">
      <c r="A35" s="75" t="s">
        <v>15</v>
      </c>
      <c r="B35" s="63"/>
      <c r="C35" s="17"/>
      <c r="D35" s="17"/>
      <c r="E35" s="17"/>
      <c r="F35" s="17"/>
      <c r="H35" s="72"/>
      <c r="I35" s="72"/>
      <c r="J35" s="72"/>
      <c r="K35" s="72"/>
      <c r="L35" s="72"/>
      <c r="M35" s="72"/>
      <c r="N35" s="72"/>
      <c r="O35" s="72"/>
    </row>
    <row r="36" spans="1:15" x14ac:dyDescent="0.3">
      <c r="A36" s="63"/>
      <c r="B36" s="63"/>
      <c r="C36" s="17"/>
      <c r="D36" s="17"/>
      <c r="E36" s="17"/>
      <c r="F36" s="17"/>
      <c r="H36" s="72"/>
      <c r="I36" s="72"/>
      <c r="J36" s="72"/>
      <c r="K36" s="72"/>
      <c r="L36" s="72"/>
      <c r="M36" s="72"/>
      <c r="N36" s="72"/>
      <c r="O36" s="72"/>
    </row>
    <row r="37" spans="1:15" x14ac:dyDescent="0.3">
      <c r="A37" s="63" t="s">
        <v>16</v>
      </c>
      <c r="B37" s="76"/>
      <c r="C37" s="80">
        <f>+Notes!L66</f>
        <v>1943523</v>
      </c>
      <c r="D37" s="19"/>
      <c r="E37" s="80">
        <v>1943519</v>
      </c>
      <c r="F37" s="19"/>
      <c r="H37" s="72"/>
      <c r="I37" s="72"/>
      <c r="J37" s="72"/>
      <c r="K37" s="72"/>
      <c r="L37" s="72"/>
      <c r="M37" s="72"/>
      <c r="N37" s="72"/>
      <c r="O37" s="72"/>
    </row>
    <row r="38" spans="1:15" x14ac:dyDescent="0.3">
      <c r="A38" s="63"/>
      <c r="B38" s="63"/>
      <c r="C38" s="17">
        <f>C37</f>
        <v>1943523</v>
      </c>
      <c r="D38" s="17"/>
      <c r="E38" s="17">
        <f>E37</f>
        <v>1943519</v>
      </c>
      <c r="F38" s="17"/>
      <c r="H38" s="72"/>
      <c r="I38" s="72"/>
      <c r="J38" s="72"/>
      <c r="K38" s="72"/>
      <c r="L38" s="72"/>
      <c r="M38" s="72"/>
      <c r="N38" s="72"/>
      <c r="O38" s="72"/>
    </row>
    <row r="39" spans="1:15" x14ac:dyDescent="0.3">
      <c r="A39" s="63"/>
      <c r="B39" s="63"/>
      <c r="C39" s="17"/>
      <c r="D39" s="17"/>
      <c r="E39" s="17"/>
      <c r="F39" s="17"/>
      <c r="H39" s="72"/>
      <c r="I39" s="72"/>
      <c r="J39" s="72"/>
      <c r="K39" s="72"/>
      <c r="L39" s="72"/>
      <c r="M39" s="72"/>
      <c r="N39" s="72"/>
      <c r="O39" s="72"/>
    </row>
    <row r="40" spans="1:15" x14ac:dyDescent="0.3">
      <c r="A40" s="75" t="s">
        <v>17</v>
      </c>
      <c r="B40" s="63"/>
      <c r="C40" s="17"/>
      <c r="D40" s="17"/>
      <c r="E40" s="17"/>
      <c r="F40" s="17"/>
      <c r="H40" s="72"/>
      <c r="I40" s="72"/>
      <c r="J40" s="72"/>
      <c r="K40" s="72"/>
      <c r="L40" s="72"/>
      <c r="M40" s="72"/>
      <c r="N40" s="72"/>
      <c r="O40" s="77" t="e">
        <f>#REF!-O32</f>
        <v>#REF!</v>
      </c>
    </row>
    <row r="41" spans="1:15" x14ac:dyDescent="0.3">
      <c r="A41" s="63"/>
      <c r="B41" s="63"/>
      <c r="C41" s="17"/>
      <c r="D41" s="17"/>
      <c r="E41" s="17"/>
      <c r="F41" s="17"/>
      <c r="H41" s="72"/>
      <c r="I41" s="72"/>
      <c r="J41" s="72"/>
      <c r="K41" s="72"/>
      <c r="L41" s="72"/>
      <c r="M41" s="72"/>
      <c r="N41" s="72"/>
      <c r="O41" s="72"/>
    </row>
    <row r="42" spans="1:15" x14ac:dyDescent="0.3">
      <c r="A42" s="63" t="s">
        <v>18</v>
      </c>
      <c r="B42" s="76">
        <v>5</v>
      </c>
      <c r="C42" s="20">
        <f>+Notes!C80</f>
        <v>13383836.630000001</v>
      </c>
      <c r="D42" s="19"/>
      <c r="E42" s="20">
        <v>2273567</v>
      </c>
      <c r="F42" s="30"/>
      <c r="H42" s="72"/>
      <c r="I42" s="72"/>
      <c r="J42" s="72"/>
      <c r="K42" s="72"/>
      <c r="L42" s="72"/>
      <c r="M42" s="72"/>
      <c r="N42" s="72"/>
      <c r="O42" s="72"/>
    </row>
    <row r="43" spans="1:15" x14ac:dyDescent="0.3">
      <c r="A43" s="63" t="s">
        <v>250</v>
      </c>
      <c r="B43" s="76"/>
      <c r="C43" s="22">
        <f>+Notes!L68</f>
        <v>6750000</v>
      </c>
      <c r="D43" s="19"/>
      <c r="E43" s="22">
        <v>0</v>
      </c>
      <c r="F43" s="30"/>
      <c r="H43" s="72"/>
      <c r="I43" s="72"/>
      <c r="J43" s="72"/>
      <c r="K43" s="72"/>
      <c r="L43" s="72"/>
      <c r="M43" s="72"/>
      <c r="N43" s="72"/>
      <c r="O43" s="72"/>
    </row>
    <row r="44" spans="1:15" x14ac:dyDescent="0.3">
      <c r="A44" s="63" t="s">
        <v>139</v>
      </c>
      <c r="B44" s="63"/>
      <c r="C44" s="64">
        <f>+Notes!L65</f>
        <v>971754.89</v>
      </c>
      <c r="D44" s="19"/>
      <c r="E44" s="23">
        <v>3887037</v>
      </c>
      <c r="F44" s="30"/>
      <c r="H44" s="72"/>
      <c r="I44" s="72"/>
      <c r="J44" s="72"/>
      <c r="K44" s="72"/>
      <c r="L44" s="72"/>
      <c r="M44" s="72"/>
      <c r="N44" s="72"/>
      <c r="O44" s="72"/>
    </row>
    <row r="45" spans="1:15" x14ac:dyDescent="0.3">
      <c r="A45" s="63"/>
      <c r="B45" s="63"/>
      <c r="C45" s="17">
        <f>SUM(C42:C44)</f>
        <v>21105591.520000003</v>
      </c>
      <c r="D45" s="73"/>
      <c r="E45" s="17">
        <f>SUM(E42:E44)</f>
        <v>6160604</v>
      </c>
      <c r="F45" s="17"/>
      <c r="H45" s="72"/>
      <c r="I45" s="72"/>
      <c r="J45" s="72"/>
      <c r="K45" s="72"/>
      <c r="L45" s="72"/>
      <c r="M45" s="72"/>
      <c r="N45" s="72"/>
      <c r="O45" s="72"/>
    </row>
    <row r="46" spans="1:15" x14ac:dyDescent="0.3">
      <c r="A46" s="63"/>
      <c r="B46" s="63"/>
      <c r="C46" s="19"/>
      <c r="D46" s="17"/>
      <c r="E46" s="19"/>
      <c r="F46" s="19"/>
      <c r="H46" s="72"/>
      <c r="I46" s="72"/>
      <c r="J46" s="72"/>
      <c r="K46" s="72"/>
      <c r="L46" s="72"/>
      <c r="M46" s="72"/>
      <c r="N46" s="72"/>
      <c r="O46" s="72"/>
    </row>
    <row r="47" spans="1:15" ht="14.4" thickBot="1" x14ac:dyDescent="0.35">
      <c r="A47" s="75" t="s">
        <v>19</v>
      </c>
      <c r="B47" s="63"/>
      <c r="C47" s="81">
        <f>C34+C38+C45</f>
        <v>242862545.56999999</v>
      </c>
      <c r="D47" s="73"/>
      <c r="E47" s="81">
        <f>E34+E38+E45</f>
        <v>178700269</v>
      </c>
      <c r="F47" s="19"/>
      <c r="H47" s="72"/>
      <c r="I47" s="72"/>
      <c r="J47" s="72"/>
      <c r="K47" s="72"/>
      <c r="L47" s="72"/>
      <c r="M47" s="72"/>
      <c r="N47" s="72"/>
      <c r="O47" s="72"/>
    </row>
    <row r="48" spans="1:15" ht="14.4" thickTop="1" x14ac:dyDescent="0.3">
      <c r="C48" s="73"/>
      <c r="D48" s="73"/>
      <c r="E48" s="73"/>
      <c r="F48" s="73"/>
      <c r="H48" s="72"/>
      <c r="I48" s="72"/>
      <c r="J48" s="72"/>
      <c r="K48" s="72"/>
      <c r="L48" s="72"/>
      <c r="M48" s="72"/>
      <c r="N48" s="72"/>
      <c r="O48" s="72"/>
    </row>
    <row r="49" spans="3:15" x14ac:dyDescent="0.3">
      <c r="C49" s="73">
        <f>C26-C47</f>
        <v>-0.25999999046325684</v>
      </c>
      <c r="D49" s="73"/>
      <c r="E49" s="73">
        <f>E26-E47</f>
        <v>0</v>
      </c>
      <c r="F49" s="73"/>
      <c r="H49" s="72"/>
      <c r="I49" s="72"/>
      <c r="J49" s="72"/>
      <c r="K49" s="72"/>
      <c r="L49" s="72"/>
      <c r="M49" s="72"/>
      <c r="N49" s="72"/>
      <c r="O49" s="72"/>
    </row>
    <row r="50" spans="3:15" x14ac:dyDescent="0.3">
      <c r="C50" s="73"/>
      <c r="D50" s="73"/>
      <c r="E50" s="73"/>
      <c r="F50" s="73"/>
      <c r="H50" s="72"/>
      <c r="I50" s="72"/>
      <c r="J50" s="72"/>
      <c r="K50" s="72"/>
      <c r="L50" s="72"/>
      <c r="M50" s="72"/>
      <c r="N50" s="72"/>
      <c r="O50" s="72"/>
    </row>
  </sheetData>
  <mergeCells count="3">
    <mergeCell ref="A1:E1"/>
    <mergeCell ref="A2:E2"/>
    <mergeCell ref="A3:E3"/>
  </mergeCells>
  <pageMargins left="0.95" right="0.7" top="1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E00A5-FF1F-4FBD-A304-00FC184749E7}">
  <dimension ref="A1:P50"/>
  <sheetViews>
    <sheetView view="pageBreakPreview" zoomScaleNormal="100" zoomScaleSheetLayoutView="100" workbookViewId="0">
      <selection activeCell="E20" sqref="E20"/>
    </sheetView>
  </sheetViews>
  <sheetFormatPr defaultColWidth="9.109375" defaultRowHeight="13.8" x14ac:dyDescent="0.3"/>
  <cols>
    <col min="1" max="1" width="41.5546875" style="72" customWidth="1"/>
    <col min="2" max="2" width="4.6640625" style="72" bestFit="1" customWidth="1"/>
    <col min="3" max="3" width="16.33203125" style="72" customWidth="1"/>
    <col min="4" max="4" width="4.6640625" style="72" customWidth="1"/>
    <col min="5" max="5" width="16.33203125" style="72" customWidth="1"/>
    <col min="6" max="6" width="16.33203125" style="72" hidden="1" customWidth="1"/>
    <col min="7" max="7" width="9.88671875" style="72" hidden="1" customWidth="1"/>
    <col min="8" max="9" width="11.33203125" style="73" hidden="1" customWidth="1"/>
    <col min="10" max="10" width="13.44140625" style="73" hidden="1" customWidth="1"/>
    <col min="11" max="11" width="11.33203125" style="73" hidden="1" customWidth="1"/>
    <col min="12" max="13" width="9.109375" style="73" hidden="1" customWidth="1"/>
    <col min="14" max="14" width="19.88671875" style="73" hidden="1" customWidth="1"/>
    <col min="15" max="15" width="15" style="73" hidden="1" customWidth="1"/>
    <col min="16" max="16" width="12.33203125" style="72" customWidth="1"/>
    <col min="17" max="16384" width="9.109375" style="72"/>
  </cols>
  <sheetData>
    <row r="1" spans="1:15" x14ac:dyDescent="0.3">
      <c r="A1" s="137" t="s">
        <v>259</v>
      </c>
      <c r="B1" s="137"/>
      <c r="C1" s="137"/>
      <c r="D1" s="137"/>
      <c r="E1" s="137"/>
      <c r="F1" s="71"/>
    </row>
    <row r="2" spans="1:15" x14ac:dyDescent="0.3">
      <c r="A2" s="137" t="s">
        <v>1</v>
      </c>
      <c r="B2" s="137"/>
      <c r="C2" s="137"/>
      <c r="D2" s="137"/>
      <c r="E2" s="137"/>
      <c r="F2" s="71"/>
    </row>
    <row r="3" spans="1:15" x14ac:dyDescent="0.3">
      <c r="A3" s="137" t="s">
        <v>244</v>
      </c>
      <c r="B3" s="137"/>
      <c r="C3" s="137"/>
      <c r="D3" s="137"/>
      <c r="E3" s="137"/>
      <c r="F3" s="71"/>
    </row>
    <row r="4" spans="1:15" x14ac:dyDescent="0.3">
      <c r="A4" s="63"/>
      <c r="B4" s="63"/>
      <c r="C4" s="71" t="s">
        <v>245</v>
      </c>
      <c r="D4" s="63"/>
      <c r="E4" s="71" t="s">
        <v>2</v>
      </c>
      <c r="F4" s="71"/>
    </row>
    <row r="5" spans="1:15" x14ac:dyDescent="0.3">
      <c r="A5" s="63"/>
      <c r="B5" s="63"/>
      <c r="C5" s="71">
        <v>2022</v>
      </c>
      <c r="E5" s="71">
        <v>2021</v>
      </c>
      <c r="F5" s="71"/>
      <c r="H5" s="72"/>
      <c r="I5" s="72"/>
      <c r="J5" s="72"/>
      <c r="K5" s="72"/>
      <c r="L5" s="72"/>
      <c r="M5" s="72"/>
      <c r="N5" s="72"/>
      <c r="O5" s="72"/>
    </row>
    <row r="6" spans="1:15" x14ac:dyDescent="0.3">
      <c r="A6" s="63"/>
      <c r="B6" s="74" t="s">
        <v>3</v>
      </c>
      <c r="C6" s="71" t="s">
        <v>4</v>
      </c>
      <c r="D6" s="63"/>
      <c r="E6" s="71" t="s">
        <v>4</v>
      </c>
      <c r="F6" s="71"/>
      <c r="H6" s="72"/>
      <c r="I6" s="72"/>
      <c r="J6" s="72"/>
      <c r="K6" s="72"/>
      <c r="L6" s="72"/>
      <c r="M6" s="72"/>
      <c r="N6" s="72"/>
      <c r="O6" s="72"/>
    </row>
    <row r="7" spans="1:15" x14ac:dyDescent="0.3">
      <c r="A7" s="75" t="s">
        <v>5</v>
      </c>
      <c r="B7" s="63"/>
      <c r="C7" s="63"/>
      <c r="D7" s="63"/>
      <c r="E7" s="63"/>
      <c r="F7" s="63"/>
      <c r="H7" s="72"/>
      <c r="I7" s="72"/>
      <c r="J7" s="72"/>
      <c r="K7" s="72"/>
      <c r="L7" s="72"/>
      <c r="M7" s="72"/>
      <c r="N7" s="72"/>
      <c r="O7" s="72"/>
    </row>
    <row r="8" spans="1:15" x14ac:dyDescent="0.3">
      <c r="A8" s="75" t="s">
        <v>6</v>
      </c>
      <c r="B8" s="63"/>
      <c r="C8" s="63"/>
      <c r="D8" s="63"/>
      <c r="E8" s="63"/>
      <c r="F8" s="63"/>
      <c r="H8" s="72"/>
      <c r="I8" s="72"/>
      <c r="J8" s="72"/>
      <c r="K8" s="72"/>
      <c r="L8" s="72"/>
      <c r="M8" s="72"/>
      <c r="N8" s="72"/>
      <c r="O8" s="72"/>
    </row>
    <row r="9" spans="1:15" x14ac:dyDescent="0.3">
      <c r="A9" s="63"/>
      <c r="B9" s="63"/>
      <c r="C9" s="63"/>
      <c r="D9" s="63"/>
      <c r="E9" s="63"/>
      <c r="F9" s="63"/>
      <c r="H9" s="72"/>
      <c r="I9" s="72"/>
      <c r="J9" s="72"/>
      <c r="K9" s="72"/>
      <c r="L9" s="72"/>
      <c r="M9" s="72"/>
      <c r="N9" s="72"/>
      <c r="O9" s="72"/>
    </row>
    <row r="10" spans="1:15" x14ac:dyDescent="0.3">
      <c r="A10" s="63" t="s">
        <v>7</v>
      </c>
      <c r="B10" s="76">
        <v>1</v>
      </c>
      <c r="C10" s="97">
        <f>+Notes!C19</f>
        <v>36188823.960000001</v>
      </c>
      <c r="D10" s="19"/>
      <c r="E10" s="20">
        <v>22993036</v>
      </c>
      <c r="F10" s="30">
        <v>22993036</v>
      </c>
      <c r="G10" s="77">
        <f>E10-F10</f>
        <v>0</v>
      </c>
      <c r="H10" s="77"/>
      <c r="I10" s="72"/>
      <c r="J10" s="72"/>
      <c r="K10" s="72"/>
      <c r="L10" s="72"/>
      <c r="M10" s="72"/>
      <c r="N10" s="72"/>
      <c r="O10" s="72"/>
    </row>
    <row r="11" spans="1:15" hidden="1" x14ac:dyDescent="0.3">
      <c r="A11" s="63" t="s">
        <v>128</v>
      </c>
      <c r="B11" s="76"/>
      <c r="C11" s="98">
        <v>0</v>
      </c>
      <c r="D11" s="19"/>
      <c r="E11" s="22">
        <v>0</v>
      </c>
      <c r="F11" s="30"/>
      <c r="H11" s="72"/>
      <c r="I11" s="72"/>
      <c r="J11" s="72"/>
      <c r="K11" s="72"/>
      <c r="L11" s="72"/>
      <c r="M11" s="72"/>
      <c r="N11" s="72"/>
      <c r="O11" s="72"/>
    </row>
    <row r="12" spans="1:15" x14ac:dyDescent="0.3">
      <c r="A12" s="63" t="s">
        <v>129</v>
      </c>
      <c r="B12" s="76">
        <v>3</v>
      </c>
      <c r="C12" s="23">
        <f>+Notes!C27</f>
        <v>4158000</v>
      </c>
      <c r="D12" s="19"/>
      <c r="E12" s="23">
        <f>+Notes!E27</f>
        <v>0</v>
      </c>
      <c r="F12" s="30"/>
      <c r="H12" s="72"/>
      <c r="I12" s="72"/>
      <c r="J12" s="72"/>
      <c r="K12" s="72"/>
      <c r="L12" s="72"/>
      <c r="M12" s="72"/>
      <c r="N12" s="72"/>
      <c r="O12" s="72"/>
    </row>
    <row r="13" spans="1:15" x14ac:dyDescent="0.3">
      <c r="A13" s="63"/>
      <c r="B13" s="63"/>
      <c r="C13" s="65">
        <f>SUM(C10:C12)</f>
        <v>40346823.960000001</v>
      </c>
      <c r="D13" s="73"/>
      <c r="E13" s="65">
        <f>SUM(E10:E12)</f>
        <v>22993036</v>
      </c>
      <c r="F13" s="65"/>
      <c r="H13" s="72"/>
      <c r="I13" s="72"/>
      <c r="J13" s="72"/>
      <c r="K13" s="72"/>
      <c r="L13" s="72"/>
      <c r="M13" s="72"/>
      <c r="N13" s="72"/>
      <c r="O13" s="72"/>
    </row>
    <row r="14" spans="1:15" x14ac:dyDescent="0.3">
      <c r="A14" s="75" t="s">
        <v>8</v>
      </c>
      <c r="B14" s="63"/>
      <c r="C14" s="17"/>
      <c r="D14" s="17"/>
      <c r="E14" s="17"/>
      <c r="F14" s="17"/>
      <c r="H14" s="72"/>
      <c r="I14" s="72"/>
      <c r="J14" s="72"/>
      <c r="K14" s="72"/>
      <c r="L14" s="72"/>
      <c r="M14" s="72"/>
      <c r="N14" s="72"/>
      <c r="O14" s="72"/>
    </row>
    <row r="15" spans="1:15" x14ac:dyDescent="0.3">
      <c r="A15" s="63"/>
      <c r="B15" s="63"/>
      <c r="C15" s="19"/>
      <c r="D15" s="17"/>
      <c r="E15" s="19"/>
      <c r="F15" s="19"/>
      <c r="H15" s="72"/>
      <c r="I15" s="72"/>
      <c r="J15" s="72"/>
      <c r="K15" s="72"/>
      <c r="L15" s="72"/>
      <c r="M15" s="72"/>
      <c r="N15" s="72"/>
      <c r="O15" s="72"/>
    </row>
    <row r="16" spans="1:15" x14ac:dyDescent="0.3">
      <c r="A16" s="63" t="s">
        <v>9</v>
      </c>
      <c r="B16" s="76">
        <v>2</v>
      </c>
      <c r="C16" s="20">
        <f>+Notes!C43</f>
        <v>22595976.43</v>
      </c>
      <c r="D16" s="19"/>
      <c r="E16" s="20">
        <v>30348317</v>
      </c>
      <c r="F16" s="30">
        <v>30348317</v>
      </c>
      <c r="G16" s="77">
        <f t="shared" ref="G16:G21" si="0">E16-F16</f>
        <v>0</v>
      </c>
      <c r="H16" s="72"/>
      <c r="I16" s="72"/>
      <c r="J16" s="72"/>
      <c r="K16" s="72"/>
      <c r="L16" s="72"/>
      <c r="M16" s="72"/>
      <c r="N16" s="72"/>
      <c r="O16" s="72"/>
    </row>
    <row r="17" spans="1:16" x14ac:dyDescent="0.3">
      <c r="A17" s="63" t="s">
        <v>137</v>
      </c>
      <c r="B17" s="76">
        <v>3</v>
      </c>
      <c r="C17" s="22">
        <f>+Notes!C49</f>
        <v>18500000</v>
      </c>
      <c r="D17" s="19"/>
      <c r="E17" s="22">
        <v>18500000</v>
      </c>
      <c r="F17" s="30">
        <v>18500000</v>
      </c>
      <c r="G17" s="77">
        <f t="shared" si="0"/>
        <v>0</v>
      </c>
      <c r="H17" s="72"/>
      <c r="I17" s="72"/>
      <c r="J17" s="72"/>
      <c r="K17" s="72"/>
      <c r="L17" s="72"/>
      <c r="M17" s="72"/>
      <c r="N17" s="72"/>
      <c r="O17" s="72"/>
    </row>
    <row r="18" spans="1:16" x14ac:dyDescent="0.3">
      <c r="A18" s="63" t="s">
        <v>219</v>
      </c>
      <c r="B18" s="76"/>
      <c r="C18" s="22">
        <v>214618</v>
      </c>
      <c r="D18" s="19"/>
      <c r="E18" s="22">
        <v>214618</v>
      </c>
      <c r="F18" s="30">
        <v>0</v>
      </c>
      <c r="G18" s="77">
        <f t="shared" si="0"/>
        <v>214618</v>
      </c>
      <c r="H18" s="72"/>
      <c r="I18" s="72"/>
      <c r="J18" s="72"/>
      <c r="K18" s="72"/>
      <c r="L18" s="72"/>
      <c r="M18" s="72"/>
      <c r="N18" s="72"/>
      <c r="O18" s="72"/>
    </row>
    <row r="19" spans="1:16" x14ac:dyDescent="0.3">
      <c r="A19" s="63" t="s">
        <v>10</v>
      </c>
      <c r="B19" s="76">
        <v>4</v>
      </c>
      <c r="C19" s="22">
        <f>+Notes!C54</f>
        <v>1375929</v>
      </c>
      <c r="D19" s="19"/>
      <c r="E19" s="22">
        <v>545100</v>
      </c>
      <c r="F19" s="30">
        <v>545100</v>
      </c>
      <c r="G19" s="77">
        <f t="shared" si="0"/>
        <v>0</v>
      </c>
      <c r="H19" s="72"/>
      <c r="I19" s="72"/>
      <c r="J19" s="72"/>
      <c r="K19" s="72"/>
      <c r="L19" s="72"/>
      <c r="M19" s="72"/>
      <c r="N19" s="72"/>
      <c r="O19" s="72"/>
    </row>
    <row r="20" spans="1:16" x14ac:dyDescent="0.3">
      <c r="A20" s="63" t="s">
        <v>138</v>
      </c>
      <c r="B20" s="76"/>
      <c r="C20" s="22">
        <f>+Notes!C98+360031</f>
        <v>129494520.91999999</v>
      </c>
      <c r="D20" s="19"/>
      <c r="E20" s="22">
        <v>65941521</v>
      </c>
      <c r="F20" s="30"/>
      <c r="G20" s="77">
        <f t="shared" si="0"/>
        <v>65941521</v>
      </c>
      <c r="H20" s="72"/>
      <c r="I20" s="72"/>
      <c r="J20" s="72"/>
      <c r="K20" s="72"/>
      <c r="L20" s="72"/>
      <c r="M20" s="72"/>
      <c r="N20" s="72"/>
      <c r="O20" s="72"/>
      <c r="P20" s="32">
        <f>+C20/183.48</f>
        <v>705769.13516459556</v>
      </c>
    </row>
    <row r="21" spans="1:16" hidden="1" x14ac:dyDescent="0.3">
      <c r="A21" s="63" t="s">
        <v>220</v>
      </c>
      <c r="B21" s="76"/>
      <c r="C21" s="22">
        <v>0</v>
      </c>
      <c r="D21" s="19"/>
      <c r="E21" s="22">
        <v>0</v>
      </c>
      <c r="F21" s="30"/>
      <c r="G21" s="77">
        <f t="shared" si="0"/>
        <v>0</v>
      </c>
      <c r="H21" s="72"/>
      <c r="I21" s="72"/>
      <c r="J21" s="72"/>
      <c r="K21" s="72"/>
      <c r="L21" s="72"/>
      <c r="M21" s="72"/>
      <c r="N21" s="72"/>
      <c r="O21" s="72"/>
    </row>
    <row r="22" spans="1:16" x14ac:dyDescent="0.3">
      <c r="A22" s="63" t="s">
        <v>198</v>
      </c>
      <c r="B22" s="76"/>
      <c r="C22" s="22">
        <f>+Notes!K29</f>
        <v>30157677</v>
      </c>
      <c r="D22" s="19"/>
      <c r="E22" s="22">
        <v>40157677</v>
      </c>
      <c r="F22" s="30"/>
      <c r="H22" s="22">
        <v>40000000</v>
      </c>
      <c r="I22" s="72"/>
      <c r="J22" s="72"/>
      <c r="K22" s="72"/>
      <c r="L22" s="72"/>
      <c r="M22" s="72"/>
      <c r="N22" s="72"/>
      <c r="O22" s="72"/>
    </row>
    <row r="23" spans="1:16" x14ac:dyDescent="0.3">
      <c r="A23" s="63" t="s">
        <v>12</v>
      </c>
      <c r="B23" s="76"/>
      <c r="C23" s="23">
        <f>+Notes!C60</f>
        <v>177000</v>
      </c>
      <c r="D23" s="19"/>
      <c r="E23" s="23">
        <v>0</v>
      </c>
      <c r="F23" s="30"/>
      <c r="H23" s="72"/>
      <c r="I23" s="72"/>
      <c r="J23" s="72"/>
      <c r="K23" s="72"/>
      <c r="L23" s="72"/>
      <c r="M23" s="72"/>
      <c r="N23" s="72"/>
      <c r="O23" s="72"/>
    </row>
    <row r="24" spans="1:16" x14ac:dyDescent="0.3">
      <c r="A24" s="63"/>
      <c r="B24" s="63"/>
      <c r="C24" s="17">
        <f>SUM(C16:C23)</f>
        <v>202515721.34999999</v>
      </c>
      <c r="D24" s="73"/>
      <c r="E24" s="17">
        <f>SUM(E16:E23)</f>
        <v>155707233</v>
      </c>
      <c r="F24" s="17"/>
      <c r="H24" s="72"/>
      <c r="I24" s="72"/>
      <c r="J24" s="72"/>
      <c r="K24" s="72"/>
      <c r="L24" s="72"/>
      <c r="M24" s="72"/>
      <c r="N24" s="72"/>
      <c r="O24" s="72"/>
    </row>
    <row r="25" spans="1:16" x14ac:dyDescent="0.3">
      <c r="A25" s="63"/>
      <c r="B25" s="63"/>
      <c r="C25" s="19"/>
      <c r="D25" s="17"/>
      <c r="E25" s="19"/>
      <c r="F25" s="19"/>
      <c r="H25" s="72"/>
      <c r="I25" s="72"/>
      <c r="J25" s="72"/>
      <c r="K25" s="72"/>
      <c r="L25" s="72"/>
      <c r="M25" s="72"/>
      <c r="N25" s="72"/>
      <c r="O25" s="72"/>
    </row>
    <row r="26" spans="1:16" ht="14.4" thickBot="1" x14ac:dyDescent="0.35">
      <c r="A26" s="75" t="s">
        <v>13</v>
      </c>
      <c r="B26" s="63"/>
      <c r="C26" s="78">
        <f>C13+C24</f>
        <v>242862545.31</v>
      </c>
      <c r="D26" s="73"/>
      <c r="E26" s="78">
        <f>E13+E24</f>
        <v>178700269</v>
      </c>
      <c r="F26" s="79"/>
      <c r="H26" s="72"/>
      <c r="I26" s="72"/>
      <c r="J26" s="72"/>
      <c r="K26" s="72"/>
      <c r="L26" s="72"/>
      <c r="M26" s="72"/>
      <c r="N26" s="72"/>
      <c r="O26" s="72"/>
    </row>
    <row r="27" spans="1:16" ht="14.4" thickTop="1" x14ac:dyDescent="0.3">
      <c r="A27" s="75"/>
      <c r="B27" s="63"/>
      <c r="C27" s="17"/>
      <c r="D27" s="17"/>
      <c r="E27" s="17"/>
      <c r="F27" s="17"/>
      <c r="H27" s="72"/>
      <c r="I27" s="72"/>
      <c r="J27" s="72"/>
      <c r="K27" s="72"/>
      <c r="L27" s="72"/>
      <c r="M27" s="72"/>
      <c r="N27" s="72"/>
      <c r="O27" s="72"/>
    </row>
    <row r="28" spans="1:16" x14ac:dyDescent="0.3">
      <c r="A28" s="75" t="s">
        <v>14</v>
      </c>
      <c r="B28" s="63"/>
      <c r="C28" s="17"/>
      <c r="D28" s="17"/>
      <c r="E28" s="17"/>
      <c r="F28" s="17"/>
      <c r="H28" s="72"/>
      <c r="I28" s="72"/>
      <c r="J28" s="72"/>
      <c r="K28" s="72"/>
      <c r="L28" s="72"/>
      <c r="M28" s="72"/>
      <c r="N28" s="72"/>
      <c r="O28" s="72"/>
    </row>
    <row r="29" spans="1:16" ht="28.2" thickBot="1" x14ac:dyDescent="0.35">
      <c r="A29" s="82" t="s">
        <v>221</v>
      </c>
      <c r="B29" s="63"/>
      <c r="C29" s="86">
        <v>35000000</v>
      </c>
      <c r="D29" s="83"/>
      <c r="E29" s="86">
        <v>35000000</v>
      </c>
      <c r="F29" s="30"/>
      <c r="H29" s="72"/>
      <c r="I29" s="72"/>
      <c r="J29" s="72"/>
      <c r="K29" s="72"/>
      <c r="L29" s="72"/>
      <c r="M29" s="72"/>
      <c r="N29" s="72"/>
      <c r="O29" s="72"/>
    </row>
    <row r="30" spans="1:16" ht="14.4" thickTop="1" x14ac:dyDescent="0.3">
      <c r="A30" s="63" t="s">
        <v>222</v>
      </c>
      <c r="B30" s="63"/>
      <c r="C30" s="30">
        <f>+Notes!L70+Notes!L71</f>
        <v>137443539</v>
      </c>
      <c r="D30" s="19"/>
      <c r="E30" s="30">
        <v>31412500</v>
      </c>
      <c r="F30" s="30">
        <f>C30-E30</f>
        <v>106031039</v>
      </c>
      <c r="H30" s="72"/>
      <c r="I30" s="77">
        <f>C30-E30</f>
        <v>106031039</v>
      </c>
      <c r="J30" s="72"/>
      <c r="K30" s="72"/>
      <c r="L30" s="72"/>
      <c r="M30" s="72"/>
      <c r="N30" s="72"/>
      <c r="O30" s="72"/>
    </row>
    <row r="31" spans="1:16" hidden="1" x14ac:dyDescent="0.3">
      <c r="A31" s="63" t="s">
        <v>223</v>
      </c>
      <c r="B31" s="63"/>
      <c r="C31" s="30">
        <v>0</v>
      </c>
      <c r="D31" s="19"/>
      <c r="E31" s="30">
        <v>0</v>
      </c>
      <c r="F31" s="30"/>
      <c r="H31" s="72"/>
      <c r="I31" s="72"/>
      <c r="J31" s="72"/>
      <c r="K31" s="72"/>
      <c r="L31" s="72"/>
      <c r="M31" s="72"/>
      <c r="N31" s="72"/>
      <c r="O31" s="72"/>
    </row>
    <row r="32" spans="1:16" x14ac:dyDescent="0.3">
      <c r="A32" s="63" t="s">
        <v>224</v>
      </c>
      <c r="B32" s="63"/>
      <c r="C32" s="84">
        <f>+E32+PnL!C31</f>
        <v>82369892.049999982</v>
      </c>
      <c r="D32" s="19"/>
      <c r="E32" s="30">
        <v>55183646</v>
      </c>
      <c r="F32" s="30"/>
      <c r="H32" s="72"/>
      <c r="I32" s="72"/>
      <c r="J32" s="77">
        <f>C32-I32</f>
        <v>82369892.049999982</v>
      </c>
      <c r="K32" s="72"/>
      <c r="L32" s="72"/>
      <c r="N32" s="32">
        <v>54823614.560000002</v>
      </c>
      <c r="O32" s="32">
        <f>C32-N32</f>
        <v>27546277.48999998</v>
      </c>
    </row>
    <row r="33" spans="1:15" x14ac:dyDescent="0.3">
      <c r="A33" s="63" t="s">
        <v>225</v>
      </c>
      <c r="B33" s="63"/>
      <c r="C33" s="30">
        <v>0</v>
      </c>
      <c r="D33" s="19"/>
      <c r="E33" s="30">
        <v>84000000</v>
      </c>
      <c r="F33" s="30">
        <f>C33-E33</f>
        <v>-84000000</v>
      </c>
      <c r="H33" s="72"/>
      <c r="I33" s="77">
        <f>C33-E33</f>
        <v>-84000000</v>
      </c>
      <c r="J33" s="72"/>
      <c r="K33" s="72"/>
      <c r="L33" s="72"/>
      <c r="M33" s="72"/>
      <c r="N33" s="72"/>
      <c r="O33" s="72"/>
    </row>
    <row r="34" spans="1:15" x14ac:dyDescent="0.3">
      <c r="A34" s="63"/>
      <c r="B34" s="63"/>
      <c r="C34" s="85">
        <f>SUM(C30:C33)</f>
        <v>219813431.04999998</v>
      </c>
      <c r="D34" s="73"/>
      <c r="E34" s="85">
        <f>SUM(E30:E33)</f>
        <v>170596146</v>
      </c>
      <c r="F34" s="65"/>
      <c r="H34" s="72"/>
      <c r="I34" s="72"/>
      <c r="J34" s="72"/>
      <c r="K34" s="72"/>
      <c r="L34" s="72"/>
      <c r="M34" s="72"/>
      <c r="N34" s="72"/>
      <c r="O34" s="72"/>
    </row>
    <row r="35" spans="1:15" x14ac:dyDescent="0.3">
      <c r="A35" s="75" t="s">
        <v>15</v>
      </c>
      <c r="B35" s="63"/>
      <c r="C35" s="17"/>
      <c r="D35" s="17"/>
      <c r="E35" s="17"/>
      <c r="F35" s="17"/>
      <c r="H35" s="72"/>
      <c r="I35" s="72"/>
      <c r="J35" s="72"/>
      <c r="K35" s="72"/>
      <c r="L35" s="72"/>
      <c r="M35" s="72"/>
      <c r="N35" s="72"/>
      <c r="O35" s="72"/>
    </row>
    <row r="36" spans="1:15" x14ac:dyDescent="0.3">
      <c r="A36" s="63"/>
      <c r="B36" s="63"/>
      <c r="C36" s="17"/>
      <c r="D36" s="17"/>
      <c r="E36" s="17"/>
      <c r="F36" s="17"/>
      <c r="H36" s="72"/>
      <c r="I36" s="72"/>
      <c r="J36" s="72"/>
      <c r="K36" s="72"/>
      <c r="L36" s="72"/>
      <c r="M36" s="72"/>
      <c r="N36" s="72"/>
      <c r="O36" s="72"/>
    </row>
    <row r="37" spans="1:15" x14ac:dyDescent="0.3">
      <c r="A37" s="63" t="s">
        <v>16</v>
      </c>
      <c r="B37" s="76"/>
      <c r="C37" s="80">
        <f>+Notes!L66</f>
        <v>1943523</v>
      </c>
      <c r="D37" s="19"/>
      <c r="E37" s="80">
        <v>1943519</v>
      </c>
      <c r="F37" s="19"/>
      <c r="H37" s="72"/>
      <c r="I37" s="72"/>
      <c r="J37" s="72"/>
      <c r="K37" s="72"/>
      <c r="L37" s="72"/>
      <c r="M37" s="72"/>
      <c r="N37" s="72"/>
      <c r="O37" s="72"/>
    </row>
    <row r="38" spans="1:15" x14ac:dyDescent="0.3">
      <c r="A38" s="63"/>
      <c r="B38" s="63"/>
      <c r="C38" s="17">
        <f>C37</f>
        <v>1943523</v>
      </c>
      <c r="D38" s="17"/>
      <c r="E38" s="17">
        <f>E37</f>
        <v>1943519</v>
      </c>
      <c r="F38" s="17"/>
      <c r="H38" s="72"/>
      <c r="I38" s="72"/>
      <c r="J38" s="72"/>
      <c r="K38" s="72"/>
      <c r="L38" s="72"/>
      <c r="M38" s="72"/>
      <c r="N38" s="72"/>
      <c r="O38" s="72"/>
    </row>
    <row r="39" spans="1:15" x14ac:dyDescent="0.3">
      <c r="A39" s="63"/>
      <c r="B39" s="63"/>
      <c r="C39" s="17"/>
      <c r="D39" s="17"/>
      <c r="E39" s="17"/>
      <c r="F39" s="17"/>
      <c r="H39" s="72"/>
      <c r="I39" s="72"/>
      <c r="J39" s="72"/>
      <c r="K39" s="72"/>
      <c r="L39" s="72"/>
      <c r="M39" s="72"/>
      <c r="N39" s="72"/>
      <c r="O39" s="72"/>
    </row>
    <row r="40" spans="1:15" x14ac:dyDescent="0.3">
      <c r="A40" s="75" t="s">
        <v>17</v>
      </c>
      <c r="B40" s="63"/>
      <c r="C40" s="17"/>
      <c r="D40" s="17"/>
      <c r="E40" s="17"/>
      <c r="F40" s="17"/>
      <c r="H40" s="72"/>
      <c r="I40" s="72"/>
      <c r="J40" s="72"/>
      <c r="K40" s="72"/>
      <c r="L40" s="72"/>
      <c r="M40" s="72"/>
      <c r="N40" s="72"/>
      <c r="O40" s="77" t="e">
        <f>#REF!-O32</f>
        <v>#REF!</v>
      </c>
    </row>
    <row r="41" spans="1:15" x14ac:dyDescent="0.3">
      <c r="A41" s="63"/>
      <c r="B41" s="63"/>
      <c r="C41" s="17"/>
      <c r="D41" s="17"/>
      <c r="E41" s="17"/>
      <c r="F41" s="17"/>
      <c r="H41" s="72"/>
      <c r="I41" s="72"/>
      <c r="J41" s="72"/>
      <c r="K41" s="72"/>
      <c r="L41" s="72"/>
      <c r="M41" s="72"/>
      <c r="N41" s="72"/>
      <c r="O41" s="72"/>
    </row>
    <row r="42" spans="1:15" x14ac:dyDescent="0.3">
      <c r="A42" s="63" t="s">
        <v>18</v>
      </c>
      <c r="B42" s="76">
        <v>5</v>
      </c>
      <c r="C42" s="20">
        <f>+Notes!C80</f>
        <v>13383836.630000001</v>
      </c>
      <c r="D42" s="19"/>
      <c r="E42" s="20">
        <v>2273567</v>
      </c>
      <c r="F42" s="30"/>
      <c r="H42" s="72"/>
      <c r="I42" s="72"/>
      <c r="J42" s="72"/>
      <c r="K42" s="72"/>
      <c r="L42" s="72"/>
      <c r="M42" s="72"/>
      <c r="N42" s="72"/>
      <c r="O42" s="72"/>
    </row>
    <row r="43" spans="1:15" x14ac:dyDescent="0.3">
      <c r="A43" s="63" t="s">
        <v>250</v>
      </c>
      <c r="B43" s="76"/>
      <c r="C43" s="22">
        <f>+Notes!L68</f>
        <v>6750000</v>
      </c>
      <c r="D43" s="19"/>
      <c r="E43" s="22">
        <v>0</v>
      </c>
      <c r="F43" s="30"/>
      <c r="H43" s="72"/>
      <c r="I43" s="72"/>
      <c r="J43" s="72"/>
      <c r="K43" s="72"/>
      <c r="L43" s="72"/>
      <c r="M43" s="72"/>
      <c r="N43" s="72"/>
      <c r="O43" s="72"/>
    </row>
    <row r="44" spans="1:15" x14ac:dyDescent="0.3">
      <c r="A44" s="63" t="s">
        <v>139</v>
      </c>
      <c r="B44" s="63"/>
      <c r="C44" s="64">
        <f>+Notes!L65</f>
        <v>971754.89</v>
      </c>
      <c r="D44" s="19"/>
      <c r="E44" s="23">
        <v>3887037</v>
      </c>
      <c r="F44" s="30"/>
      <c r="H44" s="72"/>
      <c r="I44" s="72"/>
      <c r="J44" s="72"/>
      <c r="K44" s="72"/>
      <c r="L44" s="72"/>
      <c r="M44" s="72"/>
      <c r="N44" s="72"/>
      <c r="O44" s="72"/>
    </row>
    <row r="45" spans="1:15" x14ac:dyDescent="0.3">
      <c r="A45" s="63"/>
      <c r="B45" s="63"/>
      <c r="C45" s="17">
        <f>SUM(C42:C44)</f>
        <v>21105591.520000003</v>
      </c>
      <c r="D45" s="73"/>
      <c r="E45" s="17">
        <f>SUM(E42:E44)</f>
        <v>6160604</v>
      </c>
      <c r="F45" s="17"/>
      <c r="H45" s="72"/>
      <c r="I45" s="72"/>
      <c r="J45" s="72"/>
      <c r="K45" s="72"/>
      <c r="L45" s="72"/>
      <c r="M45" s="72"/>
      <c r="N45" s="72"/>
      <c r="O45" s="72"/>
    </row>
    <row r="46" spans="1:15" x14ac:dyDescent="0.3">
      <c r="A46" s="63"/>
      <c r="B46" s="63"/>
      <c r="C46" s="19"/>
      <c r="D46" s="17"/>
      <c r="E46" s="19"/>
      <c r="F46" s="19"/>
      <c r="H46" s="72"/>
      <c r="I46" s="72"/>
      <c r="J46" s="72"/>
      <c r="K46" s="72"/>
      <c r="L46" s="72"/>
      <c r="M46" s="72"/>
      <c r="N46" s="72"/>
      <c r="O46" s="72"/>
    </row>
    <row r="47" spans="1:15" ht="14.4" thickBot="1" x14ac:dyDescent="0.35">
      <c r="A47" s="75" t="s">
        <v>19</v>
      </c>
      <c r="B47" s="63"/>
      <c r="C47" s="81">
        <f>C34+C38+C45</f>
        <v>242862545.56999999</v>
      </c>
      <c r="D47" s="73"/>
      <c r="E47" s="81">
        <f>E34+E38+E45</f>
        <v>178700269</v>
      </c>
      <c r="F47" s="19"/>
      <c r="H47" s="72"/>
      <c r="I47" s="72"/>
      <c r="J47" s="72"/>
      <c r="K47" s="72"/>
      <c r="L47" s="72"/>
      <c r="M47" s="72"/>
      <c r="N47" s="72"/>
      <c r="O47" s="72"/>
    </row>
    <row r="48" spans="1:15" ht="14.4" thickTop="1" x14ac:dyDescent="0.3">
      <c r="C48" s="73"/>
      <c r="D48" s="73"/>
      <c r="E48" s="73"/>
      <c r="F48" s="73"/>
      <c r="H48" s="72"/>
      <c r="I48" s="72"/>
      <c r="J48" s="72"/>
      <c r="K48" s="72"/>
      <c r="L48" s="72"/>
      <c r="M48" s="72"/>
      <c r="N48" s="72"/>
      <c r="O48" s="72"/>
    </row>
    <row r="49" spans="3:15" x14ac:dyDescent="0.3">
      <c r="C49" s="73">
        <f>C26-C47</f>
        <v>-0.25999999046325684</v>
      </c>
      <c r="D49" s="73"/>
      <c r="E49" s="73">
        <f>E26-E47</f>
        <v>0</v>
      </c>
      <c r="F49" s="73"/>
      <c r="H49" s="72"/>
      <c r="I49" s="72"/>
      <c r="J49" s="72"/>
      <c r="K49" s="72"/>
      <c r="L49" s="72"/>
      <c r="M49" s="72"/>
      <c r="N49" s="72"/>
      <c r="O49" s="72"/>
    </row>
    <row r="50" spans="3:15" x14ac:dyDescent="0.3">
      <c r="C50" s="73"/>
      <c r="D50" s="73"/>
      <c r="E50" s="73"/>
      <c r="F50" s="73"/>
      <c r="H50" s="72"/>
      <c r="I50" s="72"/>
      <c r="J50" s="72"/>
      <c r="K50" s="72"/>
      <c r="L50" s="72"/>
      <c r="M50" s="72"/>
      <c r="N50" s="72"/>
      <c r="O50" s="72"/>
    </row>
  </sheetData>
  <mergeCells count="3">
    <mergeCell ref="A1:E1"/>
    <mergeCell ref="A2:E2"/>
    <mergeCell ref="A3:E3"/>
  </mergeCells>
  <pageMargins left="0.95" right="0.7" top="1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6"/>
  <sheetViews>
    <sheetView view="pageBreakPreview" topLeftCell="A11" zoomScale="115" zoomScaleNormal="100" zoomScaleSheetLayoutView="115" workbookViewId="0">
      <selection activeCell="C30" sqref="C30"/>
    </sheetView>
  </sheetViews>
  <sheetFormatPr defaultColWidth="9.109375" defaultRowHeight="13.8" x14ac:dyDescent="0.3"/>
  <cols>
    <col min="1" max="1" width="43" style="72" bestFit="1" customWidth="1"/>
    <col min="2" max="2" width="5.109375" style="72" bestFit="1" customWidth="1"/>
    <col min="3" max="3" width="15.109375" style="72" customWidth="1"/>
    <col min="4" max="4" width="4" style="72" customWidth="1"/>
    <col min="5" max="5" width="15.109375" style="72" customWidth="1"/>
    <col min="6" max="6" width="9.109375" style="72"/>
    <col min="7" max="7" width="17.5546875" style="72" hidden="1" customWidth="1"/>
    <col min="8" max="8" width="9.109375" style="72"/>
    <col min="9" max="9" width="13.88671875" style="72" customWidth="1"/>
    <col min="10" max="16384" width="9.109375" style="72"/>
  </cols>
  <sheetData>
    <row r="1" spans="1:9" x14ac:dyDescent="0.3">
      <c r="A1" s="137" t="s">
        <v>0</v>
      </c>
      <c r="B1" s="137"/>
      <c r="C1" s="137"/>
      <c r="D1" s="137"/>
      <c r="E1" s="137"/>
    </row>
    <row r="2" spans="1:9" x14ac:dyDescent="0.3">
      <c r="A2" s="137" t="s">
        <v>20</v>
      </c>
      <c r="B2" s="137"/>
      <c r="C2" s="137"/>
      <c r="D2" s="137"/>
      <c r="E2" s="137"/>
    </row>
    <row r="3" spans="1:9" x14ac:dyDescent="0.3">
      <c r="A3" s="137" t="s">
        <v>254</v>
      </c>
      <c r="B3" s="137"/>
      <c r="C3" s="137"/>
      <c r="D3" s="137"/>
      <c r="E3" s="137"/>
    </row>
    <row r="4" spans="1:9" x14ac:dyDescent="0.3">
      <c r="A4" s="63"/>
    </row>
    <row r="5" spans="1:9" x14ac:dyDescent="0.3">
      <c r="A5" s="63"/>
    </row>
    <row r="6" spans="1:9" x14ac:dyDescent="0.3">
      <c r="A6" s="63"/>
    </row>
    <row r="7" spans="1:9" x14ac:dyDescent="0.3">
      <c r="A7" s="63"/>
    </row>
    <row r="8" spans="1:9" x14ac:dyDescent="0.3">
      <c r="A8" s="63"/>
      <c r="B8" s="71" t="s">
        <v>3</v>
      </c>
      <c r="C8" s="71" t="s">
        <v>245</v>
      </c>
      <c r="D8" s="63"/>
      <c r="E8" s="71" t="s">
        <v>245</v>
      </c>
    </row>
    <row r="9" spans="1:9" x14ac:dyDescent="0.3">
      <c r="A9" s="63"/>
      <c r="B9" s="63"/>
      <c r="C9" s="71">
        <v>2022</v>
      </c>
      <c r="E9" s="71">
        <v>2021</v>
      </c>
    </row>
    <row r="10" spans="1:9" x14ac:dyDescent="0.3">
      <c r="A10" s="63"/>
      <c r="B10" s="63"/>
      <c r="C10" s="71" t="s">
        <v>4</v>
      </c>
      <c r="D10" s="63"/>
      <c r="E10" s="71" t="s">
        <v>4</v>
      </c>
    </row>
    <row r="11" spans="1:9" x14ac:dyDescent="0.3">
      <c r="A11" s="63" t="s">
        <v>256</v>
      </c>
      <c r="B11" s="126">
        <v>6</v>
      </c>
      <c r="C11" s="13">
        <f>+Notes!C85</f>
        <v>152059403.16</v>
      </c>
      <c r="D11" s="73"/>
      <c r="E11" s="127">
        <f>+Notes!E98</f>
        <v>37449353.600000001</v>
      </c>
      <c r="G11" s="72">
        <f>+C11/171.47</f>
        <v>886798.87537178514</v>
      </c>
      <c r="I11" s="73">
        <f>+C11/183.48</f>
        <v>828751.92478744278</v>
      </c>
    </row>
    <row r="12" spans="1:9" x14ac:dyDescent="0.3">
      <c r="A12" s="63" t="s">
        <v>66</v>
      </c>
      <c r="B12" s="126">
        <v>7</v>
      </c>
      <c r="C12" s="14">
        <f>+Notes!C107</f>
        <v>1843012.19</v>
      </c>
      <c r="D12" s="73"/>
      <c r="E12" s="128">
        <f>+Notes!E107</f>
        <v>762211.92999999993</v>
      </c>
    </row>
    <row r="13" spans="1:9" hidden="1" x14ac:dyDescent="0.3">
      <c r="A13" s="63" t="s">
        <v>21</v>
      </c>
      <c r="B13" s="63"/>
      <c r="C13" s="15"/>
      <c r="D13" s="73"/>
      <c r="E13" s="129" t="s">
        <v>11</v>
      </c>
    </row>
    <row r="14" spans="1:9" x14ac:dyDescent="0.3">
      <c r="A14" s="63"/>
      <c r="B14" s="63"/>
      <c r="C14" s="16">
        <f>SUM(C11:C13)</f>
        <v>153902415.34999999</v>
      </c>
      <c r="D14" s="73"/>
      <c r="E14" s="130">
        <f>SUM(E11:E12)</f>
        <v>38211565.530000001</v>
      </c>
    </row>
    <row r="15" spans="1:9" x14ac:dyDescent="0.3">
      <c r="A15" s="63"/>
      <c r="B15" s="63"/>
      <c r="C15" s="15"/>
      <c r="D15" s="73"/>
      <c r="E15" s="19"/>
    </row>
    <row r="16" spans="1:9" x14ac:dyDescent="0.3">
      <c r="A16" s="75" t="s">
        <v>260</v>
      </c>
      <c r="B16" s="63"/>
      <c r="C16" s="15"/>
      <c r="D16" s="73"/>
      <c r="E16" s="19"/>
    </row>
    <row r="17" spans="1:7" x14ac:dyDescent="0.3">
      <c r="A17" s="75"/>
      <c r="B17" s="63"/>
      <c r="C17" s="15"/>
      <c r="D17" s="73"/>
      <c r="E17" s="19"/>
    </row>
    <row r="18" spans="1:7" x14ac:dyDescent="0.3">
      <c r="A18" s="63" t="s">
        <v>261</v>
      </c>
      <c r="B18" s="63"/>
      <c r="C18" s="13">
        <v>0</v>
      </c>
      <c r="D18" s="73"/>
      <c r="E18" s="13">
        <v>0</v>
      </c>
    </row>
    <row r="19" spans="1:7" x14ac:dyDescent="0.3">
      <c r="A19" s="63" t="s">
        <v>262</v>
      </c>
      <c r="B19" s="63"/>
      <c r="C19" s="21">
        <v>0</v>
      </c>
      <c r="D19" s="73"/>
      <c r="E19" s="21">
        <v>0</v>
      </c>
    </row>
    <row r="20" spans="1:7" x14ac:dyDescent="0.3">
      <c r="A20" s="63" t="s">
        <v>263</v>
      </c>
      <c r="B20" s="63"/>
      <c r="C20" s="14">
        <v>0</v>
      </c>
      <c r="D20" s="73"/>
      <c r="E20" s="14">
        <v>0</v>
      </c>
    </row>
    <row r="21" spans="1:7" x14ac:dyDescent="0.3">
      <c r="A21" s="63"/>
      <c r="B21" s="63"/>
      <c r="C21" s="15">
        <f>SUM(C18:C20)</f>
        <v>0</v>
      </c>
      <c r="D21" s="73"/>
      <c r="E21" s="15">
        <f>SUM(E18:E20)</f>
        <v>0</v>
      </c>
    </row>
    <row r="22" spans="1:7" x14ac:dyDescent="0.3">
      <c r="A22" s="63"/>
      <c r="B22" s="63"/>
      <c r="C22" s="135"/>
      <c r="D22" s="73"/>
      <c r="E22" s="19"/>
    </row>
    <row r="23" spans="1:7" x14ac:dyDescent="0.3">
      <c r="A23" s="75" t="s">
        <v>264</v>
      </c>
      <c r="B23" s="63"/>
      <c r="C23" s="134">
        <f>+C14-C21</f>
        <v>153902415.34999999</v>
      </c>
      <c r="D23" s="17"/>
      <c r="E23" s="134">
        <f>+E14-E21</f>
        <v>38211565.530000001</v>
      </c>
    </row>
    <row r="24" spans="1:7" x14ac:dyDescent="0.3">
      <c r="A24" s="63"/>
      <c r="B24" s="63"/>
      <c r="C24" s="63"/>
      <c r="D24" s="19"/>
      <c r="E24" s="19"/>
    </row>
    <row r="25" spans="1:7" x14ac:dyDescent="0.3">
      <c r="A25" s="63" t="s">
        <v>22</v>
      </c>
      <c r="B25" s="126">
        <v>8</v>
      </c>
      <c r="C25" s="13">
        <f>+Notes!C134</f>
        <v>117196882.11100002</v>
      </c>
      <c r="D25" s="19"/>
      <c r="E25" s="20">
        <f>+Notes!E134</f>
        <v>30996237.141500004</v>
      </c>
    </row>
    <row r="26" spans="1:7" x14ac:dyDescent="0.3">
      <c r="A26" s="63" t="s">
        <v>23</v>
      </c>
      <c r="B26" s="126">
        <v>9</v>
      </c>
      <c r="C26" s="21">
        <f>+Notes!C171</f>
        <v>9516959.3890000004</v>
      </c>
      <c r="D26" s="19"/>
      <c r="E26" s="22">
        <f>+Notes!E171</f>
        <v>6273631.9885000009</v>
      </c>
    </row>
    <row r="27" spans="1:7" x14ac:dyDescent="0.3">
      <c r="A27" s="63" t="s">
        <v>176</v>
      </c>
      <c r="B27" s="126">
        <v>10</v>
      </c>
      <c r="C27" s="14">
        <f>+Notes!C184</f>
        <v>2327.8000000000002</v>
      </c>
      <c r="D27" s="19"/>
      <c r="E27" s="23">
        <v>0</v>
      </c>
    </row>
    <row r="28" spans="1:7" hidden="1" x14ac:dyDescent="0.3">
      <c r="A28" s="63" t="s">
        <v>177</v>
      </c>
      <c r="B28" s="126"/>
      <c r="C28" s="23">
        <f>+[1]Notes!C196</f>
        <v>0</v>
      </c>
      <c r="D28" s="19"/>
      <c r="E28" s="23">
        <v>0</v>
      </c>
    </row>
    <row r="29" spans="1:7" x14ac:dyDescent="0.3">
      <c r="A29" s="63"/>
      <c r="B29" s="63"/>
      <c r="C29" s="15">
        <f>SUM(C25:C28)</f>
        <v>126716169.30000001</v>
      </c>
      <c r="E29" s="15">
        <f>SUM(E25:E28)</f>
        <v>37269869.130000003</v>
      </c>
    </row>
    <row r="30" spans="1:7" x14ac:dyDescent="0.3">
      <c r="A30" s="63"/>
      <c r="B30" s="63"/>
      <c r="C30" s="63"/>
      <c r="D30" s="17"/>
      <c r="E30" s="19"/>
    </row>
    <row r="31" spans="1:7" ht="14.4" thickBot="1" x14ac:dyDescent="0.35">
      <c r="A31" s="75" t="s">
        <v>265</v>
      </c>
      <c r="B31" s="63"/>
      <c r="C31" s="25">
        <f>+C23-C29</f>
        <v>27186246.049999982</v>
      </c>
      <c r="D31" s="73"/>
      <c r="E31" s="25">
        <f>+E23-E29</f>
        <v>941696.39999999851</v>
      </c>
      <c r="G31" s="131"/>
    </row>
    <row r="32" spans="1:7" ht="14.4" thickTop="1" x14ac:dyDescent="0.3">
      <c r="A32" s="63"/>
      <c r="B32" s="63"/>
      <c r="C32" s="63"/>
      <c r="D32" s="17"/>
      <c r="E32" s="19"/>
    </row>
    <row r="34" spans="3:3" x14ac:dyDescent="0.3">
      <c r="C34" s="131"/>
    </row>
    <row r="35" spans="3:3" x14ac:dyDescent="0.3">
      <c r="C35" s="73">
        <f>+Notes!L144</f>
        <v>-36006722.86999999</v>
      </c>
    </row>
    <row r="36" spans="3:3" x14ac:dyDescent="0.3">
      <c r="C36" s="73">
        <f>C31-C35</f>
        <v>63192968.919999972</v>
      </c>
    </row>
  </sheetData>
  <mergeCells count="3">
    <mergeCell ref="A1:E1"/>
    <mergeCell ref="A2:E2"/>
    <mergeCell ref="A3:E3"/>
  </mergeCells>
  <pageMargins left="0.95" right="0.7" top="1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C86A0-140D-4592-97F8-471CAB335E5E}">
  <dimension ref="A1:I36"/>
  <sheetViews>
    <sheetView view="pageBreakPreview" zoomScale="115" zoomScaleNormal="100" zoomScaleSheetLayoutView="115" workbookViewId="0">
      <selection activeCell="E10" sqref="E10"/>
    </sheetView>
  </sheetViews>
  <sheetFormatPr defaultColWidth="9.109375" defaultRowHeight="13.8" x14ac:dyDescent="0.3"/>
  <cols>
    <col min="1" max="1" width="43" style="72" bestFit="1" customWidth="1"/>
    <col min="2" max="2" width="5.109375" style="72" bestFit="1" customWidth="1"/>
    <col min="3" max="3" width="15.109375" style="72" customWidth="1"/>
    <col min="4" max="4" width="4" style="72" customWidth="1"/>
    <col min="5" max="5" width="15.109375" style="72" customWidth="1"/>
    <col min="6" max="6" width="9.109375" style="72"/>
    <col min="7" max="7" width="17.5546875" style="72" hidden="1" customWidth="1"/>
    <col min="8" max="8" width="9.109375" style="72"/>
    <col min="9" max="9" width="13.88671875" style="72" customWidth="1"/>
    <col min="10" max="16384" width="9.109375" style="72"/>
  </cols>
  <sheetData>
    <row r="1" spans="1:9" x14ac:dyDescent="0.3">
      <c r="A1" s="137" t="s">
        <v>0</v>
      </c>
      <c r="B1" s="137"/>
      <c r="C1" s="137"/>
      <c r="D1" s="137"/>
      <c r="E1" s="137"/>
    </row>
    <row r="2" spans="1:9" x14ac:dyDescent="0.3">
      <c r="A2" s="137" t="s">
        <v>20</v>
      </c>
      <c r="B2" s="137"/>
      <c r="C2" s="137"/>
      <c r="D2" s="137"/>
      <c r="E2" s="137"/>
    </row>
    <row r="3" spans="1:9" x14ac:dyDescent="0.3">
      <c r="A3" s="137" t="s">
        <v>254</v>
      </c>
      <c r="B3" s="137"/>
      <c r="C3" s="137"/>
      <c r="D3" s="137"/>
      <c r="E3" s="137"/>
    </row>
    <row r="4" spans="1:9" x14ac:dyDescent="0.3">
      <c r="A4" s="63"/>
    </row>
    <row r="5" spans="1:9" x14ac:dyDescent="0.3">
      <c r="A5" s="63"/>
    </row>
    <row r="6" spans="1:9" x14ac:dyDescent="0.3">
      <c r="A6" s="63"/>
    </row>
    <row r="7" spans="1:9" x14ac:dyDescent="0.3">
      <c r="A7" s="63"/>
    </row>
    <row r="8" spans="1:9" x14ac:dyDescent="0.3">
      <c r="A8" s="63"/>
      <c r="B8" s="71" t="s">
        <v>3</v>
      </c>
      <c r="C8" s="71" t="s">
        <v>245</v>
      </c>
      <c r="D8" s="63"/>
      <c r="E8" s="71" t="s">
        <v>245</v>
      </c>
    </row>
    <row r="9" spans="1:9" x14ac:dyDescent="0.3">
      <c r="A9" s="63"/>
      <c r="B9" s="63"/>
      <c r="C9" s="71">
        <v>2022</v>
      </c>
      <c r="E9" s="71">
        <v>2021</v>
      </c>
    </row>
    <row r="10" spans="1:9" x14ac:dyDescent="0.3">
      <c r="A10" s="63"/>
      <c r="B10" s="63"/>
      <c r="C10" s="71" t="s">
        <v>4</v>
      </c>
      <c r="D10" s="63"/>
      <c r="E10" s="71" t="s">
        <v>4</v>
      </c>
    </row>
    <row r="11" spans="1:9" x14ac:dyDescent="0.3">
      <c r="A11" s="63" t="s">
        <v>256</v>
      </c>
      <c r="B11" s="126">
        <v>6</v>
      </c>
      <c r="C11" s="13">
        <f>+Notes!C85</f>
        <v>152059403.16</v>
      </c>
      <c r="D11" s="73"/>
      <c r="E11" s="127">
        <f>+Notes!E98</f>
        <v>37449353.600000001</v>
      </c>
      <c r="G11" s="72">
        <f>+C11/171.47</f>
        <v>886798.87537178514</v>
      </c>
      <c r="I11" s="73">
        <f>+C11/183.48</f>
        <v>828751.92478744278</v>
      </c>
    </row>
    <row r="12" spans="1:9" x14ac:dyDescent="0.3">
      <c r="A12" s="63" t="s">
        <v>66</v>
      </c>
      <c r="B12" s="126">
        <v>7</v>
      </c>
      <c r="C12" s="14">
        <f>+Notes!C107</f>
        <v>1843012.19</v>
      </c>
      <c r="D12" s="73"/>
      <c r="E12" s="128">
        <f>+Notes!E107</f>
        <v>762211.92999999993</v>
      </c>
    </row>
    <row r="13" spans="1:9" hidden="1" x14ac:dyDescent="0.3">
      <c r="A13" s="63" t="s">
        <v>21</v>
      </c>
      <c r="B13" s="63"/>
      <c r="C13" s="15"/>
      <c r="D13" s="73"/>
      <c r="E13" s="129" t="s">
        <v>11</v>
      </c>
    </row>
    <row r="14" spans="1:9" x14ac:dyDescent="0.3">
      <c r="A14" s="63"/>
      <c r="B14" s="63"/>
      <c r="C14" s="16">
        <f>SUM(C11:C13)</f>
        <v>153902415.34999999</v>
      </c>
      <c r="D14" s="73"/>
      <c r="E14" s="130">
        <f>SUM(E11:E12)</f>
        <v>38211565.530000001</v>
      </c>
    </row>
    <row r="15" spans="1:9" x14ac:dyDescent="0.3">
      <c r="A15" s="63"/>
      <c r="B15" s="63"/>
      <c r="C15" s="15"/>
      <c r="D15" s="73"/>
      <c r="E15" s="19"/>
    </row>
    <row r="16" spans="1:9" x14ac:dyDescent="0.3">
      <c r="A16" s="75" t="s">
        <v>260</v>
      </c>
      <c r="B16" s="63"/>
      <c r="C16" s="15"/>
      <c r="D16" s="73"/>
      <c r="E16" s="19"/>
    </row>
    <row r="17" spans="1:7" x14ac:dyDescent="0.3">
      <c r="A17" s="75"/>
      <c r="B17" s="63"/>
      <c r="C17" s="15"/>
      <c r="D17" s="73"/>
      <c r="E17" s="19"/>
    </row>
    <row r="18" spans="1:7" x14ac:dyDescent="0.3">
      <c r="A18" s="63" t="s">
        <v>261</v>
      </c>
      <c r="B18" s="63"/>
      <c r="C18" s="13">
        <v>0</v>
      </c>
      <c r="D18" s="73"/>
      <c r="E18" s="13">
        <v>0</v>
      </c>
    </row>
    <row r="19" spans="1:7" x14ac:dyDescent="0.3">
      <c r="A19" s="63" t="s">
        <v>262</v>
      </c>
      <c r="B19" s="63"/>
      <c r="C19" s="21">
        <v>0</v>
      </c>
      <c r="D19" s="73"/>
      <c r="E19" s="21">
        <v>0</v>
      </c>
    </row>
    <row r="20" spans="1:7" x14ac:dyDescent="0.3">
      <c r="A20" s="63" t="s">
        <v>263</v>
      </c>
      <c r="B20" s="63"/>
      <c r="C20" s="14">
        <v>0</v>
      </c>
      <c r="D20" s="73"/>
      <c r="E20" s="14">
        <v>0</v>
      </c>
    </row>
    <row r="21" spans="1:7" x14ac:dyDescent="0.3">
      <c r="A21" s="63"/>
      <c r="B21" s="63"/>
      <c r="C21" s="15">
        <f>SUM(C18:C20)</f>
        <v>0</v>
      </c>
      <c r="D21" s="73"/>
      <c r="E21" s="15">
        <f>SUM(E18:E20)</f>
        <v>0</v>
      </c>
    </row>
    <row r="22" spans="1:7" x14ac:dyDescent="0.3">
      <c r="A22" s="63"/>
      <c r="B22" s="63"/>
      <c r="C22" s="135"/>
      <c r="D22" s="73"/>
      <c r="E22" s="19"/>
    </row>
    <row r="23" spans="1:7" x14ac:dyDescent="0.3">
      <c r="A23" s="75" t="s">
        <v>264</v>
      </c>
      <c r="B23" s="63"/>
      <c r="C23" s="134">
        <f>+C14-C21</f>
        <v>153902415.34999999</v>
      </c>
      <c r="D23" s="17"/>
      <c r="E23" s="134">
        <f>+E14-E21</f>
        <v>38211565.530000001</v>
      </c>
    </row>
    <row r="24" spans="1:7" x14ac:dyDescent="0.3">
      <c r="A24" s="63"/>
      <c r="B24" s="63"/>
      <c r="C24" s="63"/>
      <c r="D24" s="19"/>
      <c r="E24" s="19"/>
    </row>
    <row r="25" spans="1:7" x14ac:dyDescent="0.3">
      <c r="A25" s="63" t="s">
        <v>22</v>
      </c>
      <c r="B25" s="126">
        <v>8</v>
      </c>
      <c r="C25" s="13">
        <f>+Notes!C134</f>
        <v>117196882.11100002</v>
      </c>
      <c r="D25" s="19"/>
      <c r="E25" s="20">
        <f>+Notes!E134</f>
        <v>30996237.141500004</v>
      </c>
    </row>
    <row r="26" spans="1:7" x14ac:dyDescent="0.3">
      <c r="A26" s="63" t="s">
        <v>23</v>
      </c>
      <c r="B26" s="126">
        <v>9</v>
      </c>
      <c r="C26" s="21">
        <f>+Notes!C171</f>
        <v>9516959.3890000004</v>
      </c>
      <c r="D26" s="19"/>
      <c r="E26" s="22">
        <f>+Notes!E171</f>
        <v>6273631.9885000009</v>
      </c>
    </row>
    <row r="27" spans="1:7" x14ac:dyDescent="0.3">
      <c r="A27" s="63" t="s">
        <v>176</v>
      </c>
      <c r="B27" s="126">
        <v>10</v>
      </c>
      <c r="C27" s="14">
        <f>+Notes!C184</f>
        <v>2327.8000000000002</v>
      </c>
      <c r="D27" s="19"/>
      <c r="E27" s="23">
        <v>0</v>
      </c>
    </row>
    <row r="28" spans="1:7" hidden="1" x14ac:dyDescent="0.3">
      <c r="A28" s="63" t="s">
        <v>177</v>
      </c>
      <c r="B28" s="126"/>
      <c r="C28" s="23">
        <f>+[1]Notes!C196</f>
        <v>0</v>
      </c>
      <c r="D28" s="19"/>
      <c r="E28" s="23">
        <v>0</v>
      </c>
    </row>
    <row r="29" spans="1:7" x14ac:dyDescent="0.3">
      <c r="A29" s="63"/>
      <c r="B29" s="63"/>
      <c r="C29" s="15">
        <f>SUM(C25:C28)</f>
        <v>126716169.30000001</v>
      </c>
      <c r="E29" s="15">
        <f>SUM(E25:E28)</f>
        <v>37269869.130000003</v>
      </c>
    </row>
    <row r="30" spans="1:7" x14ac:dyDescent="0.3">
      <c r="A30" s="63"/>
      <c r="B30" s="63"/>
      <c r="C30" s="63"/>
      <c r="D30" s="17"/>
      <c r="E30" s="19"/>
    </row>
    <row r="31" spans="1:7" ht="14.4" thickBot="1" x14ac:dyDescent="0.35">
      <c r="A31" s="75" t="s">
        <v>265</v>
      </c>
      <c r="B31" s="63"/>
      <c r="C31" s="25">
        <f>+C23-C29</f>
        <v>27186246.049999982</v>
      </c>
      <c r="D31" s="73"/>
      <c r="E31" s="25">
        <f>+E23-E29</f>
        <v>941696.39999999851</v>
      </c>
      <c r="G31" s="131"/>
    </row>
    <row r="32" spans="1:7" ht="14.4" thickTop="1" x14ac:dyDescent="0.3">
      <c r="A32" s="63"/>
      <c r="B32" s="63"/>
      <c r="C32" s="63"/>
      <c r="D32" s="17"/>
      <c r="E32" s="19"/>
    </row>
    <row r="34" spans="3:3" x14ac:dyDescent="0.3">
      <c r="C34" s="131"/>
    </row>
    <row r="35" spans="3:3" x14ac:dyDescent="0.3">
      <c r="C35" s="73">
        <f>+Notes!L144</f>
        <v>-36006722.86999999</v>
      </c>
    </row>
    <row r="36" spans="3:3" x14ac:dyDescent="0.3">
      <c r="C36" s="73">
        <f>C31-C35</f>
        <v>63192968.919999972</v>
      </c>
    </row>
  </sheetData>
  <mergeCells count="3">
    <mergeCell ref="A1:E1"/>
    <mergeCell ref="A2:E2"/>
    <mergeCell ref="A3:E3"/>
  </mergeCells>
  <pageMargins left="0.95" right="0.7" top="1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47"/>
  <sheetViews>
    <sheetView view="pageBreakPreview" topLeftCell="A2" zoomScale="115" zoomScaleNormal="100" zoomScaleSheetLayoutView="115" workbookViewId="0">
      <selection activeCell="A2" sqref="A2:E2"/>
    </sheetView>
  </sheetViews>
  <sheetFormatPr defaultColWidth="11" defaultRowHeight="13.8" x14ac:dyDescent="0.3"/>
  <cols>
    <col min="1" max="1" width="48" style="72" bestFit="1" customWidth="1"/>
    <col min="2" max="2" width="6.5546875" style="26" bestFit="1" customWidth="1"/>
    <col min="3" max="3" width="16.109375" style="26" bestFit="1" customWidth="1"/>
    <col min="4" max="4" width="4.33203125" style="26" customWidth="1"/>
    <col min="5" max="5" width="16" style="26" bestFit="1" customWidth="1"/>
    <col min="6" max="6" width="1.5546875" style="26" customWidth="1"/>
    <col min="7" max="7" width="8.5546875" style="26" hidden="1" customWidth="1"/>
    <col min="8" max="8" width="8.88671875" style="26" hidden="1" customWidth="1"/>
    <col min="9" max="9" width="1.33203125" style="26" customWidth="1"/>
    <col min="10" max="10" width="41.33203125" style="26" hidden="1" customWidth="1"/>
    <col min="11" max="12" width="14.33203125" style="33" hidden="1" customWidth="1"/>
    <col min="13" max="13" width="11" style="26" hidden="1" customWidth="1"/>
    <col min="14" max="19" width="11" style="26" customWidth="1"/>
    <col min="20" max="20" width="11" style="26"/>
    <col min="21" max="21" width="28.6640625" style="26" customWidth="1"/>
    <col min="22" max="22" width="13.33203125" style="26" bestFit="1" customWidth="1"/>
    <col min="23" max="16384" width="11" style="26"/>
  </cols>
  <sheetData>
    <row r="1" spans="1:14" x14ac:dyDescent="0.3">
      <c r="A1" s="138" t="s">
        <v>0</v>
      </c>
      <c r="B1" s="138"/>
      <c r="C1" s="138"/>
      <c r="D1" s="138"/>
      <c r="E1" s="138"/>
      <c r="J1" s="49"/>
      <c r="K1" s="50"/>
      <c r="L1" s="50"/>
      <c r="M1" s="49"/>
      <c r="N1" s="49"/>
    </row>
    <row r="2" spans="1:14" ht="14.4" thickBot="1" x14ac:dyDescent="0.35">
      <c r="A2" s="138" t="s">
        <v>24</v>
      </c>
      <c r="B2" s="138"/>
      <c r="C2" s="138"/>
      <c r="D2" s="138"/>
      <c r="E2" s="138"/>
      <c r="J2" s="51"/>
      <c r="K2" s="52" t="s">
        <v>246</v>
      </c>
      <c r="L2" s="53"/>
      <c r="M2" s="49"/>
      <c r="N2" s="49"/>
    </row>
    <row r="3" spans="1:14" ht="15" thickTop="1" thickBot="1" x14ac:dyDescent="0.35">
      <c r="A3" s="138" t="s">
        <v>255</v>
      </c>
      <c r="B3" s="138"/>
      <c r="C3" s="138"/>
      <c r="D3" s="138"/>
      <c r="E3" s="138"/>
      <c r="J3" s="54"/>
      <c r="K3" s="55" t="s">
        <v>79</v>
      </c>
      <c r="L3" s="56" t="s">
        <v>80</v>
      </c>
      <c r="M3" s="49"/>
      <c r="N3" s="49"/>
    </row>
    <row r="4" spans="1:14" ht="14.4" thickTop="1" x14ac:dyDescent="0.3">
      <c r="A4" s="63"/>
      <c r="B4" s="12"/>
      <c r="J4" s="57" t="s">
        <v>73</v>
      </c>
      <c r="K4" s="99">
        <v>778.64</v>
      </c>
      <c r="L4" s="58"/>
      <c r="M4" s="49"/>
      <c r="N4" s="49"/>
    </row>
    <row r="5" spans="1:14" x14ac:dyDescent="0.3">
      <c r="A5" s="63"/>
      <c r="B5" s="12"/>
      <c r="J5" s="57" t="s">
        <v>74</v>
      </c>
      <c r="K5" s="100">
        <v>85829.58</v>
      </c>
      <c r="L5" s="58"/>
      <c r="M5" s="49"/>
      <c r="N5" s="49"/>
    </row>
    <row r="6" spans="1:14" x14ac:dyDescent="0.3">
      <c r="A6" s="63"/>
      <c r="B6" s="12"/>
      <c r="C6" s="35" t="s">
        <v>245</v>
      </c>
      <c r="D6" s="12"/>
      <c r="E6" s="35" t="s">
        <v>2</v>
      </c>
      <c r="J6" s="57" t="s">
        <v>75</v>
      </c>
      <c r="K6" s="100">
        <v>22340813.440000001</v>
      </c>
      <c r="L6" s="58"/>
      <c r="M6" s="49"/>
      <c r="N6" s="49"/>
    </row>
    <row r="7" spans="1:14" x14ac:dyDescent="0.3">
      <c r="A7" s="75" t="s">
        <v>25</v>
      </c>
      <c r="B7" s="36"/>
      <c r="C7" s="35">
        <v>2022</v>
      </c>
      <c r="E7" s="35">
        <v>2021</v>
      </c>
      <c r="J7" s="57" t="s">
        <v>76</v>
      </c>
      <c r="K7" s="100">
        <v>130726.57</v>
      </c>
      <c r="L7" s="58"/>
      <c r="M7" s="49"/>
      <c r="N7" s="49"/>
    </row>
    <row r="8" spans="1:14" x14ac:dyDescent="0.3">
      <c r="A8" s="63"/>
      <c r="B8" s="12"/>
      <c r="C8" s="35" t="s">
        <v>4</v>
      </c>
      <c r="D8" s="12"/>
      <c r="E8" s="35" t="s">
        <v>4</v>
      </c>
      <c r="J8" s="57" t="s">
        <v>77</v>
      </c>
      <c r="K8" s="100">
        <v>37828.199999999997</v>
      </c>
      <c r="L8" s="58"/>
      <c r="M8" s="49"/>
      <c r="N8" s="49"/>
    </row>
    <row r="9" spans="1:14" x14ac:dyDescent="0.3">
      <c r="A9" s="63"/>
      <c r="B9" s="12"/>
      <c r="C9" s="35"/>
      <c r="D9" s="12"/>
      <c r="E9" s="35"/>
      <c r="J9" s="57" t="s">
        <v>78</v>
      </c>
      <c r="K9" s="103">
        <v>0</v>
      </c>
      <c r="L9" s="58"/>
      <c r="M9" s="49"/>
      <c r="N9" s="49"/>
    </row>
    <row r="10" spans="1:14" x14ac:dyDescent="0.3">
      <c r="A10" s="104" t="s">
        <v>26</v>
      </c>
      <c r="B10" s="37"/>
      <c r="C10" s="28">
        <f>K13</f>
        <v>11504190.75</v>
      </c>
      <c r="E10" s="28">
        <v>9837940.75</v>
      </c>
      <c r="G10" s="34"/>
      <c r="H10" s="34"/>
      <c r="J10" s="57" t="s">
        <v>161</v>
      </c>
      <c r="K10" s="99">
        <v>1150000</v>
      </c>
      <c r="L10" s="90"/>
      <c r="M10" s="49"/>
      <c r="N10" s="49"/>
    </row>
    <row r="11" spans="1:14" x14ac:dyDescent="0.3">
      <c r="A11" s="104" t="s">
        <v>27</v>
      </c>
      <c r="B11" s="37"/>
      <c r="C11" s="28">
        <f>+K15</f>
        <v>7027994</v>
      </c>
      <c r="E11" s="28">
        <v>4345390</v>
      </c>
      <c r="G11" s="34"/>
      <c r="H11" s="34"/>
      <c r="J11" s="57" t="s">
        <v>64</v>
      </c>
      <c r="K11" s="100">
        <v>2537000</v>
      </c>
      <c r="L11" s="91"/>
      <c r="M11" s="49"/>
      <c r="N11" s="49"/>
    </row>
    <row r="12" spans="1:14" x14ac:dyDescent="0.3">
      <c r="A12" s="104" t="s">
        <v>28</v>
      </c>
      <c r="B12" s="37"/>
      <c r="C12" s="28">
        <f>K16+K31</f>
        <v>7359169.21</v>
      </c>
      <c r="E12" s="28">
        <v>8693140.2100000009</v>
      </c>
      <c r="G12" s="34"/>
      <c r="H12" s="34"/>
      <c r="J12" s="57" t="s">
        <v>81</v>
      </c>
      <c r="K12" s="100">
        <v>31649</v>
      </c>
      <c r="L12" s="91"/>
      <c r="M12" s="49"/>
      <c r="N12" s="49"/>
    </row>
    <row r="13" spans="1:14" x14ac:dyDescent="0.3">
      <c r="A13" s="104" t="s">
        <v>29</v>
      </c>
      <c r="B13" s="37"/>
      <c r="C13" s="28">
        <f>+K18+K19+K20+K17</f>
        <v>13893000</v>
      </c>
      <c r="E13" s="28">
        <v>5852000</v>
      </c>
      <c r="G13" s="34"/>
      <c r="H13" s="34"/>
      <c r="J13" s="57" t="s">
        <v>26</v>
      </c>
      <c r="K13" s="100">
        <v>11504190.75</v>
      </c>
      <c r="L13" s="91"/>
      <c r="M13" s="49"/>
      <c r="N13" s="49"/>
    </row>
    <row r="14" spans="1:14" x14ac:dyDescent="0.3">
      <c r="A14" s="104" t="s">
        <v>64</v>
      </c>
      <c r="B14" s="37"/>
      <c r="C14" s="28">
        <f>+K11</f>
        <v>2537000</v>
      </c>
      <c r="E14" s="28">
        <v>2537000</v>
      </c>
      <c r="G14" s="34"/>
      <c r="H14" s="34"/>
      <c r="J14" s="49" t="s">
        <v>130</v>
      </c>
      <c r="K14" s="100">
        <v>300216</v>
      </c>
      <c r="L14" s="92"/>
      <c r="M14" s="49"/>
      <c r="N14" s="49"/>
    </row>
    <row r="15" spans="1:14" x14ac:dyDescent="0.3">
      <c r="A15" s="104" t="s">
        <v>130</v>
      </c>
      <c r="B15" s="37"/>
      <c r="C15" s="28">
        <f>+K14</f>
        <v>300216</v>
      </c>
      <c r="E15" s="28">
        <v>278716</v>
      </c>
      <c r="G15" s="34"/>
      <c r="H15" s="34"/>
      <c r="J15" s="57" t="s">
        <v>27</v>
      </c>
      <c r="K15" s="100">
        <v>7027994</v>
      </c>
      <c r="L15" s="91"/>
      <c r="M15" s="49"/>
      <c r="N15" s="49"/>
    </row>
    <row r="16" spans="1:14" x14ac:dyDescent="0.3">
      <c r="A16" s="104" t="s">
        <v>162</v>
      </c>
      <c r="B16" s="37"/>
      <c r="C16" s="28">
        <f>K10</f>
        <v>1150000</v>
      </c>
      <c r="E16" s="28">
        <v>1150000</v>
      </c>
      <c r="G16" s="34"/>
      <c r="H16" s="34"/>
      <c r="J16" s="57" t="s">
        <v>28</v>
      </c>
      <c r="K16" s="100">
        <v>7359169.21</v>
      </c>
      <c r="L16" s="91"/>
      <c r="M16" s="49"/>
      <c r="N16" s="49"/>
    </row>
    <row r="17" spans="1:14" x14ac:dyDescent="0.3">
      <c r="A17" s="104" t="s">
        <v>30</v>
      </c>
      <c r="B17" s="37"/>
      <c r="C17" s="28">
        <f>+K12</f>
        <v>31649</v>
      </c>
      <c r="E17" s="28">
        <v>31649</v>
      </c>
      <c r="G17" s="34"/>
      <c r="H17" s="34"/>
      <c r="J17" s="26" t="s">
        <v>247</v>
      </c>
      <c r="K17" s="100">
        <v>8041000</v>
      </c>
    </row>
    <row r="18" spans="1:14" x14ac:dyDescent="0.3">
      <c r="A18" s="104" t="s">
        <v>31</v>
      </c>
      <c r="B18" s="37"/>
      <c r="C18" s="38">
        <f>-L21</f>
        <v>-7614395</v>
      </c>
      <c r="E18" s="28">
        <v>-4745182</v>
      </c>
      <c r="G18" s="34">
        <f>E18/SUM(E10:E17)*100</f>
        <v>-14.499803781330204</v>
      </c>
      <c r="H18" s="39">
        <f>C18/SUM(C10:C17)*100</f>
        <v>-17.383185941090936</v>
      </c>
      <c r="I18" s="39"/>
      <c r="J18" s="57" t="s">
        <v>141</v>
      </c>
      <c r="K18" s="100">
        <v>4318000</v>
      </c>
      <c r="L18" s="91"/>
      <c r="M18" s="49"/>
      <c r="N18" s="49"/>
    </row>
    <row r="19" spans="1:14" ht="14.4" thickBot="1" x14ac:dyDescent="0.35">
      <c r="A19" s="63"/>
      <c r="B19" s="12"/>
      <c r="C19" s="24">
        <f>SUM(C10:C18)</f>
        <v>36188823.960000001</v>
      </c>
      <c r="E19" s="24">
        <f>SUM(E10:E18)</f>
        <v>27980653.960000001</v>
      </c>
      <c r="G19" s="40">
        <f>SUM(C10:C17)*10/100/2</f>
        <v>2190160.9480000003</v>
      </c>
      <c r="H19" s="39">
        <f>C18+H17</f>
        <v>-7614395</v>
      </c>
      <c r="J19" s="49" t="s">
        <v>142</v>
      </c>
      <c r="K19" s="100">
        <v>95000</v>
      </c>
      <c r="L19" s="92"/>
      <c r="M19" s="49"/>
      <c r="N19" s="49"/>
    </row>
    <row r="20" spans="1:14" ht="14.4" thickTop="1" x14ac:dyDescent="0.3">
      <c r="A20" s="63"/>
      <c r="B20" s="12"/>
      <c r="C20" s="28"/>
      <c r="D20" s="28"/>
      <c r="E20" s="28"/>
      <c r="G20" s="34">
        <f>E18-C18-595878</f>
        <v>2273335</v>
      </c>
      <c r="H20" s="39"/>
      <c r="J20" s="49" t="s">
        <v>143</v>
      </c>
      <c r="K20" s="100">
        <v>1439000</v>
      </c>
      <c r="L20" s="92"/>
      <c r="M20" s="49"/>
      <c r="N20" s="49"/>
    </row>
    <row r="21" spans="1:14" hidden="1" x14ac:dyDescent="0.3">
      <c r="A21" s="75" t="s">
        <v>131</v>
      </c>
      <c r="B21" s="12"/>
      <c r="C21" s="27">
        <f>+K22</f>
        <v>0</v>
      </c>
      <c r="D21" s="28"/>
      <c r="E21" s="27">
        <v>0</v>
      </c>
      <c r="H21" s="39"/>
      <c r="J21" s="57" t="s">
        <v>82</v>
      </c>
      <c r="K21" s="102"/>
      <c r="L21" s="111">
        <v>7614395</v>
      </c>
      <c r="M21" s="49"/>
      <c r="N21" s="49"/>
    </row>
    <row r="22" spans="1:14" hidden="1" x14ac:dyDescent="0.3">
      <c r="A22" s="104" t="s">
        <v>132</v>
      </c>
      <c r="B22" s="12"/>
      <c r="C22" s="29">
        <v>0</v>
      </c>
      <c r="D22" s="28"/>
      <c r="E22" s="29">
        <v>0</v>
      </c>
      <c r="G22" s="34"/>
      <c r="H22" s="39"/>
      <c r="J22" s="49" t="s">
        <v>140</v>
      </c>
      <c r="K22" s="88"/>
      <c r="L22" s="61"/>
      <c r="M22" s="49"/>
      <c r="N22" s="49"/>
    </row>
    <row r="23" spans="1:14" hidden="1" x14ac:dyDescent="0.3">
      <c r="A23" s="63"/>
      <c r="B23" s="12"/>
      <c r="C23" s="28"/>
      <c r="D23" s="28"/>
      <c r="E23" s="28"/>
      <c r="G23" s="34"/>
      <c r="H23" s="39"/>
      <c r="J23" s="49" t="s">
        <v>134</v>
      </c>
      <c r="K23" s="99">
        <v>10000000</v>
      </c>
      <c r="L23" s="61"/>
      <c r="M23" s="49"/>
      <c r="N23" s="49"/>
    </row>
    <row r="24" spans="1:14" ht="14.4" hidden="1" thickBot="1" x14ac:dyDescent="0.35">
      <c r="A24" s="75" t="s">
        <v>131</v>
      </c>
      <c r="B24" s="12"/>
      <c r="C24" s="24">
        <v>0</v>
      </c>
      <c r="D24" s="28"/>
      <c r="E24" s="24">
        <v>0</v>
      </c>
      <c r="G24" s="34"/>
      <c r="H24" s="39"/>
      <c r="J24" s="49" t="s">
        <v>135</v>
      </c>
      <c r="K24" s="100">
        <v>8500000</v>
      </c>
      <c r="L24" s="61"/>
      <c r="M24" s="49"/>
      <c r="N24" s="49"/>
    </row>
    <row r="25" spans="1:14" ht="14.4" hidden="1" thickTop="1" x14ac:dyDescent="0.3">
      <c r="A25" s="75"/>
      <c r="B25" s="12"/>
      <c r="C25" s="28"/>
      <c r="D25" s="28"/>
      <c r="E25" s="28"/>
      <c r="G25" s="34"/>
      <c r="H25" s="39"/>
      <c r="J25" s="49" t="s">
        <v>202</v>
      </c>
      <c r="K25" s="101">
        <v>214617.82</v>
      </c>
      <c r="L25" s="59"/>
      <c r="M25" s="49"/>
      <c r="N25" s="49"/>
    </row>
    <row r="26" spans="1:14" hidden="1" x14ac:dyDescent="0.3">
      <c r="A26" s="75" t="s">
        <v>215</v>
      </c>
      <c r="B26" s="12"/>
      <c r="C26" s="28">
        <f>+K32</f>
        <v>4158000</v>
      </c>
      <c r="D26" s="28"/>
      <c r="E26" s="28">
        <v>0</v>
      </c>
      <c r="G26" s="34"/>
      <c r="H26" s="39"/>
      <c r="J26" s="57" t="s">
        <v>144</v>
      </c>
      <c r="K26" s="99">
        <v>65941521</v>
      </c>
      <c r="L26" s="60"/>
      <c r="M26" s="49"/>
      <c r="N26" s="49"/>
    </row>
    <row r="27" spans="1:14" ht="14.4" hidden="1" thickBot="1" x14ac:dyDescent="0.35">
      <c r="A27" s="104" t="s">
        <v>133</v>
      </c>
      <c r="B27" s="12"/>
      <c r="C27" s="24">
        <f>C26</f>
        <v>4158000</v>
      </c>
      <c r="D27" s="28"/>
      <c r="E27" s="24">
        <f>E26</f>
        <v>0</v>
      </c>
      <c r="G27" s="34"/>
      <c r="H27" s="39"/>
      <c r="J27" s="26" t="s">
        <v>234</v>
      </c>
      <c r="K27" s="99">
        <v>177000</v>
      </c>
      <c r="N27" s="49"/>
    </row>
    <row r="28" spans="1:14" ht="14.4" hidden="1" thickTop="1" x14ac:dyDescent="0.3">
      <c r="A28" s="63"/>
      <c r="B28" s="12"/>
      <c r="C28" s="28"/>
      <c r="D28" s="28"/>
      <c r="E28" s="28"/>
      <c r="G28" s="34"/>
      <c r="H28" s="39"/>
      <c r="J28" s="49" t="s">
        <v>180</v>
      </c>
      <c r="K28" s="100"/>
      <c r="L28" s="101">
        <v>8320052</v>
      </c>
      <c r="M28" s="49"/>
      <c r="N28" s="49"/>
    </row>
    <row r="29" spans="1:14" hidden="1" x14ac:dyDescent="0.3">
      <c r="A29" s="63"/>
      <c r="B29" s="12"/>
      <c r="C29" s="28"/>
      <c r="D29" s="28"/>
      <c r="E29" s="28"/>
      <c r="G29" s="34"/>
      <c r="H29" s="39"/>
      <c r="J29" s="57" t="s">
        <v>163</v>
      </c>
      <c r="K29" s="100">
        <v>30157677</v>
      </c>
      <c r="L29" s="60"/>
      <c r="M29" s="49"/>
      <c r="N29" s="49"/>
    </row>
    <row r="30" spans="1:14" hidden="1" x14ac:dyDescent="0.3">
      <c r="A30" s="63"/>
      <c r="B30" s="12"/>
      <c r="C30" s="28"/>
      <c r="D30" s="28"/>
      <c r="E30" s="28"/>
      <c r="G30" s="34"/>
      <c r="H30" s="39"/>
      <c r="J30" s="57" t="s">
        <v>136</v>
      </c>
      <c r="K30" s="100"/>
      <c r="L30" s="60"/>
      <c r="M30" s="49"/>
      <c r="N30" s="49"/>
    </row>
    <row r="31" spans="1:14" hidden="1" x14ac:dyDescent="0.3">
      <c r="A31" s="63"/>
      <c r="B31" s="12"/>
      <c r="C31" s="28"/>
      <c r="D31" s="28"/>
      <c r="E31" s="28"/>
      <c r="G31" s="34"/>
      <c r="H31" s="39"/>
      <c r="J31" s="57" t="s">
        <v>145</v>
      </c>
      <c r="K31" s="110"/>
      <c r="L31" s="60"/>
      <c r="M31" s="49"/>
      <c r="N31" s="49"/>
    </row>
    <row r="32" spans="1:14" x14ac:dyDescent="0.3">
      <c r="A32" s="105" t="s">
        <v>248</v>
      </c>
      <c r="B32" s="41"/>
      <c r="C32" s="42"/>
      <c r="D32" s="42"/>
      <c r="E32" s="42"/>
      <c r="G32" s="43"/>
      <c r="J32" s="57" t="s">
        <v>235</v>
      </c>
      <c r="K32" s="102">
        <v>4158000</v>
      </c>
      <c r="L32" s="60"/>
      <c r="M32" s="49"/>
      <c r="N32" s="49"/>
    </row>
    <row r="33" spans="1:14" x14ac:dyDescent="0.3">
      <c r="A33" s="104" t="s">
        <v>61</v>
      </c>
      <c r="B33" s="41"/>
      <c r="C33" s="42"/>
      <c r="D33" s="42"/>
      <c r="E33" s="42"/>
      <c r="G33" s="34"/>
      <c r="J33" s="62" t="s">
        <v>213</v>
      </c>
      <c r="K33" s="112">
        <v>104000</v>
      </c>
      <c r="L33" s="60"/>
      <c r="M33" s="49"/>
      <c r="N33" s="49"/>
    </row>
    <row r="34" spans="1:14" x14ac:dyDescent="0.3">
      <c r="A34" s="106" t="s">
        <v>32</v>
      </c>
      <c r="B34" s="12"/>
      <c r="C34" s="28">
        <f>K6</f>
        <v>22340813.440000001</v>
      </c>
      <c r="D34" s="34"/>
      <c r="E34" s="28">
        <v>29379877.879999999</v>
      </c>
      <c r="G34" s="34"/>
      <c r="J34" s="62" t="s">
        <v>200</v>
      </c>
      <c r="K34" s="110">
        <v>12500</v>
      </c>
      <c r="L34" s="60"/>
      <c r="M34" s="49"/>
      <c r="N34" s="49"/>
    </row>
    <row r="35" spans="1:14" x14ac:dyDescent="0.3">
      <c r="A35" s="106" t="s">
        <v>33</v>
      </c>
      <c r="B35" s="12"/>
      <c r="C35" s="28">
        <f>+K7</f>
        <v>130726.57</v>
      </c>
      <c r="D35" s="34"/>
      <c r="E35" s="28">
        <v>125879.67</v>
      </c>
      <c r="J35" s="62" t="s">
        <v>249</v>
      </c>
      <c r="K35" s="110">
        <v>50000</v>
      </c>
      <c r="L35" s="60"/>
      <c r="M35" s="49"/>
      <c r="N35" s="49"/>
    </row>
    <row r="36" spans="1:14" x14ac:dyDescent="0.3">
      <c r="A36" s="106"/>
      <c r="B36" s="12"/>
      <c r="C36" s="44">
        <f>SUM(C34:C35)</f>
        <v>22471540.010000002</v>
      </c>
      <c r="D36" s="34"/>
      <c r="E36" s="44">
        <f>SUM(E34:E35)</f>
        <v>29505757.550000001</v>
      </c>
      <c r="J36" s="62" t="s">
        <v>157</v>
      </c>
      <c r="K36" s="100">
        <v>235200</v>
      </c>
      <c r="L36" s="60"/>
      <c r="M36" s="49"/>
      <c r="N36" s="49"/>
    </row>
    <row r="37" spans="1:14" x14ac:dyDescent="0.3">
      <c r="A37" s="104" t="s">
        <v>60</v>
      </c>
      <c r="B37" s="12"/>
      <c r="C37" s="28"/>
      <c r="D37" s="34"/>
      <c r="E37" s="28"/>
      <c r="J37" s="62" t="s">
        <v>164</v>
      </c>
      <c r="K37" s="110">
        <v>12500</v>
      </c>
      <c r="L37" s="60"/>
      <c r="M37" s="49"/>
      <c r="N37" s="49"/>
    </row>
    <row r="38" spans="1:14" x14ac:dyDescent="0.3">
      <c r="A38" s="106" t="s">
        <v>62</v>
      </c>
      <c r="B38" s="12"/>
      <c r="C38" s="28">
        <f>K4</f>
        <v>778.64</v>
      </c>
      <c r="D38" s="34"/>
      <c r="E38" s="28">
        <v>483.73</v>
      </c>
      <c r="J38" s="62" t="s">
        <v>236</v>
      </c>
      <c r="K38" s="110">
        <v>84000</v>
      </c>
      <c r="L38" s="60"/>
      <c r="M38" s="49"/>
      <c r="N38" s="49"/>
    </row>
    <row r="39" spans="1:14" x14ac:dyDescent="0.3">
      <c r="A39" s="106" t="s">
        <v>63</v>
      </c>
      <c r="B39" s="12"/>
      <c r="C39" s="28">
        <f>+K5</f>
        <v>85829.58</v>
      </c>
      <c r="D39" s="34"/>
      <c r="E39" s="28">
        <v>215100.12</v>
      </c>
      <c r="J39" s="62" t="s">
        <v>146</v>
      </c>
      <c r="K39" s="110">
        <v>3600</v>
      </c>
      <c r="L39" s="60"/>
      <c r="M39" s="49"/>
      <c r="N39" s="49"/>
    </row>
    <row r="40" spans="1:14" x14ac:dyDescent="0.3">
      <c r="A40" s="104"/>
      <c r="B40" s="12"/>
      <c r="C40" s="44">
        <f>SUM(C38:C39)</f>
        <v>86608.22</v>
      </c>
      <c r="D40" s="34"/>
      <c r="E40" s="44">
        <v>30161341</v>
      </c>
      <c r="J40" s="62" t="s">
        <v>184</v>
      </c>
      <c r="K40" s="110">
        <v>28000</v>
      </c>
      <c r="L40" s="60"/>
      <c r="M40" s="49"/>
      <c r="N40" s="49"/>
    </row>
    <row r="41" spans="1:14" x14ac:dyDescent="0.3">
      <c r="A41" s="106" t="s">
        <v>34</v>
      </c>
      <c r="B41" s="12"/>
      <c r="C41" s="28">
        <f>+K8</f>
        <v>37828.199999999997</v>
      </c>
      <c r="D41" s="34"/>
      <c r="E41" s="28">
        <v>186976</v>
      </c>
      <c r="J41" s="62" t="s">
        <v>199</v>
      </c>
      <c r="K41" s="110">
        <v>48000</v>
      </c>
      <c r="L41" s="59"/>
      <c r="M41" s="49"/>
      <c r="N41" s="49"/>
    </row>
    <row r="42" spans="1:14" x14ac:dyDescent="0.3">
      <c r="A42" s="106"/>
      <c r="B42" s="12"/>
      <c r="C42" s="28"/>
      <c r="D42" s="34"/>
      <c r="E42" s="28"/>
      <c r="J42" s="62" t="s">
        <v>149</v>
      </c>
      <c r="K42" s="110">
        <v>99000</v>
      </c>
      <c r="L42" s="59"/>
      <c r="M42" s="49"/>
      <c r="N42" s="49"/>
    </row>
    <row r="43" spans="1:14" ht="14.4" thickBot="1" x14ac:dyDescent="0.35">
      <c r="A43" s="63"/>
      <c r="B43" s="12"/>
      <c r="C43" s="24">
        <f>C36+C40+C41</f>
        <v>22595976.43</v>
      </c>
      <c r="D43" s="34"/>
      <c r="E43" s="24">
        <f>E40+E41</f>
        <v>30348317</v>
      </c>
      <c r="J43" s="62" t="s">
        <v>185</v>
      </c>
      <c r="K43" s="110">
        <v>280000</v>
      </c>
      <c r="L43" s="59"/>
      <c r="M43" s="49"/>
      <c r="N43" s="49"/>
    </row>
    <row r="44" spans="1:14" ht="14.4" thickTop="1" x14ac:dyDescent="0.3">
      <c r="A44" s="63"/>
      <c r="B44" s="12"/>
      <c r="C44" s="18"/>
      <c r="D44" s="18"/>
      <c r="E44" s="18"/>
      <c r="J44" s="62" t="s">
        <v>147</v>
      </c>
      <c r="K44" s="110">
        <v>110000</v>
      </c>
      <c r="L44" s="59"/>
      <c r="M44" s="49"/>
      <c r="N44" s="49"/>
    </row>
    <row r="45" spans="1:14" x14ac:dyDescent="0.3">
      <c r="A45" s="63"/>
      <c r="B45" s="12"/>
      <c r="J45" s="62" t="s">
        <v>148</v>
      </c>
      <c r="K45" s="110">
        <v>240000</v>
      </c>
      <c r="L45" s="59"/>
      <c r="M45" s="49"/>
      <c r="N45" s="49"/>
    </row>
    <row r="46" spans="1:14" x14ac:dyDescent="0.3">
      <c r="A46" s="105" t="s">
        <v>216</v>
      </c>
      <c r="B46" s="12"/>
      <c r="J46" s="26" t="s">
        <v>186</v>
      </c>
      <c r="K46" s="100">
        <v>29129</v>
      </c>
      <c r="M46" s="49"/>
      <c r="N46" s="49"/>
    </row>
    <row r="47" spans="1:14" x14ac:dyDescent="0.3">
      <c r="A47" s="104" t="s">
        <v>134</v>
      </c>
      <c r="B47" s="12"/>
      <c r="C47" s="28">
        <f>K23</f>
        <v>10000000</v>
      </c>
      <c r="E47" s="28">
        <v>10095780.82</v>
      </c>
      <c r="J47" s="26" t="s">
        <v>237</v>
      </c>
      <c r="K47" s="113">
        <v>40000</v>
      </c>
      <c r="M47" s="49"/>
      <c r="N47" s="49"/>
    </row>
    <row r="48" spans="1:14" x14ac:dyDescent="0.3">
      <c r="A48" s="104" t="s">
        <v>135</v>
      </c>
      <c r="B48" s="12"/>
      <c r="C48" s="28">
        <f>+K24</f>
        <v>8500000</v>
      </c>
      <c r="E48" s="28">
        <v>8618837</v>
      </c>
      <c r="G48" s="39">
        <f>C48-E48</f>
        <v>-118837</v>
      </c>
      <c r="J48" s="57" t="s">
        <v>183</v>
      </c>
      <c r="K48" s="60"/>
      <c r="L48" s="114"/>
      <c r="M48" s="49"/>
      <c r="N48" s="49"/>
    </row>
    <row r="49" spans="1:14" ht="14.4" thickBot="1" x14ac:dyDescent="0.35">
      <c r="A49" s="75"/>
      <c r="B49" s="12"/>
      <c r="C49" s="24">
        <f>SUM(C47:C48)</f>
        <v>18500000</v>
      </c>
      <c r="E49" s="24">
        <v>18500000</v>
      </c>
      <c r="J49" s="57" t="s">
        <v>151</v>
      </c>
      <c r="K49" s="60"/>
      <c r="L49" s="100">
        <v>0</v>
      </c>
      <c r="M49" s="49"/>
      <c r="N49" s="49"/>
    </row>
    <row r="50" spans="1:14" ht="14.4" thickTop="1" x14ac:dyDescent="0.3">
      <c r="A50" s="63"/>
      <c r="B50" s="12"/>
      <c r="J50" s="57" t="s">
        <v>206</v>
      </c>
      <c r="K50" s="60"/>
      <c r="L50" s="100">
        <v>199080</v>
      </c>
      <c r="M50" s="49"/>
      <c r="N50" s="49"/>
    </row>
    <row r="51" spans="1:14" x14ac:dyDescent="0.3">
      <c r="A51" s="75" t="s">
        <v>217</v>
      </c>
      <c r="B51" s="36"/>
      <c r="C51" s="12"/>
      <c r="D51" s="12"/>
      <c r="E51" s="12"/>
      <c r="J51" s="57" t="s">
        <v>210</v>
      </c>
      <c r="K51" s="60"/>
      <c r="L51" s="100">
        <v>34053</v>
      </c>
      <c r="M51" s="49"/>
      <c r="N51" s="49"/>
    </row>
    <row r="52" spans="1:14" x14ac:dyDescent="0.3">
      <c r="A52" s="106" t="s">
        <v>241</v>
      </c>
      <c r="B52" s="37"/>
      <c r="C52" s="28">
        <f>+SUM(K33:K47)</f>
        <v>1375929</v>
      </c>
      <c r="D52" s="12"/>
      <c r="E52" s="28">
        <v>658707</v>
      </c>
      <c r="J52" s="57" t="s">
        <v>83</v>
      </c>
      <c r="K52" s="60"/>
      <c r="L52" s="110"/>
      <c r="M52" s="49"/>
      <c r="N52" s="49"/>
    </row>
    <row r="53" spans="1:14" x14ac:dyDescent="0.3">
      <c r="A53" s="107" t="s">
        <v>59</v>
      </c>
      <c r="B53" s="37"/>
      <c r="C53" s="38">
        <v>0</v>
      </c>
      <c r="D53" s="34"/>
      <c r="E53" s="28">
        <v>440000</v>
      </c>
      <c r="J53" s="57" t="s">
        <v>65</v>
      </c>
      <c r="K53" s="60"/>
      <c r="L53" s="100">
        <v>596026.5</v>
      </c>
      <c r="M53" s="49"/>
      <c r="N53" s="49"/>
    </row>
    <row r="54" spans="1:14" ht="14.4" thickBot="1" x14ac:dyDescent="0.35">
      <c r="A54" s="75"/>
      <c r="B54" s="12"/>
      <c r="C54" s="24">
        <f>SUM(C52:C53)</f>
        <v>1375929</v>
      </c>
      <c r="E54" s="24">
        <v>545100</v>
      </c>
      <c r="J54" s="57" t="s">
        <v>35</v>
      </c>
      <c r="K54" s="60"/>
      <c r="L54" s="100"/>
      <c r="M54" s="49"/>
      <c r="N54" s="49"/>
    </row>
    <row r="55" spans="1:14" ht="14.4" thickTop="1" x14ac:dyDescent="0.3">
      <c r="J55" s="57" t="s">
        <v>36</v>
      </c>
      <c r="K55" s="60"/>
      <c r="L55" s="100"/>
      <c r="M55" s="49"/>
      <c r="N55" s="49"/>
    </row>
    <row r="56" spans="1:14" hidden="1" x14ac:dyDescent="0.3">
      <c r="A56" s="105" t="s">
        <v>218</v>
      </c>
      <c r="B56" s="41"/>
      <c r="C56" s="35"/>
      <c r="D56" s="12"/>
      <c r="E56" s="35"/>
      <c r="J56" s="57" t="s">
        <v>37</v>
      </c>
      <c r="K56" s="60"/>
      <c r="L56" s="100">
        <v>0</v>
      </c>
      <c r="M56" s="49"/>
      <c r="N56" s="49"/>
    </row>
    <row r="57" spans="1:14" hidden="1" x14ac:dyDescent="0.3">
      <c r="A57" s="75"/>
      <c r="B57" s="36"/>
      <c r="C57" s="35"/>
      <c r="E57" s="35"/>
      <c r="J57" s="57" t="s">
        <v>84</v>
      </c>
      <c r="K57" s="60"/>
      <c r="L57" s="100">
        <v>800</v>
      </c>
      <c r="M57" s="49"/>
      <c r="N57" s="49"/>
    </row>
    <row r="58" spans="1:14" hidden="1" x14ac:dyDescent="0.3">
      <c r="A58" s="104" t="s">
        <v>58</v>
      </c>
      <c r="B58" s="37"/>
      <c r="C58" s="28">
        <v>0</v>
      </c>
      <c r="D58" s="34"/>
      <c r="E58" s="28">
        <v>17155</v>
      </c>
      <c r="J58" s="57" t="s">
        <v>85</v>
      </c>
      <c r="K58" s="60"/>
      <c r="L58" s="100">
        <v>68167</v>
      </c>
      <c r="M58" s="49"/>
      <c r="N58" s="49"/>
    </row>
    <row r="59" spans="1:14" hidden="1" x14ac:dyDescent="0.3">
      <c r="A59" s="104" t="s">
        <v>234</v>
      </c>
      <c r="B59" s="37"/>
      <c r="C59" s="28">
        <f>+K27</f>
        <v>177000</v>
      </c>
      <c r="D59" s="34"/>
      <c r="E59" s="28">
        <v>0</v>
      </c>
      <c r="J59" s="57" t="s">
        <v>86</v>
      </c>
      <c r="K59" s="60"/>
      <c r="L59" s="100">
        <v>220357</v>
      </c>
      <c r="M59" s="49"/>
      <c r="N59" s="49"/>
    </row>
    <row r="60" spans="1:14" ht="14.4" hidden="1" thickBot="1" x14ac:dyDescent="0.35">
      <c r="A60" s="75"/>
      <c r="B60" s="36"/>
      <c r="C60" s="24">
        <f>SUM(C58:C59)</f>
        <v>177000</v>
      </c>
      <c r="D60" s="34"/>
      <c r="E60" s="24">
        <f>SUM(E58:E59)</f>
        <v>17155</v>
      </c>
      <c r="J60" s="57" t="s">
        <v>87</v>
      </c>
      <c r="K60" s="60"/>
      <c r="L60" s="100">
        <v>72922</v>
      </c>
      <c r="M60" s="49"/>
      <c r="N60" s="49"/>
    </row>
    <row r="61" spans="1:14" ht="14.4" hidden="1" thickTop="1" x14ac:dyDescent="0.3">
      <c r="J61" s="57" t="s">
        <v>203</v>
      </c>
      <c r="K61" s="60"/>
      <c r="L61" s="100">
        <v>203367.88</v>
      </c>
      <c r="M61" s="49"/>
      <c r="N61" s="49"/>
    </row>
    <row r="62" spans="1:14" x14ac:dyDescent="0.3">
      <c r="J62" s="57" t="s">
        <v>158</v>
      </c>
      <c r="K62" s="60"/>
      <c r="L62" s="100">
        <v>232500</v>
      </c>
      <c r="M62" s="49"/>
      <c r="N62" s="49"/>
    </row>
    <row r="63" spans="1:14" x14ac:dyDescent="0.3">
      <c r="J63" s="57" t="s">
        <v>178</v>
      </c>
      <c r="K63" s="60"/>
      <c r="L63" s="100">
        <v>3436511.25</v>
      </c>
      <c r="M63" s="49"/>
      <c r="N63" s="49"/>
    </row>
    <row r="64" spans="1:14" x14ac:dyDescent="0.3">
      <c r="J64" s="57"/>
      <c r="K64" s="60"/>
      <c r="L64" s="100"/>
      <c r="M64" s="49"/>
      <c r="N64" s="49"/>
    </row>
    <row r="65" spans="1:14" x14ac:dyDescent="0.3">
      <c r="J65" s="57" t="s">
        <v>150</v>
      </c>
      <c r="K65" s="60"/>
      <c r="L65" s="100">
        <v>971754.89</v>
      </c>
      <c r="M65" s="49"/>
      <c r="N65" s="49"/>
    </row>
    <row r="66" spans="1:14" x14ac:dyDescent="0.3">
      <c r="J66" s="49" t="s">
        <v>139</v>
      </c>
      <c r="K66" s="59"/>
      <c r="L66" s="113">
        <v>1943523</v>
      </c>
      <c r="M66" s="49"/>
      <c r="N66" s="49"/>
    </row>
    <row r="67" spans="1:14" x14ac:dyDescent="0.3">
      <c r="C67" s="35" t="s">
        <v>245</v>
      </c>
      <c r="D67" s="12"/>
      <c r="E67" s="35" t="s">
        <v>2</v>
      </c>
      <c r="J67" s="57" t="s">
        <v>88</v>
      </c>
      <c r="K67" s="60"/>
      <c r="L67" s="60"/>
      <c r="M67" s="49"/>
      <c r="N67" s="49"/>
    </row>
    <row r="68" spans="1:14" x14ac:dyDescent="0.3">
      <c r="C68" s="35">
        <v>2022</v>
      </c>
      <c r="E68" s="35">
        <v>2021</v>
      </c>
      <c r="J68" s="26" t="s">
        <v>250</v>
      </c>
      <c r="L68" s="115">
        <v>6750000</v>
      </c>
      <c r="M68" s="49"/>
      <c r="N68" s="49"/>
    </row>
    <row r="69" spans="1:14" x14ac:dyDescent="0.3">
      <c r="C69" s="35" t="s">
        <v>4</v>
      </c>
      <c r="D69" s="12"/>
      <c r="E69" s="35" t="s">
        <v>4</v>
      </c>
      <c r="J69" s="57" t="s">
        <v>89</v>
      </c>
      <c r="K69" s="60"/>
      <c r="L69" s="60"/>
      <c r="M69" s="49"/>
      <c r="N69" s="49"/>
    </row>
    <row r="70" spans="1:14" x14ac:dyDescent="0.3">
      <c r="A70" s="105" t="s">
        <v>226</v>
      </c>
      <c r="B70" s="41"/>
      <c r="J70" s="57" t="s">
        <v>90</v>
      </c>
      <c r="K70" s="60"/>
      <c r="L70" s="99">
        <v>31412898</v>
      </c>
      <c r="M70" s="49"/>
      <c r="N70" s="49"/>
    </row>
    <row r="71" spans="1:14" x14ac:dyDescent="0.3">
      <c r="A71" s="63"/>
      <c r="B71" s="12"/>
      <c r="J71" s="62" t="s">
        <v>204</v>
      </c>
      <c r="K71" s="60"/>
      <c r="L71" s="100">
        <v>106030641</v>
      </c>
      <c r="M71" s="49"/>
      <c r="N71" s="49"/>
    </row>
    <row r="72" spans="1:14" x14ac:dyDescent="0.3">
      <c r="A72" s="104" t="s">
        <v>211</v>
      </c>
      <c r="B72" s="37"/>
      <c r="C72" s="28">
        <f>+L49+L50+L51+L61</f>
        <v>436500.88</v>
      </c>
      <c r="D72" s="34"/>
      <c r="E72" s="28">
        <v>124140</v>
      </c>
      <c r="J72" s="57" t="s">
        <v>91</v>
      </c>
      <c r="K72" s="60"/>
      <c r="L72" s="100">
        <v>54823614.560000002</v>
      </c>
      <c r="M72" s="49"/>
      <c r="N72" s="49"/>
    </row>
    <row r="73" spans="1:14" x14ac:dyDescent="0.3">
      <c r="A73" s="104" t="s">
        <v>183</v>
      </c>
      <c r="B73" s="37"/>
      <c r="C73" s="28">
        <f>+L48</f>
        <v>0</v>
      </c>
      <c r="D73" s="34"/>
      <c r="E73" s="28">
        <v>1080000</v>
      </c>
      <c r="J73" s="57" t="s">
        <v>95</v>
      </c>
      <c r="K73" s="60"/>
      <c r="L73" s="99">
        <v>2088794.56</v>
      </c>
      <c r="M73" s="49"/>
      <c r="N73" s="49"/>
    </row>
    <row r="74" spans="1:14" x14ac:dyDescent="0.3">
      <c r="A74" s="104" t="s">
        <v>212</v>
      </c>
      <c r="B74" s="37"/>
      <c r="C74" s="28">
        <f>+L28</f>
        <v>8320052</v>
      </c>
      <c r="D74" s="34"/>
      <c r="E74" s="28">
        <v>0</v>
      </c>
      <c r="J74" s="57" t="s">
        <v>94</v>
      </c>
      <c r="K74" s="60"/>
      <c r="L74" s="100">
        <v>1759091.48</v>
      </c>
      <c r="M74" s="49"/>
      <c r="N74" s="49"/>
    </row>
    <row r="75" spans="1:14" x14ac:dyDescent="0.3">
      <c r="A75" s="104" t="s">
        <v>65</v>
      </c>
      <c r="B75" s="37"/>
      <c r="C75" s="28">
        <f>+L53</f>
        <v>596026.5</v>
      </c>
      <c r="D75" s="34"/>
      <c r="E75" s="28">
        <v>561055</v>
      </c>
      <c r="J75" s="57" t="s">
        <v>188</v>
      </c>
      <c r="K75" s="60"/>
      <c r="L75" s="100">
        <v>569904.16</v>
      </c>
      <c r="M75" s="49"/>
      <c r="N75" s="49"/>
    </row>
    <row r="76" spans="1:14" x14ac:dyDescent="0.3">
      <c r="A76" s="104" t="s">
        <v>37</v>
      </c>
      <c r="B76" s="37"/>
      <c r="C76" s="28">
        <f>+L56</f>
        <v>0</v>
      </c>
      <c r="D76" s="34"/>
      <c r="E76" s="28">
        <v>309932.33</v>
      </c>
      <c r="J76" s="57" t="s">
        <v>189</v>
      </c>
      <c r="K76" s="60"/>
      <c r="L76" s="100">
        <v>13303706.119999999</v>
      </c>
      <c r="M76" s="49"/>
      <c r="N76" s="49"/>
    </row>
    <row r="77" spans="1:14" x14ac:dyDescent="0.3">
      <c r="A77" s="104" t="s">
        <v>178</v>
      </c>
      <c r="B77" s="37"/>
      <c r="C77" s="28">
        <f>+L63</f>
        <v>3436511.25</v>
      </c>
      <c r="D77" s="34"/>
      <c r="E77" s="28">
        <v>0</v>
      </c>
      <c r="J77" s="57" t="s">
        <v>92</v>
      </c>
      <c r="K77" s="60"/>
      <c r="L77" s="100">
        <v>1587778.67</v>
      </c>
      <c r="M77" s="49"/>
      <c r="N77" s="49"/>
    </row>
    <row r="78" spans="1:14" x14ac:dyDescent="0.3">
      <c r="A78" s="104" t="s">
        <v>38</v>
      </c>
      <c r="B78" s="37"/>
      <c r="C78" s="28">
        <f>+L58</f>
        <v>68167</v>
      </c>
      <c r="D78" s="34"/>
      <c r="E78" s="28">
        <v>31507</v>
      </c>
      <c r="J78" s="57" t="s">
        <v>93</v>
      </c>
      <c r="K78" s="60"/>
      <c r="L78" s="100">
        <v>44477881.25</v>
      </c>
      <c r="M78" s="49"/>
      <c r="N78" s="49"/>
    </row>
    <row r="79" spans="1:14" x14ac:dyDescent="0.3">
      <c r="A79" s="104" t="s">
        <v>242</v>
      </c>
      <c r="B79" s="37"/>
      <c r="C79" s="28">
        <f>+L57+L60+L62+L59</f>
        <v>526579</v>
      </c>
      <c r="D79" s="34"/>
      <c r="E79" s="28">
        <f>113101+244800</f>
        <v>357901</v>
      </c>
      <c r="J79" s="49" t="s">
        <v>190</v>
      </c>
      <c r="K79" s="59"/>
      <c r="L79" s="100">
        <v>10169125.5</v>
      </c>
      <c r="M79" s="49"/>
      <c r="N79" s="49"/>
    </row>
    <row r="80" spans="1:14" ht="14.4" thickBot="1" x14ac:dyDescent="0.35">
      <c r="A80" s="63"/>
      <c r="B80" s="12"/>
      <c r="C80" s="24">
        <f>SUM(C72:C79)</f>
        <v>13383836.630000001</v>
      </c>
      <c r="D80" s="34"/>
      <c r="E80" s="24">
        <f>SUM(E72:E79)</f>
        <v>2464535.33</v>
      </c>
      <c r="J80" s="57" t="s">
        <v>165</v>
      </c>
      <c r="K80" s="59"/>
      <c r="L80" s="100">
        <v>101340</v>
      </c>
      <c r="M80" s="49"/>
      <c r="N80" s="49"/>
    </row>
    <row r="81" spans="1:14" ht="14.4" thickTop="1" x14ac:dyDescent="0.3">
      <c r="A81" s="63"/>
      <c r="B81" s="12"/>
      <c r="C81" s="28"/>
      <c r="D81" s="34"/>
      <c r="E81" s="28"/>
      <c r="J81" s="26" t="s">
        <v>251</v>
      </c>
      <c r="L81" s="113">
        <v>14808812.5</v>
      </c>
      <c r="M81" s="49"/>
      <c r="N81" s="49"/>
    </row>
    <row r="82" spans="1:14" x14ac:dyDescent="0.3">
      <c r="A82" s="75" t="s">
        <v>227</v>
      </c>
      <c r="B82" s="36"/>
      <c r="J82" s="57" t="s">
        <v>166</v>
      </c>
      <c r="K82" s="59"/>
      <c r="L82" s="94"/>
      <c r="M82" s="49"/>
      <c r="N82" s="49"/>
    </row>
    <row r="83" spans="1:14" x14ac:dyDescent="0.3">
      <c r="A83" s="75"/>
      <c r="B83" s="36"/>
      <c r="C83" s="18"/>
      <c r="D83" s="18"/>
      <c r="J83" s="57" t="s">
        <v>96</v>
      </c>
      <c r="K83" s="60"/>
      <c r="L83" s="116">
        <v>6421.44</v>
      </c>
      <c r="M83" s="49"/>
      <c r="N83" s="49"/>
    </row>
    <row r="84" spans="1:14" x14ac:dyDescent="0.3">
      <c r="A84" s="75" t="s">
        <v>196</v>
      </c>
      <c r="B84" s="36"/>
      <c r="C84" s="28">
        <f>+BS!E20</f>
        <v>65941521</v>
      </c>
      <c r="D84" s="18"/>
      <c r="E84" s="28">
        <v>0</v>
      </c>
      <c r="J84" s="57" t="s">
        <v>97</v>
      </c>
      <c r="K84" s="60"/>
      <c r="L84" s="117">
        <v>1836590.75</v>
      </c>
      <c r="M84" s="49"/>
      <c r="N84" s="49"/>
    </row>
    <row r="85" spans="1:14" x14ac:dyDescent="0.3">
      <c r="A85" s="75" t="s">
        <v>197</v>
      </c>
      <c r="B85" s="36"/>
      <c r="C85" s="28">
        <f>+PnL!C29*1.2</f>
        <v>152059403.16</v>
      </c>
      <c r="D85" s="18"/>
      <c r="E85" s="28">
        <v>0</v>
      </c>
      <c r="J85" s="57" t="s">
        <v>159</v>
      </c>
      <c r="K85" s="111">
        <v>75292285.739999995</v>
      </c>
      <c r="L85" s="92"/>
      <c r="M85" s="49"/>
      <c r="N85" s="49"/>
    </row>
    <row r="86" spans="1:14" x14ac:dyDescent="0.3">
      <c r="A86" s="75"/>
      <c r="B86" s="36"/>
      <c r="C86" s="18"/>
      <c r="D86" s="18"/>
      <c r="E86" s="18"/>
      <c r="J86" s="57" t="s">
        <v>98</v>
      </c>
      <c r="K86" s="111">
        <v>407880</v>
      </c>
      <c r="L86" s="91"/>
      <c r="M86" s="49"/>
      <c r="N86" s="49"/>
    </row>
    <row r="87" spans="1:14" x14ac:dyDescent="0.3">
      <c r="A87" s="106" t="s">
        <v>95</v>
      </c>
      <c r="B87" s="36"/>
      <c r="C87" s="27">
        <f>L73</f>
        <v>2088794.56</v>
      </c>
      <c r="D87" s="18"/>
      <c r="E87" s="27">
        <v>2742436.33</v>
      </c>
      <c r="J87" s="57" t="s">
        <v>70</v>
      </c>
      <c r="K87" s="111"/>
      <c r="L87" s="91"/>
      <c r="M87" s="49"/>
      <c r="N87" s="49"/>
    </row>
    <row r="88" spans="1:14" x14ac:dyDescent="0.3">
      <c r="A88" s="106" t="s">
        <v>94</v>
      </c>
      <c r="B88" s="37"/>
      <c r="C88" s="31">
        <f t="shared" ref="C88:C95" si="0">L74</f>
        <v>1759091.48</v>
      </c>
      <c r="E88" s="31">
        <v>7632638.2999999998</v>
      </c>
      <c r="J88" s="57" t="s">
        <v>99</v>
      </c>
      <c r="K88" s="111">
        <v>2500</v>
      </c>
      <c r="L88" s="91"/>
      <c r="M88" s="49"/>
      <c r="N88" s="49"/>
    </row>
    <row r="89" spans="1:14" x14ac:dyDescent="0.3">
      <c r="A89" s="106" t="s">
        <v>188</v>
      </c>
      <c r="B89" s="37"/>
      <c r="C89" s="31">
        <f t="shared" si="0"/>
        <v>569904.16</v>
      </c>
      <c r="E89" s="31">
        <v>0</v>
      </c>
      <c r="J89" s="57" t="s">
        <v>100</v>
      </c>
      <c r="K89" s="93"/>
      <c r="L89" s="91"/>
      <c r="M89" s="49"/>
      <c r="N89" s="49"/>
    </row>
    <row r="90" spans="1:14" x14ac:dyDescent="0.3">
      <c r="A90" s="106" t="s">
        <v>189</v>
      </c>
      <c r="B90" s="37"/>
      <c r="C90" s="31">
        <f t="shared" si="0"/>
        <v>13303706.119999999</v>
      </c>
      <c r="E90" s="31">
        <v>9329353.3000000007</v>
      </c>
      <c r="J90" s="57" t="s">
        <v>101</v>
      </c>
      <c r="K90" s="111">
        <v>2327.8000000000002</v>
      </c>
      <c r="L90" s="91"/>
      <c r="M90" s="49"/>
      <c r="N90" s="49"/>
    </row>
    <row r="91" spans="1:14" x14ac:dyDescent="0.3">
      <c r="A91" s="106" t="s">
        <v>92</v>
      </c>
      <c r="B91" s="37"/>
      <c r="C91" s="31">
        <f t="shared" si="0"/>
        <v>1587778.67</v>
      </c>
      <c r="E91" s="31">
        <v>7529549.3499999996</v>
      </c>
      <c r="J91" s="57" t="s">
        <v>181</v>
      </c>
      <c r="K91" s="111">
        <v>92500</v>
      </c>
      <c r="L91" s="92"/>
      <c r="N91" s="49"/>
    </row>
    <row r="92" spans="1:14" x14ac:dyDescent="0.3">
      <c r="A92" s="106" t="s">
        <v>93</v>
      </c>
      <c r="B92" s="37"/>
      <c r="C92" s="31">
        <f t="shared" si="0"/>
        <v>44477881.25</v>
      </c>
      <c r="E92" s="31">
        <v>5607192</v>
      </c>
      <c r="J92" s="57" t="s">
        <v>102</v>
      </c>
      <c r="K92" s="111">
        <v>1112661</v>
      </c>
      <c r="L92" s="91"/>
      <c r="N92" s="49"/>
    </row>
    <row r="93" spans="1:14" x14ac:dyDescent="0.3">
      <c r="A93" s="106" t="s">
        <v>190</v>
      </c>
      <c r="B93" s="37"/>
      <c r="C93" s="31">
        <f t="shared" si="0"/>
        <v>10169125.5</v>
      </c>
      <c r="E93" s="31">
        <v>4608184.3200000003</v>
      </c>
      <c r="J93" s="57" t="s">
        <v>103</v>
      </c>
      <c r="K93" s="120"/>
      <c r="L93" s="91"/>
      <c r="N93" s="49"/>
    </row>
    <row r="94" spans="1:14" x14ac:dyDescent="0.3">
      <c r="A94" s="106" t="s">
        <v>165</v>
      </c>
      <c r="B94" s="37"/>
      <c r="C94" s="31">
        <f t="shared" si="0"/>
        <v>101340</v>
      </c>
      <c r="E94" s="31">
        <v>0</v>
      </c>
      <c r="J94" s="57"/>
      <c r="K94" s="120"/>
      <c r="L94" s="91"/>
      <c r="N94" s="49"/>
    </row>
    <row r="95" spans="1:14" x14ac:dyDescent="0.3">
      <c r="A95" s="106" t="s">
        <v>251</v>
      </c>
      <c r="C95" s="121">
        <f t="shared" si="0"/>
        <v>14808812.5</v>
      </c>
      <c r="E95" s="122"/>
      <c r="J95" s="57" t="s">
        <v>239</v>
      </c>
      <c r="K95" s="120">
        <v>48906.81</v>
      </c>
      <c r="L95" s="91"/>
      <c r="N95" s="49"/>
    </row>
    <row r="96" spans="1:14" x14ac:dyDescent="0.3">
      <c r="A96" s="104"/>
      <c r="B96" s="37"/>
      <c r="C96" s="28"/>
      <c r="E96" s="28"/>
      <c r="J96" s="57" t="s">
        <v>214</v>
      </c>
      <c r="K96" s="120">
        <v>7373.62</v>
      </c>
      <c r="L96" s="118"/>
      <c r="N96" s="49"/>
    </row>
    <row r="97" spans="1:14" x14ac:dyDescent="0.3">
      <c r="A97" s="104"/>
      <c r="B97" s="37"/>
      <c r="C97" s="28">
        <f>SUM(C87:C95)</f>
        <v>88866434.24000001</v>
      </c>
      <c r="E97" s="28">
        <f>SUM(E87:E95)</f>
        <v>37449353.600000001</v>
      </c>
      <c r="J97" s="57" t="s">
        <v>207</v>
      </c>
      <c r="K97" s="120">
        <v>12238.21</v>
      </c>
      <c r="L97" s="118"/>
      <c r="N97" s="49"/>
    </row>
    <row r="98" spans="1:14" ht="14.4" thickBot="1" x14ac:dyDescent="0.35">
      <c r="C98" s="45">
        <f>+C84+C85-C97</f>
        <v>129134489.91999999</v>
      </c>
      <c r="E98" s="45">
        <f>E97</f>
        <v>37449353.600000001</v>
      </c>
      <c r="J98" s="57" t="s">
        <v>208</v>
      </c>
      <c r="K98" s="120">
        <v>31016.41</v>
      </c>
      <c r="L98" s="118"/>
      <c r="N98" s="49"/>
    </row>
    <row r="99" spans="1:14" ht="14.4" thickTop="1" x14ac:dyDescent="0.3">
      <c r="J99" s="57" t="s">
        <v>209</v>
      </c>
      <c r="K99" s="120">
        <v>58241.24</v>
      </c>
      <c r="L99" s="118"/>
      <c r="N99" s="49"/>
    </row>
    <row r="100" spans="1:14" x14ac:dyDescent="0.3">
      <c r="C100" s="35" t="s">
        <v>245</v>
      </c>
      <c r="D100" s="12"/>
      <c r="E100" s="35" t="s">
        <v>245</v>
      </c>
      <c r="J100" s="57" t="s">
        <v>172</v>
      </c>
      <c r="K100" s="120">
        <v>13599</v>
      </c>
      <c r="L100" s="118"/>
      <c r="M100" s="49"/>
      <c r="N100" s="49"/>
    </row>
    <row r="101" spans="1:14" x14ac:dyDescent="0.3">
      <c r="C101" s="35">
        <v>2022</v>
      </c>
      <c r="E101" s="35">
        <v>2021</v>
      </c>
      <c r="J101" s="57" t="s">
        <v>240</v>
      </c>
      <c r="K101" s="120">
        <v>418</v>
      </c>
      <c r="L101" s="118"/>
      <c r="M101" s="49"/>
      <c r="N101" s="49"/>
    </row>
    <row r="102" spans="1:14" x14ac:dyDescent="0.3">
      <c r="C102" s="35" t="s">
        <v>4</v>
      </c>
      <c r="D102" s="12"/>
      <c r="E102" s="35" t="s">
        <v>4</v>
      </c>
      <c r="J102" s="57" t="s">
        <v>56</v>
      </c>
      <c r="K102" s="109">
        <v>31200</v>
      </c>
      <c r="L102" s="92"/>
      <c r="M102" s="49"/>
      <c r="N102" s="49"/>
    </row>
    <row r="103" spans="1:14" ht="14.4" x14ac:dyDescent="0.3">
      <c r="A103" s="75" t="s">
        <v>228</v>
      </c>
      <c r="E103"/>
      <c r="J103" s="57" t="s">
        <v>126</v>
      </c>
      <c r="K103" s="109"/>
      <c r="L103" s="91"/>
      <c r="M103" s="49"/>
      <c r="N103" s="49"/>
    </row>
    <row r="104" spans="1:14" ht="14.4" hidden="1" x14ac:dyDescent="0.3">
      <c r="A104" s="106" t="s">
        <v>167</v>
      </c>
      <c r="C104" s="28">
        <f>+L82</f>
        <v>0</v>
      </c>
      <c r="E104">
        <v>0</v>
      </c>
      <c r="J104" s="57" t="s">
        <v>104</v>
      </c>
      <c r="K104" s="120"/>
      <c r="L104" s="91"/>
      <c r="M104" s="49"/>
      <c r="N104" s="49"/>
    </row>
    <row r="105" spans="1:14" ht="14.4" x14ac:dyDescent="0.3">
      <c r="A105" s="106" t="s">
        <v>67</v>
      </c>
      <c r="B105" s="37"/>
      <c r="C105" s="28">
        <f>+L83</f>
        <v>6421.44</v>
      </c>
      <c r="E105" s="125">
        <v>5075.45</v>
      </c>
      <c r="J105" s="57" t="s">
        <v>152</v>
      </c>
      <c r="K105" s="120">
        <v>438724</v>
      </c>
      <c r="L105" s="91"/>
      <c r="M105" s="49"/>
      <c r="N105" s="49"/>
    </row>
    <row r="106" spans="1:14" ht="14.4" x14ac:dyDescent="0.3">
      <c r="A106" s="106" t="s">
        <v>68</v>
      </c>
      <c r="B106" s="37"/>
      <c r="C106" s="28">
        <f>+L84</f>
        <v>1836590.75</v>
      </c>
      <c r="E106" s="125">
        <v>757136.48</v>
      </c>
      <c r="J106" s="57" t="s">
        <v>153</v>
      </c>
      <c r="K106" s="120">
        <v>174936</v>
      </c>
      <c r="L106" s="91"/>
      <c r="M106" s="49"/>
      <c r="N106" s="49"/>
    </row>
    <row r="107" spans="1:14" ht="14.4" thickBot="1" x14ac:dyDescent="0.35">
      <c r="A107" s="108"/>
      <c r="B107" s="37"/>
      <c r="C107" s="24">
        <f>SUM(C104:C106)</f>
        <v>1843012.19</v>
      </c>
      <c r="E107" s="24">
        <f>SUM(E104:E106)</f>
        <v>762211.92999999993</v>
      </c>
      <c r="J107" s="49" t="s">
        <v>154</v>
      </c>
      <c r="K107" s="120">
        <v>86860</v>
      </c>
      <c r="L107" s="91"/>
      <c r="M107" s="49"/>
      <c r="N107" s="49"/>
    </row>
    <row r="108" spans="1:14" ht="15" thickTop="1" x14ac:dyDescent="0.3">
      <c r="E108"/>
      <c r="J108" s="49" t="s">
        <v>123</v>
      </c>
      <c r="K108" s="109">
        <v>300177</v>
      </c>
      <c r="L108" s="92"/>
      <c r="M108" s="49"/>
      <c r="N108" s="49"/>
    </row>
    <row r="109" spans="1:14" ht="14.4" x14ac:dyDescent="0.3">
      <c r="E109"/>
      <c r="J109" s="57" t="s">
        <v>57</v>
      </c>
      <c r="K109" s="120">
        <v>808439</v>
      </c>
      <c r="L109" s="91"/>
      <c r="M109" s="49"/>
      <c r="N109" s="49"/>
    </row>
    <row r="110" spans="1:14" ht="14.4" x14ac:dyDescent="0.3">
      <c r="E110"/>
      <c r="J110" s="57" t="s">
        <v>71</v>
      </c>
      <c r="K110" s="120">
        <v>130311.89</v>
      </c>
      <c r="L110" s="91"/>
      <c r="M110" s="49"/>
      <c r="N110" s="49"/>
    </row>
    <row r="111" spans="1:14" x14ac:dyDescent="0.3">
      <c r="C111" s="35" t="s">
        <v>245</v>
      </c>
      <c r="D111" s="12"/>
      <c r="E111" s="35" t="s">
        <v>245</v>
      </c>
      <c r="J111" s="57" t="s">
        <v>47</v>
      </c>
      <c r="K111" s="109">
        <v>60770</v>
      </c>
      <c r="L111" s="92"/>
      <c r="M111" s="49"/>
      <c r="N111" s="49"/>
    </row>
    <row r="112" spans="1:14" x14ac:dyDescent="0.3">
      <c r="C112" s="35">
        <v>2022</v>
      </c>
      <c r="E112" s="35">
        <v>2021</v>
      </c>
      <c r="J112" s="57" t="s">
        <v>201</v>
      </c>
      <c r="K112" s="109">
        <v>366000</v>
      </c>
      <c r="L112" s="92"/>
      <c r="M112" s="49"/>
      <c r="N112" s="49"/>
    </row>
    <row r="113" spans="1:14" x14ac:dyDescent="0.3">
      <c r="A113" s="63"/>
      <c r="B113" s="12"/>
      <c r="C113" s="35" t="s">
        <v>4</v>
      </c>
      <c r="D113" s="12"/>
      <c r="E113" s="35" t="s">
        <v>4</v>
      </c>
      <c r="J113" s="57" t="s">
        <v>48</v>
      </c>
      <c r="K113" s="120">
        <v>1427376</v>
      </c>
      <c r="L113" s="91"/>
      <c r="M113" s="49"/>
      <c r="N113" s="49"/>
    </row>
    <row r="114" spans="1:14" ht="14.4" x14ac:dyDescent="0.3">
      <c r="A114" s="75" t="s">
        <v>229</v>
      </c>
      <c r="B114" s="36"/>
      <c r="C114" s="35"/>
      <c r="E114"/>
      <c r="J114" s="49" t="s">
        <v>155</v>
      </c>
      <c r="K114" s="109"/>
      <c r="L114" s="92"/>
      <c r="M114" s="49"/>
      <c r="N114" s="49"/>
    </row>
    <row r="115" spans="1:14" ht="14.4" x14ac:dyDescent="0.3">
      <c r="A115" s="63"/>
      <c r="B115" s="12"/>
      <c r="C115" s="35"/>
      <c r="E115"/>
      <c r="J115" s="57" t="s">
        <v>49</v>
      </c>
      <c r="K115" s="109">
        <v>120000</v>
      </c>
      <c r="L115" s="91"/>
      <c r="M115" s="49"/>
      <c r="N115" s="49"/>
    </row>
    <row r="116" spans="1:14" ht="14.4" x14ac:dyDescent="0.3">
      <c r="A116" s="106" t="s">
        <v>39</v>
      </c>
      <c r="B116" s="37">
        <v>9.1</v>
      </c>
      <c r="C116" s="28">
        <f>C145</f>
        <v>34451035.800000004</v>
      </c>
      <c r="D116" s="34"/>
      <c r="E116" s="125">
        <f>E145</f>
        <v>22849788.800000001</v>
      </c>
      <c r="J116" s="57" t="s">
        <v>105</v>
      </c>
      <c r="K116" s="120">
        <v>67550</v>
      </c>
      <c r="L116" s="91"/>
      <c r="M116" s="49"/>
      <c r="N116" s="49"/>
    </row>
    <row r="117" spans="1:14" ht="14.4" x14ac:dyDescent="0.3">
      <c r="A117" s="106" t="s">
        <v>160</v>
      </c>
      <c r="B117" s="37"/>
      <c r="C117" s="28">
        <f>G126</f>
        <v>75292285.739999995</v>
      </c>
      <c r="D117" s="34"/>
      <c r="E117" s="125">
        <v>1441756</v>
      </c>
      <c r="J117" s="57" t="s">
        <v>106</v>
      </c>
      <c r="K117" s="120">
        <v>1744.98</v>
      </c>
      <c r="L117" s="91"/>
      <c r="M117" s="49"/>
      <c r="N117" s="49"/>
    </row>
    <row r="118" spans="1:14" ht="14.4" x14ac:dyDescent="0.3">
      <c r="A118" s="106" t="s">
        <v>243</v>
      </c>
      <c r="C118" s="39">
        <f>SUM(K95:K101)</f>
        <v>171793.29</v>
      </c>
      <c r="E118" s="125">
        <v>0</v>
      </c>
      <c r="J118" s="57" t="s">
        <v>50</v>
      </c>
      <c r="K118" s="120">
        <v>115414</v>
      </c>
      <c r="L118" s="91"/>
      <c r="M118" s="49"/>
      <c r="N118" s="49"/>
    </row>
    <row r="119" spans="1:14" ht="14.4" x14ac:dyDescent="0.3">
      <c r="A119" s="106" t="s">
        <v>40</v>
      </c>
      <c r="B119" s="37"/>
      <c r="C119" s="28">
        <f>G128*95/100</f>
        <v>1057027.95</v>
      </c>
      <c r="D119" s="34"/>
      <c r="E119" s="125">
        <v>212304.1</v>
      </c>
      <c r="J119" s="57" t="s">
        <v>107</v>
      </c>
      <c r="K119" s="120">
        <v>40102667</v>
      </c>
      <c r="L119" s="91"/>
      <c r="M119" s="49"/>
      <c r="N119" s="49"/>
    </row>
    <row r="120" spans="1:14" ht="14.4" x14ac:dyDescent="0.3">
      <c r="A120" s="106" t="s">
        <v>41</v>
      </c>
      <c r="B120" s="37"/>
      <c r="C120" s="28">
        <f>G129*95/100</f>
        <v>0</v>
      </c>
      <c r="D120" s="34"/>
      <c r="E120" s="125">
        <v>2142250</v>
      </c>
      <c r="J120" s="49" t="s">
        <v>179</v>
      </c>
      <c r="K120" s="109">
        <v>1819437.75</v>
      </c>
      <c r="L120" s="92"/>
      <c r="M120" s="49"/>
      <c r="N120" s="49"/>
    </row>
    <row r="121" spans="1:14" ht="14.4" x14ac:dyDescent="0.3">
      <c r="A121" s="106" t="s">
        <v>42</v>
      </c>
      <c r="B121" s="37"/>
      <c r="C121" s="47">
        <f>G130*95/100</f>
        <v>1770415.25</v>
      </c>
      <c r="D121" s="34"/>
      <c r="E121" s="125">
        <v>1371285.1</v>
      </c>
      <c r="J121" s="57" t="s">
        <v>108</v>
      </c>
      <c r="K121" s="111">
        <v>221260</v>
      </c>
      <c r="L121" s="91"/>
      <c r="M121" s="49"/>
      <c r="N121" s="49"/>
    </row>
    <row r="122" spans="1:14" ht="14.4" hidden="1" x14ac:dyDescent="0.3">
      <c r="A122" s="106" t="s">
        <v>43</v>
      </c>
      <c r="B122" s="37"/>
      <c r="C122" s="28">
        <v>0</v>
      </c>
      <c r="D122" s="34"/>
      <c r="E122" s="125">
        <v>0</v>
      </c>
      <c r="J122" s="57" t="s">
        <v>122</v>
      </c>
      <c r="K122" s="111">
        <v>36000</v>
      </c>
      <c r="L122" s="91"/>
      <c r="M122" s="49"/>
      <c r="N122" s="49"/>
    </row>
    <row r="123" spans="1:14" ht="14.4" x14ac:dyDescent="0.3">
      <c r="A123" s="106" t="s">
        <v>44</v>
      </c>
      <c r="B123" s="37"/>
      <c r="C123" s="47">
        <f>G132*95/100</f>
        <v>351732.73100000003</v>
      </c>
      <c r="D123" s="34"/>
      <c r="E123" s="125">
        <v>5966.57</v>
      </c>
      <c r="J123" s="49" t="s">
        <v>109</v>
      </c>
      <c r="K123" s="111">
        <v>476550</v>
      </c>
      <c r="L123" s="91"/>
      <c r="M123" s="49"/>
      <c r="N123" s="49"/>
    </row>
    <row r="124" spans="1:14" ht="14.4" x14ac:dyDescent="0.3">
      <c r="A124" s="106" t="s">
        <v>72</v>
      </c>
      <c r="B124" s="37"/>
      <c r="C124" s="47">
        <f>G133*95/100</f>
        <v>64172.5</v>
      </c>
      <c r="D124" s="34"/>
      <c r="E124" s="125">
        <v>58744.2</v>
      </c>
      <c r="J124" s="57" t="s">
        <v>110</v>
      </c>
      <c r="K124" s="111"/>
      <c r="L124" s="91"/>
      <c r="M124" s="49"/>
      <c r="N124" s="49"/>
    </row>
    <row r="125" spans="1:14" ht="14.4" hidden="1" x14ac:dyDescent="0.3">
      <c r="A125" s="106" t="s">
        <v>45</v>
      </c>
      <c r="B125" s="37"/>
      <c r="C125" s="28">
        <f>G134*80/100</f>
        <v>0</v>
      </c>
      <c r="D125" s="34"/>
      <c r="E125" s="125">
        <v>0</v>
      </c>
      <c r="J125" s="57" t="s">
        <v>127</v>
      </c>
      <c r="K125" s="111"/>
      <c r="L125" s="91"/>
      <c r="M125" s="49"/>
      <c r="N125" s="49"/>
    </row>
    <row r="126" spans="1:14" ht="14.4" x14ac:dyDescent="0.3">
      <c r="A126" s="106" t="s">
        <v>46</v>
      </c>
      <c r="B126" s="37"/>
      <c r="C126" s="47">
        <f>G135*95/100</f>
        <v>950662.15</v>
      </c>
      <c r="D126" s="34"/>
      <c r="E126" s="125">
        <v>302650.05</v>
      </c>
      <c r="G126" s="34">
        <f>+K85</f>
        <v>75292285.739999995</v>
      </c>
      <c r="J126" s="57" t="s">
        <v>41</v>
      </c>
      <c r="K126" s="111"/>
      <c r="L126" s="91"/>
      <c r="M126" s="49"/>
      <c r="N126" s="49"/>
    </row>
    <row r="127" spans="1:14" ht="15.75" customHeight="1" x14ac:dyDescent="0.3">
      <c r="A127" s="106" t="s">
        <v>69</v>
      </c>
      <c r="B127" s="37"/>
      <c r="C127" s="47">
        <f>G136*95/100</f>
        <v>2543.15</v>
      </c>
      <c r="D127" s="34"/>
      <c r="E127" s="125">
        <v>11326.85</v>
      </c>
      <c r="H127" s="34"/>
      <c r="J127" s="57" t="s">
        <v>111</v>
      </c>
      <c r="K127" s="111"/>
      <c r="L127" s="91"/>
      <c r="M127" s="49"/>
      <c r="N127" s="49"/>
    </row>
    <row r="128" spans="1:14" ht="15.75" customHeight="1" x14ac:dyDescent="0.3">
      <c r="A128" s="106" t="s">
        <v>47</v>
      </c>
      <c r="B128" s="37"/>
      <c r="C128" s="38">
        <f>G137</f>
        <v>60770</v>
      </c>
      <c r="D128" s="34"/>
      <c r="E128" s="125">
        <v>103225</v>
      </c>
      <c r="G128" s="34">
        <f>+K92+K93</f>
        <v>1112661</v>
      </c>
      <c r="J128" s="57" t="s">
        <v>112</v>
      </c>
      <c r="K128" s="111"/>
      <c r="L128" s="91"/>
      <c r="M128" s="49"/>
      <c r="N128" s="49"/>
    </row>
    <row r="129" spans="1:22" ht="14.4" x14ac:dyDescent="0.3">
      <c r="A129" s="106" t="s">
        <v>48</v>
      </c>
      <c r="B129" s="37"/>
      <c r="C129" s="95">
        <f>G138*95/100</f>
        <v>1356007.2</v>
      </c>
      <c r="D129" s="34"/>
      <c r="E129" s="125">
        <v>1178627</v>
      </c>
      <c r="G129" s="34">
        <f>+K126+K127+K128</f>
        <v>0</v>
      </c>
      <c r="H129" s="34">
        <v>78324</v>
      </c>
      <c r="J129" s="57" t="s">
        <v>51</v>
      </c>
      <c r="K129" s="111">
        <v>706080</v>
      </c>
      <c r="L129" s="91"/>
      <c r="M129" s="49"/>
      <c r="N129" s="49"/>
    </row>
    <row r="130" spans="1:22" ht="15" customHeight="1" x14ac:dyDescent="0.3">
      <c r="A130" s="106" t="s">
        <v>49</v>
      </c>
      <c r="B130" s="37"/>
      <c r="C130" s="38">
        <f>+K115</f>
        <v>120000</v>
      </c>
      <c r="D130" s="34"/>
      <c r="E130" s="125">
        <v>635</v>
      </c>
      <c r="G130" s="34">
        <f>K131+K132+K133+K136+K135+K134</f>
        <v>1863595</v>
      </c>
      <c r="H130" s="34">
        <v>431403</v>
      </c>
      <c r="J130" s="57" t="s">
        <v>113</v>
      </c>
      <c r="K130" s="111">
        <v>2677</v>
      </c>
      <c r="L130" s="91"/>
      <c r="M130" s="49"/>
      <c r="N130" s="49"/>
    </row>
    <row r="131" spans="1:22" ht="14.4" x14ac:dyDescent="0.3">
      <c r="A131" s="106" t="s">
        <v>50</v>
      </c>
      <c r="B131" s="37"/>
      <c r="C131" s="47">
        <f>G140*95/100</f>
        <v>109643.3</v>
      </c>
      <c r="D131" s="34"/>
      <c r="E131" s="125">
        <v>274785.57149999996</v>
      </c>
      <c r="G131" s="34"/>
      <c r="H131" s="34">
        <v>436750</v>
      </c>
      <c r="J131" s="57" t="s">
        <v>114</v>
      </c>
      <c r="K131" s="111">
        <v>691084</v>
      </c>
      <c r="L131" s="91"/>
      <c r="M131" s="49"/>
      <c r="N131" s="49"/>
    </row>
    <row r="132" spans="1:22" ht="14.4" x14ac:dyDescent="0.3">
      <c r="A132" s="106" t="s">
        <v>57</v>
      </c>
      <c r="B132" s="37"/>
      <c r="C132" s="47">
        <f>G141*95/100</f>
        <v>768017.05</v>
      </c>
      <c r="D132" s="34"/>
      <c r="E132" s="125">
        <v>560302.4</v>
      </c>
      <c r="G132" s="40">
        <f>+K88+K117+K125+K112</f>
        <v>370244.98</v>
      </c>
      <c r="H132" s="34"/>
      <c r="J132" s="57" t="s">
        <v>115</v>
      </c>
      <c r="K132" s="111">
        <v>510351</v>
      </c>
      <c r="L132" s="91"/>
      <c r="M132" s="49"/>
      <c r="N132" s="49"/>
    </row>
    <row r="133" spans="1:22" ht="14.4" x14ac:dyDescent="0.3">
      <c r="A133" s="106" t="s">
        <v>51</v>
      </c>
      <c r="B133" s="37"/>
      <c r="C133" s="28">
        <f>G142*95/100</f>
        <v>670776</v>
      </c>
      <c r="D133" s="34"/>
      <c r="E133" s="125">
        <v>482590.5</v>
      </c>
      <c r="G133" s="46">
        <f>+K116</f>
        <v>67550</v>
      </c>
      <c r="H133" s="34">
        <v>56183.199999999997</v>
      </c>
      <c r="J133" s="57" t="s">
        <v>116</v>
      </c>
      <c r="K133" s="111">
        <v>367900</v>
      </c>
      <c r="L133" s="91"/>
      <c r="M133" s="49"/>
      <c r="N133" s="49"/>
    </row>
    <row r="134" spans="1:22" ht="14.4" thickBot="1" x14ac:dyDescent="0.35">
      <c r="A134" s="63"/>
      <c r="B134" s="12"/>
      <c r="C134" s="24">
        <f>SUM(C116:C133)</f>
        <v>117196882.11100002</v>
      </c>
      <c r="D134" s="34"/>
      <c r="E134" s="24">
        <f>SUM(E116:E133)</f>
        <v>30996237.141500004</v>
      </c>
      <c r="G134" s="34">
        <f>+K103</f>
        <v>0</v>
      </c>
      <c r="H134" s="34">
        <v>55307</v>
      </c>
      <c r="J134" s="57" t="s">
        <v>156</v>
      </c>
      <c r="K134" s="111">
        <v>38260</v>
      </c>
      <c r="L134" s="91"/>
      <c r="M134" s="49"/>
      <c r="N134" s="49"/>
    </row>
    <row r="135" spans="1:22" ht="15" thickTop="1" x14ac:dyDescent="0.3">
      <c r="A135" s="75" t="s">
        <v>230</v>
      </c>
      <c r="B135" s="41"/>
      <c r="D135" s="12"/>
      <c r="E135" s="125"/>
      <c r="G135" s="34">
        <f>+K105+K106+K107+K108</f>
        <v>1000697</v>
      </c>
      <c r="H135" s="34"/>
      <c r="J135" s="57" t="s">
        <v>117</v>
      </c>
      <c r="K135" s="111">
        <v>256000</v>
      </c>
      <c r="L135" s="91"/>
      <c r="M135" s="49"/>
      <c r="N135" s="49"/>
      <c r="U135" s="34">
        <f>+C97/171.74</f>
        <v>517447.50343542569</v>
      </c>
      <c r="V135" s="39">
        <f>+U135-290973</f>
        <v>226474.50343542569</v>
      </c>
    </row>
    <row r="136" spans="1:22" ht="14.4" x14ac:dyDescent="0.3">
      <c r="A136" s="75"/>
      <c r="B136" s="41"/>
      <c r="D136" s="12"/>
      <c r="E136" s="125"/>
      <c r="G136" s="34">
        <f>+K130</f>
        <v>2677</v>
      </c>
      <c r="H136" s="34">
        <v>13642</v>
      </c>
      <c r="J136" s="49" t="s">
        <v>168</v>
      </c>
      <c r="K136" s="111"/>
      <c r="L136" s="91"/>
      <c r="M136" s="49"/>
      <c r="N136" s="49"/>
      <c r="V136" s="34">
        <f>+V135*172</f>
        <v>38953614.590893216</v>
      </c>
    </row>
    <row r="137" spans="1:22" ht="14.4" x14ac:dyDescent="0.3">
      <c r="A137" s="106" t="s">
        <v>38</v>
      </c>
      <c r="B137" s="37"/>
      <c r="C137" s="28">
        <f t="shared" ref="C137:C144" si="1">G155*80/100</f>
        <v>177008</v>
      </c>
      <c r="E137" s="125">
        <v>117000</v>
      </c>
      <c r="G137" s="34">
        <f>+K111</f>
        <v>60770</v>
      </c>
      <c r="H137" s="34">
        <v>147350</v>
      </c>
      <c r="J137" s="57" t="s">
        <v>118</v>
      </c>
      <c r="K137" s="120">
        <v>963.23</v>
      </c>
      <c r="L137" s="96"/>
      <c r="M137" s="49"/>
      <c r="N137" s="49"/>
    </row>
    <row r="138" spans="1:22" ht="14.4" x14ac:dyDescent="0.3">
      <c r="A138" s="106" t="s">
        <v>182</v>
      </c>
      <c r="B138" s="37"/>
      <c r="C138" s="28">
        <f t="shared" si="1"/>
        <v>1455550.2</v>
      </c>
      <c r="E138" s="125">
        <v>0</v>
      </c>
      <c r="G138" s="28">
        <f>+K113+K114</f>
        <v>1427376</v>
      </c>
      <c r="H138" s="34">
        <v>600</v>
      </c>
      <c r="J138" s="57" t="s">
        <v>119</v>
      </c>
      <c r="K138" s="123">
        <v>275488.62</v>
      </c>
      <c r="L138" s="92"/>
      <c r="M138" s="49"/>
      <c r="N138" s="49"/>
    </row>
    <row r="139" spans="1:22" ht="14.4" x14ac:dyDescent="0.3">
      <c r="A139" s="106" t="s">
        <v>52</v>
      </c>
      <c r="B139" s="37"/>
      <c r="C139" s="28">
        <f t="shared" si="1"/>
        <v>28800</v>
      </c>
      <c r="E139" s="125">
        <v>537544</v>
      </c>
      <c r="G139" s="34">
        <f>+K115</f>
        <v>120000</v>
      </c>
      <c r="H139" s="34"/>
      <c r="J139" s="57" t="s">
        <v>169</v>
      </c>
      <c r="K139" s="123"/>
      <c r="L139" s="92"/>
      <c r="M139" s="49"/>
      <c r="N139" s="49"/>
    </row>
    <row r="140" spans="1:22" ht="14.4" x14ac:dyDescent="0.3">
      <c r="A140" s="106" t="s">
        <v>53</v>
      </c>
      <c r="B140" s="37"/>
      <c r="C140" s="28">
        <f t="shared" si="1"/>
        <v>381240</v>
      </c>
      <c r="E140" s="125">
        <v>0</v>
      </c>
      <c r="G140" s="34">
        <f>+K118+K104</f>
        <v>115414</v>
      </c>
      <c r="H140" s="34"/>
      <c r="J140" s="57" t="s">
        <v>170</v>
      </c>
      <c r="K140" s="123"/>
      <c r="L140" s="119"/>
      <c r="M140" s="49"/>
      <c r="N140" s="49"/>
    </row>
    <row r="141" spans="1:22" ht="15" hidden="1" thickBot="1" x14ac:dyDescent="0.35">
      <c r="A141" s="106" t="s">
        <v>54</v>
      </c>
      <c r="B141" s="37"/>
      <c r="C141" s="28">
        <f t="shared" si="1"/>
        <v>0</v>
      </c>
      <c r="E141" s="125">
        <v>0</v>
      </c>
      <c r="G141" s="34">
        <f>+K109</f>
        <v>808439</v>
      </c>
      <c r="H141" s="34">
        <v>32627</v>
      </c>
      <c r="J141" s="57"/>
      <c r="K141" s="109"/>
      <c r="L141" s="124"/>
      <c r="M141" s="49"/>
      <c r="N141" s="49"/>
    </row>
    <row r="142" spans="1:22" ht="15.6" hidden="1" thickTop="1" thickBot="1" x14ac:dyDescent="0.35">
      <c r="A142" s="106" t="s">
        <v>70</v>
      </c>
      <c r="B142" s="37"/>
      <c r="C142" s="28">
        <f t="shared" si="1"/>
        <v>0</v>
      </c>
      <c r="E142" s="125">
        <v>0</v>
      </c>
      <c r="G142" s="34">
        <f>+K129</f>
        <v>706080</v>
      </c>
      <c r="H142" s="34">
        <v>55400</v>
      </c>
      <c r="J142" s="49"/>
      <c r="K142" s="124">
        <f>SUM(K4:K141)</f>
        <v>313640109.50999999</v>
      </c>
      <c r="L142" s="124">
        <f>ROUND(SUM(L4:L138),5)</f>
        <v>313640109.50999999</v>
      </c>
      <c r="M142" s="49"/>
      <c r="N142" s="49"/>
    </row>
    <row r="143" spans="1:22" ht="14.4" x14ac:dyDescent="0.3">
      <c r="A143" s="106" t="s">
        <v>98</v>
      </c>
      <c r="B143" s="37"/>
      <c r="C143" s="28">
        <f t="shared" si="1"/>
        <v>326304</v>
      </c>
      <c r="E143" s="125">
        <v>326304</v>
      </c>
      <c r="H143" s="34">
        <v>32155</v>
      </c>
      <c r="J143" s="49"/>
      <c r="K143" s="109">
        <f>SUM(K73:K140)</f>
        <v>126716169.3</v>
      </c>
      <c r="L143" s="109">
        <f>SUM(L73:L140)</f>
        <v>90709446.430000007</v>
      </c>
      <c r="M143" s="49"/>
      <c r="N143" s="49"/>
    </row>
    <row r="144" spans="1:22" ht="14.4" x14ac:dyDescent="0.3">
      <c r="A144" s="106" t="s">
        <v>55</v>
      </c>
      <c r="B144" s="37"/>
      <c r="C144" s="28">
        <f t="shared" si="1"/>
        <v>32082133.600000001</v>
      </c>
      <c r="E144" s="125">
        <v>21868940.800000001</v>
      </c>
      <c r="J144" s="49"/>
      <c r="K144" s="109"/>
      <c r="L144" s="109">
        <f>L143-K143</f>
        <v>-36006722.86999999</v>
      </c>
      <c r="M144" s="49"/>
      <c r="N144" s="49"/>
    </row>
    <row r="145" spans="1:14" ht="14.4" thickBot="1" x14ac:dyDescent="0.35">
      <c r="A145" s="63"/>
      <c r="B145" s="12"/>
      <c r="C145" s="45">
        <f>SUM(C137:C144)</f>
        <v>34451035.800000004</v>
      </c>
      <c r="E145" s="45">
        <f>SUM(E137:E144)</f>
        <v>22849788.800000001</v>
      </c>
      <c r="G145" s="34"/>
      <c r="J145" s="49"/>
      <c r="K145" s="109"/>
      <c r="L145" s="109"/>
      <c r="M145" s="49"/>
      <c r="N145" s="49"/>
    </row>
    <row r="146" spans="1:14" ht="15" thickTop="1" x14ac:dyDescent="0.3">
      <c r="A146" s="75"/>
      <c r="B146" s="36"/>
      <c r="C146" s="35"/>
      <c r="E146"/>
      <c r="H146" s="34"/>
      <c r="J146" s="49"/>
      <c r="K146" s="109"/>
      <c r="L146" s="109"/>
      <c r="M146" s="49"/>
      <c r="N146" s="49"/>
    </row>
    <row r="147" spans="1:14" ht="14.4" x14ac:dyDescent="0.3">
      <c r="A147" s="75"/>
      <c r="B147" s="36"/>
      <c r="C147" s="35"/>
      <c r="E147"/>
      <c r="H147" s="34"/>
      <c r="J147" s="49"/>
      <c r="K147" s="109"/>
      <c r="L147" s="92"/>
      <c r="M147" s="49"/>
      <c r="N147" s="49"/>
    </row>
    <row r="148" spans="1:14" ht="14.4" x14ac:dyDescent="0.3">
      <c r="A148" s="75"/>
      <c r="B148" s="36"/>
      <c r="C148" s="35"/>
      <c r="E148"/>
      <c r="H148" s="34"/>
      <c r="K148" s="26"/>
      <c r="N148" s="49"/>
    </row>
    <row r="149" spans="1:14" x14ac:dyDescent="0.3">
      <c r="A149" s="75"/>
      <c r="B149" s="36"/>
      <c r="C149" s="35" t="s">
        <v>245</v>
      </c>
      <c r="D149" s="12"/>
      <c r="E149" s="35" t="s">
        <v>245</v>
      </c>
      <c r="H149" s="34"/>
      <c r="K149" s="26"/>
      <c r="N149" s="49"/>
    </row>
    <row r="150" spans="1:14" x14ac:dyDescent="0.3">
      <c r="A150" s="75"/>
      <c r="B150" s="36"/>
      <c r="C150" s="35">
        <v>2022</v>
      </c>
      <c r="E150" s="35">
        <v>2021</v>
      </c>
      <c r="H150" s="34"/>
      <c r="K150" s="26"/>
      <c r="N150" s="49"/>
    </row>
    <row r="151" spans="1:14" x14ac:dyDescent="0.3">
      <c r="A151" s="75"/>
      <c r="B151" s="36"/>
      <c r="C151" s="35" t="s">
        <v>4</v>
      </c>
      <c r="D151" s="12"/>
      <c r="E151" s="35" t="s">
        <v>4</v>
      </c>
      <c r="H151" s="34"/>
      <c r="K151" s="26"/>
      <c r="N151" s="49"/>
    </row>
    <row r="152" spans="1:14" ht="14.4" x14ac:dyDescent="0.3">
      <c r="A152" s="75" t="s">
        <v>231</v>
      </c>
      <c r="B152" s="41"/>
      <c r="D152" s="12"/>
      <c r="E152"/>
      <c r="K152" s="26"/>
      <c r="N152" s="49"/>
    </row>
    <row r="153" spans="1:14" ht="14.4" x14ac:dyDescent="0.3">
      <c r="A153" s="75"/>
      <c r="B153" s="41"/>
      <c r="D153" s="12"/>
      <c r="E153"/>
      <c r="J153" s="49"/>
      <c r="K153" s="26"/>
      <c r="M153" s="49"/>
      <c r="N153" s="49"/>
    </row>
    <row r="154" spans="1:14" ht="14.4" x14ac:dyDescent="0.3">
      <c r="A154" s="106" t="s">
        <v>39</v>
      </c>
      <c r="B154" s="48">
        <v>9.1</v>
      </c>
      <c r="C154" s="28">
        <f>C181</f>
        <v>8612758.9500000011</v>
      </c>
      <c r="D154" s="34"/>
      <c r="E154" s="125">
        <f>E181</f>
        <v>5712447.2000000002</v>
      </c>
      <c r="J154" s="49"/>
      <c r="K154" s="26"/>
      <c r="M154" s="49"/>
      <c r="N154" s="49"/>
    </row>
    <row r="155" spans="1:14" ht="14.4" x14ac:dyDescent="0.3">
      <c r="A155" s="106" t="s">
        <v>181</v>
      </c>
      <c r="B155" s="48"/>
      <c r="C155" s="28">
        <f>+K91</f>
        <v>92500</v>
      </c>
      <c r="D155" s="34"/>
      <c r="E155" s="125">
        <v>0</v>
      </c>
      <c r="G155" s="34">
        <f>+K121</f>
        <v>221260</v>
      </c>
      <c r="J155" s="49"/>
      <c r="K155" s="26"/>
      <c r="M155" s="49"/>
      <c r="N155" s="49"/>
    </row>
    <row r="156" spans="1:14" ht="14.4" x14ac:dyDescent="0.3">
      <c r="A156" s="106" t="s">
        <v>40</v>
      </c>
      <c r="B156" s="12"/>
      <c r="C156" s="28">
        <f>G128*5/100</f>
        <v>55633.05</v>
      </c>
      <c r="D156" s="34"/>
      <c r="E156" s="125">
        <v>11173.9</v>
      </c>
      <c r="G156" s="34">
        <f>+K120</f>
        <v>1819437.75</v>
      </c>
      <c r="H156" s="28">
        <v>57850</v>
      </c>
      <c r="J156" s="49"/>
      <c r="K156" s="89"/>
      <c r="L156" s="59"/>
      <c r="M156" s="49"/>
      <c r="N156" s="49"/>
    </row>
    <row r="157" spans="1:14" ht="14.4" x14ac:dyDescent="0.3">
      <c r="A157" s="106" t="s">
        <v>41</v>
      </c>
      <c r="B157" s="12"/>
      <c r="C157" s="28">
        <f>G129*5/100</f>
        <v>0</v>
      </c>
      <c r="D157" s="34"/>
      <c r="E157" s="125">
        <v>112750</v>
      </c>
      <c r="G157" s="34">
        <f>+K122</f>
        <v>36000</v>
      </c>
      <c r="H157" s="28"/>
      <c r="J157" s="49"/>
      <c r="K157" s="89"/>
      <c r="L157" s="59"/>
      <c r="M157" s="49"/>
      <c r="N157" s="49"/>
    </row>
    <row r="158" spans="1:14" ht="14.4" x14ac:dyDescent="0.3">
      <c r="A158" s="106" t="s">
        <v>42</v>
      </c>
      <c r="B158" s="12"/>
      <c r="C158" s="28">
        <f>G130*5/100</f>
        <v>93179.75</v>
      </c>
      <c r="D158" s="34"/>
      <c r="E158" s="125">
        <v>72172.899999999994</v>
      </c>
      <c r="G158" s="34">
        <f>+K123</f>
        <v>476550</v>
      </c>
      <c r="H158" s="28"/>
      <c r="J158" s="49"/>
      <c r="K158" s="89"/>
      <c r="L158" s="89"/>
      <c r="M158" s="49"/>
      <c r="N158" s="49"/>
    </row>
    <row r="159" spans="1:14" ht="14.4" x14ac:dyDescent="0.3">
      <c r="A159" s="106" t="s">
        <v>44</v>
      </c>
      <c r="B159" s="12"/>
      <c r="C159" s="28">
        <f>G132*5/100</f>
        <v>18512.249</v>
      </c>
      <c r="D159" s="34"/>
      <c r="E159" s="125">
        <v>314.02999999999997</v>
      </c>
      <c r="G159" s="34">
        <f>+K124</f>
        <v>0</v>
      </c>
      <c r="H159" s="28">
        <v>193400</v>
      </c>
      <c r="J159" s="49"/>
      <c r="K159" s="89"/>
      <c r="L159" s="59"/>
      <c r="M159" s="49"/>
      <c r="N159" s="49"/>
    </row>
    <row r="160" spans="1:14" ht="14.4" x14ac:dyDescent="0.3">
      <c r="A160" s="106" t="s">
        <v>121</v>
      </c>
      <c r="B160" s="12"/>
      <c r="C160" s="28">
        <f>G133*5/100</f>
        <v>3377.5</v>
      </c>
      <c r="D160" s="34"/>
      <c r="E160" s="125">
        <v>3091.8</v>
      </c>
      <c r="G160" s="34">
        <f>+K87</f>
        <v>0</v>
      </c>
      <c r="H160" s="28"/>
      <c r="J160" s="49"/>
      <c r="K160" s="89"/>
      <c r="L160" s="59"/>
      <c r="M160" s="49"/>
      <c r="N160" s="49"/>
    </row>
    <row r="161" spans="1:14" ht="14.4" hidden="1" x14ac:dyDescent="0.3">
      <c r="A161" s="106" t="s">
        <v>45</v>
      </c>
      <c r="B161" s="12"/>
      <c r="C161" s="28">
        <f>G134*20/100</f>
        <v>0</v>
      </c>
      <c r="D161" s="34"/>
      <c r="E161" s="125">
        <v>0</v>
      </c>
      <c r="G161" s="34">
        <f>+K86</f>
        <v>407880</v>
      </c>
      <c r="H161" s="28"/>
      <c r="J161" s="49"/>
      <c r="K161" s="89"/>
      <c r="L161" s="59"/>
      <c r="M161" s="49"/>
      <c r="N161" s="49"/>
    </row>
    <row r="162" spans="1:14" ht="14.4" hidden="1" x14ac:dyDescent="0.3">
      <c r="A162" s="106" t="s">
        <v>173</v>
      </c>
      <c r="B162" s="12"/>
      <c r="C162" s="28"/>
      <c r="D162" s="34"/>
      <c r="E162" s="125">
        <v>0</v>
      </c>
      <c r="G162" s="34">
        <f>+K119</f>
        <v>40102667</v>
      </c>
      <c r="H162" s="28"/>
      <c r="J162" s="49"/>
      <c r="K162" s="89"/>
      <c r="L162" s="59"/>
      <c r="N162" s="49"/>
    </row>
    <row r="163" spans="1:14" ht="14.4" x14ac:dyDescent="0.3">
      <c r="A163" s="106" t="s">
        <v>46</v>
      </c>
      <c r="B163" s="12"/>
      <c r="C163" s="28">
        <f>G135*5/100</f>
        <v>50034.85</v>
      </c>
      <c r="D163" s="34"/>
      <c r="E163" s="125">
        <v>15928.95</v>
      </c>
      <c r="G163" s="34">
        <f>SUM(G155:G162)</f>
        <v>43063794.75</v>
      </c>
      <c r="H163" s="28">
        <v>8561450</v>
      </c>
      <c r="J163" s="49"/>
      <c r="K163" s="89"/>
      <c r="L163" s="59"/>
      <c r="N163" s="49"/>
    </row>
    <row r="164" spans="1:14" ht="14.4" x14ac:dyDescent="0.3">
      <c r="A164" s="106" t="s">
        <v>69</v>
      </c>
      <c r="B164" s="12"/>
      <c r="C164" s="47">
        <f>G136*5/100</f>
        <v>133.85</v>
      </c>
      <c r="D164" s="34"/>
      <c r="E164" s="125">
        <v>596.15</v>
      </c>
      <c r="H164" s="34"/>
      <c r="J164" s="49"/>
      <c r="K164" s="89"/>
      <c r="L164" s="59"/>
    </row>
    <row r="165" spans="1:14" ht="14.4" x14ac:dyDescent="0.3">
      <c r="A165" s="106" t="s">
        <v>48</v>
      </c>
      <c r="B165" s="12"/>
      <c r="C165" s="28">
        <f>G138*5/100</f>
        <v>71368.800000000003</v>
      </c>
      <c r="D165" s="34"/>
      <c r="E165" s="125">
        <v>62033</v>
      </c>
      <c r="G165" s="34"/>
      <c r="K165" s="26"/>
    </row>
    <row r="166" spans="1:14" ht="14.4" x14ac:dyDescent="0.3">
      <c r="A166" s="106" t="s">
        <v>50</v>
      </c>
      <c r="B166" s="12"/>
      <c r="C166" s="28">
        <f>G140*5/100</f>
        <v>5770.7</v>
      </c>
      <c r="D166" s="34"/>
      <c r="E166" s="125">
        <v>14462.398499999999</v>
      </c>
      <c r="G166" s="34"/>
      <c r="H166" s="34"/>
      <c r="K166" s="26"/>
    </row>
    <row r="167" spans="1:14" ht="14.4" x14ac:dyDescent="0.3">
      <c r="A167" s="106" t="s">
        <v>51</v>
      </c>
      <c r="B167" s="12"/>
      <c r="C167" s="28">
        <f>G142*5/100</f>
        <v>35304</v>
      </c>
      <c r="D167" s="34"/>
      <c r="E167" s="125">
        <v>25399.5</v>
      </c>
      <c r="H167" s="34"/>
      <c r="K167" s="26"/>
    </row>
    <row r="168" spans="1:14" ht="14.4" x14ac:dyDescent="0.3">
      <c r="A168" s="106" t="s">
        <v>57</v>
      </c>
      <c r="B168" s="12"/>
      <c r="C168" s="28">
        <f>G141*5/100</f>
        <v>40421.949999999997</v>
      </c>
      <c r="D168" s="34"/>
      <c r="E168" s="125">
        <v>29489.599999999999</v>
      </c>
      <c r="K168" s="26"/>
    </row>
    <row r="169" spans="1:14" ht="14.4" x14ac:dyDescent="0.3">
      <c r="A169" s="106" t="s">
        <v>71</v>
      </c>
      <c r="B169" s="12"/>
      <c r="C169" s="38">
        <f>+K137+K138+K110+K139+K140</f>
        <v>406763.74</v>
      </c>
      <c r="D169" s="34"/>
      <c r="E169" s="125">
        <v>192072.56</v>
      </c>
      <c r="K169" s="26"/>
    </row>
    <row r="170" spans="1:14" ht="14.4" x14ac:dyDescent="0.3">
      <c r="A170" s="106" t="s">
        <v>56</v>
      </c>
      <c r="B170" s="12"/>
      <c r="C170" s="28">
        <f>+K102</f>
        <v>31200</v>
      </c>
      <c r="D170" s="34"/>
      <c r="E170" s="125">
        <v>21700</v>
      </c>
      <c r="K170" s="26"/>
    </row>
    <row r="171" spans="1:14" ht="14.4" thickBot="1" x14ac:dyDescent="0.35">
      <c r="A171" s="63"/>
      <c r="B171" s="12"/>
      <c r="C171" s="24">
        <f>SUM(C154:C170)</f>
        <v>9516959.3890000004</v>
      </c>
      <c r="D171" s="34"/>
      <c r="E171" s="24">
        <f>SUM(E154:E170)</f>
        <v>6273631.9885000009</v>
      </c>
      <c r="K171" s="26"/>
      <c r="M171" s="49"/>
    </row>
    <row r="172" spans="1:14" ht="15" thickTop="1" x14ac:dyDescent="0.3">
      <c r="A172" s="75" t="s">
        <v>232</v>
      </c>
      <c r="B172" s="12"/>
      <c r="C172" s="28"/>
      <c r="D172" s="34"/>
      <c r="E172"/>
      <c r="K172" s="26"/>
      <c r="M172" s="49"/>
      <c r="N172" s="49"/>
    </row>
    <row r="173" spans="1:14" ht="14.4" x14ac:dyDescent="0.3">
      <c r="A173" s="106" t="s">
        <v>38</v>
      </c>
      <c r="B173" s="37"/>
      <c r="C173" s="28">
        <f>G155*20/100</f>
        <v>44252</v>
      </c>
      <c r="E173" s="125">
        <v>29250</v>
      </c>
      <c r="K173" s="26"/>
      <c r="M173" s="49"/>
    </row>
    <row r="174" spans="1:14" ht="14.4" x14ac:dyDescent="0.3">
      <c r="A174" s="106" t="s">
        <v>182</v>
      </c>
      <c r="B174" s="37"/>
      <c r="C174" s="28">
        <f>G156*20/100</f>
        <v>363887.55</v>
      </c>
      <c r="E174" s="125">
        <v>134386</v>
      </c>
      <c r="J174" s="49"/>
      <c r="K174" s="89"/>
      <c r="L174" s="59"/>
      <c r="M174" s="49"/>
    </row>
    <row r="175" spans="1:14" ht="14.4" x14ac:dyDescent="0.3">
      <c r="A175" s="106" t="s">
        <v>53</v>
      </c>
      <c r="B175" s="37"/>
      <c r="C175" s="28">
        <f>G158*20/100</f>
        <v>95310</v>
      </c>
      <c r="E175" s="125">
        <v>0</v>
      </c>
      <c r="J175" s="49"/>
      <c r="K175" s="49"/>
      <c r="L175" s="50"/>
      <c r="M175" s="49"/>
    </row>
    <row r="176" spans="1:14" ht="14.4" x14ac:dyDescent="0.3">
      <c r="A176" s="106" t="s">
        <v>52</v>
      </c>
      <c r="B176" s="37"/>
      <c r="C176" s="28">
        <f>G157*20/100</f>
        <v>7200</v>
      </c>
      <c r="E176" s="125">
        <v>0</v>
      </c>
      <c r="J176" s="49"/>
      <c r="K176" s="49"/>
      <c r="L176" s="50"/>
      <c r="M176" s="49"/>
    </row>
    <row r="177" spans="1:13" ht="14.4" hidden="1" x14ac:dyDescent="0.3">
      <c r="A177" s="106" t="s">
        <v>54</v>
      </c>
      <c r="B177" s="37"/>
      <c r="C177" s="28">
        <f>G159*20/100</f>
        <v>0</v>
      </c>
      <c r="E177" s="125">
        <v>0</v>
      </c>
      <c r="J177" s="49"/>
      <c r="K177" s="49"/>
      <c r="L177" s="50"/>
      <c r="M177" s="49"/>
    </row>
    <row r="178" spans="1:13" ht="14.4" hidden="1" x14ac:dyDescent="0.3">
      <c r="A178" s="106" t="s">
        <v>120</v>
      </c>
      <c r="B178" s="37"/>
      <c r="C178" s="28">
        <f>G160*20/100</f>
        <v>0</v>
      </c>
      <c r="E178" s="125">
        <v>0</v>
      </c>
      <c r="J178" s="49"/>
      <c r="K178" s="49"/>
      <c r="L178" s="50"/>
      <c r="M178" s="49"/>
    </row>
    <row r="179" spans="1:13" ht="14.4" x14ac:dyDescent="0.3">
      <c r="A179" s="106" t="s">
        <v>98</v>
      </c>
      <c r="B179" s="37"/>
      <c r="C179" s="28">
        <f>G161*20/100</f>
        <v>81576</v>
      </c>
      <c r="E179" s="125">
        <v>81576</v>
      </c>
      <c r="J179" s="49"/>
      <c r="K179" s="49"/>
      <c r="L179" s="50"/>
      <c r="M179" s="49"/>
    </row>
    <row r="180" spans="1:13" ht="14.4" x14ac:dyDescent="0.3">
      <c r="A180" s="106" t="s">
        <v>55</v>
      </c>
      <c r="B180" s="37"/>
      <c r="C180" s="28">
        <f>G162*20/100</f>
        <v>8020533.4000000004</v>
      </c>
      <c r="E180" s="125">
        <v>5467235.2000000002</v>
      </c>
      <c r="J180" s="49"/>
      <c r="K180" s="49"/>
      <c r="L180" s="50"/>
      <c r="M180" s="49"/>
    </row>
    <row r="181" spans="1:13" ht="14.4" thickBot="1" x14ac:dyDescent="0.35">
      <c r="A181" s="63"/>
      <c r="B181" s="12"/>
      <c r="C181" s="24">
        <f>SUM(C173:C180)</f>
        <v>8612758.9500000011</v>
      </c>
      <c r="E181" s="24">
        <f>SUM(E173:E180)</f>
        <v>5712447.2000000002</v>
      </c>
      <c r="J181" s="49"/>
      <c r="K181" s="49"/>
      <c r="L181" s="50"/>
    </row>
    <row r="182" spans="1:13" ht="15" thickTop="1" x14ac:dyDescent="0.3">
      <c r="A182" s="63"/>
      <c r="B182" s="12"/>
      <c r="C182" s="18"/>
      <c r="E182"/>
      <c r="K182" s="26"/>
    </row>
    <row r="183" spans="1:13" ht="14.4" x14ac:dyDescent="0.3">
      <c r="A183" s="75" t="s">
        <v>233</v>
      </c>
      <c r="B183" s="12"/>
      <c r="C183" s="12"/>
      <c r="D183" s="12"/>
      <c r="E183"/>
      <c r="K183" s="26"/>
    </row>
    <row r="184" spans="1:13" ht="14.4" thickBot="1" x14ac:dyDescent="0.35">
      <c r="A184" s="106" t="s">
        <v>174</v>
      </c>
      <c r="B184" s="12"/>
      <c r="C184" s="24">
        <f>+K90</f>
        <v>2327.8000000000002</v>
      </c>
      <c r="E184" s="24">
        <v>0</v>
      </c>
      <c r="K184" s="26"/>
      <c r="L184" s="26"/>
    </row>
    <row r="185" spans="1:13" ht="15" thickTop="1" x14ac:dyDescent="0.3">
      <c r="E185"/>
      <c r="K185" s="26"/>
      <c r="L185" s="26"/>
    </row>
    <row r="186" spans="1:13" ht="14.4" hidden="1" x14ac:dyDescent="0.3">
      <c r="A186" s="75" t="s">
        <v>195</v>
      </c>
      <c r="B186" s="12"/>
      <c r="C186" s="12"/>
      <c r="D186" s="12"/>
      <c r="E186"/>
      <c r="K186" s="26"/>
      <c r="L186" s="26"/>
    </row>
    <row r="187" spans="1:13" ht="15" hidden="1" thickBot="1" x14ac:dyDescent="0.35">
      <c r="A187" s="106" t="s">
        <v>175</v>
      </c>
      <c r="B187" s="12"/>
      <c r="C187" s="24">
        <v>0</v>
      </c>
      <c r="E187"/>
      <c r="K187" s="26"/>
      <c r="L187" s="26"/>
    </row>
    <row r="188" spans="1:13" ht="14.4" hidden="1" thickTop="1" x14ac:dyDescent="0.3">
      <c r="K188" s="26"/>
    </row>
    <row r="189" spans="1:13" hidden="1" x14ac:dyDescent="0.3">
      <c r="K189" s="26"/>
    </row>
    <row r="190" spans="1:13" hidden="1" x14ac:dyDescent="0.3">
      <c r="K190" s="26"/>
    </row>
    <row r="191" spans="1:13" x14ac:dyDescent="0.3">
      <c r="K191" s="26"/>
    </row>
    <row r="192" spans="1:13" x14ac:dyDescent="0.3">
      <c r="K192" s="26"/>
    </row>
    <row r="193" spans="11:12" x14ac:dyDescent="0.3">
      <c r="K193" s="26"/>
    </row>
    <row r="194" spans="11:12" x14ac:dyDescent="0.3">
      <c r="K194" s="26"/>
      <c r="L194" s="26"/>
    </row>
    <row r="195" spans="11:12" x14ac:dyDescent="0.3">
      <c r="K195" s="26"/>
      <c r="L195" s="26"/>
    </row>
    <row r="196" spans="11:12" x14ac:dyDescent="0.3">
      <c r="K196" s="26"/>
    </row>
    <row r="197" spans="11:12" x14ac:dyDescent="0.3">
      <c r="K197" s="26"/>
    </row>
    <row r="198" spans="11:12" x14ac:dyDescent="0.3">
      <c r="K198" s="26"/>
    </row>
    <row r="199" spans="11:12" x14ac:dyDescent="0.3">
      <c r="K199" s="26"/>
    </row>
    <row r="200" spans="11:12" x14ac:dyDescent="0.3">
      <c r="K200" s="26"/>
    </row>
    <row r="201" spans="11:12" x14ac:dyDescent="0.3">
      <c r="K201" s="26"/>
    </row>
    <row r="202" spans="11:12" x14ac:dyDescent="0.3">
      <c r="K202" s="26"/>
    </row>
    <row r="203" spans="11:12" x14ac:dyDescent="0.3">
      <c r="K203" s="26"/>
    </row>
    <row r="204" spans="11:12" x14ac:dyDescent="0.3">
      <c r="K204" s="26"/>
    </row>
    <row r="205" spans="11:12" x14ac:dyDescent="0.3">
      <c r="K205" s="26"/>
    </row>
    <row r="206" spans="11:12" x14ac:dyDescent="0.3">
      <c r="K206" s="26"/>
    </row>
    <row r="207" spans="11:12" x14ac:dyDescent="0.3">
      <c r="K207" s="26"/>
    </row>
    <row r="208" spans="11:12" x14ac:dyDescent="0.3">
      <c r="K208" s="26"/>
    </row>
    <row r="209" spans="11:11" x14ac:dyDescent="0.3">
      <c r="K209" s="26"/>
    </row>
    <row r="210" spans="11:11" x14ac:dyDescent="0.3">
      <c r="K210" s="26"/>
    </row>
    <row r="211" spans="11:11" x14ac:dyDescent="0.3">
      <c r="K211" s="26"/>
    </row>
    <row r="212" spans="11:11" x14ac:dyDescent="0.3">
      <c r="K212" s="26"/>
    </row>
    <row r="213" spans="11:11" x14ac:dyDescent="0.3">
      <c r="K213" s="26"/>
    </row>
    <row r="214" spans="11:11" x14ac:dyDescent="0.3">
      <c r="K214" s="26"/>
    </row>
    <row r="215" spans="11:11" x14ac:dyDescent="0.3">
      <c r="K215" s="26"/>
    </row>
    <row r="216" spans="11:11" x14ac:dyDescent="0.3">
      <c r="K216" s="26"/>
    </row>
    <row r="217" spans="11:11" x14ac:dyDescent="0.3">
      <c r="K217" s="26"/>
    </row>
    <row r="218" spans="11:11" x14ac:dyDescent="0.3">
      <c r="K218" s="26"/>
    </row>
    <row r="219" spans="11:11" x14ac:dyDescent="0.3">
      <c r="K219" s="26"/>
    </row>
    <row r="220" spans="11:11" x14ac:dyDescent="0.3">
      <c r="K220" s="26"/>
    </row>
    <row r="221" spans="11:11" x14ac:dyDescent="0.3">
      <c r="K221" s="26"/>
    </row>
    <row r="222" spans="11:11" x14ac:dyDescent="0.3">
      <c r="K222" s="26"/>
    </row>
    <row r="223" spans="11:11" x14ac:dyDescent="0.3">
      <c r="K223" s="26"/>
    </row>
    <row r="224" spans="11:11" x14ac:dyDescent="0.3">
      <c r="K224" s="26"/>
    </row>
    <row r="239" spans="11:12" x14ac:dyDescent="0.3">
      <c r="K239" s="26"/>
      <c r="L239" s="26"/>
    </row>
    <row r="240" spans="11:12" x14ac:dyDescent="0.3">
      <c r="K240" s="26"/>
      <c r="L240" s="26"/>
    </row>
    <row r="241" spans="11:12" x14ac:dyDescent="0.3">
      <c r="K241" s="26"/>
      <c r="L241" s="26"/>
    </row>
    <row r="242" spans="11:12" x14ac:dyDescent="0.3">
      <c r="K242" s="26"/>
      <c r="L242" s="26"/>
    </row>
    <row r="243" spans="11:12" x14ac:dyDescent="0.3">
      <c r="K243" s="26"/>
      <c r="L243" s="26"/>
    </row>
    <row r="244" spans="11:12" x14ac:dyDescent="0.3">
      <c r="K244" s="26"/>
      <c r="L244" s="26"/>
    </row>
    <row r="245" spans="11:12" x14ac:dyDescent="0.3">
      <c r="K245" s="26"/>
      <c r="L245" s="26"/>
    </row>
    <row r="246" spans="11:12" x14ac:dyDescent="0.3">
      <c r="K246" s="26"/>
      <c r="L246" s="26"/>
    </row>
    <row r="247" spans="11:12" x14ac:dyDescent="0.3">
      <c r="K247" s="26"/>
      <c r="L247" s="26"/>
    </row>
  </sheetData>
  <mergeCells count="3">
    <mergeCell ref="A1:E1"/>
    <mergeCell ref="A2:E2"/>
    <mergeCell ref="A3:E3"/>
  </mergeCells>
  <pageMargins left="0.7" right="0" top="0.75" bottom="0.75" header="0.3" footer="0.3"/>
  <pageSetup orientation="portrait" horizontalDpi="1200" verticalDpi="1200" r:id="rId1"/>
  <rowBreaks count="3" manualBreakCount="3">
    <brk id="61" max="4" man="1"/>
    <brk id="107" max="4" man="1"/>
    <brk id="145" max="4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/>
  <dimension ref="A1:F115"/>
  <sheetViews>
    <sheetView workbookViewId="0">
      <pane xSplit="2" ySplit="2" topLeftCell="C81" activePane="bottomRight" state="frozenSplit"/>
      <selection pane="topRight" activeCell="C1" sqref="C1"/>
      <selection pane="bottomLeft" activeCell="A3" sqref="A3"/>
      <selection pane="bottomRight" activeCell="E91" sqref="E91"/>
    </sheetView>
  </sheetViews>
  <sheetFormatPr defaultRowHeight="14.4" x14ac:dyDescent="0.3"/>
  <cols>
    <col min="1" max="1" width="3" style="9" customWidth="1"/>
    <col min="2" max="2" width="41.6640625" style="9" customWidth="1"/>
    <col min="3" max="3" width="15.33203125" bestFit="1" customWidth="1"/>
    <col min="4" max="4" width="2.33203125" customWidth="1"/>
    <col min="5" max="5" width="14.33203125" bestFit="1" customWidth="1"/>
    <col min="6" max="6" width="10.6640625" bestFit="1" customWidth="1"/>
  </cols>
  <sheetData>
    <row r="1" spans="1:5" ht="15" thickBot="1" x14ac:dyDescent="0.35">
      <c r="A1" s="1"/>
      <c r="B1" s="1"/>
      <c r="C1" s="66" t="s">
        <v>246</v>
      </c>
      <c r="D1" s="2"/>
      <c r="E1" s="67"/>
    </row>
    <row r="2" spans="1:5" s="8" customFormat="1" ht="15.6" thickTop="1" thickBot="1" x14ac:dyDescent="0.35">
      <c r="A2" s="3"/>
      <c r="B2" s="3"/>
      <c r="C2" s="68" t="s">
        <v>79</v>
      </c>
      <c r="D2" s="4"/>
      <c r="E2" s="68" t="s">
        <v>80</v>
      </c>
    </row>
    <row r="3" spans="1:5" ht="15" thickTop="1" x14ac:dyDescent="0.3">
      <c r="A3" s="1"/>
      <c r="B3" s="1" t="s">
        <v>73</v>
      </c>
      <c r="C3" s="69">
        <v>778.64</v>
      </c>
      <c r="D3" s="11"/>
      <c r="E3" s="69"/>
    </row>
    <row r="4" spans="1:5" x14ac:dyDescent="0.3">
      <c r="A4" s="1"/>
      <c r="B4" s="1" t="s">
        <v>74</v>
      </c>
      <c r="C4" s="69">
        <v>85829.58</v>
      </c>
      <c r="D4" s="11"/>
      <c r="E4" s="69"/>
    </row>
    <row r="5" spans="1:5" x14ac:dyDescent="0.3">
      <c r="A5" s="1"/>
      <c r="B5" s="1" t="s">
        <v>75</v>
      </c>
      <c r="C5" s="69">
        <v>22340813.440000001</v>
      </c>
      <c r="D5" s="11"/>
      <c r="E5" s="69"/>
    </row>
    <row r="6" spans="1:5" x14ac:dyDescent="0.3">
      <c r="A6" s="1"/>
      <c r="B6" s="1" t="s">
        <v>76</v>
      </c>
      <c r="C6" s="69">
        <v>130726.57</v>
      </c>
      <c r="D6" s="11"/>
      <c r="E6" s="69"/>
    </row>
    <row r="7" spans="1:5" x14ac:dyDescent="0.3">
      <c r="A7" s="1"/>
      <c r="B7" s="1" t="s">
        <v>77</v>
      </c>
      <c r="C7" s="69">
        <v>37828.199999999997</v>
      </c>
      <c r="D7" s="11"/>
      <c r="E7" s="69"/>
    </row>
    <row r="8" spans="1:5" x14ac:dyDescent="0.3">
      <c r="A8" s="1"/>
      <c r="B8" s="1" t="s">
        <v>144</v>
      </c>
      <c r="C8" s="69">
        <v>65941521</v>
      </c>
      <c r="D8" s="11"/>
      <c r="E8" s="69"/>
    </row>
    <row r="9" spans="1:5" x14ac:dyDescent="0.3">
      <c r="A9" s="1"/>
      <c r="B9" s="1" t="s">
        <v>234</v>
      </c>
      <c r="C9" s="69">
        <v>177000</v>
      </c>
      <c r="D9" s="11"/>
      <c r="E9" s="69"/>
    </row>
    <row r="10" spans="1:5" x14ac:dyDescent="0.3">
      <c r="A10" s="1"/>
      <c r="B10" s="1" t="s">
        <v>161</v>
      </c>
      <c r="C10" s="69">
        <v>1150000</v>
      </c>
      <c r="D10" s="11"/>
      <c r="E10" s="69"/>
    </row>
    <row r="11" spans="1:5" x14ac:dyDescent="0.3">
      <c r="A11" s="1"/>
      <c r="B11" s="1" t="s">
        <v>64</v>
      </c>
      <c r="C11" s="69">
        <v>2537000</v>
      </c>
      <c r="D11" s="11"/>
      <c r="E11" s="69"/>
    </row>
    <row r="12" spans="1:5" x14ac:dyDescent="0.3">
      <c r="A12" s="1"/>
      <c r="B12" s="1" t="s">
        <v>81</v>
      </c>
      <c r="C12" s="69">
        <v>31649</v>
      </c>
      <c r="D12" s="11"/>
      <c r="E12" s="69"/>
    </row>
    <row r="13" spans="1:5" x14ac:dyDescent="0.3">
      <c r="A13" s="1"/>
      <c r="B13" s="1" t="s">
        <v>26</v>
      </c>
      <c r="C13" s="69">
        <v>11504190.75</v>
      </c>
      <c r="D13" s="11"/>
      <c r="E13" s="69"/>
    </row>
    <row r="14" spans="1:5" x14ac:dyDescent="0.3">
      <c r="A14" s="1"/>
      <c r="B14" s="1" t="s">
        <v>130</v>
      </c>
      <c r="C14" s="69">
        <v>300216</v>
      </c>
      <c r="D14" s="11"/>
      <c r="E14" s="69"/>
    </row>
    <row r="15" spans="1:5" x14ac:dyDescent="0.3">
      <c r="A15" s="1"/>
      <c r="B15" s="1" t="s">
        <v>27</v>
      </c>
      <c r="C15" s="69">
        <v>7027994</v>
      </c>
      <c r="D15" s="11"/>
      <c r="E15" s="69"/>
    </row>
    <row r="16" spans="1:5" x14ac:dyDescent="0.3">
      <c r="A16" s="1"/>
      <c r="B16" s="1" t="s">
        <v>28</v>
      </c>
      <c r="C16" s="69">
        <v>7359169.21</v>
      </c>
      <c r="D16" s="11"/>
      <c r="E16" s="69"/>
    </row>
    <row r="17" spans="1:5" x14ac:dyDescent="0.3">
      <c r="A17" s="1"/>
      <c r="B17" s="1" t="s">
        <v>247</v>
      </c>
      <c r="C17" s="69">
        <v>8041000</v>
      </c>
      <c r="D17" s="11"/>
      <c r="E17" s="69"/>
    </row>
    <row r="18" spans="1:5" x14ac:dyDescent="0.3">
      <c r="A18" s="1"/>
      <c r="B18" s="1" t="s">
        <v>141</v>
      </c>
      <c r="C18" s="69">
        <v>4318000</v>
      </c>
      <c r="D18" s="11"/>
      <c r="E18" s="69"/>
    </row>
    <row r="19" spans="1:5" x14ac:dyDescent="0.3">
      <c r="A19" s="1"/>
      <c r="B19" s="1" t="s">
        <v>142</v>
      </c>
      <c r="C19" s="69">
        <v>95000</v>
      </c>
      <c r="D19" s="11"/>
      <c r="E19" s="69"/>
    </row>
    <row r="20" spans="1:5" x14ac:dyDescent="0.3">
      <c r="A20" s="1"/>
      <c r="B20" s="1" t="s">
        <v>143</v>
      </c>
      <c r="C20" s="69">
        <v>1439000</v>
      </c>
      <c r="D20" s="11"/>
      <c r="E20" s="69"/>
    </row>
    <row r="21" spans="1:5" x14ac:dyDescent="0.3">
      <c r="A21" s="1"/>
      <c r="B21" s="1" t="s">
        <v>82</v>
      </c>
      <c r="C21" s="69"/>
      <c r="D21" s="11"/>
      <c r="E21" s="69">
        <v>7614395</v>
      </c>
    </row>
    <row r="22" spans="1:5" x14ac:dyDescent="0.3">
      <c r="A22" s="1"/>
      <c r="B22" s="1" t="s">
        <v>235</v>
      </c>
      <c r="C22" s="69">
        <v>4158000</v>
      </c>
      <c r="D22" s="11"/>
      <c r="E22" s="69"/>
    </row>
    <row r="23" spans="1:5" x14ac:dyDescent="0.3">
      <c r="A23" s="1"/>
      <c r="B23" s="1" t="s">
        <v>202</v>
      </c>
      <c r="C23" s="69">
        <v>214617.82</v>
      </c>
      <c r="D23" s="11"/>
      <c r="E23" s="69"/>
    </row>
    <row r="24" spans="1:5" x14ac:dyDescent="0.3">
      <c r="A24" s="1"/>
      <c r="B24" s="1" t="s">
        <v>163</v>
      </c>
      <c r="C24" s="69">
        <v>30157677</v>
      </c>
      <c r="D24" s="11"/>
      <c r="E24" s="69"/>
    </row>
    <row r="25" spans="1:5" x14ac:dyDescent="0.3">
      <c r="A25" s="1"/>
      <c r="B25" s="1" t="s">
        <v>134</v>
      </c>
      <c r="C25" s="69">
        <v>10000000</v>
      </c>
      <c r="D25" s="11"/>
      <c r="E25" s="69"/>
    </row>
    <row r="26" spans="1:5" x14ac:dyDescent="0.3">
      <c r="A26" s="1"/>
      <c r="B26" s="1" t="s">
        <v>135</v>
      </c>
      <c r="C26" s="69">
        <v>8500000</v>
      </c>
      <c r="D26" s="11"/>
      <c r="E26" s="69"/>
    </row>
    <row r="27" spans="1:5" x14ac:dyDescent="0.3">
      <c r="A27" s="1"/>
      <c r="B27" s="1" t="s">
        <v>213</v>
      </c>
      <c r="C27" s="69">
        <v>104000</v>
      </c>
      <c r="D27" s="11"/>
      <c r="E27" s="69"/>
    </row>
    <row r="28" spans="1:5" x14ac:dyDescent="0.3">
      <c r="A28" s="1"/>
      <c r="B28" s="1" t="s">
        <v>200</v>
      </c>
      <c r="C28" s="69">
        <v>12500</v>
      </c>
      <c r="D28" s="11"/>
      <c r="E28" s="69"/>
    </row>
    <row r="29" spans="1:5" x14ac:dyDescent="0.3">
      <c r="A29" s="1"/>
      <c r="B29" s="1" t="s">
        <v>249</v>
      </c>
      <c r="C29" s="69">
        <v>50000</v>
      </c>
      <c r="D29" s="11"/>
      <c r="E29" s="69"/>
    </row>
    <row r="30" spans="1:5" x14ac:dyDescent="0.3">
      <c r="A30" s="1"/>
      <c r="B30" s="1" t="s">
        <v>157</v>
      </c>
      <c r="C30" s="69">
        <v>235200</v>
      </c>
      <c r="D30" s="11"/>
      <c r="E30" s="69"/>
    </row>
    <row r="31" spans="1:5" x14ac:dyDescent="0.3">
      <c r="A31" s="1"/>
      <c r="B31" s="1" t="s">
        <v>164</v>
      </c>
      <c r="C31" s="69">
        <v>12500</v>
      </c>
      <c r="D31" s="11"/>
      <c r="E31" s="69"/>
    </row>
    <row r="32" spans="1:5" x14ac:dyDescent="0.3">
      <c r="A32" s="1"/>
      <c r="B32" s="1" t="s">
        <v>236</v>
      </c>
      <c r="C32" s="69">
        <v>84000</v>
      </c>
      <c r="D32" s="11"/>
      <c r="E32" s="69"/>
    </row>
    <row r="33" spans="1:6" x14ac:dyDescent="0.3">
      <c r="A33" s="1"/>
      <c r="B33" s="1" t="s">
        <v>146</v>
      </c>
      <c r="C33" s="69">
        <v>3600</v>
      </c>
      <c r="D33" s="11"/>
      <c r="E33" s="69"/>
    </row>
    <row r="34" spans="1:6" x14ac:dyDescent="0.3">
      <c r="A34" s="1"/>
      <c r="B34" s="1" t="s">
        <v>184</v>
      </c>
      <c r="C34" s="69">
        <v>28000</v>
      </c>
      <c r="D34" s="11"/>
      <c r="E34" s="69"/>
    </row>
    <row r="35" spans="1:6" x14ac:dyDescent="0.3">
      <c r="A35" s="1"/>
      <c r="B35" s="1" t="s">
        <v>199</v>
      </c>
      <c r="C35" s="69">
        <v>48000</v>
      </c>
      <c r="D35" s="11"/>
      <c r="E35" s="69"/>
    </row>
    <row r="36" spans="1:6" x14ac:dyDescent="0.3">
      <c r="A36" s="1"/>
      <c r="B36" s="1" t="s">
        <v>149</v>
      </c>
      <c r="C36" s="69">
        <v>99000</v>
      </c>
      <c r="D36" s="11"/>
      <c r="E36" s="69"/>
    </row>
    <row r="37" spans="1:6" x14ac:dyDescent="0.3">
      <c r="A37" s="1"/>
      <c r="B37" s="1" t="s">
        <v>185</v>
      </c>
      <c r="C37" s="69">
        <v>280000</v>
      </c>
      <c r="D37" s="11"/>
      <c r="E37" s="69"/>
    </row>
    <row r="38" spans="1:6" x14ac:dyDescent="0.3">
      <c r="A38" s="1"/>
      <c r="B38" s="1" t="s">
        <v>147</v>
      </c>
      <c r="C38" s="69">
        <v>110000</v>
      </c>
      <c r="D38" s="11"/>
      <c r="E38" s="69"/>
    </row>
    <row r="39" spans="1:6" x14ac:dyDescent="0.3">
      <c r="A39" s="1"/>
      <c r="B39" s="1" t="s">
        <v>148</v>
      </c>
      <c r="C39" s="69">
        <v>240000</v>
      </c>
      <c r="D39" s="11"/>
      <c r="E39" s="69"/>
    </row>
    <row r="40" spans="1:6" x14ac:dyDescent="0.3">
      <c r="A40" s="1"/>
      <c r="B40" s="1" t="s">
        <v>186</v>
      </c>
      <c r="C40" s="69">
        <v>29129</v>
      </c>
      <c r="D40" s="11"/>
      <c r="E40" s="69"/>
    </row>
    <row r="41" spans="1:6" x14ac:dyDescent="0.3">
      <c r="A41" s="1"/>
      <c r="B41" s="1" t="s">
        <v>237</v>
      </c>
      <c r="C41" s="69">
        <v>40000</v>
      </c>
      <c r="D41" s="11"/>
      <c r="E41" s="69"/>
    </row>
    <row r="42" spans="1:6" x14ac:dyDescent="0.3">
      <c r="A42" s="1"/>
      <c r="B42" s="1" t="s">
        <v>252</v>
      </c>
      <c r="C42" s="69"/>
      <c r="D42" s="11"/>
      <c r="E42" s="69">
        <v>8320052</v>
      </c>
    </row>
    <row r="43" spans="1:6" x14ac:dyDescent="0.3">
      <c r="A43" s="1"/>
      <c r="B43" s="1" t="s">
        <v>205</v>
      </c>
      <c r="C43" s="69"/>
      <c r="D43" s="11"/>
      <c r="E43" s="69">
        <v>34053</v>
      </c>
    </row>
    <row r="44" spans="1:6" x14ac:dyDescent="0.3">
      <c r="A44" s="1"/>
      <c r="B44" s="1" t="s">
        <v>203</v>
      </c>
      <c r="C44" s="69"/>
      <c r="D44" s="11"/>
      <c r="E44" s="69">
        <v>203367.88</v>
      </c>
    </row>
    <row r="45" spans="1:6" x14ac:dyDescent="0.3">
      <c r="A45" s="1"/>
      <c r="B45" s="1" t="s">
        <v>206</v>
      </c>
      <c r="C45" s="69"/>
      <c r="D45" s="11"/>
      <c r="E45" s="69">
        <v>199080</v>
      </c>
    </row>
    <row r="46" spans="1:6" x14ac:dyDescent="0.3">
      <c r="A46" s="1"/>
      <c r="B46" s="1" t="s">
        <v>65</v>
      </c>
      <c r="C46" s="69"/>
      <c r="D46" s="11"/>
      <c r="E46" s="69">
        <v>596026.5</v>
      </c>
    </row>
    <row r="47" spans="1:6" x14ac:dyDescent="0.3">
      <c r="A47" s="1"/>
      <c r="B47" s="1" t="s">
        <v>187</v>
      </c>
      <c r="C47" s="69"/>
      <c r="D47" s="11"/>
      <c r="E47" s="69">
        <v>3436511.25</v>
      </c>
    </row>
    <row r="48" spans="1:6" x14ac:dyDescent="0.3">
      <c r="A48" s="1"/>
      <c r="B48" s="1" t="s">
        <v>238</v>
      </c>
      <c r="C48" s="69"/>
      <c r="D48" s="11"/>
      <c r="E48" s="69">
        <f>286500-54000</f>
        <v>232500</v>
      </c>
      <c r="F48" s="132"/>
    </row>
    <row r="49" spans="1:5" x14ac:dyDescent="0.3">
      <c r="A49" s="1"/>
      <c r="B49" s="1" t="s">
        <v>150</v>
      </c>
      <c r="C49" s="69"/>
      <c r="D49" s="11"/>
      <c r="E49" s="69">
        <v>971754.89</v>
      </c>
    </row>
    <row r="50" spans="1:5" x14ac:dyDescent="0.3">
      <c r="A50" s="1"/>
      <c r="B50" s="1" t="s">
        <v>84</v>
      </c>
      <c r="C50" s="69"/>
      <c r="D50" s="11"/>
      <c r="E50" s="69">
        <v>800</v>
      </c>
    </row>
    <row r="51" spans="1:5" x14ac:dyDescent="0.3">
      <c r="A51" s="1"/>
      <c r="B51" s="1" t="s">
        <v>85</v>
      </c>
      <c r="C51" s="69"/>
      <c r="D51" s="11"/>
      <c r="E51" s="69">
        <v>68167</v>
      </c>
    </row>
    <row r="52" spans="1:5" x14ac:dyDescent="0.3">
      <c r="A52" s="1"/>
      <c r="B52" s="1" t="s">
        <v>86</v>
      </c>
      <c r="C52" s="69"/>
      <c r="D52" s="11"/>
      <c r="E52" s="69">
        <v>220357</v>
      </c>
    </row>
    <row r="53" spans="1:5" x14ac:dyDescent="0.3">
      <c r="A53" s="1"/>
      <c r="B53" s="1" t="s">
        <v>87</v>
      </c>
      <c r="C53" s="69"/>
      <c r="D53" s="11"/>
      <c r="E53" s="69">
        <v>72922</v>
      </c>
    </row>
    <row r="54" spans="1:5" x14ac:dyDescent="0.3">
      <c r="A54" s="1"/>
      <c r="B54" s="1" t="s">
        <v>253</v>
      </c>
      <c r="C54" s="69"/>
      <c r="D54" s="11"/>
      <c r="E54" s="69">
        <v>6750000</v>
      </c>
    </row>
    <row r="55" spans="1:5" x14ac:dyDescent="0.3">
      <c r="A55" s="1"/>
      <c r="B55" s="1" t="s">
        <v>139</v>
      </c>
      <c r="C55" s="69"/>
      <c r="D55" s="11"/>
      <c r="E55" s="69">
        <v>1943523</v>
      </c>
    </row>
    <row r="56" spans="1:5" x14ac:dyDescent="0.3">
      <c r="A56" s="1"/>
      <c r="B56" s="1" t="s">
        <v>171</v>
      </c>
      <c r="C56" s="69"/>
      <c r="D56" s="11"/>
      <c r="E56" s="69">
        <v>106030641</v>
      </c>
    </row>
    <row r="57" spans="1:5" x14ac:dyDescent="0.3">
      <c r="A57" s="1"/>
      <c r="B57" s="1" t="s">
        <v>90</v>
      </c>
      <c r="C57" s="69"/>
      <c r="D57" s="11"/>
      <c r="E57" s="69">
        <v>31412898</v>
      </c>
    </row>
    <row r="58" spans="1:5" x14ac:dyDescent="0.3">
      <c r="A58" s="1"/>
      <c r="B58" s="1" t="s">
        <v>91</v>
      </c>
      <c r="C58" s="69"/>
      <c r="D58" s="11"/>
      <c r="E58" s="69">
        <v>54823614.560000002</v>
      </c>
    </row>
    <row r="59" spans="1:5" x14ac:dyDescent="0.3">
      <c r="A59" s="1"/>
      <c r="B59" s="1" t="s">
        <v>251</v>
      </c>
      <c r="C59" s="69"/>
      <c r="D59" s="11"/>
      <c r="E59" s="69">
        <v>14808812.5</v>
      </c>
    </row>
    <row r="60" spans="1:5" x14ac:dyDescent="0.3">
      <c r="A60" s="1"/>
      <c r="B60" s="1" t="s">
        <v>95</v>
      </c>
      <c r="C60" s="69"/>
      <c r="D60" s="11"/>
      <c r="E60" s="69">
        <v>2088794.56</v>
      </c>
    </row>
    <row r="61" spans="1:5" x14ac:dyDescent="0.3">
      <c r="A61" s="1"/>
      <c r="B61" s="1" t="s">
        <v>94</v>
      </c>
      <c r="C61" s="69"/>
      <c r="D61" s="11"/>
      <c r="E61" s="69">
        <v>1759091.48</v>
      </c>
    </row>
    <row r="62" spans="1:5" x14ac:dyDescent="0.3">
      <c r="A62" s="1"/>
      <c r="B62" s="1" t="s">
        <v>188</v>
      </c>
      <c r="C62" s="69"/>
      <c r="D62" s="11"/>
      <c r="E62" s="69">
        <v>569904.16</v>
      </c>
    </row>
    <row r="63" spans="1:5" x14ac:dyDescent="0.3">
      <c r="A63" s="1"/>
      <c r="B63" s="1" t="s">
        <v>189</v>
      </c>
      <c r="C63" s="69"/>
      <c r="D63" s="11"/>
      <c r="E63" s="69">
        <v>13303706.119999999</v>
      </c>
    </row>
    <row r="64" spans="1:5" x14ac:dyDescent="0.3">
      <c r="A64" s="1"/>
      <c r="B64" s="1" t="s">
        <v>92</v>
      </c>
      <c r="C64" s="69"/>
      <c r="D64" s="11"/>
      <c r="E64" s="69">
        <v>1587778.67</v>
      </c>
    </row>
    <row r="65" spans="1:5" x14ac:dyDescent="0.3">
      <c r="A65" s="1"/>
      <c r="B65" s="1" t="s">
        <v>93</v>
      </c>
      <c r="C65" s="69"/>
      <c r="D65" s="11"/>
      <c r="E65" s="69">
        <v>44477881.25</v>
      </c>
    </row>
    <row r="66" spans="1:5" x14ac:dyDescent="0.3">
      <c r="A66" s="1"/>
      <c r="B66" s="1" t="s">
        <v>190</v>
      </c>
      <c r="C66" s="69"/>
      <c r="D66" s="11"/>
      <c r="E66" s="69">
        <v>10169125.5</v>
      </c>
    </row>
    <row r="67" spans="1:5" x14ac:dyDescent="0.3">
      <c r="A67" s="1"/>
      <c r="B67" s="1" t="s">
        <v>165</v>
      </c>
      <c r="C67" s="69"/>
      <c r="D67" s="11"/>
      <c r="E67" s="69">
        <v>101340</v>
      </c>
    </row>
    <row r="68" spans="1:5" x14ac:dyDescent="0.3">
      <c r="A68" s="1"/>
      <c r="B68" s="1" t="s">
        <v>96</v>
      </c>
      <c r="C68" s="69"/>
      <c r="D68" s="11"/>
      <c r="E68" s="69">
        <v>6421.44</v>
      </c>
    </row>
    <row r="69" spans="1:5" x14ac:dyDescent="0.3">
      <c r="A69" s="1"/>
      <c r="B69" s="1" t="s">
        <v>97</v>
      </c>
      <c r="C69" s="69"/>
      <c r="D69" s="11"/>
      <c r="E69" s="69">
        <v>1836590.75</v>
      </c>
    </row>
    <row r="70" spans="1:5" x14ac:dyDescent="0.3">
      <c r="A70" s="1"/>
      <c r="B70" s="1" t="s">
        <v>191</v>
      </c>
      <c r="C70" s="69">
        <v>92500</v>
      </c>
      <c r="D70" s="11"/>
      <c r="E70" s="69"/>
    </row>
    <row r="71" spans="1:5" x14ac:dyDescent="0.3">
      <c r="A71" s="1"/>
      <c r="B71" s="1" t="s">
        <v>159</v>
      </c>
      <c r="C71" s="69">
        <v>75292285.739999995</v>
      </c>
      <c r="D71" s="11"/>
      <c r="E71" s="69"/>
    </row>
    <row r="72" spans="1:5" x14ac:dyDescent="0.3">
      <c r="A72" s="1"/>
      <c r="B72" s="1" t="s">
        <v>98</v>
      </c>
      <c r="C72" s="69">
        <v>407880</v>
      </c>
      <c r="D72" s="11"/>
      <c r="E72" s="69"/>
    </row>
    <row r="73" spans="1:5" x14ac:dyDescent="0.3">
      <c r="A73" s="1"/>
      <c r="B73" s="1" t="s">
        <v>99</v>
      </c>
      <c r="C73" s="69">
        <v>2500</v>
      </c>
      <c r="D73" s="11"/>
      <c r="E73" s="69"/>
    </row>
    <row r="74" spans="1:5" x14ac:dyDescent="0.3">
      <c r="A74" s="1"/>
      <c r="B74" s="1" t="s">
        <v>101</v>
      </c>
      <c r="C74" s="69">
        <v>2327.8000000000002</v>
      </c>
      <c r="D74" s="11"/>
      <c r="E74" s="69"/>
    </row>
    <row r="75" spans="1:5" x14ac:dyDescent="0.3">
      <c r="A75" s="1"/>
      <c r="B75" s="1" t="s">
        <v>201</v>
      </c>
      <c r="C75" s="69">
        <v>366000</v>
      </c>
      <c r="D75" s="11"/>
      <c r="E75" s="69"/>
    </row>
    <row r="76" spans="1:5" x14ac:dyDescent="0.3">
      <c r="A76" s="1"/>
      <c r="B76" s="1" t="s">
        <v>102</v>
      </c>
      <c r="C76" s="69">
        <v>1112661</v>
      </c>
      <c r="D76" s="11"/>
      <c r="E76" s="69"/>
    </row>
    <row r="77" spans="1:5" x14ac:dyDescent="0.3">
      <c r="A77" s="1"/>
      <c r="B77" s="1" t="s">
        <v>56</v>
      </c>
      <c r="C77" s="69">
        <v>31200</v>
      </c>
      <c r="D77" s="11"/>
      <c r="E77" s="69"/>
    </row>
    <row r="78" spans="1:5" x14ac:dyDescent="0.3">
      <c r="A78" s="1"/>
      <c r="B78" s="1" t="s">
        <v>239</v>
      </c>
      <c r="C78" s="69">
        <v>48906.81</v>
      </c>
      <c r="D78" s="11"/>
      <c r="E78" s="69"/>
    </row>
    <row r="79" spans="1:5" x14ac:dyDescent="0.3">
      <c r="A79" s="1"/>
      <c r="B79" s="1" t="s">
        <v>214</v>
      </c>
      <c r="C79" s="69">
        <v>7373.62</v>
      </c>
      <c r="D79" s="11"/>
      <c r="E79" s="69"/>
    </row>
    <row r="80" spans="1:5" x14ac:dyDescent="0.3">
      <c r="A80" s="1"/>
      <c r="B80" s="1" t="s">
        <v>207</v>
      </c>
      <c r="C80" s="69">
        <v>12238.21</v>
      </c>
      <c r="D80" s="11"/>
      <c r="E80" s="69"/>
    </row>
    <row r="81" spans="1:5" x14ac:dyDescent="0.3">
      <c r="A81" s="1"/>
      <c r="B81" s="1" t="s">
        <v>208</v>
      </c>
      <c r="C81" s="69">
        <v>31016.41</v>
      </c>
      <c r="D81" s="11"/>
      <c r="E81" s="69"/>
    </row>
    <row r="82" spans="1:5" x14ac:dyDescent="0.3">
      <c r="A82" s="1"/>
      <c r="B82" s="1" t="s">
        <v>209</v>
      </c>
      <c r="C82" s="69">
        <v>58241.24</v>
      </c>
      <c r="D82" s="11"/>
      <c r="E82" s="69"/>
    </row>
    <row r="83" spans="1:5" x14ac:dyDescent="0.3">
      <c r="A83" s="1"/>
      <c r="B83" s="1" t="s">
        <v>172</v>
      </c>
      <c r="C83" s="69">
        <v>13599</v>
      </c>
      <c r="D83" s="11"/>
      <c r="E83" s="69"/>
    </row>
    <row r="84" spans="1:5" x14ac:dyDescent="0.3">
      <c r="A84" s="1"/>
      <c r="B84" s="1" t="s">
        <v>240</v>
      </c>
      <c r="C84" s="69">
        <v>418</v>
      </c>
      <c r="D84" s="11"/>
      <c r="E84" s="69"/>
    </row>
    <row r="85" spans="1:5" x14ac:dyDescent="0.3">
      <c r="A85" s="1"/>
      <c r="B85" s="1" t="s">
        <v>152</v>
      </c>
      <c r="C85" s="69">
        <v>438724</v>
      </c>
      <c r="D85" s="11"/>
      <c r="E85" s="69"/>
    </row>
    <row r="86" spans="1:5" x14ac:dyDescent="0.3">
      <c r="A86" s="1"/>
      <c r="B86" s="1" t="s">
        <v>153</v>
      </c>
      <c r="C86" s="69">
        <v>174936</v>
      </c>
      <c r="D86" s="11"/>
      <c r="E86" s="69"/>
    </row>
    <row r="87" spans="1:5" x14ac:dyDescent="0.3">
      <c r="A87" s="1"/>
      <c r="B87" s="1" t="s">
        <v>154</v>
      </c>
      <c r="C87" s="69">
        <v>86860</v>
      </c>
      <c r="D87" s="11"/>
      <c r="E87" s="69"/>
    </row>
    <row r="88" spans="1:5" x14ac:dyDescent="0.3">
      <c r="A88" s="1"/>
      <c r="B88" s="1" t="s">
        <v>192</v>
      </c>
      <c r="C88" s="69">
        <v>300177</v>
      </c>
      <c r="D88" s="11"/>
      <c r="E88" s="69"/>
    </row>
    <row r="89" spans="1:5" x14ac:dyDescent="0.3">
      <c r="A89" s="1"/>
      <c r="B89" s="1" t="s">
        <v>57</v>
      </c>
      <c r="C89" s="69">
        <v>808439</v>
      </c>
      <c r="D89" s="11"/>
      <c r="E89" s="69"/>
    </row>
    <row r="90" spans="1:5" x14ac:dyDescent="0.3">
      <c r="A90" s="1"/>
      <c r="B90" s="1" t="s">
        <v>71</v>
      </c>
      <c r="C90" s="69">
        <v>130311.89</v>
      </c>
      <c r="D90" s="11"/>
      <c r="E90" s="69"/>
    </row>
    <row r="91" spans="1:5" x14ac:dyDescent="0.3">
      <c r="A91" s="1"/>
      <c r="B91" s="1" t="s">
        <v>47</v>
      </c>
      <c r="C91" s="69">
        <v>60770</v>
      </c>
      <c r="D91" s="11"/>
      <c r="E91" s="69"/>
    </row>
    <row r="92" spans="1:5" x14ac:dyDescent="0.3">
      <c r="A92" s="1"/>
      <c r="B92" s="1" t="s">
        <v>48</v>
      </c>
      <c r="C92" s="69">
        <v>1427376</v>
      </c>
      <c r="D92" s="11"/>
      <c r="E92" s="69"/>
    </row>
    <row r="93" spans="1:5" x14ac:dyDescent="0.3">
      <c r="A93" s="1"/>
      <c r="B93" s="1" t="s">
        <v>49</v>
      </c>
      <c r="C93" s="69">
        <v>120000</v>
      </c>
      <c r="D93" s="11"/>
      <c r="E93" s="69"/>
    </row>
    <row r="94" spans="1:5" x14ac:dyDescent="0.3">
      <c r="A94" s="1"/>
      <c r="B94" s="1" t="s">
        <v>105</v>
      </c>
      <c r="C94" s="69">
        <v>67550</v>
      </c>
      <c r="D94" s="11"/>
      <c r="E94" s="69"/>
    </row>
    <row r="95" spans="1:5" x14ac:dyDescent="0.3">
      <c r="A95" s="1"/>
      <c r="B95" s="1" t="s">
        <v>106</v>
      </c>
      <c r="C95" s="69">
        <v>1744.98</v>
      </c>
      <c r="D95" s="11"/>
      <c r="E95" s="69"/>
    </row>
    <row r="96" spans="1:5" x14ac:dyDescent="0.3">
      <c r="A96" s="1"/>
      <c r="B96" s="1" t="s">
        <v>193</v>
      </c>
      <c r="C96" s="69">
        <v>115414</v>
      </c>
      <c r="D96" s="11"/>
      <c r="E96" s="69"/>
    </row>
    <row r="97" spans="1:6" x14ac:dyDescent="0.3">
      <c r="A97" s="1"/>
      <c r="B97" s="1" t="s">
        <v>107</v>
      </c>
      <c r="C97" s="69">
        <v>40102667</v>
      </c>
      <c r="D97" s="11"/>
      <c r="E97" s="69"/>
    </row>
    <row r="98" spans="1:6" x14ac:dyDescent="0.3">
      <c r="A98" s="1"/>
      <c r="B98" s="1" t="s">
        <v>179</v>
      </c>
      <c r="C98" s="69">
        <v>1819437.75</v>
      </c>
      <c r="D98" s="11"/>
      <c r="E98" s="69"/>
    </row>
    <row r="99" spans="1:6" x14ac:dyDescent="0.3">
      <c r="A99" s="1"/>
      <c r="B99" s="1" t="s">
        <v>108</v>
      </c>
      <c r="C99" s="69">
        <v>221260</v>
      </c>
      <c r="D99" s="11"/>
      <c r="E99" s="69"/>
    </row>
    <row r="100" spans="1:6" x14ac:dyDescent="0.3">
      <c r="A100" s="1"/>
      <c r="B100" s="1" t="s">
        <v>122</v>
      </c>
      <c r="C100" s="69">
        <v>36000</v>
      </c>
      <c r="D100" s="11"/>
      <c r="E100" s="69"/>
    </row>
    <row r="101" spans="1:6" x14ac:dyDescent="0.3">
      <c r="A101" s="1"/>
      <c r="B101" s="1" t="s">
        <v>109</v>
      </c>
      <c r="C101" s="69">
        <v>476550</v>
      </c>
      <c r="D101" s="11"/>
      <c r="E101" s="69"/>
    </row>
    <row r="102" spans="1:6" x14ac:dyDescent="0.3">
      <c r="A102" s="1"/>
      <c r="B102" s="1" t="s">
        <v>194</v>
      </c>
      <c r="C102" s="69">
        <v>706080</v>
      </c>
      <c r="D102" s="11"/>
      <c r="E102" s="69"/>
    </row>
    <row r="103" spans="1:6" x14ac:dyDescent="0.3">
      <c r="A103" s="1"/>
      <c r="B103" s="1" t="s">
        <v>113</v>
      </c>
      <c r="C103" s="69">
        <v>2677</v>
      </c>
      <c r="D103" s="11"/>
      <c r="E103" s="69"/>
    </row>
    <row r="104" spans="1:6" x14ac:dyDescent="0.3">
      <c r="A104" s="1"/>
      <c r="B104" s="1" t="s">
        <v>114</v>
      </c>
      <c r="C104" s="69">
        <v>691084</v>
      </c>
      <c r="D104" s="11"/>
      <c r="E104" s="69"/>
    </row>
    <row r="105" spans="1:6" x14ac:dyDescent="0.3">
      <c r="A105" s="1"/>
      <c r="B105" s="1" t="s">
        <v>115</v>
      </c>
      <c r="C105" s="69">
        <v>510351</v>
      </c>
      <c r="D105" s="11"/>
      <c r="E105" s="69"/>
    </row>
    <row r="106" spans="1:6" x14ac:dyDescent="0.3">
      <c r="A106" s="1"/>
      <c r="B106" s="1" t="s">
        <v>116</v>
      </c>
      <c r="C106" s="69">
        <v>367900</v>
      </c>
      <c r="D106" s="11"/>
      <c r="E106" s="69"/>
    </row>
    <row r="107" spans="1:6" x14ac:dyDescent="0.3">
      <c r="A107" s="1"/>
      <c r="B107" s="1" t="s">
        <v>156</v>
      </c>
      <c r="C107" s="69">
        <v>38260</v>
      </c>
      <c r="D107" s="11"/>
      <c r="E107" s="69"/>
    </row>
    <row r="108" spans="1:6" x14ac:dyDescent="0.3">
      <c r="A108" s="1"/>
      <c r="B108" s="1" t="s">
        <v>117</v>
      </c>
      <c r="C108" s="69">
        <v>256000</v>
      </c>
      <c r="D108" s="11"/>
      <c r="E108" s="69"/>
    </row>
    <row r="109" spans="1:6" x14ac:dyDescent="0.3">
      <c r="A109" s="1"/>
      <c r="B109" s="1" t="s">
        <v>118</v>
      </c>
      <c r="C109" s="69">
        <v>963.23</v>
      </c>
      <c r="D109" s="11"/>
      <c r="E109" s="69"/>
    </row>
    <row r="110" spans="1:6" ht="15" thickBot="1" x14ac:dyDescent="0.35">
      <c r="A110" s="1"/>
      <c r="B110" s="1" t="s">
        <v>119</v>
      </c>
      <c r="C110" s="69">
        <v>275488.62</v>
      </c>
      <c r="D110" s="11"/>
      <c r="E110" s="69"/>
    </row>
    <row r="111" spans="1:6" s="9" customFormat="1" ht="10.8" thickBot="1" x14ac:dyDescent="0.25">
      <c r="A111" s="1" t="s">
        <v>124</v>
      </c>
      <c r="B111" s="1"/>
      <c r="C111" s="70">
        <f>ROUND(SUM(C3:C110),5)</f>
        <v>313640109.50999999</v>
      </c>
      <c r="D111" s="1"/>
      <c r="E111" s="70">
        <f>ROUND(SUM(E3:E110),5)</f>
        <v>313640109.50999999</v>
      </c>
      <c r="F111" s="133"/>
    </row>
    <row r="112" spans="1:6" ht="15" thickTop="1" x14ac:dyDescent="0.3">
      <c r="C112" s="87"/>
    </row>
    <row r="113" spans="3:5" x14ac:dyDescent="0.3">
      <c r="C113" s="125">
        <f>SUM(C59:C110)</f>
        <v>126716169.3</v>
      </c>
      <c r="D113" s="125"/>
      <c r="E113" s="125">
        <f>SUM(E59:E110)</f>
        <v>90709446.430000007</v>
      </c>
    </row>
    <row r="114" spans="3:5" x14ac:dyDescent="0.3">
      <c r="C114" s="125"/>
      <c r="D114" s="125"/>
      <c r="E114" s="125">
        <f>C113-E113</f>
        <v>36006722.86999999</v>
      </c>
    </row>
    <row r="115" spans="3:5" x14ac:dyDescent="0.3">
      <c r="C115" s="125"/>
      <c r="D115" s="125"/>
      <c r="E115" s="125"/>
    </row>
  </sheetData>
  <pageMargins left="0.7" right="0.7" top="0.75" bottom="0.75" header="0.1" footer="0.3"/>
  <pageSetup orientation="portrait" r:id="rId1"/>
  <headerFooter>
    <oddHeader>&amp;L&amp;"Arial,Bold"&amp;8 5:15 PM
&amp;"Arial,Bold"&amp;8 01/11/21
&amp;"Arial,Bold"&amp;8 Accrual Basis&amp;C&amp;"Arial,Bold"&amp;12 Va8ive Digital Pvt Ltd
&amp;"Arial,Bold"&amp;14 Trial Balance
&amp;"Arial,Bold"&amp;10 As of December 31, 2020</oddHeader>
    <oddFooter>&amp;R&amp;"Arial,Bold"&amp;8 Page &amp;P of &amp;N</oddFooter>
  </headerFooter>
  <drawing r:id="rId2"/>
  <legacyDrawing r:id="rId3"/>
  <controls>
    <mc:AlternateContent xmlns:mc="http://schemas.openxmlformats.org/markup-compatibility/2006">
      <mc:Choice Requires="x14">
        <control shapeId="12289" r:id="rId4" name="FILT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708660</xdr:colOff>
                <xdr:row>1</xdr:row>
                <xdr:rowOff>38100</xdr:rowOff>
              </to>
            </anchor>
          </controlPr>
        </control>
      </mc:Choice>
      <mc:Fallback>
        <control shapeId="12289" r:id="rId4" name="FILTER"/>
      </mc:Fallback>
    </mc:AlternateContent>
    <mc:AlternateContent xmlns:mc="http://schemas.openxmlformats.org/markup-compatibility/2006">
      <mc:Choice Requires="x14">
        <control shapeId="12290" r:id="rId6" name="HEADER">
          <controlPr defaultSize="0" autoLine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708660</xdr:colOff>
                <xdr:row>1</xdr:row>
                <xdr:rowOff>38100</xdr:rowOff>
              </to>
            </anchor>
          </controlPr>
        </control>
      </mc:Choice>
      <mc:Fallback>
        <control shapeId="12290" r:id="rId6" name="HEADER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8</vt:i4>
      </vt:variant>
    </vt:vector>
  </HeadingPairs>
  <TitlesOfParts>
    <vt:vector size="15" baseType="lpstr">
      <vt:lpstr>Main Sheet</vt:lpstr>
      <vt:lpstr>BS</vt:lpstr>
      <vt:lpstr>BS analysis</vt:lpstr>
      <vt:lpstr>PnL</vt:lpstr>
      <vt:lpstr>PnL Analysis</vt:lpstr>
      <vt:lpstr>Notes</vt:lpstr>
      <vt:lpstr>Va8ive</vt:lpstr>
      <vt:lpstr>Notes!page5</vt:lpstr>
      <vt:lpstr>BS!Print_Area</vt:lpstr>
      <vt:lpstr>'BS analysis'!Print_Area</vt:lpstr>
      <vt:lpstr>'Main Sheet'!Print_Area</vt:lpstr>
      <vt:lpstr>Notes!Print_Area</vt:lpstr>
      <vt:lpstr>PnL!Print_Area</vt:lpstr>
      <vt:lpstr>'PnL Analysis'!Print_Area</vt:lpstr>
      <vt:lpstr>Va8ive!Print_Titles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Musharraf Ahmed</dc:creator>
  <cp:lastModifiedBy>Zaryab Ul Hassan</cp:lastModifiedBy>
  <cp:lastPrinted>2022-04-12T06:53:04Z</cp:lastPrinted>
  <dcterms:created xsi:type="dcterms:W3CDTF">2019-11-22T06:17:48Z</dcterms:created>
  <dcterms:modified xsi:type="dcterms:W3CDTF">2025-03-21T22:59:16Z</dcterms:modified>
</cp:coreProperties>
</file>