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<sst xmlns="http://schemas.openxmlformats.org/spreadsheetml/2006/main" count="87" uniqueCount="87">
  <si>
    <t>Profit and Loss</t>
  </si>
  <si>
    <t>Cool Service</t>
  </si>
  <si>
    <t>January-December, 2025</t>
  </si>
  <si>
    <t>Income</t>
  </si>
  <si>
    <t>Returned Deposits / NSF</t>
  </si>
  <si>
    <t>Sales</t>
  </si>
  <si>
    <t>Services</t>
  </si>
  <si>
    <t>Refunds to customers</t>
  </si>
  <si>
    <t>Unapplied Cash Payment Income</t>
  </si>
  <si>
    <t>Uncategorized Income</t>
  </si>
  <si>
    <t>Discounts given</t>
  </si>
  <si>
    <t>Total for Income</t>
  </si>
  <si>
    <t>Gross Profit</t>
  </si>
  <si>
    <t>Expenses</t>
  </si>
  <si>
    <t>Advertising &amp; marketing</t>
  </si>
  <si>
    <t>Listing fees</t>
  </si>
  <si>
    <t>Total for Advertising &amp; marketing</t>
  </si>
  <si>
    <t>Business Development</t>
  </si>
  <si>
    <t>General business expenses</t>
  </si>
  <si>
    <t>Bank fees &amp; service charges</t>
  </si>
  <si>
    <t>Memberships &amp; subscriptions</t>
  </si>
  <si>
    <t>Uniforms</t>
  </si>
  <si>
    <t>Continuing education</t>
  </si>
  <si>
    <t>Total for General business expenses</t>
  </si>
  <si>
    <t>Insurance</t>
  </si>
  <si>
    <t>Liability insurance</t>
  </si>
  <si>
    <t>Total for Insurance</t>
  </si>
  <si>
    <t>Legal &amp; accounting services</t>
  </si>
  <si>
    <t>Meals</t>
  </si>
  <si>
    <t>Meals with clients</t>
  </si>
  <si>
    <t>Total for Meals</t>
  </si>
  <si>
    <t>Office expenses</t>
  </si>
  <si>
    <t>Shipping &amp; postage</t>
  </si>
  <si>
    <t>Software &amp; apps</t>
  </si>
  <si>
    <t>Office supplies</t>
  </si>
  <si>
    <t>Printing &amp; photocopying</t>
  </si>
  <si>
    <t>Total for Office expenses</t>
  </si>
  <si>
    <t>Payroll expenses</t>
  </si>
  <si>
    <t>Taxes</t>
  </si>
  <si>
    <t>Wages</t>
  </si>
  <si>
    <t>Total for Payroll expenses</t>
  </si>
  <si>
    <t>QuickBooks Payments Fees</t>
  </si>
  <si>
    <t>Repairs &amp; maintenance</t>
  </si>
  <si>
    <t>State Licensing &amp; Compliance Fees</t>
  </si>
  <si>
    <t>Subcontractor expenses</t>
  </si>
  <si>
    <t>Supplies</t>
  </si>
  <si>
    <t>Supplies &amp; materials</t>
  </si>
  <si>
    <t>Total for Supplies</t>
  </si>
  <si>
    <t>Utilities</t>
  </si>
  <si>
    <t>Disposal &amp; waste fees</t>
  </si>
  <si>
    <t>Internet &amp; TV services</t>
  </si>
  <si>
    <t>Electricity</t>
  </si>
  <si>
    <t>Phone service</t>
  </si>
  <si>
    <t>Total for Utilities</t>
  </si>
  <si>
    <t>Business licences</t>
  </si>
  <si>
    <t>Contract labor</t>
  </si>
  <si>
    <t>Taxes paid</t>
  </si>
  <si>
    <t>Payroll taxes</t>
  </si>
  <si>
    <t>Total for Taxes paid</t>
  </si>
  <si>
    <t>Travel</t>
  </si>
  <si>
    <t>Hotels</t>
  </si>
  <si>
    <t>Vehicle rental</t>
  </si>
  <si>
    <t>Total for Travel</t>
  </si>
  <si>
    <t>Equipment rental</t>
  </si>
  <si>
    <t>Travel Expenses - General and Admin</t>
  </si>
  <si>
    <t>Total for Expenses</t>
  </si>
  <si>
    <t>Net Operating Income</t>
  </si>
  <si>
    <t>Other Expenses</t>
  </si>
  <si>
    <t>Home office</t>
  </si>
  <si>
    <t>Rent</t>
  </si>
  <si>
    <t>Total for Home office</t>
  </si>
  <si>
    <t>Vehicle expenses</t>
  </si>
  <si>
    <t>Vehicle gas &amp; fuel</t>
  </si>
  <si>
    <t>Vehicle repairs</t>
  </si>
  <si>
    <t>Parking &amp; tolls</t>
  </si>
  <si>
    <t>Vehicle registration</t>
  </si>
  <si>
    <t>Total for Vehicle expenses</t>
  </si>
  <si>
    <t>Jobber Payment Fees</t>
  </si>
  <si>
    <t>Total for Other Expenses</t>
  </si>
  <si>
    <t>Net Other Income</t>
  </si>
  <si>
    <t>Net Income</t>
  </si>
  <si>
    <t>Distribution account</t>
  </si>
  <si>
    <t>Total</t>
  </si>
  <si>
    <t>Jan 1 - Dec 31 2025</t>
  </si>
  <si>
    <t>Jan 1 - Dec 31 2024 (PY)</t>
  </si>
  <si>
    <t>Jan 1 - Dec 31 2023 (custom)</t>
  </si>
  <si>
    <t>Cash Basis Tuesday, January 20, 2026 10:58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</si>
</sst>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"/>
    <numFmt numFmtId="178" formatCode="$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7" fontId="0" fillId="0" borderId="0" xfId="0" applyNumberFormat="1"/>
    <xf numFmtId="177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4" fillId="0" borderId="1" xfId="20" applyFont="1" applyBorder="1">
      <alignment/>
      <protection/>
    </xf>
    <xf numFmtId="0" fontId="4" fillId="0" borderId="1" xfId="20" applyFont="1" applyBorder="1" applyAlignment="1">
      <alignment horizontal="center"/>
      <protection/>
    </xf>
    <xf numFmtId="0" fontId="4" fillId="0" borderId="3" xfId="20" applyFont="1" applyBorder="1">
      <alignment/>
      <protection/>
    </xf>
    <xf numFmtId="0" fontId="4" fillId="0" borderId="3" xfId="20" applyFont="1" applyBorder="1" applyAlignment="1">
      <alignment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3" xfId="20" applyFont="1" applyBorder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D88"/>
  <sheetViews>
    <sheetView tabSelected="1" workbookViewId="0" topLeftCell="A1"/>
  </sheetViews>
  <sheetFormatPr defaultColWidth="11.255" defaultRowHeight="16" outlineLevelRow="2"/>
  <cols>
    <col min="1" max="1" width="30.75" style="36" customWidth="1"/>
    <col min="2" max="2" width="17" style="36" customWidth="1"/>
    <col min="3" max="3" width="21.25" style="36" customWidth="1"/>
    <col min="4" max="4" width="24.7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2" ht="16">
      <c r="A5" s="38" t="s">
        <v>81</v>
      </c>
      <c r="B5" s="38" t="s">
        <v>82</v>
      </c>
    </row>
    <row r="6" spans="2:4" ht="16">
      <c r="B6" s="47" t="s">
        <v>83</v>
      </c>
      <c r="C6" s="38" t="s">
        <v>84</v>
      </c>
      <c r="D6" s="38" t="s">
        <v>85</v>
      </c>
    </row>
    <row r="7" spans="1:1" ht="16">
      <c r="A7" s="31" t="s">
        <v>3</v>
      </c>
    </row>
    <row r="8" spans="1:4" ht="16" outlineLevel="1">
      <c r="A8" s="32" t="s">
        <v>4</v>
      </c>
      <c r="B8" s="43">
        <v>-450.0</v>
      </c>
      <c r="C8" s="44"/>
      <c r="D8" s="44"/>
    </row>
    <row r="9" spans="1:4" ht="16" outlineLevel="1">
      <c r="A9" s="32" t="s">
        <v>5</v>
      </c>
      <c r="B9" s="43">
        <v>4360.0</v>
      </c>
      <c r="C9" s="43">
        <v>8972.0</v>
      </c>
      <c r="D9" s="43">
        <v>8913.3</v>
      </c>
    </row>
    <row r="10" spans="1:4" ht="16" outlineLevel="1">
      <c r="A10" s="32" t="s">
        <v>6</v>
      </c>
      <c r="B10" s="43">
        <v>81871.0</v>
      </c>
      <c r="C10" s="43">
        <v>88229.79</v>
      </c>
      <c r="D10" s="43">
        <v>57306.76</v>
      </c>
    </row>
    <row r="11" spans="1:4" ht="16" outlineLevel="1">
      <c r="A11" s="32" t="s">
        <v>7</v>
      </c>
      <c r="B11" s="44"/>
      <c r="C11" s="44"/>
      <c r="D11" s="43">
        <v>20.0</v>
      </c>
    </row>
    <row r="12" spans="1:4" ht="16" outlineLevel="1">
      <c r="A12" s="32" t="s">
        <v>8</v>
      </c>
      <c r="B12" s="44"/>
      <c r="C12" s="43">
        <v>1387.0</v>
      </c>
      <c r="D12" s="43">
        <v>0</v>
      </c>
    </row>
    <row r="13" spans="1:4" ht="16" outlineLevel="1">
      <c r="A13" s="32" t="s">
        <v>9</v>
      </c>
      <c r="B13" s="44"/>
      <c r="C13" s="44"/>
      <c r="D13" s="43">
        <v>1350.0</v>
      </c>
    </row>
    <row r="14" spans="1:4" ht="16" outlineLevel="1">
      <c r="A14" s="32" t="s">
        <v>10</v>
      </c>
      <c r="B14" s="44"/>
      <c r="C14" s="43">
        <v>-418.05</v>
      </c>
      <c r="D14" s="44"/>
    </row>
    <row r="15" spans="1:4" ht="16">
      <c r="A15" s="33" t="s">
        <v>11</v>
      </c>
      <c r="B15" s="45">
        <f>B8+B9+B10+B11+B12+B13+B14</f>
        <v>85781.0</v>
      </c>
      <c r="C15" s="45">
        <f>C8+C9+C10+C11+C12+C13+C14</f>
        <v>98170.73999999999</v>
      </c>
      <c r="D15" s="45">
        <f>D8+D9+D10+D11+D12+D13+D14</f>
        <v>67590.06</v>
      </c>
    </row>
    <row r="16" spans="1:4" ht="16">
      <c r="A16" s="33" t="s">
        <v>12</v>
      </c>
      <c r="B16" s="45">
        <v>85781.0</v>
      </c>
      <c r="C16" s="45">
        <v>98170.73999999999</v>
      </c>
      <c r="D16" s="45">
        <v>67590.06</v>
      </c>
    </row>
    <row r="17" spans="1:1" ht="16">
      <c r="A17" s="31" t="s">
        <v>13</v>
      </c>
    </row>
    <row r="18" spans="1:4" ht="16" outlineLevel="1">
      <c r="A18" s="32" t="s">
        <v>14</v>
      </c>
      <c r="B18" s="43">
        <v>3519.0</v>
      </c>
      <c r="C18" s="43">
        <v>8831.28</v>
      </c>
      <c r="D18" s="43">
        <v>1113.05</v>
      </c>
    </row>
    <row r="19" spans="1:4" ht="16" outlineLevel="2">
      <c r="A19" s="34" t="s">
        <v>15</v>
      </c>
      <c r="B19" s="44"/>
      <c r="C19" s="43">
        <v>0</v>
      </c>
      <c r="D19" s="43">
        <v>169.0</v>
      </c>
    </row>
    <row r="20" spans="1:4" ht="16" outlineLevel="1">
      <c r="A20" s="35" t="s">
        <v>16</v>
      </c>
      <c r="B20" s="45">
        <f>B18+B19</f>
        <v>3519.0</v>
      </c>
      <c r="C20" s="45">
        <f>C18+C19</f>
        <v>8831.28</v>
      </c>
      <c r="D20" s="45">
        <f>D18+D19</f>
        <v>1282.05</v>
      </c>
    </row>
    <row r="21" spans="1:4" ht="16" outlineLevel="1">
      <c r="A21" s="32" t="s">
        <v>17</v>
      </c>
      <c r="B21" s="43">
        <v>272.49</v>
      </c>
      <c r="C21" s="43">
        <v>156.77</v>
      </c>
      <c r="D21" s="43">
        <v>297.99</v>
      </c>
    </row>
    <row r="22" spans="1:4" ht="16" outlineLevel="1">
      <c r="A22" s="32" t="s">
        <v>18</v>
      </c>
      <c r="B22" s="43">
        <v>407.41</v>
      </c>
      <c r="C22" s="44"/>
      <c r="D22" s="43">
        <v>17.0</v>
      </c>
    </row>
    <row r="23" spans="1:4" ht="16" outlineLevel="2">
      <c r="A23" s="34" t="s">
        <v>19</v>
      </c>
      <c r="B23" s="43">
        <v>90.0</v>
      </c>
      <c r="C23" s="43">
        <v>30.0</v>
      </c>
      <c r="D23" s="43">
        <v>194.88</v>
      </c>
    </row>
    <row r="24" spans="1:4" ht="16" outlineLevel="2">
      <c r="A24" s="34" t="s">
        <v>20</v>
      </c>
      <c r="B24" s="43">
        <v>139.0</v>
      </c>
      <c r="C24" s="44"/>
      <c r="D24" s="43">
        <v>99.0</v>
      </c>
    </row>
    <row r="25" spans="1:4" ht="16" outlineLevel="2">
      <c r="A25" s="34" t="s">
        <v>21</v>
      </c>
      <c r="B25" s="43">
        <v>143.76</v>
      </c>
      <c r="C25" s="43">
        <v>172.29</v>
      </c>
      <c r="D25" s="43">
        <v>558.7</v>
      </c>
    </row>
    <row r="26" spans="1:4" ht="16" outlineLevel="2">
      <c r="A26" s="34" t="s">
        <v>22</v>
      </c>
      <c r="B26" s="44"/>
      <c r="C26" s="44"/>
      <c r="D26" s="43">
        <v>699.59</v>
      </c>
    </row>
    <row r="27" spans="1:4" ht="16" outlineLevel="1">
      <c r="A27" s="35" t="s">
        <v>23</v>
      </c>
      <c r="B27" s="45">
        <f>B22+B23+B24+B25+B26</f>
        <v>780.1700000000001</v>
      </c>
      <c r="C27" s="45">
        <f>C22+C23+C24+C25+C26</f>
        <v>202.29</v>
      </c>
      <c r="D27" s="45">
        <f>D22+D23+D24+D25+D26</f>
        <v>1569.17</v>
      </c>
    </row>
    <row r="28" spans="1:4" ht="16" outlineLevel="1">
      <c r="A28" s="32" t="s">
        <v>24</v>
      </c>
      <c r="B28" s="43">
        <v>4070.0</v>
      </c>
      <c r="C28" s="43">
        <v>5500.83</v>
      </c>
      <c r="D28" s="43">
        <v>2306.98</v>
      </c>
    </row>
    <row r="29" spans="1:4" ht="16" outlineLevel="2">
      <c r="A29" s="34" t="s">
        <v>25</v>
      </c>
      <c r="B29" s="44"/>
      <c r="C29" s="43">
        <v>2606.72</v>
      </c>
      <c r="D29" s="43">
        <v>2255.88</v>
      </c>
    </row>
    <row r="30" spans="1:4" ht="16" outlineLevel="1">
      <c r="A30" s="35" t="s">
        <v>26</v>
      </c>
      <c r="B30" s="45">
        <f>B28+B29</f>
        <v>4070.0</v>
      </c>
      <c r="C30" s="45">
        <f>C28+C29</f>
        <v>8107.549999999999</v>
      </c>
      <c r="D30" s="45">
        <f>D28+D29</f>
        <v>4562.860000000001</v>
      </c>
    </row>
    <row r="31" spans="1:4" ht="16" outlineLevel="1">
      <c r="A31" s="32" t="s">
        <v>27</v>
      </c>
      <c r="B31" s="43">
        <v>315.44</v>
      </c>
      <c r="C31" s="44"/>
      <c r="D31" s="44"/>
    </row>
    <row r="32" spans="1:4" ht="16" outlineLevel="1">
      <c r="A32" s="32" t="s">
        <v>28</v>
      </c>
      <c r="B32" s="43">
        <v>1224.48</v>
      </c>
      <c r="C32" s="43">
        <v>1195.18</v>
      </c>
      <c r="D32" s="43">
        <v>1855.72</v>
      </c>
    </row>
    <row r="33" spans="1:4" ht="16" outlineLevel="2">
      <c r="A33" s="34" t="s">
        <v>29</v>
      </c>
      <c r="B33" s="43">
        <v>452.56</v>
      </c>
      <c r="C33" s="43">
        <v>331.6</v>
      </c>
      <c r="D33" s="43">
        <v>962.85</v>
      </c>
    </row>
    <row r="34" spans="1:4" ht="16" outlineLevel="1">
      <c r="A34" s="35" t="s">
        <v>30</v>
      </c>
      <c r="B34" s="45">
        <f>B32+B33</f>
        <v>1677.04</v>
      </c>
      <c r="C34" s="45">
        <f>C32+C33</f>
        <v>1526.7800000000002</v>
      </c>
      <c r="D34" s="45">
        <f>D32+D33</f>
        <v>2818.57</v>
      </c>
    </row>
    <row r="35" spans="1:4" ht="16" outlineLevel="1">
      <c r="A35" s="32" t="s">
        <v>31</v>
      </c>
      <c r="B35" s="44"/>
      <c r="C35" s="44"/>
      <c r="D35" s="43">
        <v>19.65</v>
      </c>
    </row>
    <row r="36" spans="1:4" ht="16" outlineLevel="2">
      <c r="A36" s="34" t="s">
        <v>32</v>
      </c>
      <c r="B36" s="43">
        <v>57.12</v>
      </c>
      <c r="C36" s="44"/>
      <c r="D36" s="43">
        <v>19.15</v>
      </c>
    </row>
    <row r="37" spans="1:4" ht="16" outlineLevel="2">
      <c r="A37" s="34" t="s">
        <v>33</v>
      </c>
      <c r="B37" s="43">
        <v>2581.14</v>
      </c>
      <c r="C37" s="43">
        <v>2331.89</v>
      </c>
      <c r="D37" s="43">
        <v>3469.86</v>
      </c>
    </row>
    <row r="38" spans="1:4" ht="16" outlineLevel="2">
      <c r="A38" s="34" t="s">
        <v>34</v>
      </c>
      <c r="B38" s="44"/>
      <c r="C38" s="44"/>
      <c r="D38" s="43">
        <v>119.42</v>
      </c>
    </row>
    <row r="39" spans="1:4" ht="16" outlineLevel="2">
      <c r="A39" s="34" t="s">
        <v>35</v>
      </c>
      <c r="B39" s="44"/>
      <c r="C39" s="44"/>
      <c r="D39" s="43">
        <v>6.0</v>
      </c>
    </row>
    <row r="40" spans="1:4" ht="16" outlineLevel="1">
      <c r="A40" s="35" t="s">
        <v>36</v>
      </c>
      <c r="B40" s="45">
        <f>B35+B36+B37+B38+B39</f>
        <v>2638.2599999999998</v>
      </c>
      <c r="C40" s="45">
        <f>C35+C36+C37+C38+C39</f>
        <v>2331.89</v>
      </c>
      <c r="D40" s="45">
        <f>D35+D36+D37+D38+D39</f>
        <v>3634.0800000000004</v>
      </c>
    </row>
    <row r="41" spans="1:4" ht="16" outlineLevel="1">
      <c r="A41" s="32" t="s">
        <v>37</v>
      </c>
      <c r="B41" s="44"/>
      <c r="C41" s="43">
        <v>11037.68</v>
      </c>
      <c r="D41" s="43">
        <v>-3168.18</v>
      </c>
    </row>
    <row r="42" spans="1:4" ht="16" outlineLevel="2">
      <c r="A42" s="34" t="s">
        <v>38</v>
      </c>
      <c r="B42" s="43">
        <v>1189.62</v>
      </c>
      <c r="C42" s="43">
        <v>2314.4</v>
      </c>
      <c r="D42" s="43">
        <v>3096.27</v>
      </c>
    </row>
    <row r="43" spans="1:4" ht="16" outlineLevel="2">
      <c r="A43" s="34" t="s">
        <v>39</v>
      </c>
      <c r="B43" s="43">
        <v>8624.0</v>
      </c>
      <c r="C43" s="43">
        <v>19912.08</v>
      </c>
      <c r="D43" s="43">
        <v>39948.36</v>
      </c>
    </row>
    <row r="44" spans="1:4" ht="16" outlineLevel="1">
      <c r="A44" s="35" t="s">
        <v>40</v>
      </c>
      <c r="B44" s="45">
        <f>B41+B42+B43</f>
        <v>9813.619999999999</v>
      </c>
      <c r="C44" s="45">
        <f>C41+C42+C43</f>
        <v>33264.16</v>
      </c>
      <c r="D44" s="45">
        <f>D41+D42+D43</f>
        <v>39876.45</v>
      </c>
    </row>
    <row r="45" spans="1:4" ht="16" outlineLevel="1">
      <c r="A45" s="32" t="s">
        <v>41</v>
      </c>
      <c r="B45" s="43">
        <v>100.0</v>
      </c>
      <c r="C45" s="44"/>
      <c r="D45" s="43">
        <v>0.05</v>
      </c>
    </row>
    <row r="46" spans="1:4" ht="16" outlineLevel="1">
      <c r="A46" s="32" t="s">
        <v>42</v>
      </c>
      <c r="B46" s="43">
        <v>20095.0</v>
      </c>
      <c r="C46" s="44"/>
      <c r="D46" s="44"/>
    </row>
    <row r="47" spans="1:4" ht="16" outlineLevel="1">
      <c r="A47" s="32" t="s">
        <v>43</v>
      </c>
      <c r="B47" s="43">
        <v>2040.0</v>
      </c>
      <c r="C47" s="44"/>
      <c r="D47" s="44"/>
    </row>
    <row r="48" spans="1:4" ht="16" outlineLevel="1">
      <c r="A48" s="32" t="s">
        <v>44</v>
      </c>
      <c r="B48" s="43">
        <v>1710.96</v>
      </c>
      <c r="C48" s="44"/>
      <c r="D48" s="44"/>
    </row>
    <row r="49" spans="1:4" ht="16" outlineLevel="1">
      <c r="A49" s="32" t="s">
        <v>45</v>
      </c>
      <c r="B49" s="43">
        <v>13542.26</v>
      </c>
      <c r="C49" s="43">
        <v>17683.96</v>
      </c>
      <c r="D49" s="43">
        <v>120.78</v>
      </c>
    </row>
    <row r="50" spans="1:4" ht="16" outlineLevel="2">
      <c r="A50" s="34" t="s">
        <v>46</v>
      </c>
      <c r="B50" s="44"/>
      <c r="C50" s="44"/>
      <c r="D50" s="43">
        <v>2180.09</v>
      </c>
    </row>
    <row r="51" spans="1:4" ht="16" outlineLevel="1">
      <c r="A51" s="35" t="s">
        <v>47</v>
      </c>
      <c r="B51" s="45">
        <f>B49+B50</f>
        <v>13542.26</v>
      </c>
      <c r="C51" s="45">
        <f>C49+C50</f>
        <v>17683.96</v>
      </c>
      <c r="D51" s="45">
        <f>D49+D50</f>
        <v>2300.8700000000003</v>
      </c>
    </row>
    <row r="52" spans="1:4" ht="16" outlineLevel="1">
      <c r="A52" s="32" t="s">
        <v>48</v>
      </c>
      <c r="B52" s="44"/>
      <c r="C52" s="44"/>
      <c r="D52" s="44"/>
    </row>
    <row r="53" spans="1:4" ht="16" outlineLevel="2">
      <c r="A53" s="34" t="s">
        <v>49</v>
      </c>
      <c r="B53" s="43">
        <v>20640.24</v>
      </c>
      <c r="C53" s="43">
        <v>1806.49</v>
      </c>
      <c r="D53" s="43">
        <v>3394.12</v>
      </c>
    </row>
    <row r="54" spans="1:4" ht="16" outlineLevel="2">
      <c r="A54" s="34" t="s">
        <v>50</v>
      </c>
      <c r="B54" s="43">
        <v>117.46</v>
      </c>
      <c r="C54" s="44"/>
      <c r="D54" s="44"/>
    </row>
    <row r="55" spans="1:4" ht="16" outlineLevel="2">
      <c r="A55" s="34" t="s">
        <v>51</v>
      </c>
      <c r="B55" s="44"/>
      <c r="C55" s="44"/>
      <c r="D55" s="43">
        <v>731.01</v>
      </c>
    </row>
    <row r="56" spans="1:4" ht="16" outlineLevel="2">
      <c r="A56" s="34" t="s">
        <v>52</v>
      </c>
      <c r="B56" s="44"/>
      <c r="C56" s="43">
        <v>39.98</v>
      </c>
      <c r="D56" s="43">
        <v>409.89</v>
      </c>
    </row>
    <row r="57" spans="1:4" ht="16" outlineLevel="1">
      <c r="A57" s="35" t="s">
        <v>53</v>
      </c>
      <c r="B57" s="45">
        <f>B52+B53+B54+B55+B56</f>
        <v>20757.7</v>
      </c>
      <c r="C57" s="45">
        <f>C52+C53+C54+C55+C56</f>
        <v>1846.47</v>
      </c>
      <c r="D57" s="45">
        <f>D52+D53+D54+D55+D56</f>
        <v>4535.02</v>
      </c>
    </row>
    <row r="58" spans="1:4" ht="16" outlineLevel="1">
      <c r="A58" s="32" t="s">
        <v>54</v>
      </c>
      <c r="B58" s="44"/>
      <c r="C58" s="44"/>
      <c r="D58" s="43">
        <v>450.0</v>
      </c>
    </row>
    <row r="59" spans="1:4" ht="16" outlineLevel="1">
      <c r="A59" s="32" t="s">
        <v>55</v>
      </c>
      <c r="B59" s="44"/>
      <c r="C59" s="44"/>
      <c r="D59" s="43">
        <v>580.0</v>
      </c>
    </row>
    <row r="60" spans="1:4" ht="16" outlineLevel="1">
      <c r="A60" s="32" t="s">
        <v>56</v>
      </c>
      <c r="B60" s="44"/>
      <c r="C60" s="44"/>
      <c r="D60" s="43">
        <v>5188.13</v>
      </c>
    </row>
    <row r="61" spans="1:4" ht="16" outlineLevel="2">
      <c r="A61" s="34" t="s">
        <v>57</v>
      </c>
      <c r="B61" s="44"/>
      <c r="C61" s="43">
        <v>8249.35</v>
      </c>
      <c r="D61" s="43">
        <v>3912.84</v>
      </c>
    </row>
    <row r="62" spans="1:4" ht="16" outlineLevel="1">
      <c r="A62" s="35" t="s">
        <v>58</v>
      </c>
      <c r="B62" s="46"/>
      <c r="C62" s="45">
        <f>C60+C61</f>
        <v>8249.35</v>
      </c>
      <c r="D62" s="45">
        <f>D60+D61</f>
        <v>9100.970000000001</v>
      </c>
    </row>
    <row r="63" spans="1:4" ht="16" outlineLevel="1">
      <c r="A63" s="32" t="s">
        <v>59</v>
      </c>
      <c r="B63" s="44"/>
      <c r="C63" s="44"/>
      <c r="D63" s="44"/>
    </row>
    <row r="64" spans="1:4" ht="16" outlineLevel="2">
      <c r="A64" s="34" t="s">
        <v>60</v>
      </c>
      <c r="B64" s="44"/>
      <c r="C64" s="44"/>
      <c r="D64" s="43">
        <v>105.46</v>
      </c>
    </row>
    <row r="65" spans="1:4" ht="16" outlineLevel="2">
      <c r="A65" s="34" t="s">
        <v>61</v>
      </c>
      <c r="B65" s="44"/>
      <c r="C65" s="44"/>
      <c r="D65" s="43">
        <v>240.13</v>
      </c>
    </row>
    <row r="66" spans="1:4" ht="16" outlineLevel="1">
      <c r="A66" s="35" t="s">
        <v>62</v>
      </c>
      <c r="B66" s="46"/>
      <c r="C66" s="46"/>
      <c r="D66" s="45">
        <f>D63+D64+D65</f>
        <v>345.59</v>
      </c>
    </row>
    <row r="67" spans="1:4" ht="16" outlineLevel="1">
      <c r="A67" s="32" t="s">
        <v>63</v>
      </c>
      <c r="B67" s="44"/>
      <c r="C67" s="43">
        <v>0</v>
      </c>
      <c r="D67" s="44"/>
    </row>
    <row r="68" spans="1:4" ht="16" outlineLevel="1">
      <c r="A68" s="32" t="s">
        <v>64</v>
      </c>
      <c r="B68" s="44"/>
      <c r="C68" s="43">
        <v>246.01</v>
      </c>
      <c r="D68" s="44"/>
    </row>
    <row r="69" spans="1:4" ht="16">
      <c r="A69" s="33" t="s">
        <v>65</v>
      </c>
      <c r="B69" s="45">
        <f>B20+B21+B27+B30+B31+B34+B40+B44+B45+B46+B47+B48+B51+B57+B58+B59+B62+B66+B67+B68</f>
        <v>81331.94</v>
      </c>
      <c r="C69" s="45">
        <f>C20+C21+C27+C30+C31+C34+C40+C44+C45+C46+C47+C48+C51+C57+C58+C59+C62+C66+C67+C68</f>
        <v>82446.51</v>
      </c>
      <c r="D69" s="45">
        <f>D20+D21+D27+D30+D31+D34+D40+D44+D45+D46+D47+D48+D51+D57+D58+D59+D62+D66+D67+D68</f>
        <v>71353.67</v>
      </c>
    </row>
    <row r="70" spans="1:4" ht="16">
      <c r="A70" s="33" t="s">
        <v>66</v>
      </c>
      <c r="B70" s="45">
        <v>4449.059999999998</v>
      </c>
      <c r="C70" s="45">
        <v>15724.229999999996</v>
      </c>
      <c r="D70" s="45">
        <v>-3763.6100000000006</v>
      </c>
    </row>
    <row r="71" spans="1:1" ht="16">
      <c r="A71" s="31" t="s">
        <v>67</v>
      </c>
    </row>
    <row r="72" spans="1:4" ht="16" outlineLevel="1">
      <c r="A72" s="32" t="s">
        <v>68</v>
      </c>
      <c r="B72" s="44"/>
      <c r="C72" s="44"/>
      <c r="D72" s="44"/>
    </row>
    <row r="73" spans="1:4" ht="16" outlineLevel="2">
      <c r="A73" s="34" t="s">
        <v>69</v>
      </c>
      <c r="B73" s="43">
        <v>400.0</v>
      </c>
      <c r="C73" s="44"/>
      <c r="D73" s="43">
        <v>5437.55</v>
      </c>
    </row>
    <row r="74" spans="1:4" ht="16" outlineLevel="1">
      <c r="A74" s="35" t="s">
        <v>70</v>
      </c>
      <c r="B74" s="45">
        <f>B72+B73</f>
        <v>400.0</v>
      </c>
      <c r="C74" s="46"/>
      <c r="D74" s="45">
        <f>D72+D73</f>
        <v>5437.55</v>
      </c>
    </row>
    <row r="75" spans="1:4" ht="16" outlineLevel="1">
      <c r="A75" s="32" t="s">
        <v>71</v>
      </c>
      <c r="B75" s="43">
        <v>74.84</v>
      </c>
      <c r="C75" s="44"/>
      <c r="D75" s="44"/>
    </row>
    <row r="76" spans="1:4" ht="16" outlineLevel="2">
      <c r="A76" s="34" t="s">
        <v>72</v>
      </c>
      <c r="B76" s="43">
        <v>699.86</v>
      </c>
      <c r="C76" s="43">
        <v>3159.71</v>
      </c>
      <c r="D76" s="43">
        <v>1582.17</v>
      </c>
    </row>
    <row r="77" spans="1:4" ht="16" outlineLevel="2">
      <c r="A77" s="34" t="s">
        <v>73</v>
      </c>
      <c r="B77" s="43">
        <v>2.0</v>
      </c>
      <c r="C77" s="43">
        <v>2443.49</v>
      </c>
      <c r="D77" s="43">
        <v>455.73</v>
      </c>
    </row>
    <row r="78" spans="1:4" ht="16" outlineLevel="2">
      <c r="A78" s="34" t="s">
        <v>74</v>
      </c>
      <c r="B78" s="44"/>
      <c r="C78" s="44"/>
      <c r="D78" s="43">
        <v>16.0</v>
      </c>
    </row>
    <row r="79" spans="1:4" ht="16" outlineLevel="2">
      <c r="A79" s="34" t="s">
        <v>75</v>
      </c>
      <c r="B79" s="44"/>
      <c r="C79" s="43">
        <v>440.0</v>
      </c>
      <c r="D79" s="43">
        <v>197.79</v>
      </c>
    </row>
    <row r="80" spans="1:4" ht="16" outlineLevel="1">
      <c r="A80" s="35" t="s">
        <v>76</v>
      </c>
      <c r="B80" s="45">
        <f>B75+B76+B77+B78+B79</f>
        <v>776.7</v>
      </c>
      <c r="C80" s="45">
        <f>C75+C76+C77+C78+C79</f>
        <v>6043.2</v>
      </c>
      <c r="D80" s="45">
        <f>D75+D76+D77+D78+D79</f>
        <v>2251.69</v>
      </c>
    </row>
    <row r="81" spans="1:4" ht="16" outlineLevel="1">
      <c r="A81" s="32" t="s">
        <v>77</v>
      </c>
      <c r="B81" s="44"/>
      <c r="C81" s="43">
        <v>133.28</v>
      </c>
      <c r="D81" s="44"/>
    </row>
    <row r="82" spans="1:4" ht="16">
      <c r="A82" s="33" t="s">
        <v>78</v>
      </c>
      <c r="B82" s="45">
        <f>B74+B80+B81</f>
        <v>1176.7</v>
      </c>
      <c r="C82" s="45">
        <f>C74+C80+C81</f>
        <v>6176.48</v>
      </c>
      <c r="D82" s="45">
        <f>D74+D80+D81</f>
        <v>7689.24</v>
      </c>
    </row>
    <row r="83" spans="1:4" ht="16">
      <c r="A83" s="33" t="s">
        <v>79</v>
      </c>
      <c r="B83" s="45">
        <v>-1176.7</v>
      </c>
      <c r="C83" s="45">
        <v>-6176.48</v>
      </c>
      <c r="D83" s="45">
        <v>-7689.24</v>
      </c>
    </row>
    <row r="84" spans="1:4" ht="16">
      <c r="A84" s="33" t="s">
        <v>80</v>
      </c>
      <c r="B84" s="45">
        <v>3272.359999999998</v>
      </c>
      <c r="C84" s="45">
        <v>9547.749999999996</v>
      </c>
      <c r="D84" s="45">
        <v>-11452.85</v>
      </c>
    </row>
    <row r="88" spans="1:1" ht="16">
      <c r="A88" s="48" t="s">
        <v>86</v>
      </c>
    </row>
  </sheetData>
  <mergeCells count="5">
    <mergeCell ref="A1:D1"/>
    <mergeCell ref="A2:D2"/>
    <mergeCell ref="A3:D3"/>
    <mergeCell ref="B5:D5"/>
    <mergeCell ref="A88:D8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