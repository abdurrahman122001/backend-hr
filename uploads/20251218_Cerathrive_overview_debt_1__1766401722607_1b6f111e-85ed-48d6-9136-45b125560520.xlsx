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lighttreeventures-my.sharepoint.com/personal/rebecca_lighttreeventures_com/Documents/Finance/"/>
    </mc:Choice>
  </mc:AlternateContent>
  <xr:revisionPtr revIDLastSave="1" documentId="8_{1DAA568F-8615-5349-A47D-A679A3F4F680}" xr6:coauthVersionLast="47" xr6:coauthVersionMax="47" xr10:uidLastSave="{CDFD846E-11B2-CF4A-A0BF-DDD36C8D0341}"/>
  <bookViews>
    <workbookView xWindow="57980" yWindow="-2400" windowWidth="22020" windowHeight="21600" xr2:uid="{76C9BEB9-FEBF-4CA9-B5C9-DF67B8C8B7A0}"/>
  </bookViews>
  <sheets>
    <sheet name="Cerathriv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4" l="1"/>
  <c r="C82" i="4"/>
  <c r="D45" i="4"/>
  <c r="F45" i="4"/>
  <c r="F46" i="4"/>
  <c r="D46" i="4"/>
  <c r="C79" i="4"/>
  <c r="C81" i="4"/>
  <c r="C80" i="4" l="1"/>
  <c r="C84" i="4" s="1"/>
</calcChain>
</file>

<file path=xl/sharedStrings.xml><?xml version="1.0" encoding="utf-8"?>
<sst xmlns="http://schemas.openxmlformats.org/spreadsheetml/2006/main" count="124" uniqueCount="89">
  <si>
    <t>INVOICES LIGHT TREE VENTURES PRIVATE LABELLING</t>
  </si>
  <si>
    <t>Invoice no.</t>
  </si>
  <si>
    <t>Reference</t>
  </si>
  <si>
    <t>Invoice Amount</t>
  </si>
  <si>
    <t>Open amount</t>
  </si>
  <si>
    <t>Invoice date</t>
  </si>
  <si>
    <t>Due Date</t>
  </si>
  <si>
    <t>Orlando Biohacking reimbursement Peter Forhan</t>
  </si>
  <si>
    <t>01-09-2023</t>
  </si>
  <si>
    <t>IC: Biohacker Summit 2024 Sponsorship</t>
  </si>
  <si>
    <t>16-02-2024</t>
  </si>
  <si>
    <t>IC | Participation Amazon movie by lollibrands.com</t>
  </si>
  <si>
    <t>23-05-2024</t>
  </si>
  <si>
    <t>IC | Participation The New Well show Paris 2024</t>
  </si>
  <si>
    <t>Zendesk platform subscription - Customer service - Monthly</t>
  </si>
  <si>
    <t>28-06-2024</t>
  </si>
  <si>
    <t>10-07-2024</t>
  </si>
  <si>
    <t>PO2023002/#7527 / 20% deposit</t>
  </si>
  <si>
    <t>26-07-2024</t>
  </si>
  <si>
    <t>TD-02  ZLD-60BG  Cerathrive system  consummer testing(CE/FCC/ROHS/UKCA/CA65) costs</t>
  </si>
  <si>
    <t>12-08-2024</t>
  </si>
  <si>
    <t>23-08-2024</t>
  </si>
  <si>
    <t>IC | Zendesk subscription | August 2024</t>
  </si>
  <si>
    <t>08-09-2024</t>
  </si>
  <si>
    <t>Travel case mold and tooling fee &amp; shipping fee</t>
  </si>
  <si>
    <t>15-10-2024</t>
  </si>
  <si>
    <t>Shipping COST for shelf top stand and free standing unit</t>
  </si>
  <si>
    <t>18-10-2024</t>
  </si>
  <si>
    <t>shipping cost for PO2023002/#7527| 380 units to Miami</t>
  </si>
  <si>
    <t>24-12-2024</t>
  </si>
  <si>
    <t>PO2023002/#7527 |40% net 60 days</t>
  </si>
  <si>
    <t>25-12-2024</t>
  </si>
  <si>
    <t>PO2023002/#7527 |40% balance net 90 days</t>
  </si>
  <si>
    <t>Shipping fee/2024</t>
  </si>
  <si>
    <t>03-01-2025</t>
  </si>
  <si>
    <t>Monthly App subscription Android/IOS </t>
  </si>
  <si>
    <t>22-01-2025</t>
  </si>
  <si>
    <t>Kayan Wellness festival costs by Kim</t>
  </si>
  <si>
    <t>04-02-2025</t>
  </si>
  <si>
    <t>10-02-2025</t>
  </si>
  <si>
    <t>CeraThrive system travel bag tooling cost</t>
  </si>
  <si>
    <t>28-02-2025</t>
  </si>
  <si>
    <t>14-03-2025</t>
  </si>
  <si>
    <t>Batch 003|LTVG-25-006|#8603 Cerathrive system 40% net 60 days</t>
  </si>
  <si>
    <t>01-04-2025</t>
  </si>
  <si>
    <t>Batch 003|LTVG-25-006|#8603 Cerathrive system 40% net 90 days</t>
  </si>
  <si>
    <t>15-04-2025</t>
  </si>
  <si>
    <t>15-05-2025</t>
  </si>
  <si>
    <t>Shipping cost| Batch 003|LTVG-25-006|#8603 Cerathrive system</t>
  </si>
  <si>
    <t>04-06-2025</t>
  </si>
  <si>
    <t>10-06-2025</t>
  </si>
  <si>
    <t>INVOICES LIGHT TREE VENTURES LIMITED</t>
  </si>
  <si>
    <t>2024-0078</t>
  </si>
  <si>
    <t>PO#2023007 70% before delivery</t>
  </si>
  <si>
    <t>2024-0085</t>
  </si>
  <si>
    <t>Shipping COST for #6449</t>
  </si>
  <si>
    <t>a lot of money</t>
  </si>
  <si>
    <t>INVOICES LIGHT TREE VENTURES USA LLC</t>
  </si>
  <si>
    <t>Shipping cost June 2024</t>
  </si>
  <si>
    <t>Shipping cost August 2024</t>
  </si>
  <si>
    <t>Shipping cost September 2024</t>
  </si>
  <si>
    <t>Shipping cost November 2024</t>
  </si>
  <si>
    <t>Shipping cost December 2024</t>
  </si>
  <si>
    <t>Shipping cost January 2025</t>
  </si>
  <si>
    <t>Shipping cost February 2025</t>
  </si>
  <si>
    <t>Shipping cost March 2025</t>
  </si>
  <si>
    <t>Shipping cost April 2025</t>
  </si>
  <si>
    <t>Shipping cost May 2025</t>
  </si>
  <si>
    <t>LIGHT TREE VENTURES PRIVATE LABELLING</t>
  </si>
  <si>
    <t>Date</t>
  </si>
  <si>
    <t>Name</t>
  </si>
  <si>
    <t>Amount</t>
  </si>
  <si>
    <t>Loan (to CeraThrive LLC)</t>
  </si>
  <si>
    <t>Rembursment, owner's contributions (CeraThrive Ltd)</t>
  </si>
  <si>
    <t>DEPOSITS  LIGHT TREE VENTURES USA LLC</t>
  </si>
  <si>
    <t>Deposit to CeraThrive LLC</t>
  </si>
  <si>
    <t xml:space="preserve">Total invoices Light Tree Ventures Private Labelling </t>
  </si>
  <si>
    <t>Total invoices Light Tree Ventures Limited</t>
  </si>
  <si>
    <t>Total invoices Light Tree Ventures USA LLC</t>
  </si>
  <si>
    <t>Total open to Light Tree Ventures Private Labelling</t>
  </si>
  <si>
    <t>Total deposits Light tree ventutes USA LLC</t>
  </si>
  <si>
    <t>Total</t>
  </si>
  <si>
    <t>IC | CES2024 costs - Cerathrive</t>
  </si>
  <si>
    <t>Shipping cost| batch 003|LTVG-25-006|#8603 Cerathrive system-160 units boxed and 160 unboxed</t>
  </si>
  <si>
    <t>Cerathrive system free sale certificate for Colombian</t>
  </si>
  <si>
    <t>Shipping cost| Batch 003|LTVG-25-006|#8603 Cerathrive system（till 5/Aug.)</t>
  </si>
  <si>
    <t>Shipping cost| Batch 003|LTVG-25-006|#8603 Cerathrive system 32 units to UK</t>
  </si>
  <si>
    <t>Shipping cost| Batch 003| LTVG-25-006|#8603 Cerathrive system 140 units</t>
  </si>
  <si>
    <t xml:space="preserve">Monthly App subscription Android/IOS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</si>
</sst>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5C]* #,##0.00_-;\-[$$-45C]* #,##0.00_-;_-[$$-45C]* &quot;-&quot;??_-;_-@_-"/>
    <numFmt numFmtId="165" formatCode="_-[$$-2009]* #,##0.00_-;\-[$$-2009]* #,##0.00_-;_-[$$-2009]* &quot;-&quot;??_-;_-@_-"/>
    <numFmt numFmtId="166" formatCode="_-[$$-C09]* #,##0.00_-;\-[$$-C09]* #,##0.00_-;_-[$$-C09]* &quot;-&quot;??_-;_-@_-"/>
    <numFmt numFmtId="167" formatCode="d/mm/yy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1"/>
    <xf numFmtId="0" fontId="4" fillId="0" borderId="0"/>
  </cellStyleXfs>
  <cellXfs count="3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6" fontId="0" fillId="0" borderId="0" xfId="0" applyNumberFormat="1"/>
    <xf numFmtId="14" fontId="0" fillId="0" borderId="0" xfId="0" applyNumberFormat="1"/>
    <xf numFmtId="165" fontId="1" fillId="0" borderId="0" xfId="0" applyNumberFormat="1" applyFont="1"/>
    <xf numFmtId="14" fontId="0" fillId="0" borderId="0" xfId="0" applyNumberFormat="1" applyAlignment="1">
      <alignment horizontal="right"/>
    </xf>
    <xf numFmtId="166" fontId="1" fillId="0" borderId="2" xfId="0" applyNumberFormat="1" applyFont="1" applyBorder="1"/>
    <xf numFmtId="167" fontId="0" fillId="0" borderId="0" xfId="0" applyNumberFormat="1" applyAlignment="1">
      <alignment horizontal="right"/>
    </xf>
    <xf numFmtId="167" fontId="0" fillId="0" borderId="0" xfId="0" applyNumberFormat="1"/>
    <xf numFmtId="167" fontId="1" fillId="0" borderId="0" xfId="0" applyNumberFormat="1" applyFont="1"/>
    <xf numFmtId="2" fontId="0" fillId="0" borderId="0" xfId="0" applyNumberFormat="1"/>
    <xf numFmtId="14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66" fontId="0" fillId="2" borderId="0" xfId="0" applyNumberFormat="1" applyFill="1"/>
    <xf numFmtId="0" fontId="7" fillId="0" borderId="0" xfId="0" applyFont="1"/>
    <xf numFmtId="165" fontId="7" fillId="0" borderId="0" xfId="0" applyNumberFormat="1" applyFont="1"/>
    <xf numFmtId="0" fontId="8" fillId="0" borderId="0" xfId="0" applyFont="1"/>
    <xf numFmtId="14" fontId="8" fillId="0" borderId="0" xfId="0" applyNumberFormat="1" applyFont="1"/>
    <xf numFmtId="164" fontId="8" fillId="0" borderId="0" xfId="0" applyNumberFormat="1" applyFont="1"/>
    <xf numFmtId="2" fontId="8" fillId="0" borderId="0" xfId="0" applyNumberFormat="1" applyFont="1"/>
    <xf numFmtId="0" fontId="9" fillId="0" borderId="0" xfId="0" applyFont="1" applyFill="1"/>
    <xf numFmtId="166" fontId="9" fillId="0" borderId="0" xfId="0" applyNumberFormat="1" applyFont="1" applyFill="1"/>
    <xf numFmtId="14" fontId="9" fillId="0" borderId="0" xfId="0" applyNumberFormat="1" applyFont="1" applyFill="1"/>
    <xf numFmtId="167" fontId="9" fillId="0" borderId="0" xfId="0" applyNumberFormat="1" applyFont="1" applyFill="1" applyAlignment="1">
      <alignment horizontal="right"/>
    </xf>
    <xf numFmtId="0" fontId="9" fillId="0" borderId="0" xfId="0" applyFont="1"/>
    <xf numFmtId="166" fontId="9" fillId="0" borderId="0" xfId="0" applyNumberFormat="1" applyFont="1"/>
    <xf numFmtId="14" fontId="9" fillId="0" borderId="0" xfId="0" applyNumberFormat="1" applyFont="1"/>
  </cellXfs>
  <cellStyles count="4">
    <cellStyle name="HeaderCellStyle" xfId="2" xr:uid="{4A9CDED1-662D-4C94-BD53-921A74F5439A}"/>
    <cellStyle name="Normal" xfId="0" builtinId="0"/>
    <cellStyle name="Standaard 2" xfId="1" xr:uid="{DB76394E-8D4E-4341-8B8D-3964BD25B1CD}"/>
    <cellStyle name="Standaard 3" xfId="3" xr:uid="{47FCBD41-F234-42BC-B380-822AD1BC3563}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1277-8A80-4D4F-B864-00908ECEBF36}">
  <dimension ref="A1:G84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3.6640625" customWidth="1"/>
    <col min="2" max="2" width="80.33203125" bestFit="1" customWidth="1"/>
    <col min="3" max="3" width="16.5" bestFit="1" customWidth="1"/>
    <col min="4" max="4" width="14.6640625" bestFit="1" customWidth="1"/>
    <col min="5" max="5" width="17" customWidth="1"/>
    <col min="6" max="6" width="11.5" customWidth="1"/>
  </cols>
  <sheetData>
    <row r="1" spans="1:6" x14ac:dyDescent="0.2">
      <c r="A1" s="1" t="s">
        <v>0</v>
      </c>
    </row>
    <row r="2" spans="1:6" x14ac:dyDescent="0.2">
      <c r="A2" s="1" t="s">
        <v>1</v>
      </c>
      <c r="B2" s="1" t="s">
        <v>2</v>
      </c>
      <c r="C2" s="6" t="s">
        <v>3</v>
      </c>
      <c r="D2" s="6" t="s">
        <v>4</v>
      </c>
      <c r="E2" s="1" t="s">
        <v>5</v>
      </c>
      <c r="F2" s="1" t="s">
        <v>6</v>
      </c>
    </row>
    <row r="3" spans="1:6" x14ac:dyDescent="0.2">
      <c r="A3">
        <v>20230138</v>
      </c>
      <c r="B3" t="s">
        <v>7</v>
      </c>
      <c r="C3" s="4">
        <v>2768.02</v>
      </c>
      <c r="D3" s="4">
        <v>2768.02</v>
      </c>
      <c r="E3" s="9" t="s">
        <v>8</v>
      </c>
      <c r="F3" s="9">
        <v>45177</v>
      </c>
    </row>
    <row r="4" spans="1:6" s="28" customFormat="1" x14ac:dyDescent="0.2">
      <c r="A4" s="24">
        <v>20240025</v>
      </c>
      <c r="B4" s="24" t="s">
        <v>82</v>
      </c>
      <c r="C4" s="25">
        <v>17059.43</v>
      </c>
      <c r="D4" s="25">
        <v>17059.43</v>
      </c>
      <c r="E4" s="26">
        <v>45312</v>
      </c>
      <c r="F4" s="27">
        <v>45319</v>
      </c>
    </row>
    <row r="5" spans="1:6" x14ac:dyDescent="0.2">
      <c r="A5">
        <v>20240055</v>
      </c>
      <c r="B5" t="s">
        <v>9</v>
      </c>
      <c r="C5" s="4">
        <v>7450</v>
      </c>
      <c r="D5" s="4">
        <v>7450</v>
      </c>
      <c r="E5" s="9" t="s">
        <v>10</v>
      </c>
      <c r="F5" s="9">
        <v>45345</v>
      </c>
    </row>
    <row r="6" spans="1:6" x14ac:dyDescent="0.2">
      <c r="A6">
        <v>20240159</v>
      </c>
      <c r="B6" t="s">
        <v>11</v>
      </c>
      <c r="C6" s="4">
        <v>11666.66</v>
      </c>
      <c r="D6" s="4">
        <v>11666.66</v>
      </c>
      <c r="E6" s="9" t="s">
        <v>12</v>
      </c>
      <c r="F6" s="9">
        <v>45442</v>
      </c>
    </row>
    <row r="7" spans="1:6" x14ac:dyDescent="0.2">
      <c r="A7">
        <v>20240162</v>
      </c>
      <c r="B7" t="s">
        <v>13</v>
      </c>
      <c r="C7" s="4">
        <v>3256.75</v>
      </c>
      <c r="D7" s="4">
        <v>3256.75</v>
      </c>
      <c r="E7" s="9" t="s">
        <v>12</v>
      </c>
      <c r="F7" s="9">
        <v>45442</v>
      </c>
    </row>
    <row r="8" spans="1:6" x14ac:dyDescent="0.2">
      <c r="A8">
        <v>20240260</v>
      </c>
      <c r="B8" t="s">
        <v>14</v>
      </c>
      <c r="C8" s="4">
        <v>373.98</v>
      </c>
      <c r="D8" s="4">
        <v>373.98</v>
      </c>
      <c r="E8" s="9" t="s">
        <v>15</v>
      </c>
      <c r="F8" s="9">
        <v>45478</v>
      </c>
    </row>
    <row r="9" spans="1:6" x14ac:dyDescent="0.2">
      <c r="A9">
        <v>20240286</v>
      </c>
      <c r="B9" t="s">
        <v>14</v>
      </c>
      <c r="C9" s="4">
        <v>124.66</v>
      </c>
      <c r="D9" s="4">
        <v>124.66</v>
      </c>
      <c r="E9" s="9" t="s">
        <v>16</v>
      </c>
      <c r="F9" s="9">
        <v>45490</v>
      </c>
    </row>
    <row r="10" spans="1:6" x14ac:dyDescent="0.2">
      <c r="A10">
        <v>20240321</v>
      </c>
      <c r="B10" t="s">
        <v>17</v>
      </c>
      <c r="C10" s="4">
        <v>12100</v>
      </c>
      <c r="D10" s="4">
        <v>12100</v>
      </c>
      <c r="E10" s="9" t="s">
        <v>18</v>
      </c>
      <c r="F10" s="9">
        <v>45506</v>
      </c>
    </row>
    <row r="11" spans="1:6" x14ac:dyDescent="0.2">
      <c r="A11">
        <v>20240333</v>
      </c>
      <c r="B11" t="s">
        <v>19</v>
      </c>
      <c r="C11" s="4">
        <v>12500</v>
      </c>
      <c r="D11" s="4">
        <v>12500</v>
      </c>
      <c r="E11" s="9" t="s">
        <v>20</v>
      </c>
      <c r="F11" s="9">
        <v>45523</v>
      </c>
    </row>
    <row r="12" spans="1:6" x14ac:dyDescent="0.2">
      <c r="A12">
        <v>20240367</v>
      </c>
      <c r="B12" t="s">
        <v>14</v>
      </c>
      <c r="C12" s="4">
        <v>124.66</v>
      </c>
      <c r="D12" s="4">
        <v>124.66</v>
      </c>
      <c r="E12" s="9" t="s">
        <v>21</v>
      </c>
      <c r="F12" s="9">
        <v>45534</v>
      </c>
    </row>
    <row r="13" spans="1:6" x14ac:dyDescent="0.2">
      <c r="A13">
        <v>20240396</v>
      </c>
      <c r="B13" t="s">
        <v>22</v>
      </c>
      <c r="C13" s="4">
        <v>165.28</v>
      </c>
      <c r="D13" s="4">
        <v>165.28</v>
      </c>
      <c r="E13" s="9" t="s">
        <v>23</v>
      </c>
      <c r="F13" s="9">
        <v>45550</v>
      </c>
    </row>
    <row r="14" spans="1:6" x14ac:dyDescent="0.2">
      <c r="A14">
        <v>20240451</v>
      </c>
      <c r="B14" t="s">
        <v>24</v>
      </c>
      <c r="C14" s="4">
        <v>1345</v>
      </c>
      <c r="D14" s="4">
        <v>1345</v>
      </c>
      <c r="E14" s="9" t="s">
        <v>25</v>
      </c>
      <c r="F14" s="9">
        <v>45587</v>
      </c>
    </row>
    <row r="15" spans="1:6" x14ac:dyDescent="0.2">
      <c r="A15">
        <v>20240465</v>
      </c>
      <c r="B15" t="s">
        <v>26</v>
      </c>
      <c r="C15" s="4">
        <v>140</v>
      </c>
      <c r="D15" s="4">
        <v>140</v>
      </c>
      <c r="E15" s="9" t="s">
        <v>27</v>
      </c>
      <c r="F15" s="9">
        <v>45590</v>
      </c>
    </row>
    <row r="16" spans="1:6" x14ac:dyDescent="0.2">
      <c r="A16">
        <v>20240657</v>
      </c>
      <c r="B16" t="s">
        <v>28</v>
      </c>
      <c r="C16" s="4">
        <v>5100</v>
      </c>
      <c r="D16" s="4">
        <v>5100</v>
      </c>
      <c r="E16" s="9" t="s">
        <v>29</v>
      </c>
      <c r="F16" s="9">
        <v>45657</v>
      </c>
    </row>
    <row r="17" spans="1:6" x14ac:dyDescent="0.2">
      <c r="A17">
        <v>20240659</v>
      </c>
      <c r="B17" t="s">
        <v>30</v>
      </c>
      <c r="C17" s="4">
        <v>24200</v>
      </c>
      <c r="D17" s="4">
        <v>24200</v>
      </c>
      <c r="E17" s="9" t="s">
        <v>31</v>
      </c>
      <c r="F17" s="9">
        <v>45680</v>
      </c>
    </row>
    <row r="18" spans="1:6" x14ac:dyDescent="0.2">
      <c r="A18">
        <v>20240660</v>
      </c>
      <c r="B18" t="s">
        <v>32</v>
      </c>
      <c r="C18" s="4">
        <v>24200</v>
      </c>
      <c r="D18" s="4">
        <v>24200</v>
      </c>
      <c r="E18" s="9" t="s">
        <v>31</v>
      </c>
      <c r="F18" s="9">
        <v>45681</v>
      </c>
    </row>
    <row r="19" spans="1:6" x14ac:dyDescent="0.2">
      <c r="A19">
        <v>20250021</v>
      </c>
      <c r="B19" t="s">
        <v>33</v>
      </c>
      <c r="C19" s="4">
        <v>500.5</v>
      </c>
      <c r="D19" s="4">
        <v>500.5</v>
      </c>
      <c r="E19" s="9" t="s">
        <v>34</v>
      </c>
      <c r="F19" s="9">
        <v>45674</v>
      </c>
    </row>
    <row r="20" spans="1:6" x14ac:dyDescent="0.2">
      <c r="A20">
        <v>20250072</v>
      </c>
      <c r="B20" t="s">
        <v>35</v>
      </c>
      <c r="C20" s="4">
        <v>299.99</v>
      </c>
      <c r="D20" s="4">
        <v>299.99</v>
      </c>
      <c r="E20" s="9" t="s">
        <v>36</v>
      </c>
      <c r="F20" s="9">
        <v>45686</v>
      </c>
    </row>
    <row r="21" spans="1:6" x14ac:dyDescent="0.2">
      <c r="A21">
        <v>20250085</v>
      </c>
      <c r="B21" t="s">
        <v>37</v>
      </c>
      <c r="C21" s="4">
        <v>1169.5899999999999</v>
      </c>
      <c r="D21" s="4">
        <v>1169.5899999999999</v>
      </c>
      <c r="E21" s="9" t="s">
        <v>38</v>
      </c>
      <c r="F21" s="9">
        <v>45699</v>
      </c>
    </row>
    <row r="22" spans="1:6" x14ac:dyDescent="0.2">
      <c r="A22">
        <v>20250101</v>
      </c>
      <c r="B22" t="s">
        <v>35</v>
      </c>
      <c r="C22" s="4">
        <v>299.99</v>
      </c>
      <c r="D22" s="4">
        <v>299.99</v>
      </c>
      <c r="E22" s="9" t="s">
        <v>39</v>
      </c>
      <c r="F22" s="9">
        <v>45705</v>
      </c>
    </row>
    <row r="23" spans="1:6" x14ac:dyDescent="0.2">
      <c r="A23">
        <v>20250134</v>
      </c>
      <c r="B23" t="s">
        <v>40</v>
      </c>
      <c r="C23" s="4">
        <v>800</v>
      </c>
      <c r="D23" s="4">
        <v>800</v>
      </c>
      <c r="E23" s="9" t="s">
        <v>41</v>
      </c>
      <c r="F23" s="9">
        <v>45723</v>
      </c>
    </row>
    <row r="24" spans="1:6" x14ac:dyDescent="0.2">
      <c r="A24">
        <v>20250174</v>
      </c>
      <c r="B24" t="s">
        <v>35</v>
      </c>
      <c r="C24" s="4">
        <v>299.99</v>
      </c>
      <c r="D24" s="4">
        <v>299.99</v>
      </c>
      <c r="E24" s="9" t="s">
        <v>42</v>
      </c>
      <c r="F24" s="9">
        <v>45737</v>
      </c>
    </row>
    <row r="25" spans="1:6" x14ac:dyDescent="0.2">
      <c r="A25">
        <v>20250207</v>
      </c>
      <c r="B25" t="s">
        <v>43</v>
      </c>
      <c r="C25" s="4">
        <v>25640</v>
      </c>
      <c r="D25" s="4">
        <v>25640</v>
      </c>
      <c r="E25" s="9" t="s">
        <v>44</v>
      </c>
      <c r="F25" s="9">
        <v>45777</v>
      </c>
    </row>
    <row r="26" spans="1:6" x14ac:dyDescent="0.2">
      <c r="A26">
        <v>20250208</v>
      </c>
      <c r="B26" t="s">
        <v>45</v>
      </c>
      <c r="C26" s="4">
        <v>25640</v>
      </c>
      <c r="D26" s="4">
        <v>25640</v>
      </c>
      <c r="E26" s="9" t="s">
        <v>44</v>
      </c>
      <c r="F26" s="9">
        <v>45778</v>
      </c>
    </row>
    <row r="27" spans="1:6" x14ac:dyDescent="0.2">
      <c r="A27">
        <v>20250236</v>
      </c>
      <c r="B27" t="s">
        <v>35</v>
      </c>
      <c r="C27" s="4">
        <v>299.99</v>
      </c>
      <c r="D27" s="4">
        <v>299.99</v>
      </c>
      <c r="E27" s="9" t="s">
        <v>46</v>
      </c>
      <c r="F27" s="9">
        <v>45769</v>
      </c>
    </row>
    <row r="28" spans="1:6" x14ac:dyDescent="0.2">
      <c r="A28">
        <v>20250319</v>
      </c>
      <c r="B28" t="s">
        <v>35</v>
      </c>
      <c r="C28" s="4">
        <v>299.99</v>
      </c>
      <c r="D28" s="4">
        <v>299.99</v>
      </c>
      <c r="E28" s="9" t="s">
        <v>47</v>
      </c>
      <c r="F28" s="9">
        <v>45799</v>
      </c>
    </row>
    <row r="29" spans="1:6" x14ac:dyDescent="0.2">
      <c r="A29">
        <v>20250361</v>
      </c>
      <c r="B29" t="s">
        <v>48</v>
      </c>
      <c r="C29" s="4">
        <v>5988</v>
      </c>
      <c r="D29" s="4">
        <v>5988</v>
      </c>
      <c r="E29" s="9" t="s">
        <v>49</v>
      </c>
      <c r="F29" s="9">
        <v>45819</v>
      </c>
    </row>
    <row r="30" spans="1:6" x14ac:dyDescent="0.2">
      <c r="A30">
        <v>20250381</v>
      </c>
      <c r="B30" t="s">
        <v>35</v>
      </c>
      <c r="C30" s="4">
        <v>299.99</v>
      </c>
      <c r="D30" s="4">
        <v>299.99</v>
      </c>
      <c r="E30" s="9" t="s">
        <v>50</v>
      </c>
      <c r="F30" s="9">
        <v>45825</v>
      </c>
    </row>
    <row r="31" spans="1:6" x14ac:dyDescent="0.2">
      <c r="A31" s="28">
        <v>20250445</v>
      </c>
      <c r="B31" s="28" t="s">
        <v>83</v>
      </c>
      <c r="C31" s="29">
        <v>2830</v>
      </c>
      <c r="D31" s="29">
        <v>2830</v>
      </c>
      <c r="E31" s="30">
        <v>45847</v>
      </c>
      <c r="F31" s="30">
        <v>45854</v>
      </c>
    </row>
    <row r="32" spans="1:6" x14ac:dyDescent="0.2">
      <c r="A32" s="28">
        <v>20250447</v>
      </c>
      <c r="B32" s="28" t="s">
        <v>84</v>
      </c>
      <c r="C32" s="29">
        <v>250</v>
      </c>
      <c r="D32" s="29">
        <v>250</v>
      </c>
      <c r="E32" s="30">
        <v>45847</v>
      </c>
      <c r="F32" s="30">
        <v>45854</v>
      </c>
    </row>
    <row r="33" spans="1:7" x14ac:dyDescent="0.2">
      <c r="A33" s="28">
        <v>20250461</v>
      </c>
      <c r="B33" s="28" t="s">
        <v>88</v>
      </c>
      <c r="C33" s="29">
        <v>299.99</v>
      </c>
      <c r="D33" s="29">
        <v>299.99</v>
      </c>
      <c r="E33" s="30">
        <v>45853</v>
      </c>
      <c r="F33" s="30">
        <v>45860</v>
      </c>
    </row>
    <row r="34" spans="1:7" x14ac:dyDescent="0.2">
      <c r="A34" s="28">
        <v>20250509</v>
      </c>
      <c r="B34" s="28" t="s">
        <v>85</v>
      </c>
      <c r="C34" s="29">
        <v>5658</v>
      </c>
      <c r="D34" s="29">
        <v>5658</v>
      </c>
      <c r="E34" s="30">
        <v>45874</v>
      </c>
      <c r="F34" s="30">
        <v>45881</v>
      </c>
    </row>
    <row r="35" spans="1:7" x14ac:dyDescent="0.2">
      <c r="A35" s="28">
        <v>20250528</v>
      </c>
      <c r="B35" s="28" t="s">
        <v>88</v>
      </c>
      <c r="C35" s="29">
        <v>299.99</v>
      </c>
      <c r="D35" s="29">
        <v>299.99</v>
      </c>
      <c r="E35" s="30">
        <v>45881</v>
      </c>
      <c r="F35" s="30">
        <v>45888</v>
      </c>
    </row>
    <row r="36" spans="1:7" x14ac:dyDescent="0.2">
      <c r="A36" s="28">
        <v>20250661</v>
      </c>
      <c r="B36" s="28" t="s">
        <v>88</v>
      </c>
      <c r="C36" s="29">
        <v>299.99</v>
      </c>
      <c r="D36" s="29">
        <v>299.99</v>
      </c>
      <c r="E36" s="30">
        <v>45932</v>
      </c>
      <c r="F36" s="30">
        <v>45939</v>
      </c>
    </row>
    <row r="37" spans="1:7" x14ac:dyDescent="0.2">
      <c r="A37" s="28">
        <v>20250674</v>
      </c>
      <c r="B37" s="28" t="s">
        <v>88</v>
      </c>
      <c r="C37" s="29">
        <v>299.99</v>
      </c>
      <c r="D37" s="29">
        <v>299.99</v>
      </c>
      <c r="E37" s="30">
        <v>45940</v>
      </c>
      <c r="F37" s="30">
        <v>45947</v>
      </c>
    </row>
    <row r="38" spans="1:7" x14ac:dyDescent="0.2">
      <c r="A38" s="28">
        <v>20250750</v>
      </c>
      <c r="B38" s="28" t="s">
        <v>86</v>
      </c>
      <c r="C38" s="29">
        <v>995</v>
      </c>
      <c r="D38" s="29">
        <v>995</v>
      </c>
      <c r="E38" s="30">
        <v>45960</v>
      </c>
      <c r="F38" s="30">
        <v>45967</v>
      </c>
    </row>
    <row r="39" spans="1:7" x14ac:dyDescent="0.2">
      <c r="A39" s="28">
        <v>20250795</v>
      </c>
      <c r="B39" s="28" t="s">
        <v>88</v>
      </c>
      <c r="C39" s="29">
        <v>299.99</v>
      </c>
      <c r="D39" s="29">
        <v>299.99</v>
      </c>
      <c r="E39" s="30">
        <v>45976</v>
      </c>
      <c r="F39" s="30">
        <v>45983</v>
      </c>
    </row>
    <row r="40" spans="1:7" x14ac:dyDescent="0.2">
      <c r="A40" s="28">
        <v>20250831</v>
      </c>
      <c r="B40" s="28" t="s">
        <v>87</v>
      </c>
      <c r="C40" s="29">
        <v>830</v>
      </c>
      <c r="D40" s="29">
        <v>830</v>
      </c>
      <c r="E40" s="30">
        <v>45989</v>
      </c>
      <c r="F40" s="30">
        <v>45996</v>
      </c>
    </row>
    <row r="41" spans="1:7" x14ac:dyDescent="0.2">
      <c r="A41" s="28">
        <v>20250901</v>
      </c>
      <c r="B41" s="28" t="s">
        <v>88</v>
      </c>
      <c r="C41" s="29">
        <v>299.99</v>
      </c>
      <c r="D41" s="29">
        <v>299.99</v>
      </c>
      <c r="E41" s="30">
        <v>46006</v>
      </c>
      <c r="F41" s="30">
        <v>46013</v>
      </c>
    </row>
    <row r="42" spans="1:7" x14ac:dyDescent="0.2">
      <c r="C42" s="4"/>
      <c r="D42" s="4"/>
      <c r="E42" s="9"/>
      <c r="F42" s="9"/>
    </row>
    <row r="43" spans="1:7" x14ac:dyDescent="0.2">
      <c r="A43" s="1" t="s">
        <v>51</v>
      </c>
    </row>
    <row r="44" spans="1:7" x14ac:dyDescent="0.2">
      <c r="A44" s="1" t="s">
        <v>1</v>
      </c>
      <c r="B44" s="1" t="s">
        <v>2</v>
      </c>
      <c r="C44" s="6" t="s">
        <v>3</v>
      </c>
      <c r="D44" s="6" t="s">
        <v>4</v>
      </c>
      <c r="E44" s="1" t="s">
        <v>5</v>
      </c>
      <c r="F44" s="1" t="s">
        <v>6</v>
      </c>
    </row>
    <row r="45" spans="1:7" x14ac:dyDescent="0.2">
      <c r="A45" t="s">
        <v>52</v>
      </c>
      <c r="B45" t="s">
        <v>53</v>
      </c>
      <c r="C45" s="4">
        <v>42350</v>
      </c>
      <c r="D45" s="17">
        <f>C45-885-2500-2500-2500-2500-2500-2500-2500</f>
        <v>23965</v>
      </c>
      <c r="E45" s="9">
        <v>45474</v>
      </c>
      <c r="F45" s="9">
        <f>E45+DAY(7)</f>
        <v>45481</v>
      </c>
    </row>
    <row r="46" spans="1:7" x14ac:dyDescent="0.2">
      <c r="A46" t="s">
        <v>54</v>
      </c>
      <c r="B46" t="s">
        <v>55</v>
      </c>
      <c r="C46" s="4">
        <v>13754</v>
      </c>
      <c r="D46" s="4">
        <f>C46</f>
        <v>13754</v>
      </c>
      <c r="E46" s="9">
        <v>45560</v>
      </c>
      <c r="F46" s="9">
        <f>E46+DAY(7)</f>
        <v>45567</v>
      </c>
      <c r="G46" s="16" t="s">
        <v>56</v>
      </c>
    </row>
    <row r="47" spans="1:7" x14ac:dyDescent="0.2">
      <c r="C47" s="4"/>
      <c r="D47" s="4"/>
      <c r="E47" s="7"/>
      <c r="F47" s="9"/>
    </row>
    <row r="48" spans="1:7" x14ac:dyDescent="0.2">
      <c r="F48" s="10"/>
    </row>
    <row r="49" spans="1:6" x14ac:dyDescent="0.2">
      <c r="A49" s="1" t="s">
        <v>57</v>
      </c>
      <c r="F49" s="10"/>
    </row>
    <row r="50" spans="1:6" x14ac:dyDescent="0.2">
      <c r="A50" s="1" t="s">
        <v>1</v>
      </c>
      <c r="B50" s="1" t="s">
        <v>2</v>
      </c>
      <c r="C50" s="6" t="s">
        <v>3</v>
      </c>
      <c r="D50" s="6" t="s">
        <v>4</v>
      </c>
      <c r="E50" s="1" t="s">
        <v>5</v>
      </c>
      <c r="F50" s="11" t="s">
        <v>6</v>
      </c>
    </row>
    <row r="51" spans="1:6" x14ac:dyDescent="0.2">
      <c r="A51">
        <v>1279</v>
      </c>
      <c r="B51" t="s">
        <v>58</v>
      </c>
      <c r="C51" s="3">
        <v>834.87</v>
      </c>
      <c r="D51" s="3">
        <v>834.87</v>
      </c>
      <c r="E51" s="5">
        <v>45726</v>
      </c>
      <c r="F51" s="10">
        <v>45756</v>
      </c>
    </row>
    <row r="52" spans="1:6" x14ac:dyDescent="0.2">
      <c r="A52">
        <v>1280</v>
      </c>
      <c r="B52" t="s">
        <v>59</v>
      </c>
      <c r="C52" s="3">
        <v>524.28</v>
      </c>
      <c r="D52" s="3">
        <v>524.28</v>
      </c>
      <c r="E52" s="5">
        <v>45726</v>
      </c>
      <c r="F52" s="10">
        <v>45756</v>
      </c>
    </row>
    <row r="53" spans="1:6" x14ac:dyDescent="0.2">
      <c r="A53">
        <v>1281</v>
      </c>
      <c r="B53" t="s">
        <v>60</v>
      </c>
      <c r="C53" s="3">
        <v>1167.53</v>
      </c>
      <c r="D53" s="3">
        <v>1167.53</v>
      </c>
      <c r="E53" s="5">
        <v>45726</v>
      </c>
      <c r="F53" s="10">
        <v>45756</v>
      </c>
    </row>
    <row r="54" spans="1:6" x14ac:dyDescent="0.2">
      <c r="A54">
        <v>1283</v>
      </c>
      <c r="B54" t="s">
        <v>61</v>
      </c>
      <c r="C54" s="3">
        <v>1551.52</v>
      </c>
      <c r="D54" s="3">
        <v>1551.52</v>
      </c>
      <c r="E54" s="5">
        <v>45726</v>
      </c>
      <c r="F54" s="10">
        <v>45756</v>
      </c>
    </row>
    <row r="55" spans="1:6" x14ac:dyDescent="0.2">
      <c r="A55">
        <v>1284</v>
      </c>
      <c r="B55" t="s">
        <v>62</v>
      </c>
      <c r="C55" s="3">
        <v>1256.8800000000001</v>
      </c>
      <c r="D55" s="3">
        <v>1256.8800000000001</v>
      </c>
      <c r="E55" s="5">
        <v>45726</v>
      </c>
      <c r="F55" s="10">
        <v>45756</v>
      </c>
    </row>
    <row r="56" spans="1:6" x14ac:dyDescent="0.2">
      <c r="A56">
        <v>1288</v>
      </c>
      <c r="B56" t="s">
        <v>63</v>
      </c>
      <c r="C56" s="3">
        <v>844.44</v>
      </c>
      <c r="D56" s="3">
        <v>844.44</v>
      </c>
      <c r="E56" s="5">
        <v>45726</v>
      </c>
      <c r="F56" s="10">
        <v>45756</v>
      </c>
    </row>
    <row r="57" spans="1:6" x14ac:dyDescent="0.2">
      <c r="A57">
        <v>1294</v>
      </c>
      <c r="B57" t="s">
        <v>64</v>
      </c>
      <c r="C57" s="3">
        <v>2132.7199999999998</v>
      </c>
      <c r="D57" s="3">
        <v>2132.7199999999998</v>
      </c>
      <c r="E57" s="5">
        <v>45726</v>
      </c>
      <c r="F57" s="10">
        <v>45756</v>
      </c>
    </row>
    <row r="58" spans="1:6" x14ac:dyDescent="0.2">
      <c r="A58">
        <v>1350</v>
      </c>
      <c r="B58" t="s">
        <v>65</v>
      </c>
      <c r="C58" s="3">
        <v>1281.8800000000001</v>
      </c>
      <c r="D58" s="3">
        <v>1281.8800000000001</v>
      </c>
      <c r="E58" s="5">
        <v>45818</v>
      </c>
      <c r="F58" s="10">
        <v>45848</v>
      </c>
    </row>
    <row r="59" spans="1:6" x14ac:dyDescent="0.2">
      <c r="A59">
        <v>1351</v>
      </c>
      <c r="B59" t="s">
        <v>66</v>
      </c>
      <c r="C59" s="3">
        <v>1356.83</v>
      </c>
      <c r="D59" s="3">
        <v>1356.83</v>
      </c>
      <c r="E59" s="5">
        <v>45818</v>
      </c>
      <c r="F59" s="10">
        <v>45848</v>
      </c>
    </row>
    <row r="60" spans="1:6" x14ac:dyDescent="0.2">
      <c r="A60">
        <v>1352</v>
      </c>
      <c r="B60" t="s">
        <v>67</v>
      </c>
      <c r="C60" s="3">
        <v>1207.8699999999999</v>
      </c>
      <c r="D60" s="3">
        <v>1207.8699999999999</v>
      </c>
      <c r="E60" s="5">
        <v>45818</v>
      </c>
      <c r="F60" s="10">
        <v>45848</v>
      </c>
    </row>
    <row r="61" spans="1:6" x14ac:dyDescent="0.2">
      <c r="C61" s="2"/>
      <c r="D61" s="2"/>
    </row>
    <row r="63" spans="1:6" x14ac:dyDescent="0.2">
      <c r="A63" s="1" t="s">
        <v>68</v>
      </c>
    </row>
    <row r="64" spans="1:6" x14ac:dyDescent="0.2">
      <c r="A64" s="1" t="s">
        <v>69</v>
      </c>
      <c r="B64" s="1" t="s">
        <v>70</v>
      </c>
      <c r="C64" s="6" t="s">
        <v>71</v>
      </c>
      <c r="D64" s="6"/>
      <c r="E64" s="1"/>
      <c r="F64" s="1"/>
    </row>
    <row r="65" spans="1:5" x14ac:dyDescent="0.2">
      <c r="A65" s="5">
        <v>45421</v>
      </c>
      <c r="B65" t="s">
        <v>72</v>
      </c>
      <c r="C65" s="3">
        <v>10000</v>
      </c>
      <c r="D65" s="3"/>
      <c r="E65" s="12"/>
    </row>
    <row r="66" spans="1:5" x14ac:dyDescent="0.2">
      <c r="A66" s="5">
        <v>45336</v>
      </c>
      <c r="B66" t="s">
        <v>72</v>
      </c>
      <c r="C66" s="3">
        <v>20000</v>
      </c>
      <c r="D66" s="3"/>
      <c r="E66" s="12"/>
    </row>
    <row r="67" spans="1:5" x14ac:dyDescent="0.2">
      <c r="A67" s="13">
        <v>45082</v>
      </c>
      <c r="B67" s="14" t="s">
        <v>73</v>
      </c>
      <c r="C67" s="15">
        <v>20000</v>
      </c>
    </row>
    <row r="68" spans="1:5" x14ac:dyDescent="0.2">
      <c r="A68" s="13">
        <v>45076</v>
      </c>
      <c r="B68" s="14" t="s">
        <v>73</v>
      </c>
      <c r="C68" s="15">
        <v>10000</v>
      </c>
    </row>
    <row r="69" spans="1:5" x14ac:dyDescent="0.2">
      <c r="A69" s="13"/>
      <c r="B69" s="14"/>
      <c r="C69" s="15"/>
    </row>
    <row r="70" spans="1:5" x14ac:dyDescent="0.2">
      <c r="A70" s="14"/>
      <c r="B70" s="14"/>
      <c r="C70" s="14"/>
    </row>
    <row r="71" spans="1:5" s="18" customFormat="1" x14ac:dyDescent="0.2">
      <c r="A71" s="18" t="s">
        <v>74</v>
      </c>
    </row>
    <row r="72" spans="1:5" s="20" customFormat="1" x14ac:dyDescent="0.2">
      <c r="A72" s="18" t="s">
        <v>69</v>
      </c>
      <c r="B72" s="18" t="s">
        <v>70</v>
      </c>
      <c r="C72" s="19" t="s">
        <v>71</v>
      </c>
    </row>
    <row r="73" spans="1:5" s="20" customFormat="1" x14ac:dyDescent="0.2">
      <c r="A73" s="21">
        <v>44968</v>
      </c>
      <c r="B73" s="20" t="s">
        <v>75</v>
      </c>
      <c r="C73" s="22">
        <v>10669.78</v>
      </c>
      <c r="D73" s="22"/>
      <c r="E73" s="23"/>
    </row>
    <row r="74" spans="1:5" s="20" customFormat="1" x14ac:dyDescent="0.2">
      <c r="A74" s="21">
        <v>45440</v>
      </c>
      <c r="B74" s="20" t="s">
        <v>75</v>
      </c>
      <c r="C74" s="22">
        <v>3000</v>
      </c>
    </row>
    <row r="75" spans="1:5" s="20" customFormat="1" x14ac:dyDescent="0.2">
      <c r="A75" s="21">
        <v>45486</v>
      </c>
      <c r="B75" s="20" t="s">
        <v>75</v>
      </c>
      <c r="C75" s="22">
        <v>2000</v>
      </c>
    </row>
    <row r="76" spans="1:5" s="20" customFormat="1" x14ac:dyDescent="0.2">
      <c r="A76" s="21">
        <v>45557</v>
      </c>
      <c r="B76" s="20" t="s">
        <v>75</v>
      </c>
      <c r="C76" s="22">
        <v>1000</v>
      </c>
    </row>
    <row r="77" spans="1:5" x14ac:dyDescent="0.2">
      <c r="A77" s="5"/>
      <c r="C77" s="3"/>
    </row>
    <row r="79" spans="1:5" x14ac:dyDescent="0.2">
      <c r="B79" t="s">
        <v>76</v>
      </c>
      <c r="C79" s="4">
        <f>SUM(D3:D30)</f>
        <v>184112.46999999997</v>
      </c>
    </row>
    <row r="80" spans="1:5" x14ac:dyDescent="0.2">
      <c r="B80" t="s">
        <v>77</v>
      </c>
      <c r="C80" s="4">
        <f>SUM(D45:D46)</f>
        <v>37719</v>
      </c>
    </row>
    <row r="81" spans="2:3" x14ac:dyDescent="0.2">
      <c r="B81" t="s">
        <v>78</v>
      </c>
      <c r="C81" s="3">
        <f>SUM(D51:D60)</f>
        <v>12158.82</v>
      </c>
    </row>
    <row r="82" spans="2:3" x14ac:dyDescent="0.2">
      <c r="B82" t="s">
        <v>79</v>
      </c>
      <c r="C82" s="3">
        <f>SUM(C65:C68)</f>
        <v>60000</v>
      </c>
    </row>
    <row r="83" spans="2:3" x14ac:dyDescent="0.2">
      <c r="B83" t="s">
        <v>80</v>
      </c>
      <c r="C83" s="3">
        <f>SUM(C73:C76)</f>
        <v>16669.78</v>
      </c>
    </row>
    <row r="84" spans="2:3" ht="16" thickBot="1" x14ac:dyDescent="0.25">
      <c r="B84" s="1" t="s">
        <v>81</v>
      </c>
      <c r="C84" s="8">
        <f>SUM(C79:C83)</f>
        <v>310660.06999999995</v>
      </c>
    </row>
  </sheetData>
  <sortState xmlns:xlrd2="http://schemas.microsoft.com/office/spreadsheetml/2017/richdata2" ref="A45:F46">
    <sortCondition ref="A45:A4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64853F2743E44AEBD210B8C69D7EA" ma:contentTypeVersion="18" ma:contentTypeDescription="Create a new document." ma:contentTypeScope="" ma:versionID="3a6b56389d409a57ce4b43c886c5f74e">
  <xsd:schema xmlns:xsd="http://www.w3.org/2001/XMLSchema" xmlns:xs="http://www.w3.org/2001/XMLSchema" xmlns:p="http://schemas.microsoft.com/office/2006/metadata/properties" xmlns:ns2="dafa1526-7fd6-4cae-8465-e92667769f05" xmlns:ns3="452345ac-aaa7-4599-91cd-bb6d0f83b0be" targetNamespace="http://schemas.microsoft.com/office/2006/metadata/properties" ma:root="true" ma:fieldsID="e147bd8230584e8aa767b5a753b09586" ns2:_="" ns3:_="">
    <xsd:import namespace="dafa1526-7fd6-4cae-8465-e92667769f05"/>
    <xsd:import namespace="452345ac-aaa7-4599-91cd-bb6d0f83b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a1526-7fd6-4cae-8465-e92667769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1b6f73-af5d-4888-b961-157fd695ff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345ac-aaa7-4599-91cd-bb6d0f83b0b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5662b9e-be51-4aa3-9c86-3664f2f83900}" ma:internalName="TaxCatchAll" ma:showField="CatchAllData" ma:web="452345ac-aaa7-4599-91cd-bb6d0f83b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2345ac-aaa7-4599-91cd-bb6d0f83b0be" xsi:nil="true"/>
    <lcf76f155ced4ddcb4097134ff3c332f xmlns="dafa1526-7fd6-4cae-8465-e92667769f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4DC16-1256-4359-8EB2-13C4B56A3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fa1526-7fd6-4cae-8465-e92667769f05"/>
    <ds:schemaRef ds:uri="452345ac-aaa7-4599-91cd-bb6d0f83b0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9669EC-7675-42C5-B495-14E69D3A24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3D2BA5-CA43-4D6C-9632-4EFDD6C1E818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452345ac-aaa7-4599-91cd-bb6d0f83b0be"/>
    <ds:schemaRef ds:uri="dafa1526-7fd6-4cae-8465-e92667769f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Cerathrive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Femke Lips</dc:creator>
  <cp:keywords/>
  <dc:description/>
  <cp:lastModifiedBy>Rebecca Hegeman</cp:lastModifiedBy>
  <cp:revision/>
  <dcterms:created xsi:type="dcterms:W3CDTF">2025-06-16T07:50:03Z</dcterms:created>
  <dcterms:modified xsi:type="dcterms:W3CDTF">2025-12-18T15:43:43Z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0x010100CE264853F2743E44AEBD210B8C69D7EA</vt:lpwstr>
  </property>
  <property fmtid="{D5CDD505-2E9C-101B-9397-08002B2CF9AE}" pid="3" name="MediaServiceImageTags">
    <vt:lpwstr/>
  </property>
</Properties>
</file>