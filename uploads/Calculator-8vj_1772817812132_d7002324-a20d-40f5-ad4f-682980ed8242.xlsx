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Sheet1!$B$18:$E$34</definedName>
  </definedNames>
  <calcPr/>
</workbook>
</file>

<file path=xl/sharedStrings.xml><?xml version="1.0" encoding="utf-8"?>
<sst xmlns="http://schemas.openxmlformats.org/spreadsheetml/2006/main" count="29" uniqueCount="29">
  <si>
    <t>Per hour rate</t>
  </si>
  <si>
    <t>Minutes in an hour</t>
  </si>
  <si>
    <t>Minutes Per Job</t>
  </si>
  <si>
    <t>Number of Transactions</t>
  </si>
  <si>
    <t>Number of Payrolls</t>
  </si>
  <si>
    <t>Number of Contractors</t>
  </si>
  <si>
    <t>Number of Invoices</t>
  </si>
  <si>
    <t>Number of Bills</t>
  </si>
  <si>
    <t>Accounts Payable Management</t>
  </si>
  <si>
    <t>Receivable Management</t>
  </si>
  <si>
    <t>Services</t>
  </si>
  <si>
    <t>Minutes Required</t>
  </si>
  <si>
    <t>Active/Inactive</t>
  </si>
  <si>
    <t>Total</t>
  </si>
  <si>
    <t>Monthly Bookkeeping</t>
  </si>
  <si>
    <t>Monthly Payroll Management</t>
  </si>
  <si>
    <t>Monthly Contractor Payments Management</t>
  </si>
  <si>
    <t>Monthly Invoicing</t>
  </si>
  <si>
    <t>Monthly Billing</t>
  </si>
  <si>
    <t>Monthly Accounts Payable Management</t>
  </si>
  <si>
    <t>Monthly Receivable Management</t>
  </si>
  <si>
    <t>Monthly Profit and Loss Reporting</t>
  </si>
  <si>
    <t>Monthly Budgeting</t>
  </si>
  <si>
    <t>Monthly Cash Flow Forecasting</t>
  </si>
  <si>
    <t>Monthly Financial Performance Analysis</t>
  </si>
  <si>
    <t>VAT Filling</t>
  </si>
  <si>
    <t>Strategic Financial Advice</t>
  </si>
  <si>
    <t>HMRC and Companies House Joint Filing (for UK)</t>
  </si>
  <si>
    <t>Chart of Accounts Setup (For New Books)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</si>
</sst>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1" xfId="0" applyFont="1" applyNumberForma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1" xfId="0" applyBorder="1" applyFont="1" applyNumberFormat="1"/>
    <xf borderId="5" fillId="0" fontId="1" numFmtId="0" xfId="0" applyAlignment="1" applyBorder="1" applyFont="1">
      <alignment readingOrder="0"/>
    </xf>
    <xf borderId="6" fillId="0" fontId="1" numFmtId="1" xfId="0" applyBorder="1" applyFont="1" applyNumberFormat="1"/>
    <xf borderId="0" fillId="0" fontId="1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18.0"/>
    <col customWidth="1" min="4" max="4" width="17.25"/>
  </cols>
  <sheetData>
    <row r="2">
      <c r="B2" s="1" t="s">
        <v>0</v>
      </c>
      <c r="C2" s="2">
        <v>20.0</v>
      </c>
    </row>
    <row r="3">
      <c r="B3" s="1" t="s">
        <v>1</v>
      </c>
      <c r="C3" s="1">
        <v>60.0</v>
      </c>
    </row>
    <row r="5">
      <c r="D5" s="3" t="s">
        <v>2</v>
      </c>
    </row>
    <row r="6">
      <c r="B6" s="4" t="s">
        <v>3</v>
      </c>
      <c r="C6" s="5">
        <v>126.0</v>
      </c>
      <c r="D6" s="1">
        <v>1.0</v>
      </c>
      <c r="E6" s="6">
        <f t="shared" ref="E6:E12" si="1">C6*D6</f>
        <v>126</v>
      </c>
      <c r="F6" s="6">
        <f t="shared" ref="F6:F12" si="2">E6/$C$3</f>
        <v>2.1</v>
      </c>
    </row>
    <row r="7">
      <c r="B7" s="7" t="s">
        <v>4</v>
      </c>
      <c r="C7" s="8">
        <v>2.0</v>
      </c>
      <c r="D7" s="1">
        <v>60.0</v>
      </c>
      <c r="E7" s="6">
        <f t="shared" si="1"/>
        <v>120</v>
      </c>
      <c r="F7" s="6">
        <f t="shared" si="2"/>
        <v>2</v>
      </c>
    </row>
    <row r="8">
      <c r="B8" s="7" t="s">
        <v>5</v>
      </c>
      <c r="C8" s="8">
        <v>1.0</v>
      </c>
      <c r="D8" s="1">
        <v>30.0</v>
      </c>
      <c r="E8" s="6">
        <f t="shared" si="1"/>
        <v>30</v>
      </c>
      <c r="F8" s="6">
        <f t="shared" si="2"/>
        <v>0.5</v>
      </c>
    </row>
    <row r="9">
      <c r="B9" s="7" t="s">
        <v>6</v>
      </c>
      <c r="C9" s="9">
        <f>114/12</f>
        <v>9.5</v>
      </c>
      <c r="D9" s="1">
        <v>10.0</v>
      </c>
      <c r="E9" s="6">
        <f t="shared" si="1"/>
        <v>95</v>
      </c>
      <c r="F9" s="6">
        <f t="shared" si="2"/>
        <v>1.583333333</v>
      </c>
    </row>
    <row r="10">
      <c r="B10" s="10" t="s">
        <v>7</v>
      </c>
      <c r="C10" s="11">
        <f>249/12</f>
        <v>20.75</v>
      </c>
      <c r="D10" s="1">
        <v>10.0</v>
      </c>
      <c r="E10" s="6">
        <f t="shared" si="1"/>
        <v>207.5</v>
      </c>
      <c r="F10" s="6">
        <f t="shared" si="2"/>
        <v>3.458333333</v>
      </c>
    </row>
    <row r="11">
      <c r="B11" s="1" t="s">
        <v>8</v>
      </c>
      <c r="C11" s="12">
        <f>C10</f>
        <v>20.75</v>
      </c>
      <c r="D11" s="1">
        <v>15.0</v>
      </c>
      <c r="E11" s="6">
        <f t="shared" si="1"/>
        <v>311.25</v>
      </c>
      <c r="F11" s="6">
        <f t="shared" si="2"/>
        <v>5.1875</v>
      </c>
    </row>
    <row r="12">
      <c r="B12" s="1" t="s">
        <v>9</v>
      </c>
      <c r="C12" s="6">
        <f>C9</f>
        <v>9.5</v>
      </c>
      <c r="D12" s="1">
        <v>15.0</v>
      </c>
      <c r="E12" s="6">
        <f t="shared" si="1"/>
        <v>142.5</v>
      </c>
      <c r="F12" s="6">
        <f t="shared" si="2"/>
        <v>2.375</v>
      </c>
    </row>
    <row r="14">
      <c r="F14" s="6">
        <f>SUM(F6:F12)</f>
        <v>17.20416667</v>
      </c>
    </row>
    <row r="17">
      <c r="B17" s="13" t="s">
        <v>10</v>
      </c>
    </row>
    <row r="18">
      <c r="C18" s="3" t="s">
        <v>11</v>
      </c>
      <c r="D18" s="3" t="s">
        <v>12</v>
      </c>
      <c r="E18" s="3" t="s">
        <v>13</v>
      </c>
    </row>
    <row r="20">
      <c r="B20" s="1" t="s">
        <v>14</v>
      </c>
      <c r="C20" s="14">
        <f t="shared" ref="C20:C26" si="3">C6*D6/$C$3*$C$2</f>
        <v>42</v>
      </c>
      <c r="D20" s="1">
        <v>1.0</v>
      </c>
      <c r="E20" s="14">
        <f t="shared" ref="E20:E34" si="4">C20*D20</f>
        <v>42</v>
      </c>
    </row>
    <row r="21">
      <c r="B21" s="1" t="s">
        <v>15</v>
      </c>
      <c r="C21" s="14">
        <f t="shared" si="3"/>
        <v>40</v>
      </c>
      <c r="D21" s="1">
        <v>1.0</v>
      </c>
      <c r="E21" s="14">
        <f t="shared" si="4"/>
        <v>40</v>
      </c>
    </row>
    <row r="22">
      <c r="B22" s="1" t="s">
        <v>16</v>
      </c>
      <c r="C22" s="14">
        <f t="shared" si="3"/>
        <v>10</v>
      </c>
      <c r="D22" s="1">
        <v>0.0</v>
      </c>
      <c r="E22" s="14">
        <f t="shared" si="4"/>
        <v>0</v>
      </c>
    </row>
    <row r="23">
      <c r="B23" s="1" t="s">
        <v>17</v>
      </c>
      <c r="C23" s="14">
        <f t="shared" si="3"/>
        <v>31.66666667</v>
      </c>
      <c r="D23" s="1">
        <v>1.0</v>
      </c>
      <c r="E23" s="14">
        <f t="shared" si="4"/>
        <v>31.66666667</v>
      </c>
    </row>
    <row r="24">
      <c r="B24" s="1" t="s">
        <v>18</v>
      </c>
      <c r="C24" s="14">
        <f t="shared" si="3"/>
        <v>69.16666667</v>
      </c>
      <c r="D24" s="1">
        <v>1.0</v>
      </c>
      <c r="E24" s="14">
        <f t="shared" si="4"/>
        <v>69.16666667</v>
      </c>
    </row>
    <row r="25">
      <c r="B25" s="1" t="s">
        <v>19</v>
      </c>
      <c r="C25" s="14">
        <f t="shared" si="3"/>
        <v>103.75</v>
      </c>
      <c r="D25" s="1">
        <v>0.0</v>
      </c>
      <c r="E25" s="14">
        <f t="shared" si="4"/>
        <v>0</v>
      </c>
    </row>
    <row r="26">
      <c r="B26" s="1" t="s">
        <v>20</v>
      </c>
      <c r="C26" s="14">
        <f t="shared" si="3"/>
        <v>47.5</v>
      </c>
      <c r="D26" s="1">
        <v>1.0</v>
      </c>
      <c r="E26" s="14">
        <f t="shared" si="4"/>
        <v>47.5</v>
      </c>
    </row>
    <row r="27">
      <c r="B27" s="1" t="s">
        <v>21</v>
      </c>
      <c r="C27" s="14">
        <v>50.0</v>
      </c>
      <c r="D27" s="1">
        <v>1.0</v>
      </c>
      <c r="E27" s="14">
        <f t="shared" si="4"/>
        <v>50</v>
      </c>
    </row>
    <row r="28">
      <c r="B28" s="1" t="s">
        <v>22</v>
      </c>
      <c r="C28" s="14">
        <v>50.0</v>
      </c>
      <c r="D28" s="1">
        <v>0.0</v>
      </c>
      <c r="E28" s="14">
        <f t="shared" si="4"/>
        <v>0</v>
      </c>
    </row>
    <row r="29">
      <c r="B29" s="1" t="s">
        <v>23</v>
      </c>
      <c r="C29" s="14">
        <v>50.0</v>
      </c>
      <c r="D29" s="1">
        <v>0.0</v>
      </c>
      <c r="E29" s="14">
        <f t="shared" si="4"/>
        <v>0</v>
      </c>
    </row>
    <row r="30">
      <c r="B30" s="1" t="s">
        <v>24</v>
      </c>
      <c r="C30" s="14">
        <v>50.0</v>
      </c>
      <c r="D30" s="1">
        <v>0.0</v>
      </c>
      <c r="E30" s="14">
        <f t="shared" si="4"/>
        <v>0</v>
      </c>
    </row>
    <row r="31">
      <c r="B31" s="1" t="s">
        <v>25</v>
      </c>
      <c r="C31" s="14">
        <f>50/3</f>
        <v>16.66666667</v>
      </c>
      <c r="D31" s="1">
        <v>1.0</v>
      </c>
      <c r="E31" s="14">
        <f t="shared" si="4"/>
        <v>16.66666667</v>
      </c>
    </row>
    <row r="32">
      <c r="B32" s="1" t="s">
        <v>26</v>
      </c>
      <c r="C32" s="2">
        <v>50.0</v>
      </c>
      <c r="D32" s="1">
        <v>2.0</v>
      </c>
      <c r="E32" s="14">
        <f t="shared" si="4"/>
        <v>100</v>
      </c>
    </row>
    <row r="33">
      <c r="B33" s="1" t="s">
        <v>27</v>
      </c>
      <c r="C33" s="14">
        <v>300.0</v>
      </c>
      <c r="D33" s="1">
        <v>0.0</v>
      </c>
      <c r="E33" s="14">
        <f t="shared" si="4"/>
        <v>0</v>
      </c>
    </row>
    <row r="34">
      <c r="B34" s="1" t="s">
        <v>28</v>
      </c>
      <c r="C34" s="14">
        <v>300.0</v>
      </c>
      <c r="D34" s="1">
        <v>0.0</v>
      </c>
      <c r="E34" s="14">
        <f t="shared" si="4"/>
        <v>0</v>
      </c>
    </row>
    <row r="36">
      <c r="E36" s="14">
        <f>SUM(E20:E34)</f>
        <v>397</v>
      </c>
    </row>
  </sheetData>
  <autoFilter ref="$B$18:$E$34"/>
  <drawing r:id="rId1"/>
</worksheet>
</file>