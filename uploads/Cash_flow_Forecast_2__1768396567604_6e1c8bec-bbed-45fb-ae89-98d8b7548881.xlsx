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laination" sheetId="1" r:id="rId4"/>
    <sheet state="visible" name="P&amp;L Cash Flow Annual" sheetId="2" r:id="rId5"/>
    <sheet state="visible" name="P&amp;L 2023" sheetId="3" r:id="rId6"/>
    <sheet state="visible" name="P&amp;L 2024" sheetId="4" r:id="rId7"/>
    <sheet state="visible" name="P&amp;L 2025" sheetId="5" r:id="rId8"/>
    <sheet state="visible" name="Forecast P&amp;L 2026 1" sheetId="6" r:id="rId9"/>
    <sheet state="visible" name="Forecast P&amp;L 2026 2" sheetId="7" r:id="rId10"/>
    <sheet state="visible" name="Forecast P&amp;L 2026 3" sheetId="8" r:id="rId11"/>
    <sheet state="visible" name="Forecast P&amp;L 2027 1" sheetId="9" r:id="rId12"/>
    <sheet state="visible" name="Forecast P&amp;L 2027 2" sheetId="10" r:id="rId13"/>
    <sheet state="visible" name="Forecast P&amp;L 2027 3" sheetId="11" r:id="rId14"/>
    <sheet state="hidden" name="P&amp;L Cash Flow Monthly" sheetId="12" r:id="rId15"/>
    <sheet state="hidden" name="Rev 2" sheetId="13" r:id="rId16"/>
    <sheet state="hidden" name="COGS" sheetId="14" r:id="rId17"/>
    <sheet state="hidden" name="Expenses 2" sheetId="15" r:id="rId18"/>
    <sheet state="hidden" name="Overhead" sheetId="16" r:id="rId19"/>
    <sheet state="hidden" name="Taxes" sheetId="17" r:id="rId20"/>
    <sheet state="hidden" name="Graph" sheetId="18" r:id="rId21"/>
    <sheet state="hidden" name="Facility cost" sheetId="19" r:id="rId22"/>
    <sheet state="hidden" name="Notes" sheetId="20" r:id="rId23"/>
    <sheet state="hidden" name="Up front costs" sheetId="21" r:id="rId24"/>
    <sheet state="hidden" name="CAC" sheetId="22" r:id="rId25"/>
    <sheet state="hidden" name="Capital" sheetId="23" r:id="rId26"/>
    <sheet state="hidden" name="Cash flow" sheetId="24" r:id="rId27"/>
    <sheet state="hidden" name="Brand Ambassisdors " sheetId="25" r:id="rId28"/>
    <sheet state="hidden" name="Cost of bar break down" sheetId="26" r:id="rId29"/>
    <sheet state="hidden" name="EOS" sheetId="27" r:id="rId30"/>
    <sheet state="hidden" name="Marketing expenses " sheetId="28" r:id="rId31"/>
  </sheets>
  <definedNames/>
  <calcPr/>
  <extLst>
    <ext uri="GoogleSheetsCustomDataVersion2">
      <go:sheetsCustomData xmlns:go="http://customooxmlschemas.google.com/" r:id="rId32" roundtripDataChecksum="TwUJ8iDxkinqAqF8TIsVPke0Cy424xGD1sEadSY2JT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G46">
      <text>
        <t xml:space="preserve">======
ID#AAAAfr8fSBs
Matthew DeMaio    (2022-09-07 14:26:20)
Second Manufacturing facility increase capacity</t>
      </text>
    </comment>
    <comment authorId="0" ref="BG61">
      <text>
        <t xml:space="preserve">======
ID#AAAAfr8fSBU
Matthew DeMaio    (2022-09-07 14:06:38)
Second manufacturing facility Construction</t>
      </text>
    </comment>
    <comment authorId="0" ref="AM46">
      <text>
        <t xml:space="preserve">======
ID#AAAAfr8fSBM
Matthew DeMaio    (2022-09-07 14:00:21)
Increase rent for New facility</t>
      </text>
    </comment>
  </commentList>
  <extLst>
    <ext uri="GoogleSheetsCustomDataVersion2">
      <go:sheetsCustomData xmlns:go="http://customooxmlschemas.google.com/" r:id="rId1" roundtripDataSignature="AMtx7mgLhydkRr13GX7IcUl8lDsEXHgbDQ=="/>
    </ext>
  </extLst>
</comments>
</file>

<file path=xl/sharedStrings.xml><?xml version="1.0" encoding="utf-8"?>
<sst xmlns="http://schemas.openxmlformats.org/spreadsheetml/2006/main" count="1366" uniqueCount="603">
  <si>
    <t>Basis for the cashforecast are as follows</t>
  </si>
  <si>
    <t>Customer Acquisition Cost (CAC)</t>
  </si>
  <si>
    <t>Current: $22.00</t>
  </si>
  <si>
    <t>Refer to Task B file</t>
  </si>
  <si>
    <t>Projections: The company conservatively models CAC increasing as spend scales ($30 in Yr 1, up to $45 by Yr 4).</t>
  </si>
  <si>
    <t xml:space="preserve">Refer to C1 investor presentation file  </t>
  </si>
  <si>
    <t>Revenue &amp; Profitability</t>
  </si>
  <si>
    <t>First-Year Revenue: Customers are expected to spend $100 in their first year.</t>
  </si>
  <si>
    <t>Gross Margin: The current retail price is $4.80 per bar with a production cost of $2.20, representing a healthy margin that is expected to improve with co-packer efficiencies.</t>
  </si>
  <si>
    <t>Lifetime Value (LTV): The current LTV is calculated over a 3-year period of sales.</t>
  </si>
  <si>
    <t>Marketing Strategy &amp; Efficiency</t>
  </si>
  <si>
    <t>Efficiency: Marketing spend is targeted to average 15–16% of total revenue.</t>
  </si>
  <si>
    <t>Channels: Primary focus is on paid digital (Meta, Google, TikTok) and a robust influencer network of over 120 ambassadors with a reach of 1.5M followers.</t>
  </si>
  <si>
    <t>Retention: 40% of customers currently re-order within 30 days, which significantly drives down the long-term effective CAC.</t>
  </si>
  <si>
    <t>Payback Period Calculation</t>
  </si>
  <si>
    <t>To show the lender the "ability to repay," you can highlight that the cost to acquire a customer ($22) is recovered multiple times over within the first year of that customer's relationship, as they generate approximately $60.00 in gross profit ($100 revenue × 60% margin) in Year 1 alone.</t>
  </si>
  <si>
    <t>To be "lender-ready," it is crucial to show how your raw data translates into the metrics provided in the summary. Below are the detailed calculation steps based on the current performance and future projections found in the C1 Investor Presentation.</t>
  </si>
  <si>
    <t>Formula: Total Marketing Spend / Total New Customers</t>
  </si>
  <si>
    <t>Current Data: The presentation explicitly states the current CAC is $22.00.</t>
  </si>
  <si>
    <t>Projected Step-by-Step: For Year 1 projections, the total marketing spend for new customers is $450,000, and the expected number of new customers is 15,000.</t>
  </si>
  <si>
    <t>$450,000 ÷ 15,000 = $30.00 CAC (Projected Year 1).</t>
  </si>
  <si>
    <t>Average First-Year Revenue Per Customer</t>
  </si>
  <si>
    <t>Formula: Total Revenue from New Customers / Number of New Customers</t>
  </si>
  <si>
    <t>Projected Step-by-Step: The presentation projects Year 1 customer spend to be $100.00.</t>
  </si>
  <si>
    <t>This is expected to grow as expected and reaching a projected $150.00 by Year 2.</t>
  </si>
  <si>
    <t>Gross Margin Percentage</t>
  </si>
  <si>
    <t>Formula: ((Revenue - Cost of Goods Sold) / Revenue) x 100</t>
  </si>
  <si>
    <t>Calculation</t>
  </si>
  <si>
    <t>Current Product Level: * Retail Price: $4.80.</t>
  </si>
  <si>
    <t>Cost to Produce (COGS): $2.20.</t>
  </si>
  <si>
    <t>Calculation: (($4.80 - $2.20) / $4.80) = 54.2%.</t>
  </si>
  <si>
    <t>Company-Wide Projection: The financial table shows a current company COGS of 40% (meaning a 60% margin).</t>
  </si>
  <si>
    <t>Target: Management expects margins to stabilize at ~67.50% from Year 2 onward due to co-packer efficiencies.</t>
  </si>
  <si>
    <t>Approximate Payback Period</t>
  </si>
  <si>
    <t>Formula: CAC / (First-Year Revenue x Gross Margin %)</t>
  </si>
  <si>
    <t>Calculation:</t>
  </si>
  <si>
    <t>CAC: $22.00.</t>
  </si>
  <si>
    <t>First-Year Gross Profit: $100.00 Revenue x 60% Margin = $60.00 profit.</t>
  </si>
  <si>
    <t>Calculation: $22.00 / $60.00 = 0.36 years.</t>
  </si>
  <si>
    <t>Result: ~4.3 months to earn back the cost of acquiring the customer.</t>
  </si>
  <si>
    <t>Note: Using the conservative Year 1 projection ($30 CAC / $60 Profit), the payback is 6 months.</t>
  </si>
  <si>
    <t>Historical Return on Ad Spend (ROAS)</t>
  </si>
  <si>
    <t>Formula: Total Revenue / Total Ad Spend (often represented as LTV / CAC for long-term health)</t>
  </si>
  <si>
    <t>Current Metric: The presentation highlights a 9.6x Return on Ad Spend.</t>
  </si>
  <si>
    <t>Calculation Context: This is derived from the Lifetime Value (LTV) over 3 years of sales being 9.6 times the Customer Acquisition Cost ($212 LTV / $22 CAC).</t>
  </si>
  <si>
    <t>SBA Loan Service Assumptions</t>
  </si>
  <si>
    <t>Based on your parameters, a $200,000 loan at 11% interest over 10 years results in:</t>
  </si>
  <si>
    <t>Monthly Payment: ~$2,755</t>
  </si>
  <si>
    <t>Annual Debt Service: ~$33,060</t>
  </si>
  <si>
    <t>Year 1</t>
  </si>
  <si>
    <t>Metric</t>
  </si>
  <si>
    <t>Conservative Case</t>
  </si>
  <si>
    <t>Base Case</t>
  </si>
  <si>
    <t>Optimistic Case</t>
  </si>
  <si>
    <t>Revenue (A)</t>
  </si>
  <si>
    <t>Avg Rev 2025 rounded off</t>
  </si>
  <si>
    <t>COGS % (B)</t>
  </si>
  <si>
    <t>COGS $ (C)</t>
  </si>
  <si>
    <t>(A × B)</t>
  </si>
  <si>
    <t>Marketing % (D)</t>
  </si>
  <si>
    <t>Marketing $ (E)</t>
  </si>
  <si>
    <t>(A × D)</t>
  </si>
  <si>
    <t>OpEx/G&amp;A (F)</t>
  </si>
  <si>
    <t>Avg OPEX and rounded off</t>
  </si>
  <si>
    <t>Total Exp (G)</t>
  </si>
  <si>
    <t>(C + E + F)</t>
  </si>
  <si>
    <t>Net Cash Flow</t>
  </si>
  <si>
    <t>(A - G)</t>
  </si>
  <si>
    <t>Year 2</t>
  </si>
  <si>
    <t xml:space="preserve">Revenue groth rate has been taken from </t>
  </si>
  <si>
    <t>Expected Growth: The global snack bar market was valued at $28 billion in 2024 and is projected to grow at a 4.47% CAGR during the forecast period (2025-2033)1</t>
  </si>
  <si>
    <t>Growth rate</t>
  </si>
  <si>
    <t>Scenario</t>
  </si>
  <si>
    <t>Growth Rate (r)</t>
  </si>
  <si>
    <t>Current market</t>
  </si>
  <si>
    <t>Projected</t>
  </si>
  <si>
    <t>Per year</t>
  </si>
  <si>
    <t>Per month</t>
  </si>
  <si>
    <t>Conservative (Bear)</t>
  </si>
  <si>
    <t>$34.97$ Billion</t>
  </si>
  <si>
    <t>Base Case (Industry)</t>
  </si>
  <si>
    <t>$41.50$ Billion</t>
  </si>
  <si>
    <t>Optimistic (Bull)</t>
  </si>
  <si>
    <t>$49.35$ Billion</t>
  </si>
  <si>
    <t>The Debt Service Coverage Ratio (DSCR) Calculation</t>
  </si>
  <si>
    <t>This is the single most important number for your lender. It proves you can afford the loan.</t>
  </si>
  <si>
    <t>Formula: Monthly Net Cash Flow ÷ Monthly SBA Payment ($2,755)</t>
  </si>
  <si>
    <t>Conservative Year 1: $8,500 ÷ $2,755 = 3.08x.</t>
  </si>
  <si>
    <t>Base Year 1: $15,000 ÷ $2,755 = 5.44x.</t>
  </si>
  <si>
    <t>Base Year 2: $30,600 ÷ $2,755 = 11.10x.</t>
  </si>
  <si>
    <t>Year</t>
  </si>
  <si>
    <t>Marketing &amp; Ad Spend (A)</t>
  </si>
  <si>
    <t>Total Revenue (B)</t>
  </si>
  <si>
    <t>Est. Customers (B ÷ $85 AOV)</t>
  </si>
  <si>
    <t>Calculated CAC</t>
  </si>
  <si>
    <t>The Current Baseline (2025 YTD average): ~$109,100/month.</t>
  </si>
  <si>
    <t>Case</t>
  </si>
  <si>
    <t>Revenue Calculation (The "Base")</t>
  </si>
  <si>
    <t>Projected Revenue/Month</t>
  </si>
  <si>
    <t>Conservative</t>
  </si>
  <si>
    <t>Baseline ($109k) + (SBA Ad Spend (200,000*55%) × 1.0x ROAS)</t>
  </si>
  <si>
    <t>Baseline ($109k) + (SBA Ad Spend (200,000*55%) × 3.5x ROAS)</t>
  </si>
  <si>
    <t>Optimistic</t>
  </si>
  <si>
    <t>Baseline ($109k) + (SBA Ad Spend (200,000*55%) × 6.5x ROAS)</t>
  </si>
  <si>
    <t>CONDITION ONE NUTRITION</t>
  </si>
  <si>
    <t>Cash Flow Annual</t>
  </si>
  <si>
    <t>Actual</t>
  </si>
  <si>
    <t>Sales</t>
  </si>
  <si>
    <t xml:space="preserve">  Gyms</t>
  </si>
  <si>
    <t xml:space="preserve">  E-commerce</t>
  </si>
  <si>
    <t>Cost of goods sold</t>
  </si>
  <si>
    <t>Gross margin</t>
  </si>
  <si>
    <t>Expenses (see tab for detail)</t>
  </si>
  <si>
    <t xml:space="preserve">Net income/EBITDA </t>
  </si>
  <si>
    <t>Adjustments to convert net income to cash flow</t>
  </si>
  <si>
    <t xml:space="preserve">  COGS</t>
  </si>
  <si>
    <t xml:space="preserve">  Payment for COGS</t>
  </si>
  <si>
    <t xml:space="preserve">  Marketing ad spend</t>
  </si>
  <si>
    <t xml:space="preserve">  Payment for Marketing ad spend</t>
  </si>
  <si>
    <t xml:space="preserve">  Initial up front costs</t>
  </si>
  <si>
    <t xml:space="preserve">  Tax distribution</t>
  </si>
  <si>
    <t xml:space="preserve">  Capital investment </t>
  </si>
  <si>
    <t>Annual cash flow</t>
  </si>
  <si>
    <t>Cash beginning of year</t>
  </si>
  <si>
    <t>Cash end of year</t>
  </si>
  <si>
    <t>Gross Profit %</t>
  </si>
  <si>
    <t>Net Profit %</t>
  </si>
  <si>
    <t>Profit and Loss</t>
  </si>
  <si>
    <t>January-December, 2023</t>
  </si>
  <si>
    <t>Distribution account</t>
  </si>
  <si>
    <t>January 2023</t>
  </si>
  <si>
    <t>February 2023</t>
  </si>
  <si>
    <t>March 2023</t>
  </si>
  <si>
    <t>April 2023</t>
  </si>
  <si>
    <t>May 2023</t>
  </si>
  <si>
    <t>June 2023</t>
  </si>
  <si>
    <t>July 2023</t>
  </si>
  <si>
    <t>August 2023</t>
  </si>
  <si>
    <t>September 2023</t>
  </si>
  <si>
    <t>October 2023</t>
  </si>
  <si>
    <t>November 2023</t>
  </si>
  <si>
    <t>December 2023</t>
  </si>
  <si>
    <t>Total</t>
  </si>
  <si>
    <t>Income</t>
  </si>
  <si>
    <t>ECOMM Shopify Sales</t>
  </si>
  <si>
    <t>ECOMM Stripe Sales</t>
  </si>
  <si>
    <t>Sales of Product Income</t>
  </si>
  <si>
    <t>Total for Income</t>
  </si>
  <si>
    <t>Cost of Goods Sold</t>
  </si>
  <si>
    <t>Cost of labor - COS</t>
  </si>
  <si>
    <t>Freight &amp; Delivery</t>
  </si>
  <si>
    <t>Total for Cost of Goods Sold</t>
  </si>
  <si>
    <t>Gross Profit</t>
  </si>
  <si>
    <t>Expenses</t>
  </si>
  <si>
    <t>Advertising</t>
  </si>
  <si>
    <t>Automobile Expense</t>
  </si>
  <si>
    <t>Gas</t>
  </si>
  <si>
    <t>Parking</t>
  </si>
  <si>
    <t>Total for Automobile Expense</t>
  </si>
  <si>
    <t>Bank Fees</t>
  </si>
  <si>
    <t>Computer Expense</t>
  </si>
  <si>
    <t>Entertainment</t>
  </si>
  <si>
    <t>Insurance</t>
  </si>
  <si>
    <t>Legal Fees</t>
  </si>
  <si>
    <t>Lodging</t>
  </si>
  <si>
    <t>Meals</t>
  </si>
  <si>
    <t>Membership</t>
  </si>
  <si>
    <t>Merchant Fees</t>
  </si>
  <si>
    <t>Miscellaneous</t>
  </si>
  <si>
    <t>Office Expense</t>
  </si>
  <si>
    <t>Other General &amp; Administrative</t>
  </si>
  <si>
    <t>Outside Consultants</t>
  </si>
  <si>
    <t>Postage</t>
  </si>
  <si>
    <t>Purchases</t>
  </si>
  <si>
    <t>Rent</t>
  </si>
  <si>
    <t>Travel</t>
  </si>
  <si>
    <t>Uber</t>
  </si>
  <si>
    <t>Total for Expenses</t>
  </si>
  <si>
    <t>Net Operating Income</t>
  </si>
  <si>
    <t>Net Other Income</t>
  </si>
  <si>
    <t>Net Income</t>
  </si>
  <si>
    <t>Cash Basis Friday, December 19, 2025 11:49 PM GMT+05:00</t>
  </si>
  <si>
    <t>January-December, 2024</t>
  </si>
  <si>
    <t>January 2024</t>
  </si>
  <si>
    <t>February 2024</t>
  </si>
  <si>
    <t>March 2024</t>
  </si>
  <si>
    <t>April 2024</t>
  </si>
  <si>
    <t>May 2024</t>
  </si>
  <si>
    <t>June 2024</t>
  </si>
  <si>
    <t>July 2024</t>
  </si>
  <si>
    <t>August 2024</t>
  </si>
  <si>
    <t>September 2024</t>
  </si>
  <si>
    <t>October 2024</t>
  </si>
  <si>
    <t>November 2024</t>
  </si>
  <si>
    <t>December 2024</t>
  </si>
  <si>
    <t>ECOMM PayPal Sales</t>
  </si>
  <si>
    <t>Supplies</t>
  </si>
  <si>
    <t>Interest Expense</t>
  </si>
  <si>
    <t>Medical</t>
  </si>
  <si>
    <t>Prime Video</t>
  </si>
  <si>
    <t>Software &amp; Apps</t>
  </si>
  <si>
    <t>Uncategorized Expenses</t>
  </si>
  <si>
    <t>Other Expenses</t>
  </si>
  <si>
    <t>Other Miscellaneous Expense</t>
  </si>
  <si>
    <t>Total for Other Expenses</t>
  </si>
  <si>
    <t>Cash Basis Friday, December 19, 2025 11:48 PM GMT+05:00</t>
  </si>
  <si>
    <t>January-September, 2025</t>
  </si>
  <si>
    <t>January 2025</t>
  </si>
  <si>
    <t>February 2025</t>
  </si>
  <si>
    <t>March 2025</t>
  </si>
  <si>
    <t>April 2025</t>
  </si>
  <si>
    <t>May 2025</t>
  </si>
  <si>
    <t>June 2025</t>
  </si>
  <si>
    <t>July 2025</t>
  </si>
  <si>
    <t>August 2025</t>
  </si>
  <si>
    <t>September 2025</t>
  </si>
  <si>
    <t>other income</t>
  </si>
  <si>
    <t>Sales Tax</t>
  </si>
  <si>
    <t>Charitable &amp; Donations</t>
  </si>
  <si>
    <t>Dues &amp; Subscriptions</t>
  </si>
  <si>
    <t>Marketing</t>
  </si>
  <si>
    <t>Stripe Fee</t>
  </si>
  <si>
    <t>Total for Merchant Fees</t>
  </si>
  <si>
    <t>Paypal fees</t>
  </si>
  <si>
    <t>Professional Fees</t>
  </si>
  <si>
    <t>Cash Basis Saturday, December 20, 2025 12:10 AM GMT+05:00</t>
  </si>
  <si>
    <t>Projection for the year 2026 (Conservative)</t>
  </si>
  <si>
    <t>-</t>
  </si>
  <si>
    <t>Projection for the year 2026 (Base)</t>
  </si>
  <si>
    <t>Projection for the year 2026 (Optimistic)</t>
  </si>
  <si>
    <t>Projection for the year 2027 (Conservative)</t>
  </si>
  <si>
    <t>Projection for the year 2027 (Base)</t>
  </si>
  <si>
    <t>Projection for the year 2027 (Optimistic)</t>
  </si>
  <si>
    <t>Condition One</t>
  </si>
  <si>
    <t>Cash Flow Monthly</t>
  </si>
  <si>
    <t xml:space="preserve"> </t>
  </si>
  <si>
    <t>Note 1</t>
  </si>
  <si>
    <t>Monthly cash flow</t>
  </si>
  <si>
    <t>Cash beginning of month</t>
  </si>
  <si>
    <t>Cash end of month</t>
  </si>
  <si>
    <t>I</t>
  </si>
  <si>
    <t>March</t>
  </si>
  <si>
    <t>April</t>
  </si>
  <si>
    <t>May</t>
  </si>
  <si>
    <t>June</t>
  </si>
  <si>
    <t>July</t>
  </si>
  <si>
    <t>August</t>
  </si>
  <si>
    <t>Spetember</t>
  </si>
  <si>
    <t>October</t>
  </si>
  <si>
    <t xml:space="preserve">Novemeber </t>
  </si>
  <si>
    <t xml:space="preserve">December </t>
  </si>
  <si>
    <t>January</t>
  </si>
  <si>
    <t>February</t>
  </si>
  <si>
    <t>Effect on gross sales by increasing sales over base  selling procew per bar</t>
  </si>
  <si>
    <t>E-Commerce Revenue</t>
  </si>
  <si>
    <t>Number of customers added</t>
  </si>
  <si>
    <t>Ecommcer rev</t>
  </si>
  <si>
    <t>Bars sold</t>
  </si>
  <si>
    <t xml:space="preserve">Total Bars Sold per month </t>
  </si>
  <si>
    <t xml:space="preserve">Total Gross Revenue per month. </t>
  </si>
  <si>
    <t>% sales</t>
  </si>
  <si>
    <t>Base selling price</t>
  </si>
  <si>
    <t>Higher selling price</t>
  </si>
  <si>
    <t>New weighted average selling price</t>
  </si>
  <si>
    <t>Adjustment to selling proce</t>
  </si>
  <si>
    <t xml:space="preserve"> ECOMM Figures </t>
  </si>
  <si>
    <t>Price per bar</t>
  </si>
  <si>
    <t xml:space="preserve">Bars per $1 of sales </t>
  </si>
  <si>
    <t xml:space="preserve">GYMs figures </t>
  </si>
  <si>
    <t>Whole sale price per bar</t>
  </si>
  <si>
    <t xml:space="preserve">Bars per minum order </t>
  </si>
  <si>
    <t xml:space="preserve">Minum gym order value </t>
  </si>
  <si>
    <t xml:space="preserve">Cost to Acquire customer </t>
  </si>
  <si>
    <t>Cost to aquire gym</t>
  </si>
  <si>
    <t xml:space="preserve">Total gyms </t>
  </si>
  <si>
    <t>Gym attrition rate per year</t>
  </si>
  <si>
    <t>New customers</t>
  </si>
  <si>
    <t>Total active customers</t>
  </si>
  <si>
    <t># years</t>
  </si>
  <si>
    <t>% new customers</t>
  </si>
  <si>
    <t># months</t>
  </si>
  <si>
    <t>Total LT value</t>
  </si>
  <si>
    <t>Monthly LT value</t>
  </si>
  <si>
    <t>wieghted average</t>
  </si>
  <si>
    <t>Values for each new customers</t>
  </si>
  <si>
    <t>First months sales new customers</t>
  </si>
  <si>
    <t>Social media account manager</t>
  </si>
  <si>
    <t>From</t>
  </si>
  <si>
    <t>Returning Customers</t>
  </si>
  <si>
    <t>Sales for customers &lt; 1 year customers</t>
  </si>
  <si>
    <t>Sales for customers &gt; 1 &lt; 2 year customers</t>
  </si>
  <si>
    <t>Sales for customers &gt; 2 &lt;3 year customers</t>
  </si>
  <si>
    <t>Sales for customers &gt; 3 &lt;4 year customers</t>
  </si>
  <si>
    <t>Total sales</t>
  </si>
  <si>
    <t>COGS Projections</t>
  </si>
  <si>
    <t>Labor &amp; Fullment cost per bar</t>
  </si>
  <si>
    <t>Ingredients and packging cost per bar</t>
  </si>
  <si>
    <t>total cost per bar</t>
  </si>
  <si>
    <t>For sales in month</t>
  </si>
  <si>
    <t>Produced third month prior to sale</t>
  </si>
  <si>
    <t>Ingredietns Purchase three months forward</t>
  </si>
  <si>
    <t># bars produced</t>
  </si>
  <si>
    <t>Additional production month 1</t>
  </si>
  <si>
    <t># bars to be sold months 1 and 2</t>
  </si>
  <si>
    <t>Cost per bar</t>
  </si>
  <si>
    <t>Cost of inventory on hand</t>
  </si>
  <si>
    <t>Additional production costs for first</t>
  </si>
  <si>
    <t xml:space="preserve">  two months sales</t>
  </si>
  <si>
    <t xml:space="preserve">economy of scale </t>
  </si>
  <si>
    <t>%30 reduction</t>
  </si>
  <si>
    <t>Bar cost break down per bar</t>
  </si>
  <si>
    <t>ingredients</t>
  </si>
  <si>
    <t xml:space="preserve">flow wrap and label </t>
  </si>
  <si>
    <t xml:space="preserve">display box </t>
  </si>
  <si>
    <t>Shipper box</t>
  </si>
  <si>
    <t>total material cost per bar</t>
  </si>
  <si>
    <t>Expense Projections</t>
  </si>
  <si>
    <t>Expense</t>
  </si>
  <si>
    <t>Salaries</t>
  </si>
  <si>
    <t xml:space="preserve">  Executive</t>
  </si>
  <si>
    <t xml:space="preserve">    COO</t>
  </si>
  <si>
    <t xml:space="preserve">    CFO</t>
  </si>
  <si>
    <t xml:space="preserve">  Sales</t>
  </si>
  <si>
    <t xml:space="preserve">    Director</t>
  </si>
  <si>
    <t xml:space="preserve">    Sales representive </t>
  </si>
  <si>
    <t xml:space="preserve">  Marketing</t>
  </si>
  <si>
    <t xml:space="preserve">    SEO manager</t>
  </si>
  <si>
    <t xml:space="preserve">    Social media manager</t>
  </si>
  <si>
    <t xml:space="preserve">    Tier 1 customer support</t>
  </si>
  <si>
    <t>Marketing expenses</t>
  </si>
  <si>
    <t xml:space="preserve">  Content creation</t>
  </si>
  <si>
    <t xml:space="preserve">  Marketing at spend</t>
  </si>
  <si>
    <t xml:space="preserve">    Instagram</t>
  </si>
  <si>
    <t xml:space="preserve">    Facebook</t>
  </si>
  <si>
    <t xml:space="preserve">    TikTok</t>
  </si>
  <si>
    <t xml:space="preserve">    Brand Ambassador</t>
  </si>
  <si>
    <t xml:space="preserve">  Operations</t>
  </si>
  <si>
    <t xml:space="preserve">    Website maintenance and design</t>
  </si>
  <si>
    <t xml:space="preserve">    Website hosting</t>
  </si>
  <si>
    <t xml:space="preserve">    Website utility and operations platform</t>
  </si>
  <si>
    <t xml:space="preserve">  Marketing events and sponsorships</t>
  </si>
  <si>
    <t xml:space="preserve">  Public relations</t>
  </si>
  <si>
    <t>Selling and G&amp;A expenses</t>
  </si>
  <si>
    <t xml:space="preserve">  Salaries</t>
  </si>
  <si>
    <t xml:space="preserve">    Officer, administration and customer service</t>
  </si>
  <si>
    <t xml:space="preserve">  Credit card processing fees</t>
  </si>
  <si>
    <t xml:space="preserve">  Warehousing</t>
  </si>
  <si>
    <t xml:space="preserve">  E-commerce platform (ie Shopify)</t>
  </si>
  <si>
    <t xml:space="preserve">  Rent</t>
  </si>
  <si>
    <t xml:space="preserve">  Utilities</t>
  </si>
  <si>
    <t xml:space="preserve">  Internet, cable and phone</t>
  </si>
  <si>
    <t xml:space="preserve">  Computer</t>
  </si>
  <si>
    <t xml:space="preserve">  Insurance</t>
  </si>
  <si>
    <t xml:space="preserve">  Travel</t>
  </si>
  <si>
    <t xml:space="preserve">  Accounting</t>
  </si>
  <si>
    <t xml:space="preserve">  Legal</t>
  </si>
  <si>
    <t xml:space="preserve">  5% donation to veteran non-profits</t>
  </si>
  <si>
    <t xml:space="preserve">  Miscellaneous</t>
  </si>
  <si>
    <t>Research and development</t>
  </si>
  <si>
    <t xml:space="preserve">  Food and product development</t>
  </si>
  <si>
    <t>Capital expenses</t>
  </si>
  <si>
    <t xml:space="preserve">  Manfacturing equipment</t>
  </si>
  <si>
    <t xml:space="preserve">  Website maintance &amp; Design </t>
  </si>
  <si>
    <t xml:space="preserve">  Marketing director </t>
  </si>
  <si>
    <t xml:space="preserve">  SEO manager </t>
  </si>
  <si>
    <t xml:space="preserve">  Executive salary</t>
  </si>
  <si>
    <t xml:space="preserve">  Social Media Manager (Kyle)</t>
  </si>
  <si>
    <t xml:space="preserve">  Food &amp; Product Development </t>
  </si>
  <si>
    <t xml:space="preserve">  Internet cable and Phone service </t>
  </si>
  <si>
    <t xml:space="preserve">  Shopify</t>
  </si>
  <si>
    <t xml:space="preserve">  Office, administration and customer serivce </t>
  </si>
  <si>
    <t xml:space="preserve">  Sales director</t>
  </si>
  <si>
    <t xml:space="preserve">  Sales representatives</t>
  </si>
  <si>
    <t>Web untiliy &amp; anayltics platforms (netsuit</t>
  </si>
  <si>
    <t xml:space="preserve">  Brand ambassadors </t>
  </si>
  <si>
    <r>
      <rPr>
        <rFont val="Arial"/>
        <color theme="1"/>
        <sz val="10.0"/>
      </rPr>
      <t xml:space="preserve">  Monthly Marketing Ad Spend</t>
    </r>
    <r>
      <rPr>
        <rFont val="Arial"/>
        <b/>
        <color rgb="FFFF0000"/>
        <sz val="10.0"/>
      </rPr>
      <t xml:space="preserve"> </t>
    </r>
  </si>
  <si>
    <t xml:space="preserve">  Computer expense</t>
  </si>
  <si>
    <t xml:space="preserve">  Processing fee based 4% month Rev </t>
  </si>
  <si>
    <t xml:space="preserve">  5% Donations to Veteran Non Profits </t>
  </si>
  <si>
    <t xml:space="preserve">  PR</t>
  </si>
  <si>
    <t xml:space="preserve">  Manufacturing Equipment </t>
  </si>
  <si>
    <t>Total monthly expense (Includes fixed expenses)</t>
  </si>
  <si>
    <t xml:space="preserve">Fixed monthly expenses </t>
  </si>
  <si>
    <t xml:space="preserve">Sales representatives for gym sales </t>
  </si>
  <si>
    <t xml:space="preserve">  # representatives</t>
  </si>
  <si>
    <t xml:space="preserve">  Base pay per representative</t>
  </si>
  <si>
    <t xml:space="preserve">  Commission for each representative</t>
  </si>
  <si>
    <t xml:space="preserve">  Sales per month</t>
  </si>
  <si>
    <t xml:space="preserve">  Total compensation per representative</t>
  </si>
  <si>
    <t>Overhead Projections</t>
  </si>
  <si>
    <t>Monthly Overhead</t>
  </si>
  <si>
    <t xml:space="preserve">Internet cable and Phone service </t>
  </si>
  <si>
    <t>x</t>
  </si>
  <si>
    <t>Warehousing</t>
  </si>
  <si>
    <t>Food</t>
  </si>
  <si>
    <t xml:space="preserve">Website hosting </t>
  </si>
  <si>
    <t>ADOBE</t>
  </si>
  <si>
    <t xml:space="preserve">Quickbooks </t>
  </si>
  <si>
    <t>SUShio</t>
  </si>
  <si>
    <t>RENT</t>
  </si>
  <si>
    <t>credit card</t>
  </si>
  <si>
    <t>Shipstation (shipping platform)</t>
  </si>
  <si>
    <t>GYM</t>
  </si>
  <si>
    <t>Shopify (web plaform)</t>
  </si>
  <si>
    <t>Square (payment processing)</t>
  </si>
  <si>
    <t>HW St john</t>
  </si>
  <si>
    <t>GAS</t>
  </si>
  <si>
    <t>Google Adwords</t>
  </si>
  <si>
    <t>Refersion (ambassador tracking)</t>
  </si>
  <si>
    <t>KUdo (site review plug in)</t>
  </si>
  <si>
    <t xml:space="preserve"> ingredient storage cost </t>
  </si>
  <si>
    <t>Buffer</t>
  </si>
  <si>
    <t>Zendesk (web tracking)</t>
  </si>
  <si>
    <t>Use</t>
  </si>
  <si>
    <t>Utilities</t>
  </si>
  <si>
    <t>Payroll</t>
  </si>
  <si>
    <t>Delivery</t>
  </si>
  <si>
    <t>Postage/fedx</t>
  </si>
  <si>
    <t>Office supplies</t>
  </si>
  <si>
    <t>Office cleaning</t>
  </si>
  <si>
    <t>Computer expense</t>
  </si>
  <si>
    <t>Accounting</t>
  </si>
  <si>
    <t>Legal</t>
  </si>
  <si>
    <t>Bank fees</t>
  </si>
  <si>
    <t>Taxes</t>
  </si>
  <si>
    <t>Waste</t>
  </si>
  <si>
    <t>Net income</t>
  </si>
  <si>
    <t>Cummulative net income</t>
  </si>
  <si>
    <t>Tax rate</t>
  </si>
  <si>
    <t>Tax</t>
  </si>
  <si>
    <t>Cummulative tax</t>
  </si>
  <si>
    <t>Previous cummulative tax</t>
  </si>
  <si>
    <t>Current period tax</t>
  </si>
  <si>
    <t>Tax distribution</t>
  </si>
  <si>
    <t xml:space="preserve">Food Production equipment </t>
  </si>
  <si>
    <t xml:space="preserve">Cost </t>
  </si>
  <si>
    <t>Bars per hour</t>
  </si>
  <si>
    <t xml:space="preserve">Food tools Granola Press </t>
  </si>
  <si>
    <t>Unifiller Depositor</t>
  </si>
  <si>
    <t>Bakery and Food Grade Conveyors</t>
  </si>
  <si>
    <t>Tumble Mixer</t>
  </si>
  <si>
    <t xml:space="preserve">Food tools sonic cutter </t>
  </si>
  <si>
    <t xml:space="preserve">Industrail double rack convection oven </t>
  </si>
  <si>
    <t xml:space="preserve">hobart mixer </t>
  </si>
  <si>
    <t xml:space="preserve">Kettle mixer </t>
  </si>
  <si>
    <t xml:space="preserve">Sheet, trayes, tools, misc </t>
  </si>
  <si>
    <t xml:space="preserve">total </t>
  </si>
  <si>
    <t>Order fullfiment equipment</t>
  </si>
  <si>
    <t>Boxes per min</t>
  </si>
  <si>
    <t xml:space="preserve">Computers, printers, etc </t>
  </si>
  <si>
    <t>High speed thermal lable maker</t>
  </si>
  <si>
    <t xml:space="preserve">Little David box maker and sealer </t>
  </si>
  <si>
    <t xml:space="preserve">Roller converyers </t>
  </si>
  <si>
    <t>Misc</t>
  </si>
  <si>
    <t xml:space="preserve">Warhousing </t>
  </si>
  <si>
    <t xml:space="preserve">Forklift </t>
  </si>
  <si>
    <t xml:space="preserve">Shelving </t>
  </si>
  <si>
    <t xml:space="preserve">Misc </t>
  </si>
  <si>
    <t xml:space="preserve">Total </t>
  </si>
  <si>
    <t xml:space="preserve">Facilty renovation </t>
  </si>
  <si>
    <t xml:space="preserve">Nuemacitc air system </t>
  </si>
  <si>
    <t xml:space="preserve">Renvoations </t>
  </si>
  <si>
    <t xml:space="preserve">Entire facitly build out </t>
  </si>
  <si>
    <t>Note #</t>
  </si>
  <si>
    <t>Up front costs</t>
  </si>
  <si>
    <t xml:space="preserve">Landing pages </t>
  </si>
  <si>
    <t>Video</t>
  </si>
  <si>
    <t xml:space="preserve">Editing </t>
  </si>
  <si>
    <t>Face book ads A&amp;B testing</t>
  </si>
  <si>
    <t xml:space="preserve">New flavors </t>
  </si>
  <si>
    <t xml:space="preserve">Website optmization </t>
  </si>
  <si>
    <t>Total up front cost</t>
  </si>
  <si>
    <t>Kaltec Equipment needs</t>
  </si>
  <si>
    <t>Candy stove</t>
  </si>
  <si>
    <t xml:space="preserve">Cost to sample 100 gym 20% Success </t>
  </si>
  <si>
    <t xml:space="preserve">Bars sampled to acquire </t>
  </si>
  <si>
    <t>#ERROR!</t>
  </si>
  <si>
    <t>Cost of employee</t>
  </si>
  <si>
    <t>Rev gen</t>
  </si>
  <si>
    <t xml:space="preserve">Gyms contacted </t>
  </si>
  <si>
    <t xml:space="preserve">gyms accquired </t>
  </si>
  <si>
    <t>CAC</t>
  </si>
  <si>
    <t xml:space="preserve">Marketing Expenses </t>
  </si>
  <si>
    <t>Capitial invesment</t>
  </si>
  <si>
    <t>Working Captial</t>
  </si>
  <si>
    <t>Account blance</t>
  </si>
  <si>
    <t>Capital Investment 2nd round</t>
  </si>
  <si>
    <t>?</t>
  </si>
  <si>
    <t xml:space="preserve">Marketing </t>
  </si>
  <si>
    <t xml:space="preserve">Packaging </t>
  </si>
  <si>
    <t>CASH FLOW</t>
  </si>
  <si>
    <t>Wokring Capital</t>
  </si>
  <si>
    <t xml:space="preserve">Gross Projected Revenue </t>
  </si>
  <si>
    <t>Cash Flow</t>
  </si>
  <si>
    <t>End of Month balance</t>
  </si>
  <si>
    <t>bar</t>
  </si>
  <si>
    <t xml:space="preserve">Followers </t>
  </si>
  <si>
    <t>Enagement rate average</t>
  </si>
  <si>
    <t>Ripped Barbie</t>
  </si>
  <si>
    <t xml:space="preserve">Philip Dore	</t>
  </si>
  <si>
    <t xml:space="preserve">Caitlin Foresman	</t>
  </si>
  <si>
    <t xml:space="preserve">Thomas Karlick	</t>
  </si>
  <si>
    <t xml:space="preserve">Meredith Burns	</t>
  </si>
  <si>
    <t xml:space="preserve">Paige Miller	</t>
  </si>
  <si>
    <t>Kineesa</t>
  </si>
  <si>
    <t xml:space="preserve">Cody Hendricks	</t>
  </si>
  <si>
    <t xml:space="preserve">Jeff Nicoles </t>
  </si>
  <si>
    <t>Jessica</t>
  </si>
  <si>
    <t>Kenny Santucci</t>
  </si>
  <si>
    <t>Rudy Reyes</t>
  </si>
  <si>
    <t>Real world</t>
  </si>
  <si>
    <t>Labor costs</t>
  </si>
  <si>
    <t xml:space="preserve">Bakery toll daily </t>
  </si>
  <si>
    <t>Hourly labor per person</t>
  </si>
  <si>
    <t xml:space="preserve">Daily (8hours) labor cost of 4 person team </t>
  </si>
  <si>
    <t>Total cost per day</t>
  </si>
  <si>
    <t xml:space="preserve">Avergae production run time 1.5 days </t>
  </si>
  <si>
    <t xml:space="preserve">Total cost per run. </t>
  </si>
  <si>
    <t>Economy of scale</t>
  </si>
  <si>
    <t>Trays per run (42bars per tray)</t>
  </si>
  <si>
    <t>Bars produced per run</t>
  </si>
  <si>
    <t>labor cost per bar</t>
  </si>
  <si>
    <t>Single bar price point $1.25</t>
  </si>
  <si>
    <t xml:space="preserve">Maketing expense </t>
  </si>
  <si>
    <t>Annual Net Gym Vaule</t>
  </si>
  <si>
    <t xml:space="preserve">Annual Net Customer Vaule </t>
  </si>
  <si>
    <t>Swage and apparel</t>
  </si>
  <si>
    <t>Cost per item</t>
  </si>
  <si>
    <t>Amount</t>
  </si>
  <si>
    <t xml:space="preserve">Tee shirts </t>
  </si>
  <si>
    <t xml:space="preserve">Hats </t>
  </si>
  <si>
    <t>Silkies</t>
  </si>
  <si>
    <t xml:space="preserve">Stickers and Patches </t>
  </si>
  <si>
    <t>Gym banner  (per gym)</t>
  </si>
  <si>
    <t xml:space="preserve">Branded Wood create </t>
  </si>
  <si>
    <t>Email regargeting campaige</t>
  </si>
  <si>
    <t xml:space="preserve">Month 1 </t>
  </si>
  <si>
    <t>Month 2</t>
  </si>
  <si>
    <t xml:space="preserve">Month 3 </t>
  </si>
  <si>
    <t xml:space="preserve">Ad email Generation </t>
  </si>
  <si>
    <t>Converstion rate</t>
  </si>
  <si>
    <t>Total Customers Created</t>
  </si>
  <si>
    <t xml:space="preserve">Customers created </t>
  </si>
  <si>
    <t xml:space="preserve">Goss revenue generated </t>
  </si>
  <si>
    <t xml:space="preserve">Annual customer Vaule </t>
  </si>
  <si>
    <t>12 month ROI</t>
  </si>
  <si>
    <t xml:space="preserve">Content Creation </t>
  </si>
  <si>
    <t>Cost per Item</t>
  </si>
  <si>
    <t>One video per month</t>
  </si>
  <si>
    <t xml:space="preserve">Video edit </t>
  </si>
  <si>
    <t xml:space="preserve">Asset collection </t>
  </si>
  <si>
    <t>Event Marketing Kit</t>
  </si>
  <si>
    <t>Branded Table cloth</t>
  </si>
  <si>
    <t>Branded Tent</t>
  </si>
  <si>
    <t>Banner and pop ups</t>
  </si>
  <si>
    <t>Back Drop</t>
  </si>
  <si>
    <t>Design</t>
  </si>
  <si>
    <t>Event Kit total</t>
  </si>
  <si>
    <t xml:space="preserve">Events </t>
  </si>
  <si>
    <t xml:space="preserve">Both Cost </t>
  </si>
  <si>
    <t xml:space="preserve">Attendees </t>
  </si>
  <si>
    <t xml:space="preserve">Customer Converstion </t>
  </si>
  <si>
    <t xml:space="preserve">Estimated customers acquired </t>
  </si>
  <si>
    <t>WODAPOLOZA Jan 2019</t>
  </si>
  <si>
    <t>Product Give away.</t>
  </si>
  <si>
    <t>Averge Sale Vaule</t>
  </si>
  <si>
    <t>Tees</t>
  </si>
  <si>
    <t>Hats</t>
  </si>
  <si>
    <t xml:space="preserve">Product sales. </t>
  </si>
  <si>
    <t xml:space="preserve">Apparel </t>
  </si>
  <si>
    <t>Apparel sales</t>
  </si>
  <si>
    <t xml:space="preserve">Shipping Product </t>
  </si>
  <si>
    <t xml:space="preserve">Total gross </t>
  </si>
  <si>
    <t>Net after COG</t>
  </si>
  <si>
    <t>Event personel needed 3</t>
  </si>
  <si>
    <t>$150 per day</t>
  </si>
  <si>
    <t>per person</t>
  </si>
  <si>
    <t>Total for three days</t>
  </si>
  <si>
    <t xml:space="preserve">12 Month Event ROI </t>
  </si>
  <si>
    <t xml:space="preserve">Customers retainted </t>
  </si>
  <si>
    <t>Hotel</t>
  </si>
  <si>
    <t>Gyms acquired</t>
  </si>
  <si>
    <t xml:space="preserve">Total cost </t>
  </si>
  <si>
    <t>Net vaule</t>
  </si>
  <si>
    <t xml:space="preserve">Net gym vaule </t>
  </si>
  <si>
    <t>Both</t>
  </si>
  <si>
    <t>Arnold classic March 2019</t>
  </si>
  <si>
    <t>COG</t>
  </si>
  <si>
    <t>Event personel needed 4</t>
  </si>
  <si>
    <t xml:space="preserve">Gym mailing campaige </t>
  </si>
  <si>
    <t>Cost</t>
  </si>
  <si>
    <t>Gym list tristate</t>
  </si>
  <si>
    <t>Gyms Aquired</t>
  </si>
  <si>
    <t xml:space="preserve">Gym sample Kit </t>
  </si>
  <si>
    <t>3 bars</t>
  </si>
  <si>
    <t>Flyer</t>
  </si>
  <si>
    <t xml:space="preserve">12 month ROI </t>
  </si>
  <si>
    <t>Shipping</t>
  </si>
  <si>
    <t>Gym kit cost</t>
  </si>
  <si>
    <t>Campaige cost</t>
  </si>
  <si>
    <t>Total Marketing Spend</t>
  </si>
  <si>
    <t xml:space="preserve">Total Marketing ROI </t>
  </si>
  <si>
    <t xml:space="preserve">Net profit </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</si>
</sst>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quot;$&quot;#,##0"/>
    <numFmt numFmtId="165" formatCode="_(&quot;$&quot;* #,##0_);_(&quot;$&quot;* \(#,##0\);_(&quot;$&quot;* &quot;-&quot;??_);_(@_)"/>
    <numFmt numFmtId="166" formatCode="_(* #,##0_);_(* \(#,##0\);_(* &quot;-&quot;??_);_(@_)"/>
    <numFmt numFmtId="167" formatCode="\$#,##0.00"/>
    <numFmt numFmtId="168" formatCode="[$-409]mmmm\-yy"/>
    <numFmt numFmtId="169" formatCode="_(* #,##0.00_);_(* \(#,##0.00\);_(* &quot;-&quot;??_);_(@_)"/>
    <numFmt numFmtId="170" formatCode="&quot;$&quot;#,##0.00"/>
    <numFmt numFmtId="171" formatCode="mmmm\ yyyy"/>
    <numFmt numFmtId="172" formatCode="0.0000"/>
    <numFmt numFmtId="173" formatCode="_(&quot;$&quot;* #,##0.00_);_(&quot;$&quot;* \(#,##0.00\);_(&quot;$&quot;* &quot;-&quot;??_);_(@_)"/>
    <numFmt numFmtId="174" formatCode="mmm\ yyyy"/>
    <numFmt numFmtId="175" formatCode="0.0%"/>
  </numFmts>
  <fonts count="35">
    <font>
      <sz val="10.0"/>
      <color rgb="FF000000"/>
      <name val="Calibri"/>
      <scheme val="minor"/>
    </font>
    <font>
      <sz val="11.0"/>
      <color theme="1"/>
      <name val="Times New Roman"/>
    </font>
    <font>
      <b/>
      <sz val="11.0"/>
      <color rgb="FFFF0000"/>
      <name val="Times New Roman"/>
    </font>
    <font>
      <b/>
      <sz val="11.0"/>
      <color theme="1"/>
      <name val="Times New Roman"/>
    </font>
    <font>
      <b/>
      <sz val="16.0"/>
      <color theme="1"/>
      <name val="Times New Roman"/>
    </font>
    <font>
      <b/>
      <sz val="14.0"/>
      <color theme="1"/>
      <name val="Times New Roman"/>
    </font>
    <font>
      <sz val="11.0"/>
      <color rgb="FF000000"/>
      <name val="Times New Roman"/>
    </font>
    <font>
      <b/>
      <i/>
      <sz val="11.0"/>
      <color theme="1"/>
      <name val="Times New Roman"/>
    </font>
    <font/>
    <font>
      <b/>
      <sz val="20.0"/>
      <color rgb="FF000000"/>
      <name val="Times New Roman"/>
    </font>
    <font>
      <b/>
      <sz val="11.0"/>
      <color rgb="FF000000"/>
      <name val="Times New Roman"/>
    </font>
    <font>
      <b/>
      <sz val="16.0"/>
      <color rgb="FF000000"/>
      <name val="Times New Roman"/>
    </font>
    <font>
      <b/>
      <sz val="9.0"/>
      <color theme="1"/>
      <name val="Times New Roman"/>
    </font>
    <font>
      <b/>
      <sz val="9.0"/>
      <color theme="1"/>
      <name val="Arial"/>
    </font>
    <font>
      <sz val="11.0"/>
      <color rgb="FF000000"/>
      <name val="&quot;Times New Roman&quot;"/>
    </font>
    <font>
      <b/>
      <sz val="11.0"/>
      <color rgb="FF000000"/>
      <name val="&quot;Times New Roman&quot;"/>
    </font>
    <font>
      <sz val="10.0"/>
      <color rgb="FF000000"/>
      <name val="Arial"/>
    </font>
    <font>
      <b/>
      <sz val="20.0"/>
      <color rgb="FF000000"/>
      <name val="Arial"/>
    </font>
    <font>
      <sz val="10.0"/>
      <color theme="1"/>
      <name val="Calibri"/>
    </font>
    <font>
      <sz val="10.0"/>
      <color rgb="FFFF0000"/>
      <name val="Arial"/>
    </font>
    <font>
      <sz val="10.0"/>
      <color theme="1"/>
      <name val="Arial"/>
    </font>
    <font>
      <sz val="14.0"/>
      <color rgb="FF000000"/>
      <name val="Arial"/>
    </font>
    <font>
      <b/>
      <sz val="10.0"/>
      <color theme="1"/>
      <name val="Arial"/>
    </font>
    <font>
      <sz val="11.0"/>
      <color rgb="FF000000"/>
      <name val="Inconsolata"/>
    </font>
    <font>
      <sz val="14.0"/>
      <color theme="1"/>
      <name val="Arial"/>
    </font>
    <font>
      <b/>
      <sz val="16.0"/>
      <color rgb="FFFF0000"/>
      <name val="Arial"/>
    </font>
    <font>
      <b/>
      <sz val="14.0"/>
      <color rgb="FFFF0000"/>
      <name val="Arial"/>
    </font>
    <font>
      <sz val="14.0"/>
      <color rgb="FF000000"/>
      <name val="Calibri"/>
    </font>
    <font>
      <b/>
      <sz val="10.0"/>
      <color rgb="FFFF0000"/>
      <name val="Arial"/>
    </font>
    <font>
      <b/>
      <sz val="10.0"/>
      <color rgb="FFFF0000"/>
      <name val="Calibri"/>
    </font>
    <font>
      <b/>
      <sz val="10.0"/>
      <color rgb="FF000000"/>
      <name val="Arial"/>
    </font>
    <font>
      <sz val="10.0"/>
      <color rgb="FF000000"/>
      <name val="Calibri"/>
    </font>
    <font>
      <u/>
      <sz val="10.0"/>
      <color theme="1"/>
      <name val="Arial"/>
    </font>
    <font>
      <b/>
      <sz val="10.0"/>
      <color theme="1"/>
      <name val="Calibri"/>
    </font>
    <font>
      <sz val="10.0"/>
      <color rgb="FF6AA84F"/>
      <name val="Arial"/>
    </font>
  </fonts>
  <fills count="12">
    <fill>
      <patternFill patternType="none"/>
    </fill>
    <fill>
      <patternFill patternType="lightGray"/>
    </fill>
    <fill>
      <patternFill patternType="solid">
        <fgColor rgb="FFD6DCE4"/>
        <bgColor rgb="FFD6DCE4"/>
      </patternFill>
    </fill>
    <fill>
      <patternFill patternType="solid">
        <fgColor rgb="FFD8D8D8"/>
        <bgColor rgb="FFD8D8D8"/>
      </patternFill>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C9DAF8"/>
        <bgColor rgb="FFC9DAF8"/>
      </patternFill>
    </fill>
    <fill>
      <patternFill patternType="solid">
        <fgColor rgb="FFD9E2F3"/>
        <bgColor rgb="FFD9E2F3"/>
      </patternFill>
    </fill>
    <fill>
      <patternFill patternType="solid">
        <fgColor rgb="FFB4C6E7"/>
        <bgColor rgb="FFB4C6E7"/>
      </patternFill>
    </fill>
    <fill>
      <patternFill patternType="solid">
        <fgColor rgb="FFA4C2F4"/>
        <bgColor rgb="FFA4C2F4"/>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right/>
      <top/>
      <bottom/>
    </border>
    <border>
      <bottom style="thin">
        <color rgb="FF000000"/>
      </bottom>
    </border>
    <border>
      <bottom style="double">
        <color rgb="FF000000"/>
      </bottom>
    </border>
    <border>
      <top style="thin">
        <color rgb="FF000000"/>
      </top>
    </border>
    <border>
      <bottom style="thick">
        <color rgb="FF000000"/>
      </bottom>
    </border>
    <border>
      <top style="thin">
        <color rgb="FF000000"/>
      </top>
      <bottom style="double">
        <color rgb="FF000000"/>
      </bottom>
    </border>
    <border>
      <left/>
      <right/>
      <top/>
      <bottom style="thin">
        <color rgb="FF000000"/>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horizontal="center" readingOrder="0"/>
    </xf>
    <xf borderId="0" fillId="0" fontId="6" numFmtId="2" xfId="0" applyFont="1" applyNumberFormat="1"/>
    <xf borderId="0" fillId="0" fontId="3" numFmtId="0" xfId="0" applyFont="1"/>
    <xf borderId="0" fillId="0" fontId="7" numFmtId="0" xfId="0" applyFont="1"/>
    <xf borderId="0" fillId="0" fontId="7" numFmtId="0" xfId="0" applyAlignment="1" applyFont="1">
      <alignment readingOrder="0"/>
    </xf>
    <xf borderId="1" fillId="0" fontId="5" numFmtId="0" xfId="0" applyAlignment="1" applyBorder="1" applyFont="1">
      <alignment horizontal="center" readingOrder="0"/>
    </xf>
    <xf borderId="2" fillId="0" fontId="8" numFmtId="0" xfId="0" applyBorder="1" applyFont="1"/>
    <xf borderId="3" fillId="0" fontId="8" numFmtId="0" xfId="0" applyBorder="1" applyFont="1"/>
    <xf borderId="4" fillId="0" fontId="3" numFmtId="0" xfId="0" applyAlignment="1" applyBorder="1" applyFont="1">
      <alignment readingOrder="0"/>
    </xf>
    <xf borderId="4" fillId="0" fontId="1" numFmtId="0" xfId="0" applyAlignment="1" applyBorder="1" applyFont="1">
      <alignment readingOrder="0"/>
    </xf>
    <xf borderId="4" fillId="0" fontId="1" numFmtId="164" xfId="0" applyAlignment="1" applyBorder="1" applyFont="1" applyNumberFormat="1">
      <alignment horizontal="right" readingOrder="0"/>
    </xf>
    <xf borderId="0" fillId="0" fontId="6" numFmtId="4" xfId="0" applyFont="1" applyNumberFormat="1"/>
    <xf borderId="4" fillId="0" fontId="1" numFmtId="9" xfId="0" applyAlignment="1" applyBorder="1" applyFont="1" applyNumberFormat="1">
      <alignment horizontal="right" readingOrder="0"/>
    </xf>
    <xf borderId="4" fillId="0" fontId="1" numFmtId="0" xfId="0" applyAlignment="1" applyBorder="1" applyFont="1">
      <alignment horizontal="right" readingOrder="0"/>
    </xf>
    <xf borderId="4" fillId="0" fontId="1" numFmtId="164" xfId="0" applyAlignment="1" applyBorder="1" applyFont="1" applyNumberFormat="1">
      <alignment readingOrder="0"/>
    </xf>
    <xf borderId="4" fillId="0" fontId="1" numFmtId="9" xfId="0" applyAlignment="1" applyBorder="1" applyFont="1" applyNumberFormat="1">
      <alignment readingOrder="0"/>
    </xf>
    <xf borderId="0" fillId="0" fontId="1" numFmtId="0" xfId="0" applyFont="1"/>
    <xf borderId="0" fillId="0" fontId="1" numFmtId="10" xfId="0" applyFont="1" applyNumberFormat="1"/>
    <xf borderId="0" fillId="0" fontId="1" numFmtId="2" xfId="0" applyAlignment="1" applyFont="1" applyNumberFormat="1">
      <alignment readingOrder="0"/>
    </xf>
    <xf borderId="0" fillId="0" fontId="1" numFmtId="2" xfId="0" applyFont="1" applyNumberFormat="1"/>
    <xf borderId="0" fillId="0" fontId="1" numFmtId="10" xfId="0" applyAlignment="1" applyFont="1" applyNumberFormat="1">
      <alignment readingOrder="0"/>
    </xf>
    <xf borderId="0" fillId="0" fontId="3" numFmtId="0" xfId="0" applyFont="1"/>
    <xf borderId="0" fillId="0" fontId="1" numFmtId="4" xfId="0" applyAlignment="1" applyFont="1" applyNumberFormat="1">
      <alignment readingOrder="0"/>
    </xf>
    <xf borderId="0" fillId="0" fontId="6" numFmtId="0" xfId="0" applyFont="1"/>
    <xf borderId="5" fillId="2" fontId="9" numFmtId="0" xfId="0" applyAlignment="1" applyBorder="1" applyFill="1" applyFont="1">
      <alignment horizontal="center"/>
    </xf>
    <xf borderId="6" fillId="0" fontId="8" numFmtId="0" xfId="0" applyBorder="1" applyFont="1"/>
    <xf borderId="7" fillId="0" fontId="8" numFmtId="0" xfId="0" applyBorder="1" applyFont="1"/>
    <xf borderId="8" fillId="3" fontId="10" numFmtId="0" xfId="0" applyAlignment="1" applyBorder="1" applyFill="1" applyFont="1">
      <alignment horizontal="center"/>
    </xf>
    <xf borderId="5" fillId="3" fontId="10" numFmtId="0" xfId="0" applyAlignment="1" applyBorder="1" applyFont="1">
      <alignment horizontal="center"/>
    </xf>
    <xf borderId="8" fillId="2" fontId="6" numFmtId="1" xfId="0" applyAlignment="1" applyBorder="1" applyFont="1" applyNumberFormat="1">
      <alignment horizontal="center"/>
    </xf>
    <xf borderId="0" fillId="0" fontId="6" numFmtId="14" xfId="0" applyFont="1" applyNumberFormat="1"/>
    <xf borderId="0" fillId="0" fontId="6" numFmtId="165" xfId="0" applyFont="1" applyNumberFormat="1"/>
    <xf borderId="0" fillId="0" fontId="6" numFmtId="166" xfId="0" applyFont="1" applyNumberFormat="1"/>
    <xf borderId="9" fillId="0" fontId="6" numFmtId="166" xfId="0" applyBorder="1" applyFont="1" applyNumberFormat="1"/>
    <xf borderId="0" fillId="0" fontId="1" numFmtId="166" xfId="0" applyFont="1" applyNumberFormat="1"/>
    <xf borderId="9" fillId="0" fontId="1" numFmtId="166" xfId="0" applyBorder="1" applyFont="1" applyNumberFormat="1"/>
    <xf borderId="10" fillId="0" fontId="1" numFmtId="165" xfId="0" applyBorder="1" applyFont="1" applyNumberFormat="1"/>
    <xf borderId="0" fillId="0" fontId="6" numFmtId="10" xfId="0" applyFont="1" applyNumberFormat="1"/>
    <xf borderId="0" fillId="0" fontId="4" numFmtId="0" xfId="0" applyAlignment="1" applyFont="1">
      <alignment horizontal="center" shrinkToFit="0" wrapText="1"/>
    </xf>
    <xf borderId="0" fillId="0" fontId="1" numFmtId="0" xfId="0" applyFont="1"/>
    <xf borderId="0" fillId="0" fontId="1" numFmtId="0" xfId="0" applyAlignment="1" applyFont="1">
      <alignment shrinkToFit="0" wrapText="1"/>
    </xf>
    <xf borderId="9" fillId="0" fontId="3" numFmtId="0" xfId="0" applyAlignment="1" applyBorder="1" applyFont="1">
      <alignment horizontal="center" shrinkToFit="0" wrapText="1"/>
    </xf>
    <xf borderId="0" fillId="0" fontId="1" numFmtId="0" xfId="0" applyAlignment="1" applyFont="1">
      <alignment horizontal="left" shrinkToFit="0" wrapText="1"/>
    </xf>
    <xf borderId="0" fillId="0" fontId="1" numFmtId="4" xfId="0" applyAlignment="1" applyFont="1" applyNumberFormat="1">
      <alignment shrinkToFit="0" wrapText="1"/>
    </xf>
    <xf borderId="0" fillId="0" fontId="3" numFmtId="0" xfId="0" applyAlignment="1" applyFont="1">
      <alignment horizontal="left" shrinkToFit="0" wrapText="1"/>
    </xf>
    <xf borderId="11" fillId="0" fontId="3" numFmtId="4" xfId="0" applyAlignment="1" applyBorder="1" applyFont="1" applyNumberFormat="1">
      <alignment shrinkToFit="0" wrapText="1"/>
    </xf>
    <xf borderId="11" fillId="0" fontId="3" numFmtId="167" xfId="0" applyAlignment="1" applyBorder="1" applyFont="1" applyNumberFormat="1">
      <alignment shrinkToFit="0" wrapText="1"/>
    </xf>
    <xf borderId="11" fillId="0" fontId="3" numFmtId="0" xfId="0" applyAlignment="1" applyBorder="1" applyFont="1">
      <alignment shrinkToFit="0" wrapText="1"/>
    </xf>
    <xf borderId="0" fillId="0" fontId="1" numFmtId="0" xfId="0" applyAlignment="1" applyFont="1">
      <alignment horizontal="center" shrinkToFit="0" wrapText="1"/>
    </xf>
    <xf borderId="0" fillId="0" fontId="1" numFmtId="4" xfId="0" applyFont="1" applyNumberFormat="1"/>
    <xf borderId="0" fillId="0" fontId="1" numFmtId="167" xfId="0" applyFont="1" applyNumberFormat="1"/>
    <xf borderId="12" fillId="0" fontId="11" numFmtId="0" xfId="0" applyAlignment="1" applyBorder="1" applyFont="1">
      <alignment horizontal="center" readingOrder="0"/>
    </xf>
    <xf borderId="12" fillId="0" fontId="8" numFmtId="0" xfId="0" applyBorder="1" applyFont="1"/>
    <xf borderId="9" fillId="0" fontId="3" numFmtId="0" xfId="0" applyAlignment="1" applyBorder="1" applyFont="1">
      <alignment horizontal="center"/>
    </xf>
    <xf borderId="9" fillId="0" fontId="12" numFmtId="168" xfId="0" applyAlignment="1" applyBorder="1" applyFont="1" applyNumberFormat="1">
      <alignment horizontal="center"/>
    </xf>
    <xf borderId="9" fillId="0" fontId="12" numFmtId="0" xfId="0" applyAlignment="1" applyBorder="1" applyFont="1">
      <alignment horizontal="center"/>
    </xf>
    <xf borderId="0" fillId="0" fontId="1" numFmtId="0" xfId="0" applyAlignment="1" applyFont="1">
      <alignment horizontal="left"/>
    </xf>
    <xf borderId="0" fillId="0" fontId="6" numFmtId="4" xfId="0" applyAlignment="1" applyFont="1" applyNumberFormat="1">
      <alignment readingOrder="0"/>
    </xf>
    <xf borderId="0" fillId="0" fontId="6" numFmtId="0" xfId="0" applyAlignment="1" applyFont="1">
      <alignment readingOrder="0"/>
    </xf>
    <xf borderId="0" fillId="0" fontId="6" numFmtId="4" xfId="0" applyAlignment="1" applyFont="1" applyNumberFormat="1">
      <alignment horizontal="center" readingOrder="0"/>
    </xf>
    <xf borderId="0" fillId="0" fontId="6" numFmtId="4" xfId="0" applyAlignment="1" applyFont="1" applyNumberFormat="1">
      <alignment horizontal="center"/>
    </xf>
    <xf borderId="0" fillId="0" fontId="3" numFmtId="0" xfId="0" applyAlignment="1" applyFont="1">
      <alignment horizontal="left"/>
    </xf>
    <xf borderId="13" fillId="0" fontId="6" numFmtId="169" xfId="0" applyAlignment="1" applyBorder="1" applyFont="1" applyNumberFormat="1">
      <alignment readingOrder="0"/>
    </xf>
    <xf borderId="13" fillId="0" fontId="10" numFmtId="169" xfId="0" applyBorder="1" applyFont="1" applyNumberFormat="1"/>
    <xf borderId="0" fillId="0" fontId="6" numFmtId="169" xfId="0" applyFont="1" applyNumberFormat="1"/>
    <xf borderId="0" fillId="0" fontId="10" numFmtId="169" xfId="0" applyFont="1" applyNumberFormat="1"/>
    <xf borderId="13" fillId="0" fontId="6" numFmtId="169" xfId="0" applyBorder="1" applyFont="1" applyNumberFormat="1"/>
    <xf borderId="0" fillId="0" fontId="10" numFmtId="0" xfId="0" applyAlignment="1" applyFont="1">
      <alignment readingOrder="0"/>
    </xf>
    <xf borderId="0" fillId="0" fontId="10" numFmtId="4" xfId="0" applyAlignment="1" applyFont="1" applyNumberFormat="1">
      <alignment readingOrder="0"/>
    </xf>
    <xf borderId="0" fillId="0" fontId="10" numFmtId="4" xfId="0" applyFont="1" applyNumberFormat="1"/>
    <xf borderId="9" fillId="0" fontId="13" numFmtId="168" xfId="0" applyAlignment="1" applyBorder="1" applyFont="1" applyNumberFormat="1">
      <alignment horizontal="center"/>
    </xf>
    <xf borderId="9" fillId="0" fontId="13" numFmtId="0" xfId="0" applyAlignment="1" applyBorder="1" applyFont="1">
      <alignment horizontal="center"/>
    </xf>
    <xf borderId="9" fillId="0" fontId="6" numFmtId="169" xfId="0" applyBorder="1" applyFont="1" applyNumberFormat="1"/>
    <xf borderId="9" fillId="0" fontId="10" numFmtId="169" xfId="0" applyBorder="1" applyFont="1" applyNumberFormat="1"/>
    <xf borderId="10" fillId="0" fontId="6" numFmtId="169" xfId="0" applyBorder="1" applyFont="1" applyNumberFormat="1"/>
    <xf borderId="10" fillId="0" fontId="10" numFmtId="169" xfId="0" applyBorder="1" applyFont="1" applyNumberFormat="1"/>
    <xf borderId="0" fillId="0" fontId="10" numFmtId="0" xfId="0" applyFont="1"/>
    <xf borderId="0" fillId="0" fontId="6" numFmtId="0" xfId="0" applyAlignment="1" applyFont="1">
      <alignment horizontal="center" readingOrder="0"/>
    </xf>
    <xf borderId="0" fillId="0" fontId="14" numFmtId="4" xfId="0" applyAlignment="1" applyFont="1" applyNumberFormat="1">
      <alignment readingOrder="0" shrinkToFit="0" vertical="bottom" wrapText="0"/>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14" numFmtId="4" xfId="0" applyAlignment="1" applyFont="1" applyNumberFormat="1">
      <alignment readingOrder="0" shrinkToFit="0" vertical="bottom" wrapText="0"/>
    </xf>
    <xf borderId="0" fillId="0" fontId="16" numFmtId="0" xfId="0" applyFont="1"/>
    <xf borderId="5" fillId="2" fontId="17" numFmtId="0" xfId="0" applyAlignment="1" applyBorder="1" applyFont="1">
      <alignment horizontal="center"/>
    </xf>
    <xf borderId="0" fillId="0" fontId="16" numFmtId="169" xfId="0" applyFont="1" applyNumberFormat="1"/>
    <xf borderId="0" fillId="0" fontId="16" numFmtId="166" xfId="0" applyFont="1" applyNumberFormat="1"/>
    <xf borderId="8" fillId="2" fontId="16" numFmtId="14" xfId="0" applyBorder="1" applyFont="1" applyNumberFormat="1"/>
    <xf borderId="0" fillId="0" fontId="16" numFmtId="14" xfId="0" applyFont="1" applyNumberFormat="1"/>
    <xf borderId="0" fillId="0" fontId="18" numFmtId="0" xfId="0" applyFont="1"/>
    <xf borderId="0" fillId="0" fontId="16" numFmtId="165" xfId="0" applyFont="1" applyNumberFormat="1"/>
    <xf borderId="8" fillId="4" fontId="18" numFmtId="0" xfId="0" applyBorder="1" applyFill="1" applyFont="1"/>
    <xf borderId="8" fillId="4" fontId="19" numFmtId="166" xfId="0" applyBorder="1" applyFont="1" applyNumberFormat="1"/>
    <xf borderId="8" fillId="4" fontId="16" numFmtId="166" xfId="0" applyBorder="1" applyFont="1" applyNumberFormat="1"/>
    <xf borderId="9" fillId="0" fontId="16" numFmtId="166" xfId="0" applyBorder="1" applyFont="1" applyNumberFormat="1"/>
    <xf borderId="0" fillId="0" fontId="20" numFmtId="166" xfId="0" applyFont="1" applyNumberFormat="1"/>
    <xf borderId="8" fillId="2" fontId="16" numFmtId="166" xfId="0" applyBorder="1" applyFont="1" applyNumberFormat="1"/>
    <xf borderId="8" fillId="2" fontId="20" numFmtId="166" xfId="0" applyBorder="1" applyFont="1" applyNumberFormat="1"/>
    <xf borderId="8" fillId="2" fontId="16" numFmtId="166" xfId="0" applyAlignment="1" applyBorder="1" applyFont="1" applyNumberFormat="1">
      <alignment horizontal="right"/>
    </xf>
    <xf borderId="9" fillId="0" fontId="20" numFmtId="166" xfId="0" applyBorder="1" applyFont="1" applyNumberFormat="1"/>
    <xf borderId="8" fillId="5" fontId="16" numFmtId="166" xfId="0" applyAlignment="1" applyBorder="1" applyFill="1" applyFont="1" applyNumberFormat="1">
      <alignment horizontal="left"/>
    </xf>
    <xf borderId="14" fillId="2" fontId="16" numFmtId="166" xfId="0" applyBorder="1" applyFont="1" applyNumberFormat="1"/>
    <xf borderId="10" fillId="0" fontId="20" numFmtId="165" xfId="0" applyBorder="1" applyFont="1" applyNumberFormat="1"/>
    <xf borderId="0" fillId="0" fontId="20" numFmtId="165" xfId="0" applyFont="1" applyNumberFormat="1"/>
    <xf borderId="0" fillId="0" fontId="16" numFmtId="10" xfId="0" applyFont="1" applyNumberFormat="1"/>
    <xf borderId="0" fillId="0" fontId="18" numFmtId="166" xfId="0" applyFont="1" applyNumberFormat="1"/>
    <xf borderId="0" fillId="0" fontId="21" numFmtId="0" xfId="0" applyFont="1"/>
    <xf borderId="0" fillId="0" fontId="20" numFmtId="0" xfId="0" applyFont="1"/>
    <xf borderId="0" fillId="0" fontId="20" numFmtId="170" xfId="0" applyFont="1" applyNumberFormat="1"/>
    <xf borderId="8" fillId="2" fontId="22" numFmtId="0" xfId="0" applyBorder="1" applyFont="1"/>
    <xf borderId="8" fillId="2" fontId="20" numFmtId="0" xfId="0" applyBorder="1" applyFont="1"/>
    <xf borderId="8" fillId="2" fontId="20" numFmtId="171" xfId="0" applyBorder="1" applyFont="1" applyNumberFormat="1"/>
    <xf borderId="8" fillId="2" fontId="16" numFmtId="14" xfId="0" applyAlignment="1" applyBorder="1" applyFont="1" applyNumberFormat="1">
      <alignment horizontal="center"/>
    </xf>
    <xf borderId="8" fillId="6" fontId="16" numFmtId="14" xfId="0" applyAlignment="1" applyBorder="1" applyFill="1" applyFont="1" applyNumberFormat="1">
      <alignment horizontal="center"/>
    </xf>
    <xf borderId="0" fillId="0" fontId="20" numFmtId="0" xfId="0" applyAlignment="1" applyFont="1">
      <alignment horizontal="right"/>
    </xf>
    <xf borderId="0" fillId="0" fontId="20" numFmtId="3" xfId="0" applyAlignment="1" applyFont="1" applyNumberFormat="1">
      <alignment horizontal="right"/>
    </xf>
    <xf borderId="0" fillId="0" fontId="22" numFmtId="0" xfId="0" applyFont="1"/>
    <xf borderId="8" fillId="7" fontId="20" numFmtId="0" xfId="0" applyAlignment="1" applyBorder="1" applyFill="1" applyFont="1">
      <alignment horizontal="right"/>
    </xf>
    <xf borderId="0" fillId="0" fontId="20" numFmtId="10" xfId="0" applyAlignment="1" applyFont="1" applyNumberFormat="1">
      <alignment horizontal="right"/>
    </xf>
    <xf borderId="0" fillId="0" fontId="20" numFmtId="1" xfId="0" applyAlignment="1" applyFont="1" applyNumberFormat="1">
      <alignment horizontal="right"/>
    </xf>
    <xf borderId="0" fillId="0" fontId="20" numFmtId="170" xfId="0" applyAlignment="1" applyFont="1" applyNumberFormat="1">
      <alignment horizontal="right"/>
    </xf>
    <xf borderId="0" fillId="0" fontId="20" numFmtId="165" xfId="0" applyAlignment="1" applyFont="1" applyNumberFormat="1">
      <alignment horizontal="right"/>
    </xf>
    <xf borderId="0" fillId="0" fontId="20" numFmtId="166" xfId="0" applyAlignment="1" applyFont="1" applyNumberFormat="1">
      <alignment horizontal="right"/>
    </xf>
    <xf borderId="8" fillId="5" fontId="20" numFmtId="0" xfId="0" applyAlignment="1" applyBorder="1" applyFont="1">
      <alignment horizontal="right"/>
    </xf>
    <xf borderId="0" fillId="0" fontId="20" numFmtId="164" xfId="0" applyFont="1" applyNumberFormat="1"/>
    <xf borderId="0" fillId="0" fontId="20" numFmtId="164" xfId="0" applyAlignment="1" applyFont="1" applyNumberFormat="1">
      <alignment horizontal="right"/>
    </xf>
    <xf borderId="0" fillId="0" fontId="16" numFmtId="0" xfId="0" applyAlignment="1" applyFont="1">
      <alignment horizontal="left"/>
    </xf>
    <xf borderId="0" fillId="0" fontId="18" numFmtId="165" xfId="0" applyFont="1" applyNumberFormat="1"/>
    <xf borderId="8" fillId="8" fontId="20" numFmtId="170" xfId="0" applyBorder="1" applyFill="1" applyFont="1" applyNumberFormat="1"/>
    <xf borderId="8" fillId="9" fontId="20" numFmtId="9" xfId="0" applyBorder="1" applyFill="1" applyFont="1" applyNumberFormat="1"/>
    <xf borderId="0" fillId="0" fontId="19" numFmtId="166" xfId="0" applyFont="1" applyNumberFormat="1"/>
    <xf borderId="0" fillId="0" fontId="20" numFmtId="169" xfId="0" applyFont="1" applyNumberFormat="1"/>
    <xf borderId="8" fillId="5" fontId="16" numFmtId="0" xfId="0" applyAlignment="1" applyBorder="1" applyFont="1">
      <alignment horizontal="left"/>
    </xf>
    <xf borderId="8" fillId="5" fontId="23" numFmtId="164" xfId="0" applyAlignment="1" applyBorder="1" applyFont="1" applyNumberFormat="1">
      <alignment horizontal="right"/>
    </xf>
    <xf borderId="0" fillId="0" fontId="24" numFmtId="0" xfId="0" applyFont="1"/>
    <xf borderId="0" fillId="0" fontId="25" numFmtId="0" xfId="0" applyFont="1"/>
    <xf borderId="0" fillId="0" fontId="25" numFmtId="170" xfId="0" applyFont="1" applyNumberFormat="1"/>
    <xf borderId="0" fillId="0" fontId="26" numFmtId="0" xfId="0" applyFont="1"/>
    <xf borderId="0" fillId="0" fontId="27" numFmtId="0" xfId="0" applyFont="1"/>
    <xf borderId="0" fillId="0" fontId="28" numFmtId="0" xfId="0" applyFont="1"/>
    <xf borderId="0" fillId="0" fontId="29" numFmtId="0" xfId="0" applyFont="1"/>
    <xf borderId="0" fillId="0" fontId="16" numFmtId="170" xfId="0" applyFont="1" applyNumberFormat="1"/>
    <xf borderId="8" fillId="5" fontId="20" numFmtId="170" xfId="0" applyBorder="1" applyFont="1" applyNumberFormat="1"/>
    <xf borderId="8" fillId="5" fontId="20" numFmtId="172" xfId="0" applyBorder="1" applyFont="1" applyNumberFormat="1"/>
    <xf borderId="0" fillId="0" fontId="19" numFmtId="0" xfId="0" applyFont="1"/>
    <xf borderId="8" fillId="10" fontId="20" numFmtId="173" xfId="0" applyAlignment="1" applyBorder="1" applyFill="1" applyFont="1" applyNumberFormat="1">
      <alignment horizontal="right"/>
    </xf>
    <xf borderId="8" fillId="5" fontId="20" numFmtId="0" xfId="0" applyBorder="1" applyFont="1"/>
    <xf borderId="8" fillId="5" fontId="23" numFmtId="0" xfId="0" applyAlignment="1" applyBorder="1" applyFont="1">
      <alignment horizontal="right"/>
    </xf>
    <xf borderId="8" fillId="10" fontId="20" numFmtId="0" xfId="0" applyAlignment="1" applyBorder="1" applyFont="1">
      <alignment horizontal="right"/>
    </xf>
    <xf borderId="8" fillId="5" fontId="30" numFmtId="0" xfId="0" applyBorder="1" applyFont="1"/>
    <xf borderId="0" fillId="0" fontId="22" numFmtId="164" xfId="0" applyAlignment="1" applyFont="1" applyNumberFormat="1">
      <alignment horizontal="right"/>
    </xf>
    <xf borderId="8" fillId="5" fontId="20" numFmtId="165" xfId="0" applyAlignment="1" applyBorder="1" applyFont="1" applyNumberFormat="1">
      <alignment horizontal="right"/>
    </xf>
    <xf borderId="8" fillId="10" fontId="20" numFmtId="0" xfId="0" applyBorder="1" applyFont="1"/>
    <xf borderId="8" fillId="10" fontId="20" numFmtId="164" xfId="0" applyAlignment="1" applyBorder="1" applyFont="1" applyNumberFormat="1">
      <alignment horizontal="right"/>
    </xf>
    <xf borderId="8" fillId="5" fontId="20" numFmtId="164" xfId="0" applyBorder="1" applyFont="1" applyNumberFormat="1"/>
    <xf borderId="8" fillId="10" fontId="20" numFmtId="164" xfId="0" applyBorder="1" applyFont="1" applyNumberFormat="1"/>
    <xf borderId="8" fillId="10" fontId="20" numFmtId="165" xfId="0" applyAlignment="1" applyBorder="1" applyFont="1" applyNumberFormat="1">
      <alignment horizontal="right"/>
    </xf>
    <xf borderId="0" fillId="0" fontId="20" numFmtId="10" xfId="0" applyFont="1" applyNumberFormat="1"/>
    <xf borderId="8" fillId="10" fontId="20" numFmtId="9" xfId="0" applyAlignment="1" applyBorder="1" applyFont="1" applyNumberFormat="1">
      <alignment horizontal="right"/>
    </xf>
    <xf borderId="0" fillId="0" fontId="16" numFmtId="3" xfId="0" applyFont="1" applyNumberFormat="1"/>
    <xf borderId="0" fillId="0" fontId="16" numFmtId="0" xfId="0" applyAlignment="1" applyFont="1">
      <alignment horizontal="center"/>
    </xf>
    <xf borderId="0" fillId="0" fontId="16" numFmtId="0" xfId="0" applyAlignment="1" applyFont="1">
      <alignment horizontal="center" shrinkToFit="0" wrapText="1"/>
    </xf>
    <xf borderId="0" fillId="0" fontId="16" numFmtId="2" xfId="0" applyFont="1" applyNumberFormat="1"/>
    <xf borderId="8" fillId="9" fontId="16" numFmtId="170" xfId="0" applyBorder="1" applyFont="1" applyNumberFormat="1"/>
    <xf borderId="8" fillId="9" fontId="16" numFmtId="3" xfId="0" applyBorder="1" applyFont="1" applyNumberFormat="1"/>
    <xf borderId="9" fillId="0" fontId="16" numFmtId="0" xfId="0" applyBorder="1" applyFont="1"/>
    <xf borderId="0" fillId="0" fontId="18" numFmtId="170" xfId="0" applyFont="1" applyNumberFormat="1"/>
    <xf borderId="8" fillId="4" fontId="16" numFmtId="0" xfId="0" applyBorder="1" applyFont="1"/>
    <xf borderId="0" fillId="0" fontId="31" numFmtId="0" xfId="0" applyFont="1"/>
    <xf borderId="9" fillId="0" fontId="31" numFmtId="0" xfId="0" applyBorder="1" applyFont="1"/>
    <xf borderId="0" fillId="0" fontId="16" numFmtId="14" xfId="0" applyAlignment="1" applyFont="1" applyNumberFormat="1">
      <alignment horizontal="center"/>
    </xf>
    <xf borderId="8" fillId="2" fontId="20" numFmtId="170" xfId="0" applyBorder="1" applyFont="1" applyNumberFormat="1"/>
    <xf borderId="14" fillId="2" fontId="20" numFmtId="170" xfId="0" applyBorder="1" applyFont="1" applyNumberFormat="1"/>
    <xf borderId="9" fillId="0" fontId="16" numFmtId="3" xfId="0" applyBorder="1" applyFont="1" applyNumberFormat="1"/>
    <xf borderId="9" fillId="0" fontId="16" numFmtId="173" xfId="0" applyBorder="1" applyFont="1" applyNumberFormat="1"/>
    <xf borderId="8" fillId="2" fontId="20" numFmtId="173" xfId="0" applyAlignment="1" applyBorder="1" applyFont="1" applyNumberFormat="1">
      <alignment horizontal="right"/>
    </xf>
    <xf borderId="8" fillId="2" fontId="20" numFmtId="169" xfId="0" applyAlignment="1" applyBorder="1" applyFont="1" applyNumberFormat="1">
      <alignment horizontal="right"/>
    </xf>
    <xf borderId="14" fillId="2" fontId="20" numFmtId="169" xfId="0" applyBorder="1" applyFont="1" applyNumberFormat="1"/>
    <xf borderId="0" fillId="0" fontId="20" numFmtId="173" xfId="0" applyAlignment="1" applyFont="1" applyNumberFormat="1">
      <alignment horizontal="right"/>
    </xf>
    <xf borderId="0" fillId="0" fontId="20" numFmtId="173" xfId="0" applyFont="1" applyNumberFormat="1"/>
    <xf borderId="0" fillId="0" fontId="20" numFmtId="171" xfId="0" applyFont="1" applyNumberFormat="1"/>
    <xf borderId="0" fillId="0" fontId="20" numFmtId="174" xfId="0" applyFont="1" applyNumberFormat="1"/>
    <xf borderId="8" fillId="11" fontId="20" numFmtId="0" xfId="0" applyBorder="1" applyFill="1" applyFont="1"/>
    <xf borderId="8" fillId="11" fontId="20" numFmtId="166" xfId="0" applyBorder="1" applyFont="1" applyNumberFormat="1"/>
    <xf borderId="8" fillId="8" fontId="16" numFmtId="166" xfId="0" applyBorder="1" applyFont="1" applyNumberFormat="1"/>
    <xf borderId="8" fillId="4" fontId="20" numFmtId="166" xfId="0" applyBorder="1" applyFont="1" applyNumberFormat="1"/>
    <xf borderId="8" fillId="2" fontId="20" numFmtId="165" xfId="0" applyBorder="1" applyFont="1" applyNumberFormat="1"/>
    <xf borderId="8" fillId="4" fontId="20" numFmtId="0" xfId="0" applyBorder="1" applyFont="1"/>
    <xf borderId="8" fillId="8" fontId="20" numFmtId="0" xfId="0" applyBorder="1" applyFont="1"/>
    <xf borderId="8" fillId="11" fontId="16" numFmtId="0" xfId="0" applyAlignment="1" applyBorder="1" applyFont="1">
      <alignment horizontal="left"/>
    </xf>
    <xf borderId="8" fillId="11" fontId="16" numFmtId="166" xfId="0" applyBorder="1" applyFont="1" applyNumberFormat="1"/>
    <xf borderId="8" fillId="2" fontId="16" numFmtId="0" xfId="0" applyBorder="1" applyFont="1"/>
    <xf borderId="8" fillId="2" fontId="16" numFmtId="175" xfId="0" applyBorder="1" applyFont="1" applyNumberFormat="1"/>
    <xf borderId="0" fillId="0" fontId="32" numFmtId="166" xfId="0" applyFont="1" applyNumberFormat="1"/>
    <xf borderId="14" fillId="10" fontId="16" numFmtId="9" xfId="0" applyBorder="1" applyFont="1" applyNumberFormat="1"/>
    <xf borderId="9" fillId="0" fontId="16" numFmtId="9" xfId="0" applyBorder="1" applyFont="1" applyNumberFormat="1"/>
    <xf borderId="0" fillId="0" fontId="33" numFmtId="0" xfId="0" applyFont="1"/>
    <xf borderId="0" fillId="0" fontId="18" numFmtId="3" xfId="0" applyFont="1" applyNumberFormat="1"/>
    <xf borderId="8" fillId="5" fontId="31" numFmtId="0" xfId="0" applyAlignment="1" applyBorder="1" applyFont="1">
      <alignment horizontal="left"/>
    </xf>
    <xf borderId="9" fillId="0" fontId="20" numFmtId="170" xfId="0" applyBorder="1" applyFont="1" applyNumberFormat="1"/>
    <xf borderId="0" fillId="0" fontId="20" numFmtId="3" xfId="0" applyFont="1" applyNumberFormat="1"/>
    <xf borderId="8" fillId="8" fontId="22" numFmtId="0" xfId="0" applyBorder="1" applyFont="1"/>
    <xf borderId="8" fillId="8" fontId="20" numFmtId="171" xfId="0" applyBorder="1" applyFont="1" applyNumberFormat="1"/>
    <xf borderId="0" fillId="0" fontId="19" numFmtId="164" xfId="0" applyFont="1" applyNumberFormat="1"/>
    <xf borderId="0" fillId="0" fontId="34" numFmtId="164" xfId="0" applyFont="1" applyNumberFormat="1"/>
    <xf borderId="0" fillId="0" fontId="20" numFmtId="9" xfId="0" applyFont="1" applyNumberFormat="1"/>
    <xf borderId="8" fillId="5" fontId="16" numFmtId="164" xfId="0" applyAlignment="1" applyBorder="1" applyFont="1" applyNumberFormat="1">
      <alignment horizontal="righ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Total sales per-month</a:t>
            </a:r>
          </a:p>
        </c:rich>
      </c:tx>
      <c:overlay val="0"/>
    </c:title>
    <c:plotArea>
      <c:layout/>
      <c:barChart>
        <c:barDir val="col"/>
        <c:ser>
          <c:idx val="0"/>
          <c:order val="0"/>
          <c:tx>
            <c:v> 2,770 </c:v>
          </c:tx>
          <c:spPr>
            <a:solidFill>
              <a:srgbClr val="4472C4"/>
            </a:solidFill>
            <a:ln cmpd="sng">
              <a:solidFill>
                <a:srgbClr val="000000"/>
              </a:solidFill>
            </a:ln>
          </c:spPr>
          <c:cat>
            <c:strRef>
              <c:f>'P&amp;L Cash Flow Monthly'!$C$8:$BB$8</c:f>
            </c:strRef>
          </c:cat>
          <c:val>
            <c:numRef>
              <c:f>'P&amp;L Cash Flow Monthly'!$C$15:$BB$15</c:f>
              <c:numCache/>
            </c:numRef>
          </c:val>
        </c:ser>
        <c:axId val="1743852418"/>
        <c:axId val="1221949373"/>
      </c:barChart>
      <c:catAx>
        <c:axId val="1743852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221949373"/>
      </c:catAx>
      <c:valAx>
        <c:axId val="12219493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Total sales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43852418"/>
      </c:valAx>
    </c:plotArea>
    <c:legend>
      <c:legendPos val="r"/>
      <c:overlay val="0"/>
      <c:txPr>
        <a:bodyPr/>
        <a:lstStyle/>
        <a:p>
          <a:pPr lvl="0">
            <a:defRPr b="0" i="0">
              <a:solidFill>
                <a:srgbClr val="1A1A1A"/>
              </a:solidFill>
              <a:latin typeface="+mn-lt"/>
            </a:defRPr>
          </a:pPr>
        </a:p>
      </c:txPr>
    </c:legend>
    <c:plotVisOnly val="1"/>
  </c:chart>
</c:chartSpace>
</file>

<file path=xl/drawings/_rels/drawing18.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648950" cy="5362575"/>
    <xdr:graphicFrame>
      <xdr:nvGraphicFramePr>
        <xdr:cNvPr id="1077161318"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5.xml"/><Relationship Id="rId3"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3" max="3" width="21.71"/>
    <col customWidth="1" min="4" max="4" width="57.71"/>
    <col customWidth="1" min="5" max="5" width="16.57"/>
    <col customWidth="1" min="6" max="6" width="28.57"/>
    <col customWidth="1" min="7" max="7" width="34.71"/>
  </cols>
  <sheetData>
    <row r="1">
      <c r="A1" s="1"/>
      <c r="B1" s="1"/>
      <c r="C1" s="1"/>
      <c r="D1" s="1"/>
      <c r="E1" s="1"/>
      <c r="F1" s="1"/>
      <c r="G1" s="1"/>
      <c r="H1" s="1"/>
      <c r="I1" s="1"/>
      <c r="J1" s="1"/>
      <c r="K1" s="1"/>
      <c r="L1" s="1"/>
      <c r="M1" s="2"/>
      <c r="N1" s="1"/>
      <c r="O1" s="1"/>
      <c r="P1" s="1"/>
      <c r="Q1" s="1"/>
      <c r="R1" s="1"/>
      <c r="S1" s="1"/>
      <c r="T1" s="1"/>
      <c r="U1" s="1"/>
      <c r="V1" s="1"/>
      <c r="W1" s="1"/>
      <c r="X1" s="1"/>
      <c r="Y1" s="1"/>
      <c r="Z1" s="1"/>
      <c r="AA1" s="1"/>
    </row>
    <row r="2">
      <c r="A2" s="3"/>
      <c r="B2" s="4" t="s">
        <v>0</v>
      </c>
      <c r="C2" s="1"/>
      <c r="D2" s="1"/>
      <c r="E2" s="1"/>
      <c r="F2" s="1"/>
      <c r="G2" s="1"/>
      <c r="H2" s="1"/>
      <c r="I2" s="1"/>
      <c r="J2" s="1"/>
      <c r="K2" s="1"/>
      <c r="L2" s="1"/>
      <c r="M2" s="2"/>
      <c r="N2" s="1"/>
      <c r="O2" s="1"/>
      <c r="P2" s="1"/>
      <c r="Q2" s="1"/>
      <c r="R2" s="1"/>
      <c r="S2" s="1"/>
      <c r="T2" s="1"/>
      <c r="U2" s="1"/>
      <c r="V2" s="1"/>
      <c r="W2" s="1"/>
      <c r="X2" s="1"/>
      <c r="Y2" s="1"/>
      <c r="Z2" s="1"/>
      <c r="AA2" s="1"/>
    </row>
    <row r="3">
      <c r="A3" s="1"/>
      <c r="B3" s="1"/>
      <c r="C3" s="1"/>
      <c r="D3" s="1"/>
      <c r="E3" s="1"/>
      <c r="F3" s="1"/>
      <c r="G3" s="1"/>
      <c r="H3" s="1"/>
      <c r="I3" s="1"/>
      <c r="J3" s="1"/>
      <c r="K3" s="1"/>
      <c r="L3" s="1"/>
      <c r="M3" s="2"/>
      <c r="N3" s="1"/>
      <c r="O3" s="1"/>
      <c r="P3" s="1"/>
      <c r="Q3" s="1"/>
      <c r="R3" s="1"/>
      <c r="S3" s="1"/>
      <c r="T3" s="1"/>
      <c r="U3" s="1"/>
      <c r="V3" s="1"/>
      <c r="W3" s="1"/>
      <c r="X3" s="1"/>
      <c r="Y3" s="1"/>
      <c r="Z3" s="1"/>
      <c r="AA3" s="1"/>
    </row>
    <row r="4">
      <c r="A4" s="5"/>
      <c r="B4" s="6" t="s">
        <v>1</v>
      </c>
      <c r="C4" s="1"/>
      <c r="D4" s="1"/>
      <c r="E4" s="1"/>
      <c r="F4" s="1"/>
      <c r="G4" s="1"/>
      <c r="H4" s="1"/>
      <c r="I4" s="1"/>
      <c r="J4" s="1"/>
      <c r="K4" s="1"/>
      <c r="L4" s="1"/>
      <c r="M4" s="2"/>
      <c r="N4" s="1"/>
      <c r="O4" s="1"/>
      <c r="P4" s="1"/>
      <c r="Q4" s="1"/>
      <c r="R4" s="1"/>
      <c r="S4" s="1"/>
      <c r="T4" s="1"/>
      <c r="U4" s="1"/>
      <c r="V4" s="1"/>
      <c r="W4" s="1"/>
      <c r="X4" s="1"/>
      <c r="Y4" s="1"/>
      <c r="Z4" s="1"/>
      <c r="AA4" s="1"/>
    </row>
    <row r="5">
      <c r="A5" s="1"/>
      <c r="B5" s="1"/>
      <c r="C5" s="5" t="s">
        <v>2</v>
      </c>
      <c r="D5" s="1"/>
      <c r="E5" s="1"/>
      <c r="F5" s="1"/>
      <c r="G5" s="1"/>
      <c r="H5" s="1"/>
      <c r="I5" s="1"/>
      <c r="J5" s="1"/>
      <c r="K5" s="1"/>
      <c r="L5" s="1"/>
      <c r="M5" s="2" t="s">
        <v>3</v>
      </c>
      <c r="N5" s="1"/>
      <c r="O5" s="1"/>
      <c r="P5" s="1"/>
      <c r="Q5" s="1"/>
      <c r="R5" s="1"/>
      <c r="S5" s="1"/>
      <c r="T5" s="1"/>
      <c r="U5" s="1"/>
      <c r="V5" s="1"/>
      <c r="W5" s="1"/>
      <c r="X5" s="1"/>
      <c r="Y5" s="1"/>
      <c r="Z5" s="1"/>
      <c r="AA5" s="1"/>
    </row>
    <row r="6">
      <c r="A6" s="1"/>
      <c r="B6" s="1"/>
      <c r="C6" s="5" t="s">
        <v>4</v>
      </c>
      <c r="M6" s="2" t="s">
        <v>5</v>
      </c>
      <c r="N6" s="1"/>
      <c r="O6" s="1"/>
      <c r="P6" s="1"/>
      <c r="Q6" s="1"/>
      <c r="R6" s="1"/>
      <c r="S6" s="1"/>
      <c r="T6" s="1"/>
      <c r="U6" s="1"/>
      <c r="V6" s="1"/>
      <c r="W6" s="1"/>
      <c r="X6" s="1"/>
      <c r="Y6" s="1"/>
      <c r="Z6" s="1"/>
      <c r="AA6" s="1"/>
    </row>
    <row r="7">
      <c r="A7" s="1"/>
      <c r="B7" s="1"/>
      <c r="C7" s="1"/>
      <c r="D7" s="1"/>
      <c r="E7" s="1"/>
      <c r="F7" s="1"/>
      <c r="G7" s="1"/>
      <c r="H7" s="1"/>
      <c r="I7" s="1"/>
      <c r="J7" s="1"/>
      <c r="K7" s="1"/>
      <c r="L7" s="1"/>
      <c r="M7" s="2"/>
      <c r="N7" s="1"/>
      <c r="O7" s="1"/>
      <c r="P7" s="1"/>
      <c r="Q7" s="1"/>
      <c r="R7" s="1"/>
      <c r="S7" s="1"/>
      <c r="T7" s="1"/>
      <c r="U7" s="1"/>
      <c r="V7" s="1"/>
      <c r="W7" s="1"/>
      <c r="X7" s="1"/>
      <c r="Y7" s="1"/>
      <c r="Z7" s="1"/>
      <c r="AA7" s="1"/>
    </row>
    <row r="8">
      <c r="A8" s="5"/>
      <c r="B8" s="6" t="s">
        <v>6</v>
      </c>
      <c r="C8" s="1"/>
      <c r="D8" s="1"/>
      <c r="E8" s="1"/>
      <c r="F8" s="1"/>
      <c r="G8" s="1"/>
      <c r="H8" s="1"/>
      <c r="I8" s="1"/>
      <c r="J8" s="1"/>
      <c r="K8" s="1"/>
      <c r="L8" s="1"/>
      <c r="M8" s="2"/>
      <c r="N8" s="1"/>
      <c r="O8" s="1"/>
      <c r="P8" s="1"/>
      <c r="Q8" s="1"/>
      <c r="R8" s="1"/>
      <c r="S8" s="1"/>
      <c r="T8" s="1"/>
      <c r="U8" s="1"/>
      <c r="V8" s="1"/>
      <c r="W8" s="1"/>
      <c r="X8" s="1"/>
      <c r="Y8" s="1"/>
      <c r="Z8" s="1"/>
      <c r="AA8" s="1"/>
    </row>
    <row r="9">
      <c r="A9" s="1"/>
      <c r="B9" s="1"/>
      <c r="C9" s="5" t="s">
        <v>7</v>
      </c>
      <c r="M9" s="2" t="s">
        <v>3</v>
      </c>
      <c r="N9" s="1"/>
      <c r="O9" s="1"/>
      <c r="P9" s="1"/>
      <c r="Q9" s="1"/>
      <c r="R9" s="1"/>
      <c r="S9" s="1"/>
      <c r="T9" s="1"/>
      <c r="U9" s="1"/>
      <c r="V9" s="1"/>
      <c r="W9" s="1"/>
      <c r="X9" s="1"/>
      <c r="Y9" s="1"/>
      <c r="Z9" s="1"/>
      <c r="AA9" s="1"/>
    </row>
    <row r="10">
      <c r="A10" s="1"/>
      <c r="B10" s="1"/>
      <c r="C10" s="5" t="s">
        <v>8</v>
      </c>
      <c r="M10" s="2" t="s">
        <v>3</v>
      </c>
      <c r="N10" s="1"/>
      <c r="O10" s="1"/>
      <c r="P10" s="1"/>
      <c r="Q10" s="1"/>
      <c r="R10" s="1"/>
      <c r="S10" s="1"/>
      <c r="T10" s="1"/>
      <c r="U10" s="1"/>
      <c r="V10" s="1"/>
      <c r="W10" s="1"/>
      <c r="X10" s="1"/>
      <c r="Y10" s="1"/>
      <c r="Z10" s="1"/>
      <c r="AA10" s="1"/>
    </row>
    <row r="11">
      <c r="A11" s="1"/>
      <c r="B11" s="1"/>
      <c r="C11" s="5" t="s">
        <v>9</v>
      </c>
      <c r="M11" s="2" t="s">
        <v>5</v>
      </c>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2"/>
      <c r="N12" s="1"/>
      <c r="O12" s="1"/>
      <c r="P12" s="1"/>
      <c r="Q12" s="1"/>
      <c r="R12" s="1"/>
      <c r="S12" s="1"/>
      <c r="T12" s="1"/>
      <c r="U12" s="1"/>
      <c r="V12" s="1"/>
      <c r="W12" s="1"/>
      <c r="X12" s="1"/>
      <c r="Y12" s="1"/>
      <c r="Z12" s="1"/>
      <c r="AA12" s="1"/>
    </row>
    <row r="13">
      <c r="A13" s="3"/>
      <c r="B13" s="6" t="s">
        <v>10</v>
      </c>
      <c r="C13" s="1"/>
      <c r="D13" s="1"/>
      <c r="E13" s="1"/>
      <c r="F13" s="1"/>
      <c r="G13" s="1"/>
      <c r="H13" s="1"/>
      <c r="I13" s="1"/>
      <c r="J13" s="1"/>
      <c r="K13" s="1"/>
      <c r="L13" s="1"/>
      <c r="M13" s="2"/>
      <c r="N13" s="1"/>
      <c r="O13" s="1"/>
      <c r="P13" s="1"/>
      <c r="Q13" s="1"/>
      <c r="R13" s="1"/>
      <c r="S13" s="1"/>
      <c r="T13" s="1"/>
      <c r="U13" s="1"/>
      <c r="V13" s="1"/>
      <c r="W13" s="1"/>
      <c r="X13" s="1"/>
      <c r="Y13" s="1"/>
      <c r="Z13" s="1"/>
      <c r="AA13" s="1"/>
    </row>
    <row r="14">
      <c r="A14" s="1"/>
      <c r="B14" s="1"/>
      <c r="C14" s="5" t="s">
        <v>11</v>
      </c>
      <c r="M14" s="2" t="s">
        <v>5</v>
      </c>
      <c r="N14" s="1"/>
      <c r="O14" s="1"/>
      <c r="P14" s="1"/>
      <c r="Q14" s="1"/>
      <c r="R14" s="1"/>
      <c r="S14" s="1"/>
      <c r="T14" s="1"/>
      <c r="U14" s="1"/>
      <c r="V14" s="1"/>
      <c r="W14" s="1"/>
      <c r="X14" s="1"/>
      <c r="Y14" s="1"/>
      <c r="Z14" s="1"/>
      <c r="AA14" s="1"/>
    </row>
    <row r="15">
      <c r="A15" s="1"/>
      <c r="B15" s="1"/>
      <c r="C15" s="5" t="s">
        <v>12</v>
      </c>
      <c r="M15" s="2" t="s">
        <v>5</v>
      </c>
      <c r="N15" s="1"/>
      <c r="O15" s="1"/>
      <c r="P15" s="1"/>
      <c r="Q15" s="1"/>
      <c r="R15" s="1"/>
      <c r="S15" s="1"/>
      <c r="T15" s="1"/>
      <c r="U15" s="1"/>
      <c r="V15" s="1"/>
      <c r="W15" s="1"/>
      <c r="X15" s="1"/>
      <c r="Y15" s="1"/>
      <c r="Z15" s="1"/>
      <c r="AA15" s="1"/>
    </row>
    <row r="16">
      <c r="A16" s="1"/>
      <c r="B16" s="1"/>
      <c r="C16" s="5" t="s">
        <v>13</v>
      </c>
      <c r="M16" s="2" t="s">
        <v>5</v>
      </c>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2"/>
      <c r="N17" s="1"/>
      <c r="O17" s="1"/>
      <c r="P17" s="1"/>
      <c r="Q17" s="1"/>
      <c r="R17" s="1"/>
      <c r="S17" s="1"/>
      <c r="T17" s="1"/>
      <c r="U17" s="1"/>
      <c r="V17" s="1"/>
      <c r="W17" s="1"/>
      <c r="X17" s="1"/>
      <c r="Y17" s="1"/>
      <c r="Z17" s="1"/>
      <c r="AA17" s="1"/>
    </row>
    <row r="18">
      <c r="A18" s="3"/>
      <c r="B18" s="6" t="s">
        <v>14</v>
      </c>
      <c r="C18" s="1"/>
      <c r="D18" s="1"/>
      <c r="E18" s="1"/>
      <c r="F18" s="1"/>
      <c r="G18" s="1"/>
      <c r="H18" s="1"/>
      <c r="I18" s="1"/>
      <c r="J18" s="1"/>
      <c r="K18" s="1"/>
      <c r="L18" s="1"/>
      <c r="M18" s="2"/>
      <c r="N18" s="1"/>
      <c r="O18" s="1"/>
      <c r="P18" s="1"/>
      <c r="Q18" s="1"/>
      <c r="R18" s="1"/>
      <c r="S18" s="1"/>
      <c r="T18" s="1"/>
      <c r="U18" s="1"/>
      <c r="V18" s="1"/>
      <c r="W18" s="1"/>
      <c r="X18" s="1"/>
      <c r="Y18" s="1"/>
      <c r="Z18" s="1"/>
      <c r="AA18" s="1"/>
    </row>
    <row r="19">
      <c r="A19" s="1"/>
      <c r="B19" s="1"/>
      <c r="C19" s="7" t="s">
        <v>15</v>
      </c>
      <c r="M19" s="2" t="s">
        <v>5</v>
      </c>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2"/>
      <c r="N20" s="1"/>
      <c r="O20" s="1"/>
      <c r="P20" s="1"/>
      <c r="Q20" s="1"/>
      <c r="R20" s="1"/>
      <c r="S20" s="1"/>
      <c r="T20" s="1"/>
      <c r="U20" s="1"/>
      <c r="V20" s="1"/>
      <c r="W20" s="1"/>
      <c r="X20" s="1"/>
      <c r="Y20" s="1"/>
      <c r="Z20" s="1"/>
      <c r="AA20" s="1"/>
    </row>
    <row r="21">
      <c r="A21" s="3"/>
      <c r="B21" s="8" t="s">
        <v>16</v>
      </c>
      <c r="M21" s="2"/>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2"/>
      <c r="N22" s="1"/>
      <c r="O22" s="1"/>
      <c r="P22" s="1"/>
      <c r="Q22" s="1"/>
      <c r="R22" s="1"/>
      <c r="S22" s="1"/>
      <c r="T22" s="1"/>
      <c r="U22" s="1"/>
      <c r="V22" s="1"/>
      <c r="W22" s="1"/>
      <c r="X22" s="1"/>
      <c r="Y22" s="1"/>
      <c r="Z22" s="1"/>
      <c r="AA22" s="1"/>
    </row>
    <row r="23">
      <c r="A23" s="3"/>
      <c r="B23" s="6" t="s">
        <v>1</v>
      </c>
      <c r="C23" s="1"/>
      <c r="D23" s="1"/>
      <c r="E23" s="1"/>
      <c r="F23" s="1"/>
      <c r="G23" s="1"/>
      <c r="H23" s="1"/>
      <c r="I23" s="1"/>
      <c r="J23" s="1"/>
      <c r="K23" s="1"/>
      <c r="L23" s="1"/>
      <c r="M23" s="2"/>
      <c r="N23" s="1"/>
      <c r="O23" s="1"/>
      <c r="P23" s="1"/>
      <c r="Q23" s="1"/>
      <c r="R23" s="1"/>
      <c r="S23" s="1"/>
      <c r="T23" s="1"/>
      <c r="U23" s="1"/>
      <c r="V23" s="1"/>
      <c r="W23" s="1"/>
      <c r="X23" s="1"/>
      <c r="Y23" s="1"/>
      <c r="Z23" s="1"/>
      <c r="AA23" s="1"/>
    </row>
    <row r="24">
      <c r="A24" s="1"/>
      <c r="B24" s="1"/>
      <c r="C24" s="5" t="s">
        <v>17</v>
      </c>
      <c r="D24" s="1"/>
      <c r="E24" s="1"/>
      <c r="F24" s="1"/>
      <c r="G24" s="1"/>
      <c r="H24" s="1"/>
      <c r="I24" s="1"/>
      <c r="J24" s="1"/>
      <c r="K24" s="1"/>
      <c r="L24" s="1"/>
      <c r="M24" s="2"/>
      <c r="N24" s="1"/>
      <c r="O24" s="1"/>
      <c r="P24" s="1"/>
      <c r="Q24" s="1"/>
      <c r="R24" s="1"/>
      <c r="S24" s="1"/>
      <c r="T24" s="1"/>
      <c r="U24" s="1"/>
      <c r="V24" s="1"/>
      <c r="W24" s="1"/>
      <c r="X24" s="1"/>
      <c r="Y24" s="1"/>
      <c r="Z24" s="1"/>
      <c r="AA24" s="1"/>
    </row>
    <row r="25">
      <c r="A25" s="1"/>
      <c r="B25" s="1"/>
      <c r="C25" s="5" t="s">
        <v>18</v>
      </c>
      <c r="D25" s="1"/>
      <c r="E25" s="1"/>
      <c r="F25" s="1"/>
      <c r="G25" s="1"/>
      <c r="H25" s="1"/>
      <c r="I25" s="1"/>
      <c r="J25" s="1"/>
      <c r="K25" s="1"/>
      <c r="L25" s="1"/>
      <c r="M25" s="2"/>
      <c r="N25" s="1"/>
      <c r="O25" s="1"/>
      <c r="P25" s="1"/>
      <c r="Q25" s="1"/>
      <c r="R25" s="1"/>
      <c r="S25" s="1"/>
      <c r="T25" s="1"/>
      <c r="U25" s="1"/>
      <c r="V25" s="1"/>
      <c r="W25" s="1"/>
      <c r="X25" s="1"/>
      <c r="Y25" s="1"/>
      <c r="Z25" s="1"/>
      <c r="AA25" s="1"/>
    </row>
    <row r="26">
      <c r="A26" s="1"/>
      <c r="B26" s="1"/>
      <c r="C26" s="5" t="s">
        <v>19</v>
      </c>
      <c r="D26" s="1"/>
      <c r="E26" s="1"/>
      <c r="F26" s="1"/>
      <c r="G26" s="1"/>
      <c r="H26" s="1"/>
      <c r="I26" s="1"/>
      <c r="J26" s="1"/>
      <c r="K26" s="1"/>
      <c r="L26" s="1"/>
      <c r="M26" s="2"/>
      <c r="N26" s="1"/>
      <c r="O26" s="1"/>
      <c r="P26" s="1"/>
      <c r="Q26" s="1"/>
      <c r="R26" s="1"/>
      <c r="S26" s="1"/>
      <c r="T26" s="1"/>
      <c r="U26" s="1"/>
      <c r="V26" s="1"/>
      <c r="W26" s="1"/>
      <c r="X26" s="1"/>
      <c r="Y26" s="1"/>
      <c r="Z26" s="1"/>
      <c r="AA26" s="1"/>
    </row>
    <row r="27">
      <c r="A27" s="1"/>
      <c r="B27" s="1"/>
      <c r="C27" s="5" t="s">
        <v>20</v>
      </c>
      <c r="D27" s="1"/>
      <c r="E27" s="1"/>
      <c r="F27" s="1"/>
      <c r="G27" s="1"/>
      <c r="H27" s="1"/>
      <c r="I27" s="1"/>
      <c r="J27" s="1"/>
      <c r="K27" s="1"/>
      <c r="L27" s="1"/>
      <c r="M27" s="2" t="s">
        <v>5</v>
      </c>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2"/>
      <c r="N28" s="1"/>
      <c r="O28" s="1"/>
      <c r="P28" s="1"/>
      <c r="Q28" s="1"/>
      <c r="R28" s="1"/>
      <c r="S28" s="1"/>
      <c r="T28" s="1"/>
      <c r="U28" s="1"/>
      <c r="V28" s="1"/>
      <c r="W28" s="1"/>
      <c r="X28" s="1"/>
      <c r="Y28" s="1"/>
      <c r="Z28" s="1"/>
      <c r="AA28" s="1"/>
    </row>
    <row r="29">
      <c r="A29" s="3"/>
      <c r="B29" s="6" t="s">
        <v>21</v>
      </c>
      <c r="C29" s="1"/>
      <c r="D29" s="1"/>
      <c r="E29" s="1"/>
      <c r="F29" s="1"/>
      <c r="G29" s="1"/>
      <c r="H29" s="1"/>
      <c r="I29" s="1"/>
      <c r="J29" s="1"/>
      <c r="K29" s="1"/>
      <c r="L29" s="1"/>
      <c r="M29" s="2"/>
      <c r="N29" s="1"/>
      <c r="O29" s="1"/>
      <c r="P29" s="1"/>
      <c r="Q29" s="1"/>
      <c r="R29" s="1"/>
      <c r="S29" s="1"/>
      <c r="T29" s="1"/>
      <c r="U29" s="1"/>
      <c r="V29" s="1"/>
      <c r="W29" s="1"/>
      <c r="X29" s="1"/>
      <c r="Y29" s="1"/>
      <c r="Z29" s="1"/>
      <c r="AA29" s="1"/>
    </row>
    <row r="30">
      <c r="A30" s="1"/>
      <c r="B30" s="1"/>
      <c r="C30" s="5" t="s">
        <v>22</v>
      </c>
      <c r="D30" s="1"/>
      <c r="E30" s="1"/>
      <c r="F30" s="1"/>
      <c r="G30" s="1"/>
      <c r="H30" s="1"/>
      <c r="I30" s="1"/>
      <c r="J30" s="1"/>
      <c r="K30" s="1"/>
      <c r="L30" s="1"/>
      <c r="M30" s="2"/>
      <c r="N30" s="1"/>
      <c r="O30" s="1"/>
      <c r="P30" s="1"/>
      <c r="Q30" s="1"/>
      <c r="R30" s="1"/>
      <c r="S30" s="1"/>
      <c r="T30" s="1"/>
      <c r="U30" s="1"/>
      <c r="V30" s="1"/>
      <c r="W30" s="1"/>
      <c r="X30" s="1"/>
      <c r="Y30" s="1"/>
      <c r="Z30" s="1"/>
      <c r="AA30" s="1"/>
    </row>
    <row r="31">
      <c r="A31" s="1"/>
      <c r="B31" s="1"/>
      <c r="C31" s="5" t="s">
        <v>23</v>
      </c>
      <c r="D31" s="1"/>
      <c r="E31" s="1"/>
      <c r="F31" s="1"/>
      <c r="G31" s="1"/>
      <c r="H31" s="1"/>
      <c r="I31" s="1"/>
      <c r="J31" s="1"/>
      <c r="K31" s="1"/>
      <c r="L31" s="1"/>
      <c r="M31" s="2"/>
      <c r="N31" s="1"/>
      <c r="O31" s="1"/>
      <c r="P31" s="1"/>
      <c r="Q31" s="1"/>
      <c r="R31" s="1"/>
      <c r="S31" s="1"/>
      <c r="T31" s="1"/>
      <c r="U31" s="1"/>
      <c r="V31" s="1"/>
      <c r="W31" s="1"/>
      <c r="X31" s="1"/>
      <c r="Y31" s="1"/>
      <c r="Z31" s="1"/>
      <c r="AA31" s="1"/>
    </row>
    <row r="32">
      <c r="A32" s="1"/>
      <c r="B32" s="1"/>
      <c r="C32" s="5" t="s">
        <v>24</v>
      </c>
      <c r="D32" s="1"/>
      <c r="E32" s="1"/>
      <c r="F32" s="1"/>
      <c r="G32" s="1"/>
      <c r="H32" s="1"/>
      <c r="I32" s="1"/>
      <c r="J32" s="1"/>
      <c r="K32" s="1"/>
      <c r="L32" s="1"/>
      <c r="M32" s="2" t="s">
        <v>5</v>
      </c>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2"/>
      <c r="N33" s="1"/>
      <c r="O33" s="1"/>
      <c r="P33" s="1"/>
      <c r="Q33" s="1"/>
      <c r="R33" s="1"/>
      <c r="S33" s="1"/>
      <c r="T33" s="1"/>
      <c r="U33" s="1"/>
      <c r="V33" s="1"/>
      <c r="W33" s="1"/>
      <c r="X33" s="1"/>
      <c r="Y33" s="1"/>
      <c r="Z33" s="1"/>
      <c r="AA33" s="1"/>
    </row>
    <row r="34">
      <c r="A34" s="3"/>
      <c r="B34" s="6" t="s">
        <v>25</v>
      </c>
      <c r="C34" s="1"/>
      <c r="D34" s="1"/>
      <c r="E34" s="1"/>
      <c r="F34" s="1"/>
      <c r="G34" s="1"/>
      <c r="H34" s="1"/>
      <c r="I34" s="1"/>
      <c r="J34" s="1"/>
      <c r="K34" s="1"/>
      <c r="L34" s="1"/>
      <c r="M34" s="2"/>
      <c r="N34" s="1"/>
      <c r="O34" s="1"/>
      <c r="P34" s="1"/>
      <c r="Q34" s="1"/>
      <c r="R34" s="1"/>
      <c r="S34" s="1"/>
      <c r="T34" s="1"/>
      <c r="U34" s="1"/>
      <c r="V34" s="1"/>
      <c r="W34" s="1"/>
      <c r="X34" s="1"/>
      <c r="Y34" s="1"/>
      <c r="Z34" s="1"/>
      <c r="AA34" s="1"/>
    </row>
    <row r="35">
      <c r="A35" s="1"/>
      <c r="B35" s="1"/>
      <c r="C35" s="5" t="s">
        <v>26</v>
      </c>
      <c r="D35" s="1"/>
      <c r="E35" s="1"/>
      <c r="F35" s="1"/>
      <c r="G35" s="1"/>
      <c r="H35" s="9" t="s">
        <v>27</v>
      </c>
      <c r="L35" s="1"/>
      <c r="M35" s="2"/>
      <c r="N35" s="1"/>
      <c r="O35" s="1"/>
      <c r="P35" s="1"/>
      <c r="Q35" s="1"/>
      <c r="R35" s="1"/>
      <c r="S35" s="1"/>
      <c r="T35" s="1"/>
      <c r="U35" s="1"/>
      <c r="V35" s="1"/>
      <c r="W35" s="1"/>
      <c r="X35" s="1"/>
      <c r="Y35" s="1"/>
      <c r="Z35" s="1"/>
      <c r="AA35" s="1"/>
    </row>
    <row r="36">
      <c r="A36" s="1"/>
      <c r="B36" s="1"/>
      <c r="C36" s="5" t="s">
        <v>28</v>
      </c>
      <c r="D36" s="1"/>
      <c r="E36" s="1"/>
      <c r="F36" s="1"/>
      <c r="G36" s="1"/>
      <c r="H36" s="10">
        <f>'P&amp;L Cash Flow Annual'!D17/'P&amp;L Cash Flow Annual'!D15</f>
        <v>0.7001671076</v>
      </c>
      <c r="I36" s="10">
        <f>'P&amp;L Cash Flow Annual'!E17/'P&amp;L Cash Flow Annual'!E15</f>
        <v>0.6905234602</v>
      </c>
      <c r="J36" s="10">
        <f>'P&amp;L Cash Flow Annual'!F17/'P&amp;L Cash Flow Annual'!F15</f>
        <v>0.6343734198</v>
      </c>
      <c r="K36" s="10">
        <f>(H36+I36+J36)/3</f>
        <v>0.6750213292</v>
      </c>
      <c r="L36" s="1"/>
      <c r="M36" s="2"/>
      <c r="N36" s="1"/>
      <c r="O36" s="1"/>
      <c r="P36" s="1"/>
      <c r="Q36" s="1"/>
      <c r="R36" s="1"/>
      <c r="S36" s="1"/>
      <c r="T36" s="1"/>
      <c r="U36" s="1"/>
      <c r="V36" s="1"/>
      <c r="W36" s="1"/>
      <c r="X36" s="1"/>
      <c r="Y36" s="1"/>
      <c r="Z36" s="1"/>
      <c r="AA36" s="1"/>
    </row>
    <row r="37">
      <c r="A37" s="1"/>
      <c r="B37" s="1"/>
      <c r="C37" s="5" t="s">
        <v>29</v>
      </c>
      <c r="D37" s="1"/>
      <c r="E37" s="1"/>
      <c r="F37" s="1"/>
      <c r="G37" s="1"/>
      <c r="H37" s="1"/>
      <c r="I37" s="1"/>
      <c r="J37" s="1"/>
      <c r="K37" s="1"/>
      <c r="L37" s="1"/>
      <c r="M37" s="2"/>
      <c r="N37" s="1"/>
      <c r="O37" s="1"/>
      <c r="P37" s="1"/>
      <c r="Q37" s="1"/>
      <c r="R37" s="1"/>
      <c r="S37" s="1"/>
      <c r="T37" s="1"/>
      <c r="U37" s="1"/>
      <c r="V37" s="1"/>
      <c r="W37" s="1"/>
      <c r="X37" s="1"/>
      <c r="Y37" s="1"/>
      <c r="Z37" s="1"/>
      <c r="AA37" s="1"/>
    </row>
    <row r="38">
      <c r="A38" s="1"/>
      <c r="B38" s="1"/>
      <c r="C38" s="5" t="s">
        <v>30</v>
      </c>
      <c r="D38" s="1"/>
      <c r="E38" s="1"/>
      <c r="F38" s="1"/>
      <c r="G38" s="1"/>
      <c r="H38" s="1"/>
      <c r="I38" s="1"/>
      <c r="J38" s="1"/>
      <c r="K38" s="1"/>
      <c r="L38" s="1"/>
      <c r="M38" s="2"/>
      <c r="N38" s="1"/>
      <c r="O38" s="1"/>
      <c r="P38" s="1"/>
      <c r="Q38" s="1"/>
      <c r="R38" s="1"/>
      <c r="S38" s="1"/>
      <c r="T38" s="1"/>
      <c r="U38" s="1"/>
      <c r="V38" s="1"/>
      <c r="W38" s="1"/>
      <c r="X38" s="1"/>
      <c r="Y38" s="1"/>
      <c r="Z38" s="1"/>
      <c r="AA38" s="1"/>
    </row>
    <row r="39">
      <c r="A39" s="1"/>
      <c r="B39" s="1"/>
      <c r="C39" s="5" t="s">
        <v>31</v>
      </c>
      <c r="D39" s="1"/>
      <c r="E39" s="1"/>
      <c r="F39" s="1"/>
      <c r="G39" s="1"/>
      <c r="H39" s="1"/>
      <c r="I39" s="1"/>
      <c r="J39" s="1"/>
      <c r="K39" s="1"/>
      <c r="L39" s="1"/>
      <c r="M39" s="2"/>
      <c r="N39" s="1"/>
      <c r="O39" s="1"/>
      <c r="P39" s="1"/>
      <c r="Q39" s="1"/>
      <c r="R39" s="1"/>
      <c r="S39" s="1"/>
      <c r="T39" s="1"/>
      <c r="U39" s="1"/>
      <c r="V39" s="1"/>
      <c r="W39" s="1"/>
      <c r="X39" s="1"/>
      <c r="Y39" s="1"/>
      <c r="Z39" s="1"/>
      <c r="AA39" s="1"/>
    </row>
    <row r="40">
      <c r="A40" s="1"/>
      <c r="B40" s="1"/>
      <c r="C40" s="5" t="s">
        <v>32</v>
      </c>
      <c r="D40" s="1"/>
      <c r="E40" s="1"/>
      <c r="F40" s="1"/>
      <c r="G40" s="1"/>
      <c r="H40" s="1"/>
      <c r="I40" s="1"/>
      <c r="J40" s="1"/>
      <c r="K40" s="1"/>
      <c r="L40" s="1"/>
      <c r="M40" s="2" t="s">
        <v>5</v>
      </c>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2"/>
      <c r="N41" s="1"/>
      <c r="O41" s="1"/>
      <c r="P41" s="1"/>
      <c r="Q41" s="1"/>
      <c r="R41" s="1"/>
      <c r="S41" s="1"/>
      <c r="T41" s="1"/>
      <c r="U41" s="1"/>
      <c r="V41" s="1"/>
      <c r="W41" s="1"/>
      <c r="X41" s="1"/>
      <c r="Y41" s="1"/>
      <c r="Z41" s="1"/>
      <c r="AA41" s="1"/>
    </row>
    <row r="42">
      <c r="A42" s="3"/>
      <c r="B42" s="6" t="s">
        <v>33</v>
      </c>
      <c r="C42" s="1"/>
      <c r="D42" s="1"/>
      <c r="E42" s="1"/>
      <c r="F42" s="1"/>
      <c r="G42" s="1"/>
      <c r="H42" s="1"/>
      <c r="I42" s="1"/>
      <c r="J42" s="1"/>
      <c r="K42" s="1"/>
      <c r="L42" s="1"/>
      <c r="M42" s="2"/>
      <c r="N42" s="1"/>
      <c r="O42" s="1"/>
      <c r="P42" s="1"/>
      <c r="Q42" s="1"/>
      <c r="R42" s="1"/>
      <c r="S42" s="1"/>
      <c r="T42" s="1"/>
      <c r="U42" s="1"/>
      <c r="V42" s="1"/>
      <c r="W42" s="1"/>
      <c r="X42" s="1"/>
      <c r="Y42" s="1"/>
      <c r="Z42" s="1"/>
      <c r="AA42" s="1"/>
    </row>
    <row r="43">
      <c r="A43" s="11"/>
      <c r="B43" s="3"/>
      <c r="C43" s="5" t="s">
        <v>34</v>
      </c>
      <c r="D43" s="1"/>
      <c r="E43" s="1"/>
      <c r="F43" s="1"/>
      <c r="G43" s="1"/>
      <c r="H43" s="1"/>
      <c r="I43" s="1"/>
      <c r="J43" s="1"/>
      <c r="K43" s="1"/>
      <c r="L43" s="1"/>
      <c r="M43" s="2"/>
      <c r="N43" s="1"/>
      <c r="O43" s="1"/>
      <c r="P43" s="1"/>
      <c r="Q43" s="1"/>
      <c r="R43" s="1"/>
      <c r="S43" s="1"/>
      <c r="T43" s="1"/>
      <c r="U43" s="1"/>
      <c r="V43" s="1"/>
      <c r="W43" s="1"/>
      <c r="X43" s="1"/>
      <c r="Y43" s="1"/>
      <c r="Z43" s="1"/>
      <c r="AA43" s="1"/>
    </row>
    <row r="44">
      <c r="A44" s="3"/>
      <c r="B44" s="1"/>
      <c r="C44" s="5" t="s">
        <v>35</v>
      </c>
      <c r="D44" s="1"/>
      <c r="E44" s="1"/>
      <c r="F44" s="1"/>
      <c r="G44" s="1"/>
      <c r="H44" s="1"/>
      <c r="I44" s="1"/>
      <c r="J44" s="1"/>
      <c r="K44" s="1"/>
      <c r="L44" s="1"/>
      <c r="M44" s="2"/>
      <c r="N44" s="1"/>
      <c r="O44" s="1"/>
      <c r="P44" s="1"/>
      <c r="Q44" s="1"/>
      <c r="R44" s="1"/>
      <c r="S44" s="1"/>
      <c r="T44" s="1"/>
      <c r="U44" s="1"/>
      <c r="V44" s="1"/>
      <c r="W44" s="1"/>
      <c r="X44" s="1"/>
      <c r="Y44" s="1"/>
      <c r="Z44" s="1"/>
      <c r="AA44" s="1"/>
    </row>
    <row r="45">
      <c r="A45" s="11"/>
      <c r="B45" s="1"/>
      <c r="C45" s="5" t="s">
        <v>36</v>
      </c>
      <c r="D45" s="1"/>
      <c r="E45" s="1"/>
      <c r="F45" s="1"/>
      <c r="G45" s="1"/>
      <c r="H45" s="1"/>
      <c r="I45" s="1"/>
      <c r="J45" s="1"/>
      <c r="K45" s="1"/>
      <c r="L45" s="1"/>
      <c r="M45" s="2"/>
      <c r="N45" s="1"/>
      <c r="O45" s="1"/>
      <c r="P45" s="1"/>
      <c r="Q45" s="1"/>
      <c r="R45" s="1"/>
      <c r="S45" s="1"/>
      <c r="T45" s="1"/>
      <c r="U45" s="1"/>
      <c r="V45" s="1"/>
      <c r="W45" s="1"/>
      <c r="X45" s="1"/>
      <c r="Y45" s="1"/>
      <c r="Z45" s="1"/>
      <c r="AA45" s="1"/>
    </row>
    <row r="46">
      <c r="A46" s="3"/>
      <c r="B46" s="1"/>
      <c r="C46" s="5" t="s">
        <v>37</v>
      </c>
      <c r="D46" s="1"/>
      <c r="E46" s="1"/>
      <c r="F46" s="1"/>
      <c r="G46" s="1"/>
      <c r="H46" s="1"/>
      <c r="I46" s="1"/>
      <c r="J46" s="1"/>
      <c r="K46" s="1"/>
      <c r="L46" s="1"/>
      <c r="M46" s="2"/>
      <c r="N46" s="1"/>
      <c r="O46" s="1"/>
      <c r="P46" s="1"/>
      <c r="Q46" s="1"/>
      <c r="R46" s="1"/>
      <c r="S46" s="1"/>
      <c r="T46" s="1"/>
      <c r="U46" s="1"/>
      <c r="V46" s="1"/>
      <c r="W46" s="1"/>
      <c r="X46" s="1"/>
      <c r="Y46" s="1"/>
      <c r="Z46" s="1"/>
      <c r="AA46" s="1"/>
    </row>
    <row r="47">
      <c r="A47" s="11"/>
      <c r="B47" s="1"/>
      <c r="C47" s="5" t="s">
        <v>38</v>
      </c>
      <c r="D47" s="1"/>
      <c r="E47" s="1"/>
      <c r="F47" s="1"/>
      <c r="G47" s="1"/>
      <c r="H47" s="1"/>
      <c r="I47" s="1"/>
      <c r="J47" s="1"/>
      <c r="K47" s="1"/>
      <c r="L47" s="1"/>
      <c r="M47" s="2"/>
      <c r="N47" s="1"/>
      <c r="O47" s="1"/>
      <c r="P47" s="1"/>
      <c r="Q47" s="1"/>
      <c r="R47" s="1"/>
      <c r="S47" s="1"/>
      <c r="T47" s="1"/>
      <c r="U47" s="1"/>
      <c r="V47" s="1"/>
      <c r="W47" s="1"/>
      <c r="X47" s="1"/>
      <c r="Y47" s="1"/>
      <c r="Z47" s="1"/>
      <c r="AA47" s="1"/>
    </row>
    <row r="48">
      <c r="A48" s="3"/>
      <c r="B48" s="1"/>
      <c r="C48" s="5" t="s">
        <v>39</v>
      </c>
      <c r="D48" s="1"/>
      <c r="E48" s="1"/>
      <c r="F48" s="1"/>
      <c r="G48" s="1"/>
      <c r="H48" s="1"/>
      <c r="I48" s="1"/>
      <c r="J48" s="1"/>
      <c r="K48" s="1"/>
      <c r="L48" s="1"/>
      <c r="M48" s="2"/>
      <c r="N48" s="1"/>
      <c r="O48" s="1"/>
      <c r="P48" s="1"/>
      <c r="Q48" s="1"/>
      <c r="R48" s="1"/>
      <c r="S48" s="1"/>
      <c r="T48" s="1"/>
      <c r="U48" s="1"/>
      <c r="V48" s="1"/>
      <c r="W48" s="1"/>
      <c r="X48" s="1"/>
      <c r="Y48" s="1"/>
      <c r="Z48" s="1"/>
      <c r="AA48" s="1"/>
    </row>
    <row r="49">
      <c r="A49" s="11"/>
      <c r="B49" s="1"/>
      <c r="C49" s="5" t="s">
        <v>40</v>
      </c>
      <c r="D49" s="1"/>
      <c r="E49" s="1"/>
      <c r="F49" s="1"/>
      <c r="G49" s="1"/>
      <c r="H49" s="1"/>
      <c r="I49" s="1"/>
      <c r="J49" s="1"/>
      <c r="K49" s="1"/>
      <c r="L49" s="1"/>
      <c r="M49" s="2"/>
      <c r="N49" s="1"/>
      <c r="O49" s="1"/>
      <c r="P49" s="1"/>
      <c r="Q49" s="1"/>
      <c r="R49" s="1"/>
      <c r="S49" s="1"/>
      <c r="T49" s="1"/>
      <c r="U49" s="1"/>
      <c r="V49" s="1"/>
      <c r="W49" s="1"/>
      <c r="X49" s="1"/>
      <c r="Y49" s="1"/>
      <c r="Z49" s="1"/>
      <c r="AA49" s="1"/>
    </row>
    <row r="50">
      <c r="A50" s="3"/>
      <c r="B50" s="1"/>
      <c r="C50" s="1"/>
      <c r="D50" s="1"/>
      <c r="E50" s="1"/>
      <c r="F50" s="1"/>
      <c r="G50" s="1"/>
      <c r="H50" s="1"/>
      <c r="I50" s="1"/>
      <c r="J50" s="1"/>
      <c r="K50" s="1"/>
      <c r="L50" s="1"/>
      <c r="M50" s="2"/>
      <c r="N50" s="1"/>
      <c r="O50" s="1"/>
      <c r="P50" s="1"/>
      <c r="Q50" s="1"/>
      <c r="R50" s="1"/>
      <c r="S50" s="1"/>
      <c r="T50" s="1"/>
      <c r="U50" s="1"/>
      <c r="V50" s="1"/>
      <c r="W50" s="1"/>
      <c r="X50" s="1"/>
      <c r="Y50" s="1"/>
      <c r="Z50" s="1"/>
      <c r="AA50" s="1"/>
    </row>
    <row r="51">
      <c r="A51" s="11"/>
      <c r="B51" s="6" t="s">
        <v>41</v>
      </c>
      <c r="C51" s="3"/>
      <c r="D51" s="1"/>
      <c r="E51" s="1"/>
      <c r="F51" s="1"/>
      <c r="G51" s="1"/>
      <c r="H51" s="1"/>
      <c r="I51" s="1"/>
      <c r="J51" s="1"/>
      <c r="K51" s="1"/>
      <c r="L51" s="1"/>
      <c r="M51" s="2"/>
      <c r="N51" s="1"/>
      <c r="O51" s="1"/>
      <c r="P51" s="1"/>
      <c r="Q51" s="1"/>
      <c r="R51" s="1"/>
      <c r="S51" s="1"/>
      <c r="T51" s="1"/>
      <c r="U51" s="1"/>
      <c r="V51" s="1"/>
      <c r="W51" s="1"/>
      <c r="X51" s="1"/>
      <c r="Y51" s="1"/>
      <c r="Z51" s="1"/>
      <c r="AA51" s="1"/>
    </row>
    <row r="52">
      <c r="A52" s="12"/>
      <c r="B52" s="1"/>
      <c r="C52" s="5" t="s">
        <v>42</v>
      </c>
      <c r="D52" s="1"/>
      <c r="E52" s="1"/>
      <c r="F52" s="1"/>
      <c r="G52" s="1"/>
      <c r="H52" s="1"/>
      <c r="I52" s="1"/>
      <c r="J52" s="1"/>
      <c r="K52" s="1"/>
      <c r="L52" s="1"/>
      <c r="M52" s="2"/>
      <c r="N52" s="1"/>
      <c r="O52" s="1"/>
      <c r="P52" s="1"/>
      <c r="Q52" s="1"/>
      <c r="R52" s="1"/>
      <c r="S52" s="1"/>
      <c r="T52" s="1"/>
      <c r="U52" s="1"/>
      <c r="V52" s="1"/>
      <c r="W52" s="1"/>
      <c r="X52" s="1"/>
      <c r="Y52" s="1"/>
      <c r="Z52" s="1"/>
      <c r="AA52" s="1"/>
    </row>
    <row r="53">
      <c r="A53" s="13"/>
      <c r="B53" s="1"/>
      <c r="C53" s="5" t="s">
        <v>43</v>
      </c>
      <c r="D53" s="1"/>
      <c r="E53" s="1"/>
      <c r="F53" s="1"/>
      <c r="G53" s="1"/>
      <c r="H53" s="1"/>
      <c r="I53" s="1"/>
      <c r="J53" s="1"/>
      <c r="K53" s="1"/>
      <c r="L53" s="1"/>
      <c r="M53" s="2"/>
      <c r="N53" s="1"/>
      <c r="O53" s="1"/>
      <c r="P53" s="1"/>
      <c r="Q53" s="1"/>
      <c r="R53" s="1"/>
      <c r="S53" s="1"/>
      <c r="T53" s="1"/>
      <c r="U53" s="1"/>
      <c r="V53" s="1"/>
      <c r="W53" s="1"/>
      <c r="X53" s="1"/>
      <c r="Y53" s="1"/>
      <c r="Z53" s="1"/>
      <c r="AA53" s="1"/>
    </row>
    <row r="54">
      <c r="A54" s="12"/>
      <c r="B54" s="1"/>
      <c r="C54" s="5" t="s">
        <v>44</v>
      </c>
      <c r="D54" s="1"/>
      <c r="E54" s="1"/>
      <c r="F54" s="1"/>
      <c r="G54" s="1"/>
      <c r="H54" s="1"/>
      <c r="I54" s="1"/>
      <c r="J54" s="1"/>
      <c r="K54" s="1"/>
      <c r="L54" s="1"/>
      <c r="M54" s="2"/>
      <c r="N54" s="1"/>
      <c r="O54" s="1"/>
      <c r="P54" s="1"/>
      <c r="Q54" s="1"/>
      <c r="R54" s="1"/>
      <c r="S54" s="1"/>
      <c r="T54" s="1"/>
      <c r="U54" s="1"/>
      <c r="V54" s="1"/>
      <c r="W54" s="1"/>
      <c r="X54" s="1"/>
      <c r="Y54" s="1"/>
      <c r="Z54" s="1"/>
      <c r="AA54" s="1"/>
    </row>
    <row r="55">
      <c r="A55" s="13"/>
      <c r="B55" s="1"/>
      <c r="C55" s="1"/>
      <c r="D55" s="1"/>
      <c r="E55" s="1"/>
      <c r="F55" s="1"/>
      <c r="G55" s="1"/>
      <c r="H55" s="1"/>
      <c r="I55" s="1"/>
      <c r="J55" s="1"/>
      <c r="K55" s="1"/>
      <c r="L55" s="1"/>
      <c r="M55" s="2"/>
      <c r="N55" s="1"/>
      <c r="O55" s="1"/>
      <c r="P55" s="1"/>
      <c r="Q55" s="1"/>
      <c r="R55" s="1"/>
      <c r="S55" s="1"/>
      <c r="T55" s="1"/>
      <c r="U55" s="1"/>
      <c r="V55" s="1"/>
      <c r="W55" s="1"/>
      <c r="X55" s="1"/>
      <c r="Y55" s="1"/>
      <c r="Z55" s="1"/>
      <c r="AA55" s="1"/>
    </row>
    <row r="56">
      <c r="A56" s="1"/>
      <c r="B56" s="6" t="s">
        <v>45</v>
      </c>
      <c r="C56" s="1"/>
      <c r="D56" s="1"/>
      <c r="E56" s="1"/>
      <c r="F56" s="1"/>
      <c r="G56" s="1"/>
      <c r="H56" s="1"/>
      <c r="I56" s="1"/>
      <c r="J56" s="1"/>
      <c r="K56" s="1"/>
      <c r="L56" s="1"/>
      <c r="M56" s="2"/>
      <c r="N56" s="1"/>
      <c r="O56" s="1"/>
      <c r="P56" s="1"/>
      <c r="Q56" s="1"/>
      <c r="R56" s="1"/>
      <c r="S56" s="1"/>
      <c r="T56" s="1"/>
      <c r="U56" s="1"/>
      <c r="V56" s="1"/>
      <c r="W56" s="1"/>
      <c r="X56" s="1"/>
      <c r="Y56" s="1"/>
      <c r="Z56" s="1"/>
      <c r="AA56" s="1"/>
    </row>
    <row r="57">
      <c r="A57" s="3"/>
      <c r="B57" s="1"/>
      <c r="C57" s="5" t="s">
        <v>46</v>
      </c>
      <c r="D57" s="1"/>
      <c r="E57" s="1"/>
      <c r="F57" s="1"/>
      <c r="G57" s="1"/>
      <c r="H57" s="1"/>
      <c r="I57" s="1"/>
      <c r="J57" s="1"/>
      <c r="K57" s="1"/>
      <c r="L57" s="1"/>
      <c r="M57" s="2"/>
      <c r="N57" s="1"/>
      <c r="O57" s="1"/>
      <c r="P57" s="1"/>
      <c r="Q57" s="1"/>
      <c r="R57" s="1"/>
      <c r="S57" s="1"/>
      <c r="T57" s="1"/>
      <c r="U57" s="1"/>
      <c r="V57" s="1"/>
      <c r="W57" s="1"/>
      <c r="X57" s="1"/>
      <c r="Y57" s="1"/>
      <c r="Z57" s="1"/>
      <c r="AA57" s="1"/>
    </row>
    <row r="58">
      <c r="A58" s="11"/>
      <c r="B58" s="1"/>
      <c r="C58" s="5" t="s">
        <v>47</v>
      </c>
      <c r="D58" s="1"/>
      <c r="E58" s="1"/>
      <c r="F58" s="1"/>
      <c r="G58" s="1"/>
      <c r="H58" s="1"/>
      <c r="I58" s="1"/>
      <c r="J58" s="1"/>
      <c r="K58" s="1"/>
      <c r="L58" s="1"/>
      <c r="M58" s="2"/>
      <c r="N58" s="1"/>
      <c r="O58" s="1"/>
      <c r="P58" s="1"/>
      <c r="Q58" s="1"/>
      <c r="R58" s="1"/>
      <c r="S58" s="1"/>
      <c r="T58" s="1"/>
      <c r="U58" s="1"/>
      <c r="V58" s="1"/>
      <c r="W58" s="1"/>
      <c r="X58" s="1"/>
      <c r="Y58" s="1"/>
      <c r="Z58" s="1"/>
      <c r="AA58" s="1"/>
    </row>
    <row r="59">
      <c r="A59" s="3"/>
      <c r="B59" s="1"/>
      <c r="C59" s="5" t="s">
        <v>48</v>
      </c>
      <c r="D59" s="1"/>
      <c r="E59" s="1"/>
      <c r="F59" s="1"/>
      <c r="G59" s="1"/>
      <c r="H59" s="1"/>
      <c r="I59" s="1"/>
      <c r="J59" s="1"/>
      <c r="K59" s="1"/>
      <c r="L59" s="1"/>
      <c r="M59" s="2"/>
      <c r="N59" s="1"/>
      <c r="O59" s="1"/>
      <c r="P59" s="1"/>
      <c r="Q59" s="1"/>
      <c r="R59" s="1"/>
      <c r="S59" s="1"/>
      <c r="T59" s="1"/>
      <c r="U59" s="1"/>
      <c r="V59" s="1"/>
      <c r="W59" s="1"/>
      <c r="X59" s="1"/>
      <c r="Y59" s="1"/>
      <c r="Z59" s="1"/>
      <c r="AA59" s="1"/>
    </row>
    <row r="60">
      <c r="A60" s="11"/>
      <c r="B60" s="1"/>
      <c r="C60" s="1"/>
      <c r="D60" s="1"/>
      <c r="E60" s="1"/>
      <c r="F60" s="1"/>
      <c r="G60" s="1"/>
      <c r="H60" s="1"/>
      <c r="I60" s="1"/>
      <c r="J60" s="1"/>
      <c r="K60" s="1"/>
      <c r="L60" s="1"/>
      <c r="M60" s="2"/>
      <c r="N60" s="1"/>
      <c r="O60" s="1"/>
      <c r="P60" s="1"/>
      <c r="Q60" s="1"/>
      <c r="R60" s="1"/>
      <c r="S60" s="1"/>
      <c r="T60" s="1"/>
      <c r="U60" s="1"/>
      <c r="V60" s="1"/>
      <c r="W60" s="1"/>
      <c r="X60" s="1"/>
      <c r="Y60" s="1"/>
      <c r="Z60" s="1"/>
      <c r="AA60" s="1"/>
    </row>
    <row r="61">
      <c r="A61" s="11"/>
      <c r="B61" s="1"/>
      <c r="C61" s="14" t="s">
        <v>49</v>
      </c>
      <c r="D61" s="15"/>
      <c r="E61" s="15"/>
      <c r="F61" s="16"/>
      <c r="G61" s="1"/>
      <c r="H61" s="1"/>
      <c r="I61" s="1"/>
      <c r="J61" s="1"/>
      <c r="K61" s="1"/>
      <c r="L61" s="1"/>
      <c r="M61" s="2"/>
      <c r="N61" s="1"/>
      <c r="O61" s="1"/>
      <c r="P61" s="1"/>
      <c r="Q61" s="1"/>
      <c r="R61" s="1"/>
      <c r="S61" s="1"/>
      <c r="T61" s="1"/>
      <c r="U61" s="1"/>
      <c r="V61" s="1"/>
      <c r="W61" s="1"/>
      <c r="X61" s="1"/>
      <c r="Y61" s="1"/>
      <c r="Z61" s="1"/>
      <c r="AA61" s="1"/>
    </row>
    <row r="62">
      <c r="A62" s="3"/>
      <c r="B62" s="1"/>
      <c r="C62" s="17" t="s">
        <v>50</v>
      </c>
      <c r="D62" s="17" t="s">
        <v>51</v>
      </c>
      <c r="E62" s="17" t="s">
        <v>52</v>
      </c>
      <c r="F62" s="17" t="s">
        <v>53</v>
      </c>
      <c r="G62" s="1"/>
      <c r="H62" s="9" t="s">
        <v>27</v>
      </c>
      <c r="L62" s="1"/>
      <c r="M62" s="2"/>
      <c r="N62" s="1"/>
      <c r="O62" s="1"/>
      <c r="P62" s="1"/>
      <c r="Q62" s="1"/>
      <c r="R62" s="1"/>
      <c r="S62" s="1"/>
      <c r="T62" s="1"/>
      <c r="U62" s="1"/>
      <c r="V62" s="1"/>
      <c r="W62" s="1"/>
      <c r="X62" s="1"/>
      <c r="Y62" s="1"/>
      <c r="Z62" s="1"/>
      <c r="AA62" s="1"/>
    </row>
    <row r="63">
      <c r="A63" s="11"/>
      <c r="B63" s="1"/>
      <c r="C63" s="18" t="s">
        <v>54</v>
      </c>
      <c r="D63" s="19">
        <f>G114</f>
        <v>113683.3333</v>
      </c>
      <c r="E63" s="19">
        <f>G115</f>
        <v>125141.6667</v>
      </c>
      <c r="F63" s="19">
        <f>G116</f>
        <v>138891.6667</v>
      </c>
      <c r="G63" s="1"/>
      <c r="H63" s="20"/>
      <c r="I63" s="20"/>
      <c r="J63" s="1"/>
      <c r="K63" s="20">
        <f>'P&amp;L Cash Flow Annual'!F15/9</f>
        <v>109108.7311</v>
      </c>
      <c r="L63" s="5">
        <v>109100.0</v>
      </c>
      <c r="M63" s="2" t="s">
        <v>55</v>
      </c>
      <c r="N63" s="1"/>
      <c r="O63" s="1"/>
      <c r="P63" s="1"/>
      <c r="Q63" s="1"/>
      <c r="R63" s="1"/>
      <c r="S63" s="1"/>
      <c r="T63" s="1"/>
      <c r="U63" s="1"/>
      <c r="V63" s="1"/>
      <c r="W63" s="1"/>
      <c r="X63" s="1"/>
      <c r="Y63" s="1"/>
      <c r="Z63" s="1"/>
      <c r="AA63" s="1"/>
    </row>
    <row r="64">
      <c r="A64" s="3"/>
      <c r="B64" s="1"/>
      <c r="C64" s="18" t="s">
        <v>56</v>
      </c>
      <c r="D64" s="21">
        <f>K36</f>
        <v>0.6750213292</v>
      </c>
      <c r="E64" s="21">
        <f>K36</f>
        <v>0.6750213292</v>
      </c>
      <c r="F64" s="21">
        <f>K36</f>
        <v>0.6750213292</v>
      </c>
      <c r="G64" s="2" t="s">
        <v>5</v>
      </c>
      <c r="H64" s="1"/>
      <c r="I64" s="1"/>
      <c r="J64" s="1"/>
      <c r="K64" s="1"/>
      <c r="L64" s="1"/>
      <c r="M64" s="2"/>
      <c r="N64" s="1"/>
      <c r="O64" s="1"/>
      <c r="P64" s="1"/>
      <c r="Q64" s="1"/>
      <c r="R64" s="1"/>
      <c r="S64" s="1"/>
      <c r="T64" s="1"/>
      <c r="U64" s="1"/>
      <c r="V64" s="1"/>
      <c r="W64" s="1"/>
      <c r="X64" s="1"/>
      <c r="Y64" s="1"/>
      <c r="Z64" s="1"/>
      <c r="AA64" s="1"/>
    </row>
    <row r="65">
      <c r="A65" s="1"/>
      <c r="B65" s="3"/>
      <c r="C65" s="18" t="s">
        <v>57</v>
      </c>
      <c r="D65" s="19">
        <f t="shared" ref="D65:F65" si="1">D63*D64</f>
        <v>76738.67478</v>
      </c>
      <c r="E65" s="19">
        <f t="shared" si="1"/>
        <v>84473.29417</v>
      </c>
      <c r="F65" s="19">
        <f t="shared" si="1"/>
        <v>93754.83745</v>
      </c>
      <c r="G65" s="1"/>
      <c r="H65" s="1"/>
      <c r="I65" s="1"/>
      <c r="J65" s="1"/>
      <c r="K65" s="1"/>
      <c r="L65" s="1"/>
      <c r="M65" s="2"/>
      <c r="N65" s="1"/>
      <c r="O65" s="1"/>
      <c r="P65" s="1"/>
      <c r="Q65" s="1"/>
      <c r="R65" s="1"/>
      <c r="S65" s="1"/>
      <c r="T65" s="1"/>
      <c r="U65" s="1"/>
      <c r="V65" s="1"/>
      <c r="W65" s="1"/>
      <c r="X65" s="1"/>
      <c r="Y65" s="1"/>
      <c r="Z65" s="1"/>
      <c r="AA65" s="1"/>
    </row>
    <row r="66">
      <c r="A66" s="1"/>
      <c r="B66" s="3"/>
      <c r="C66" s="18" t="s">
        <v>35</v>
      </c>
      <c r="D66" s="22" t="s">
        <v>58</v>
      </c>
      <c r="E66" s="22" t="s">
        <v>58</v>
      </c>
      <c r="F66" s="22" t="s">
        <v>58</v>
      </c>
      <c r="G66" s="1"/>
      <c r="H66" s="9" t="s">
        <v>27</v>
      </c>
      <c r="L66" s="1"/>
      <c r="M66" s="2"/>
      <c r="N66" s="1"/>
      <c r="O66" s="1"/>
      <c r="P66" s="1"/>
      <c r="Q66" s="1"/>
      <c r="R66" s="1"/>
      <c r="S66" s="1"/>
      <c r="T66" s="1"/>
      <c r="U66" s="1"/>
      <c r="V66" s="1"/>
      <c r="W66" s="1"/>
      <c r="X66" s="1"/>
      <c r="Y66" s="1"/>
      <c r="Z66" s="1"/>
      <c r="AA66" s="1"/>
    </row>
    <row r="67">
      <c r="A67" s="3"/>
      <c r="B67" s="1"/>
      <c r="C67" s="18" t="s">
        <v>59</v>
      </c>
      <c r="D67" s="21">
        <f>K67</f>
        <v>0.1799133351</v>
      </c>
      <c r="E67" s="21">
        <f>K67</f>
        <v>0.1799133351</v>
      </c>
      <c r="F67" s="21">
        <f>K67</f>
        <v>0.1799133351</v>
      </c>
      <c r="G67" s="2"/>
      <c r="H67" s="10">
        <f>'P&amp;L Cash Flow Annual'!D28/'P&amp;L Cash Flow Annual'!D15</f>
        <v>0.1610186312</v>
      </c>
      <c r="I67" s="10">
        <f>'P&amp;L Cash Flow Annual'!E28/'P&amp;L Cash Flow Annual'!E15</f>
        <v>0.2384214197</v>
      </c>
      <c r="J67" s="10">
        <f>'P&amp;L Cash Flow Annual'!F28/'P&amp;L Cash Flow Annual'!F15</f>
        <v>0.1402999544</v>
      </c>
      <c r="K67" s="10">
        <f>(H67+I67+J67)/3</f>
        <v>0.1799133351</v>
      </c>
      <c r="L67" s="1"/>
      <c r="M67" s="2"/>
      <c r="N67" s="1"/>
      <c r="O67" s="1"/>
      <c r="P67" s="1"/>
      <c r="Q67" s="1"/>
      <c r="R67" s="1"/>
      <c r="S67" s="1"/>
      <c r="T67" s="1"/>
      <c r="U67" s="1"/>
      <c r="V67" s="1"/>
      <c r="W67" s="1"/>
      <c r="X67" s="1"/>
      <c r="Y67" s="1"/>
      <c r="Z67" s="1"/>
      <c r="AA67" s="1"/>
    </row>
    <row r="68">
      <c r="A68" s="11"/>
      <c r="B68" s="1"/>
      <c r="C68" s="18" t="s">
        <v>60</v>
      </c>
      <c r="D68" s="19">
        <f t="shared" ref="D68:F68" si="2">D63*D67</f>
        <v>20453.14764</v>
      </c>
      <c r="E68" s="19">
        <f t="shared" si="2"/>
        <v>22514.65461</v>
      </c>
      <c r="F68" s="19">
        <f t="shared" si="2"/>
        <v>24988.46296</v>
      </c>
      <c r="G68" s="1"/>
      <c r="H68" s="1"/>
      <c r="I68" s="1"/>
      <c r="J68" s="1"/>
      <c r="K68" s="1"/>
      <c r="L68" s="1"/>
      <c r="M68" s="2"/>
      <c r="N68" s="1"/>
      <c r="O68" s="1"/>
      <c r="P68" s="1"/>
      <c r="Q68" s="1"/>
      <c r="R68" s="1"/>
      <c r="S68" s="1"/>
      <c r="T68" s="1"/>
      <c r="U68" s="1"/>
      <c r="V68" s="1"/>
      <c r="W68" s="1"/>
      <c r="X68" s="1"/>
      <c r="Y68" s="1"/>
      <c r="Z68" s="1"/>
      <c r="AA68" s="1"/>
    </row>
    <row r="69">
      <c r="A69" s="3"/>
      <c r="B69" s="1"/>
      <c r="C69" s="18" t="s">
        <v>35</v>
      </c>
      <c r="D69" s="22" t="s">
        <v>61</v>
      </c>
      <c r="E69" s="22" t="s">
        <v>61</v>
      </c>
      <c r="F69" s="22" t="s">
        <v>61</v>
      </c>
      <c r="G69" s="1"/>
      <c r="H69" s="9" t="s">
        <v>27</v>
      </c>
      <c r="L69" s="1"/>
      <c r="M69" s="2"/>
      <c r="N69" s="1"/>
      <c r="O69" s="1"/>
      <c r="P69" s="1"/>
      <c r="Q69" s="1"/>
      <c r="R69" s="1"/>
      <c r="S69" s="1"/>
      <c r="T69" s="1"/>
      <c r="U69" s="1"/>
      <c r="V69" s="1"/>
      <c r="W69" s="1"/>
      <c r="X69" s="1"/>
      <c r="Y69" s="1"/>
      <c r="Z69" s="1"/>
      <c r="AA69" s="1"/>
    </row>
    <row r="70">
      <c r="A70" s="11"/>
      <c r="B70" s="1"/>
      <c r="C70" s="18" t="s">
        <v>62</v>
      </c>
      <c r="D70" s="19">
        <f>L70</f>
        <v>39500</v>
      </c>
      <c r="E70" s="19">
        <f>L70</f>
        <v>39500</v>
      </c>
      <c r="F70" s="19">
        <f>L70</f>
        <v>39500</v>
      </c>
      <c r="G70" s="1"/>
      <c r="H70" s="20">
        <f>'P&amp;L Cash Flow Annual'!D21/12</f>
        <v>23269.86083</v>
      </c>
      <c r="I70" s="20">
        <f>'P&amp;L Cash Flow Annual'!E21/12</f>
        <v>47711.02417</v>
      </c>
      <c r="J70" s="20">
        <f>'P&amp;L Cash Flow Annual'!F21/9</f>
        <v>47368.06889</v>
      </c>
      <c r="K70" s="20">
        <f>(H70+I70+J70)/3</f>
        <v>39449.6513</v>
      </c>
      <c r="L70" s="5">
        <v>39500.0</v>
      </c>
      <c r="M70" s="2" t="s">
        <v>63</v>
      </c>
      <c r="N70" s="1"/>
      <c r="O70" s="1"/>
      <c r="P70" s="1"/>
      <c r="Q70" s="1"/>
      <c r="R70" s="1"/>
      <c r="S70" s="1"/>
      <c r="T70" s="1"/>
      <c r="U70" s="1"/>
      <c r="V70" s="1"/>
      <c r="W70" s="1"/>
      <c r="X70" s="1"/>
      <c r="Y70" s="1"/>
      <c r="Z70" s="1"/>
      <c r="AA70" s="1"/>
    </row>
    <row r="71">
      <c r="A71" s="3"/>
      <c r="B71" s="1"/>
      <c r="C71" s="18" t="s">
        <v>64</v>
      </c>
      <c r="D71" s="19">
        <f t="shared" ref="D71:F71" si="3">D65+D68+D70</f>
        <v>136691.8224</v>
      </c>
      <c r="E71" s="19">
        <f t="shared" si="3"/>
        <v>146487.9488</v>
      </c>
      <c r="F71" s="19">
        <f t="shared" si="3"/>
        <v>158243.3004</v>
      </c>
      <c r="G71" s="1"/>
      <c r="H71" s="1"/>
      <c r="I71" s="1"/>
      <c r="J71" s="1"/>
      <c r="K71" s="1"/>
      <c r="L71" s="1"/>
      <c r="M71" s="2"/>
      <c r="N71" s="1"/>
      <c r="O71" s="1"/>
      <c r="P71" s="1"/>
      <c r="Q71" s="1"/>
      <c r="R71" s="1"/>
      <c r="S71" s="1"/>
      <c r="T71" s="1"/>
      <c r="U71" s="1"/>
      <c r="V71" s="1"/>
      <c r="W71" s="1"/>
      <c r="X71" s="1"/>
      <c r="Y71" s="1"/>
      <c r="Z71" s="1"/>
      <c r="AA71" s="1"/>
    </row>
    <row r="72">
      <c r="A72" s="11"/>
      <c r="B72" s="1"/>
      <c r="C72" s="18" t="s">
        <v>35</v>
      </c>
      <c r="D72" s="22" t="s">
        <v>65</v>
      </c>
      <c r="E72" s="22" t="s">
        <v>65</v>
      </c>
      <c r="F72" s="22" t="s">
        <v>65</v>
      </c>
      <c r="G72" s="1"/>
      <c r="H72" s="1"/>
      <c r="I72" s="1"/>
      <c r="J72" s="1"/>
      <c r="K72" s="1"/>
      <c r="L72" s="1"/>
      <c r="M72" s="2"/>
      <c r="N72" s="1"/>
      <c r="O72" s="1"/>
      <c r="P72" s="1"/>
      <c r="Q72" s="1"/>
      <c r="R72" s="1"/>
      <c r="S72" s="1"/>
      <c r="T72" s="1"/>
      <c r="U72" s="1"/>
      <c r="V72" s="1"/>
      <c r="W72" s="1"/>
      <c r="X72" s="1"/>
      <c r="Y72" s="1"/>
      <c r="Z72" s="1"/>
      <c r="AA72" s="1"/>
    </row>
    <row r="73">
      <c r="A73" s="3"/>
      <c r="B73" s="1"/>
      <c r="C73" s="18" t="s">
        <v>66</v>
      </c>
      <c r="D73" s="19">
        <f t="shared" ref="D73:F73" si="4">D63-D71</f>
        <v>-23008.48908</v>
      </c>
      <c r="E73" s="19">
        <f t="shared" si="4"/>
        <v>-21346.28211</v>
      </c>
      <c r="F73" s="19">
        <f t="shared" si="4"/>
        <v>-19351.63375</v>
      </c>
      <c r="G73" s="1"/>
      <c r="H73" s="1"/>
      <c r="I73" s="1"/>
      <c r="J73" s="1"/>
      <c r="K73" s="1"/>
      <c r="L73" s="1"/>
      <c r="M73" s="2"/>
      <c r="N73" s="1"/>
      <c r="O73" s="1"/>
      <c r="P73" s="1"/>
      <c r="Q73" s="1"/>
      <c r="R73" s="1"/>
      <c r="S73" s="1"/>
      <c r="T73" s="1"/>
      <c r="U73" s="1"/>
      <c r="V73" s="1"/>
      <c r="W73" s="1"/>
      <c r="X73" s="1"/>
      <c r="Y73" s="1"/>
      <c r="Z73" s="1"/>
      <c r="AA73" s="1"/>
    </row>
    <row r="74">
      <c r="A74" s="1"/>
      <c r="B74" s="3"/>
      <c r="C74" s="18" t="s">
        <v>35</v>
      </c>
      <c r="D74" s="22" t="s">
        <v>67</v>
      </c>
      <c r="E74" s="22" t="s">
        <v>67</v>
      </c>
      <c r="F74" s="22" t="s">
        <v>67</v>
      </c>
      <c r="G74" s="1"/>
      <c r="H74" s="1"/>
      <c r="I74" s="1"/>
      <c r="J74" s="1"/>
      <c r="K74" s="1"/>
      <c r="L74" s="1"/>
      <c r="M74" s="2"/>
      <c r="N74" s="1"/>
      <c r="O74" s="1"/>
      <c r="P74" s="1"/>
      <c r="Q74" s="1"/>
      <c r="R74" s="1"/>
      <c r="S74" s="1"/>
      <c r="T74" s="1"/>
      <c r="U74" s="1"/>
      <c r="V74" s="1"/>
      <c r="W74" s="1"/>
      <c r="X74" s="1"/>
      <c r="Y74" s="1"/>
      <c r="Z74" s="1"/>
      <c r="AA74" s="1"/>
    </row>
    <row r="75">
      <c r="A75" s="1"/>
      <c r="B75" s="3"/>
      <c r="C75" s="1"/>
      <c r="D75" s="1"/>
      <c r="E75" s="1"/>
      <c r="F75" s="1"/>
      <c r="G75" s="1"/>
      <c r="H75" s="1"/>
      <c r="I75" s="1"/>
      <c r="J75" s="1"/>
      <c r="K75" s="1"/>
      <c r="L75" s="1"/>
      <c r="M75" s="2"/>
      <c r="N75" s="1"/>
      <c r="O75" s="1"/>
      <c r="P75" s="1"/>
      <c r="Q75" s="1"/>
      <c r="R75" s="1"/>
      <c r="S75" s="1"/>
      <c r="T75" s="1"/>
      <c r="U75" s="1"/>
      <c r="V75" s="1"/>
      <c r="W75" s="1"/>
      <c r="X75" s="1"/>
      <c r="Y75" s="1"/>
      <c r="Z75" s="1"/>
      <c r="AA75" s="1"/>
    </row>
    <row r="76">
      <c r="A76" s="1"/>
      <c r="B76" s="3"/>
      <c r="C76" s="14" t="s">
        <v>68</v>
      </c>
      <c r="D76" s="15"/>
      <c r="E76" s="15"/>
      <c r="F76" s="16"/>
      <c r="G76" s="1"/>
      <c r="H76" s="1"/>
      <c r="I76" s="1"/>
      <c r="J76" s="1"/>
      <c r="K76" s="1"/>
      <c r="L76" s="1"/>
      <c r="M76" s="2"/>
      <c r="N76" s="1"/>
      <c r="O76" s="1"/>
      <c r="P76" s="1"/>
      <c r="Q76" s="1"/>
      <c r="R76" s="1"/>
      <c r="S76" s="1"/>
      <c r="T76" s="1"/>
      <c r="U76" s="1"/>
      <c r="V76" s="1"/>
      <c r="W76" s="1"/>
      <c r="X76" s="1"/>
      <c r="Y76" s="1"/>
      <c r="Z76" s="1"/>
      <c r="AA76" s="1"/>
    </row>
    <row r="77">
      <c r="A77" s="1"/>
      <c r="B77" s="3"/>
      <c r="C77" s="17" t="s">
        <v>50</v>
      </c>
      <c r="D77" s="17" t="s">
        <v>51</v>
      </c>
      <c r="E77" s="17" t="s">
        <v>52</v>
      </c>
      <c r="F77" s="17" t="s">
        <v>53</v>
      </c>
      <c r="G77" s="1"/>
      <c r="H77" s="1"/>
      <c r="I77" s="1"/>
      <c r="J77" s="1"/>
      <c r="K77" s="1"/>
      <c r="L77" s="1"/>
      <c r="M77" s="2"/>
      <c r="N77" s="1"/>
      <c r="O77" s="1"/>
      <c r="P77" s="1"/>
      <c r="Q77" s="1"/>
      <c r="R77" s="1"/>
      <c r="S77" s="1"/>
      <c r="T77" s="1"/>
      <c r="U77" s="1"/>
      <c r="V77" s="1"/>
      <c r="W77" s="1"/>
      <c r="X77" s="1"/>
      <c r="Y77" s="1"/>
      <c r="Z77" s="1"/>
      <c r="AA77" s="1"/>
    </row>
    <row r="78">
      <c r="A78" s="1"/>
      <c r="B78" s="3"/>
      <c r="C78" s="18" t="s">
        <v>54</v>
      </c>
      <c r="D78" s="23">
        <f>D63*1.38</f>
        <v>156883</v>
      </c>
      <c r="E78" s="23">
        <f>E63*1.4</f>
        <v>175198.3333</v>
      </c>
      <c r="F78" s="23">
        <f>F63*1.49</f>
        <v>206948.5833</v>
      </c>
      <c r="G78" s="1"/>
      <c r="H78" s="1"/>
      <c r="I78" s="1"/>
      <c r="J78" s="1"/>
      <c r="K78" s="1"/>
      <c r="L78" s="1"/>
      <c r="M78" s="2"/>
      <c r="N78" s="1"/>
      <c r="O78" s="1"/>
      <c r="P78" s="1"/>
      <c r="Q78" s="1"/>
      <c r="R78" s="1"/>
      <c r="S78" s="1"/>
      <c r="T78" s="1"/>
      <c r="U78" s="1"/>
      <c r="V78" s="1"/>
      <c r="W78" s="1"/>
      <c r="X78" s="1"/>
      <c r="Y78" s="1"/>
      <c r="Z78" s="1"/>
      <c r="AA78" s="1"/>
    </row>
    <row r="79">
      <c r="A79" s="1"/>
      <c r="B79" s="3"/>
      <c r="C79" s="18" t="s">
        <v>56</v>
      </c>
      <c r="D79" s="24">
        <f>K36</f>
        <v>0.6750213292</v>
      </c>
      <c r="E79" s="24">
        <f>K36</f>
        <v>0.6750213292</v>
      </c>
      <c r="F79" s="24">
        <f>K36</f>
        <v>0.6750213292</v>
      </c>
      <c r="G79" s="1"/>
      <c r="H79" s="1"/>
      <c r="I79" s="1"/>
      <c r="J79" s="1"/>
      <c r="K79" s="1"/>
      <c r="L79" s="1"/>
      <c r="M79" s="2"/>
      <c r="N79" s="1"/>
      <c r="O79" s="1"/>
      <c r="P79" s="1"/>
      <c r="Q79" s="1"/>
      <c r="R79" s="1"/>
      <c r="S79" s="1"/>
      <c r="T79" s="1"/>
      <c r="U79" s="1"/>
      <c r="V79" s="1"/>
      <c r="W79" s="1"/>
      <c r="X79" s="1"/>
      <c r="Y79" s="1"/>
      <c r="Z79" s="1"/>
      <c r="AA79" s="1"/>
    </row>
    <row r="80">
      <c r="A80" s="1"/>
      <c r="B80" s="3"/>
      <c r="C80" s="18" t="s">
        <v>57</v>
      </c>
      <c r="D80" s="23">
        <f t="shared" ref="D80:F80" si="5">D78*D79</f>
        <v>105899.3712</v>
      </c>
      <c r="E80" s="23">
        <f t="shared" si="5"/>
        <v>118262.6118</v>
      </c>
      <c r="F80" s="23">
        <f t="shared" si="5"/>
        <v>139694.7078</v>
      </c>
      <c r="G80" s="1"/>
      <c r="H80" s="1"/>
      <c r="I80" s="1"/>
      <c r="J80" s="1"/>
      <c r="K80" s="1"/>
      <c r="L80" s="1"/>
      <c r="M80" s="2"/>
      <c r="N80" s="1"/>
      <c r="O80" s="1"/>
      <c r="P80" s="1"/>
      <c r="Q80" s="1"/>
      <c r="R80" s="1"/>
      <c r="S80" s="1"/>
      <c r="T80" s="1"/>
      <c r="U80" s="1"/>
      <c r="V80" s="1"/>
      <c r="W80" s="1"/>
      <c r="X80" s="1"/>
      <c r="Y80" s="1"/>
      <c r="Z80" s="1"/>
      <c r="AA80" s="1"/>
    </row>
    <row r="81">
      <c r="A81" s="1"/>
      <c r="B81" s="3"/>
      <c r="C81" s="18" t="s">
        <v>59</v>
      </c>
      <c r="D81" s="24">
        <f>K67</f>
        <v>0.1799133351</v>
      </c>
      <c r="E81" s="24">
        <f>K67</f>
        <v>0.1799133351</v>
      </c>
      <c r="F81" s="24">
        <f>K67</f>
        <v>0.1799133351</v>
      </c>
      <c r="G81" s="1"/>
      <c r="H81" s="1"/>
      <c r="I81" s="1"/>
      <c r="J81" s="1"/>
      <c r="K81" s="1"/>
      <c r="L81" s="1"/>
      <c r="M81" s="2"/>
      <c r="N81" s="1"/>
      <c r="O81" s="1"/>
      <c r="P81" s="1"/>
      <c r="Q81" s="1"/>
      <c r="R81" s="1"/>
      <c r="S81" s="1"/>
      <c r="T81" s="1"/>
      <c r="U81" s="1"/>
      <c r="V81" s="1"/>
      <c r="W81" s="1"/>
      <c r="X81" s="1"/>
      <c r="Y81" s="1"/>
      <c r="Z81" s="1"/>
      <c r="AA81" s="1"/>
    </row>
    <row r="82">
      <c r="A82" s="1"/>
      <c r="B82" s="3"/>
      <c r="C82" s="18" t="s">
        <v>60</v>
      </c>
      <c r="D82" s="23">
        <f t="shared" ref="D82:F82" si="6">D78*D81</f>
        <v>28225.34375</v>
      </c>
      <c r="E82" s="23">
        <f t="shared" si="6"/>
        <v>31520.51645</v>
      </c>
      <c r="F82" s="23">
        <f t="shared" si="6"/>
        <v>37232.80982</v>
      </c>
      <c r="G82" s="1"/>
      <c r="H82" s="1"/>
      <c r="I82" s="1"/>
      <c r="J82" s="1"/>
      <c r="K82" s="1"/>
      <c r="L82" s="1"/>
      <c r="M82" s="2"/>
      <c r="N82" s="1"/>
      <c r="O82" s="1"/>
      <c r="P82" s="1"/>
      <c r="Q82" s="1"/>
      <c r="R82" s="1"/>
      <c r="S82" s="1"/>
      <c r="T82" s="1"/>
      <c r="U82" s="1"/>
      <c r="V82" s="1"/>
      <c r="W82" s="1"/>
      <c r="X82" s="1"/>
      <c r="Y82" s="1"/>
      <c r="Z82" s="1"/>
      <c r="AA82" s="1"/>
    </row>
    <row r="83">
      <c r="A83" s="1"/>
      <c r="B83" s="3"/>
      <c r="C83" s="18" t="s">
        <v>62</v>
      </c>
      <c r="D83" s="23">
        <f>L70</f>
        <v>39500</v>
      </c>
      <c r="E83" s="23">
        <f>L70</f>
        <v>39500</v>
      </c>
      <c r="F83" s="23">
        <f>L70</f>
        <v>39500</v>
      </c>
      <c r="G83" s="1"/>
      <c r="H83" s="1"/>
      <c r="I83" s="1"/>
      <c r="J83" s="1"/>
      <c r="K83" s="1"/>
      <c r="L83" s="1"/>
      <c r="M83" s="2"/>
      <c r="N83" s="1"/>
      <c r="O83" s="1"/>
      <c r="P83" s="1"/>
      <c r="Q83" s="1"/>
      <c r="R83" s="1"/>
      <c r="S83" s="1"/>
      <c r="T83" s="1"/>
      <c r="U83" s="1"/>
      <c r="V83" s="1"/>
      <c r="W83" s="1"/>
      <c r="X83" s="1"/>
      <c r="Y83" s="1"/>
      <c r="Z83" s="1"/>
      <c r="AA83" s="1"/>
    </row>
    <row r="84">
      <c r="A84" s="1"/>
      <c r="B84" s="3"/>
      <c r="C84" s="18" t="s">
        <v>64</v>
      </c>
      <c r="D84" s="23">
        <f t="shared" ref="D84:F84" si="7">D78-D80-D82-D83</f>
        <v>-16741.71494</v>
      </c>
      <c r="E84" s="23">
        <f t="shared" si="7"/>
        <v>-14084.79496</v>
      </c>
      <c r="F84" s="23">
        <f t="shared" si="7"/>
        <v>-9478.934283</v>
      </c>
      <c r="G84" s="1"/>
      <c r="H84" s="1"/>
      <c r="I84" s="1"/>
      <c r="J84" s="1"/>
      <c r="K84" s="1"/>
      <c r="L84" s="1"/>
      <c r="M84" s="2"/>
      <c r="N84" s="1"/>
      <c r="O84" s="1"/>
      <c r="P84" s="1"/>
      <c r="Q84" s="1"/>
      <c r="R84" s="1"/>
      <c r="S84" s="1"/>
      <c r="T84" s="1"/>
      <c r="U84" s="1"/>
      <c r="V84" s="1"/>
      <c r="W84" s="1"/>
      <c r="X84" s="1"/>
      <c r="Y84" s="1"/>
      <c r="Z84" s="1"/>
      <c r="AA84" s="1"/>
    </row>
    <row r="85">
      <c r="A85" s="1"/>
      <c r="B85" s="3"/>
      <c r="C85" s="18" t="s">
        <v>66</v>
      </c>
      <c r="D85" s="23">
        <v>16850.0</v>
      </c>
      <c r="E85" s="23">
        <v>30600.0</v>
      </c>
      <c r="F85" s="23">
        <v>52500.0</v>
      </c>
      <c r="G85" s="1"/>
      <c r="H85" s="1"/>
      <c r="I85" s="1"/>
      <c r="J85" s="1"/>
      <c r="K85" s="1"/>
      <c r="L85" s="1"/>
      <c r="M85" s="2"/>
      <c r="N85" s="1"/>
      <c r="O85" s="1"/>
      <c r="P85" s="1"/>
      <c r="Q85" s="1"/>
      <c r="R85" s="1"/>
      <c r="S85" s="1"/>
      <c r="T85" s="1"/>
      <c r="U85" s="1"/>
      <c r="V85" s="1"/>
      <c r="W85" s="1"/>
      <c r="X85" s="1"/>
      <c r="Y85" s="1"/>
      <c r="Z85" s="1"/>
      <c r="AA85" s="1"/>
    </row>
    <row r="86">
      <c r="A86" s="1"/>
      <c r="B86" s="3"/>
      <c r="C86" s="1"/>
      <c r="D86" s="1"/>
      <c r="E86" s="1"/>
      <c r="F86" s="1"/>
      <c r="G86" s="1"/>
      <c r="H86" s="1"/>
      <c r="I86" s="1"/>
      <c r="J86" s="1"/>
      <c r="K86" s="1"/>
      <c r="L86" s="1"/>
      <c r="M86" s="2"/>
      <c r="N86" s="1"/>
      <c r="O86" s="1"/>
      <c r="P86" s="1"/>
      <c r="Q86" s="1"/>
      <c r="R86" s="1"/>
      <c r="S86" s="1"/>
      <c r="T86" s="1"/>
      <c r="U86" s="1"/>
      <c r="V86" s="1"/>
      <c r="W86" s="1"/>
      <c r="X86" s="1"/>
      <c r="Y86" s="1"/>
      <c r="Z86" s="1"/>
      <c r="AA86" s="1"/>
    </row>
    <row r="87">
      <c r="A87" s="1"/>
      <c r="B87" s="3"/>
      <c r="C87" s="5" t="s">
        <v>69</v>
      </c>
      <c r="D87" s="1"/>
      <c r="E87" s="1"/>
      <c r="F87" s="1"/>
      <c r="G87" s="1"/>
      <c r="H87" s="1"/>
      <c r="I87" s="1"/>
      <c r="J87" s="1"/>
      <c r="K87" s="1"/>
      <c r="L87" s="1"/>
      <c r="M87" s="2"/>
      <c r="N87" s="1"/>
      <c r="O87" s="1"/>
      <c r="P87" s="1"/>
      <c r="Q87" s="1"/>
      <c r="R87" s="1"/>
      <c r="S87" s="1"/>
      <c r="T87" s="1"/>
      <c r="U87" s="1"/>
      <c r="V87" s="1"/>
      <c r="W87" s="1"/>
      <c r="X87" s="1"/>
      <c r="Y87" s="1"/>
      <c r="Z87" s="1"/>
      <c r="AA87" s="1"/>
    </row>
    <row r="88">
      <c r="A88" s="1"/>
      <c r="B88" s="3"/>
      <c r="C88" s="5" t="s">
        <v>70</v>
      </c>
      <c r="D88" s="1"/>
      <c r="E88" s="1"/>
      <c r="F88" s="1"/>
      <c r="G88" s="1"/>
      <c r="H88" s="1"/>
      <c r="I88" s="1"/>
      <c r="J88" s="1"/>
      <c r="K88" s="1"/>
      <c r="L88" s="1"/>
      <c r="M88" s="2" t="s">
        <v>5</v>
      </c>
      <c r="N88" s="1"/>
      <c r="O88" s="1"/>
      <c r="P88" s="1"/>
      <c r="Q88" s="1"/>
      <c r="R88" s="1"/>
      <c r="S88" s="1"/>
      <c r="T88" s="1"/>
      <c r="U88" s="1"/>
      <c r="V88" s="1"/>
      <c r="W88" s="1"/>
      <c r="X88" s="1"/>
      <c r="Y88" s="1"/>
      <c r="Z88" s="1"/>
      <c r="AA88" s="1"/>
    </row>
    <row r="89">
      <c r="A89" s="1"/>
      <c r="B89" s="3"/>
      <c r="C89" s="5"/>
      <c r="D89" s="1"/>
      <c r="E89" s="1"/>
      <c r="F89" s="1"/>
      <c r="G89" s="1"/>
      <c r="H89" s="1"/>
      <c r="I89" s="3" t="s">
        <v>71</v>
      </c>
      <c r="J89" s="1"/>
      <c r="K89" s="1"/>
      <c r="L89" s="1"/>
      <c r="M89" s="2"/>
      <c r="N89" s="1"/>
      <c r="O89" s="1"/>
      <c r="P89" s="1"/>
      <c r="Q89" s="1"/>
      <c r="R89" s="1"/>
      <c r="S89" s="1"/>
      <c r="T89" s="1"/>
      <c r="U89" s="1"/>
      <c r="V89" s="1"/>
      <c r="W89" s="1"/>
      <c r="X89" s="1"/>
      <c r="Y89" s="1"/>
      <c r="Z89" s="1"/>
      <c r="AA89" s="1"/>
    </row>
    <row r="90">
      <c r="A90" s="1"/>
      <c r="B90" s="3"/>
      <c r="C90" s="25" t="s">
        <v>72</v>
      </c>
      <c r="D90" s="1" t="s">
        <v>73</v>
      </c>
      <c r="E90" s="5" t="s">
        <v>74</v>
      </c>
      <c r="F90" s="5" t="s">
        <v>27</v>
      </c>
      <c r="G90" s="5" t="s">
        <v>75</v>
      </c>
      <c r="H90" s="1"/>
      <c r="I90" s="5" t="s">
        <v>76</v>
      </c>
      <c r="J90" s="5" t="s">
        <v>77</v>
      </c>
      <c r="K90" s="1"/>
      <c r="L90" s="1"/>
      <c r="M90" s="2"/>
      <c r="N90" s="1"/>
      <c r="O90" s="1"/>
      <c r="P90" s="1"/>
      <c r="Q90" s="1"/>
      <c r="R90" s="1"/>
      <c r="S90" s="1"/>
      <c r="T90" s="1"/>
      <c r="U90" s="1"/>
      <c r="V90" s="1"/>
      <c r="W90" s="1"/>
      <c r="X90" s="1"/>
      <c r="Y90" s="1"/>
      <c r="Z90" s="1"/>
      <c r="AA90" s="1"/>
    </row>
    <row r="91">
      <c r="A91" s="1"/>
      <c r="B91" s="3"/>
      <c r="C91" s="25" t="s">
        <v>78</v>
      </c>
      <c r="D91" s="26">
        <v>0.025</v>
      </c>
      <c r="E91" s="5">
        <v>28.0</v>
      </c>
      <c r="F91" s="27">
        <f>(1 + 0.025)^9</f>
        <v>1.24886297</v>
      </c>
      <c r="G91" s="28">
        <f t="shared" ref="G91:G93" si="8">E91*F91</f>
        <v>34.96816316</v>
      </c>
      <c r="H91" s="1" t="s">
        <v>79</v>
      </c>
      <c r="I91" s="29">
        <f t="shared" ref="I91:I93" si="9">D91</f>
        <v>0.025</v>
      </c>
      <c r="J91" s="29">
        <f t="shared" ref="J91:J93" si="10">I91/12</f>
        <v>0.002083333333</v>
      </c>
      <c r="K91" s="26"/>
      <c r="L91" s="1"/>
      <c r="M91" s="2"/>
      <c r="N91" s="1"/>
      <c r="O91" s="1"/>
      <c r="P91" s="1"/>
      <c r="Q91" s="1"/>
      <c r="R91" s="1"/>
      <c r="S91" s="1"/>
      <c r="T91" s="1"/>
      <c r="U91" s="1"/>
      <c r="V91" s="1"/>
      <c r="W91" s="1"/>
      <c r="X91" s="1"/>
      <c r="Y91" s="1"/>
      <c r="Z91" s="1"/>
      <c r="AA91" s="1"/>
    </row>
    <row r="92">
      <c r="A92" s="1"/>
      <c r="B92" s="3"/>
      <c r="C92" s="25" t="s">
        <v>80</v>
      </c>
      <c r="D92" s="26">
        <v>0.0447</v>
      </c>
      <c r="E92" s="5">
        <v>28.0</v>
      </c>
      <c r="F92" s="27">
        <f>(1 + 0.0447)^9</f>
        <v>1.482259875</v>
      </c>
      <c r="G92" s="28">
        <f t="shared" si="8"/>
        <v>41.5032765</v>
      </c>
      <c r="H92" s="1" t="s">
        <v>81</v>
      </c>
      <c r="I92" s="29">
        <f t="shared" si="9"/>
        <v>0.0447</v>
      </c>
      <c r="J92" s="26">
        <f t="shared" si="10"/>
        <v>0.003725</v>
      </c>
      <c r="K92" s="1"/>
      <c r="L92" s="1"/>
      <c r="M92" s="2" t="s">
        <v>5</v>
      </c>
      <c r="N92" s="1"/>
      <c r="O92" s="1"/>
      <c r="P92" s="1"/>
      <c r="Q92" s="1"/>
      <c r="R92" s="1"/>
      <c r="S92" s="1"/>
      <c r="T92" s="1"/>
      <c r="U92" s="1"/>
      <c r="V92" s="1"/>
      <c r="W92" s="1"/>
      <c r="X92" s="1"/>
      <c r="Y92" s="1"/>
      <c r="Z92" s="1"/>
      <c r="AA92" s="1"/>
    </row>
    <row r="93">
      <c r="A93" s="1"/>
      <c r="B93" s="3"/>
      <c r="C93" s="25" t="s">
        <v>82</v>
      </c>
      <c r="D93" s="26">
        <v>0.065</v>
      </c>
      <c r="E93" s="5">
        <v>28.0</v>
      </c>
      <c r="F93" s="27">
        <f>(1 + 0.065)^9</f>
        <v>1.76257039</v>
      </c>
      <c r="G93" s="28">
        <f t="shared" si="8"/>
        <v>49.35197092</v>
      </c>
      <c r="H93" s="1" t="s">
        <v>83</v>
      </c>
      <c r="I93" s="29">
        <f t="shared" si="9"/>
        <v>0.065</v>
      </c>
      <c r="J93" s="26">
        <f t="shared" si="10"/>
        <v>0.005416666667</v>
      </c>
      <c r="K93" s="1"/>
      <c r="L93" s="1"/>
      <c r="M93" s="2"/>
      <c r="N93" s="1"/>
      <c r="O93" s="1"/>
      <c r="P93" s="1"/>
      <c r="Q93" s="1"/>
      <c r="R93" s="1"/>
      <c r="S93" s="1"/>
      <c r="T93" s="1"/>
      <c r="U93" s="1"/>
      <c r="V93" s="1"/>
      <c r="W93" s="1"/>
      <c r="X93" s="1"/>
      <c r="Y93" s="1"/>
      <c r="Z93" s="1"/>
      <c r="AA93" s="1"/>
    </row>
    <row r="94">
      <c r="A94" s="1"/>
      <c r="B94" s="3"/>
      <c r="C94" s="5"/>
      <c r="D94" s="1"/>
      <c r="E94" s="1"/>
      <c r="F94" s="1"/>
      <c r="G94" s="1"/>
      <c r="H94" s="1"/>
      <c r="I94" s="1"/>
      <c r="J94" s="1"/>
      <c r="K94" s="1"/>
      <c r="L94" s="1"/>
      <c r="M94" s="2"/>
      <c r="N94" s="1"/>
      <c r="O94" s="1"/>
      <c r="P94" s="1"/>
      <c r="Q94" s="1"/>
      <c r="R94" s="1"/>
      <c r="S94" s="1"/>
      <c r="T94" s="1"/>
      <c r="U94" s="1"/>
      <c r="V94" s="1"/>
      <c r="W94" s="1"/>
      <c r="X94" s="1"/>
      <c r="Y94" s="1"/>
      <c r="Z94" s="1"/>
      <c r="AA94" s="1"/>
    </row>
    <row r="95">
      <c r="A95" s="1"/>
      <c r="B95" s="3"/>
      <c r="C95" s="5"/>
      <c r="D95" s="1"/>
      <c r="E95" s="1"/>
      <c r="F95" s="1"/>
      <c r="G95" s="1"/>
      <c r="H95" s="1"/>
      <c r="I95" s="1"/>
      <c r="J95" s="1"/>
      <c r="K95" s="1"/>
      <c r="L95" s="1"/>
      <c r="M95" s="2"/>
      <c r="N95" s="1"/>
      <c r="O95" s="1"/>
      <c r="P95" s="1"/>
      <c r="Q95" s="1"/>
      <c r="R95" s="1"/>
      <c r="S95" s="1"/>
      <c r="T95" s="1"/>
      <c r="U95" s="1"/>
      <c r="V95" s="1"/>
      <c r="W95" s="1"/>
      <c r="X95" s="1"/>
      <c r="Y95" s="1"/>
      <c r="Z95" s="1"/>
      <c r="AA95" s="1"/>
    </row>
    <row r="96">
      <c r="A96" s="1"/>
      <c r="B96" s="3"/>
      <c r="C96" s="5"/>
      <c r="D96" s="1"/>
      <c r="E96" s="1"/>
      <c r="F96" s="1"/>
      <c r="G96" s="1"/>
      <c r="H96" s="5"/>
      <c r="I96" s="1"/>
      <c r="J96" s="1"/>
      <c r="K96" s="1"/>
      <c r="L96" s="1"/>
      <c r="M96" s="2"/>
      <c r="N96" s="1"/>
      <c r="O96" s="1"/>
      <c r="P96" s="1"/>
      <c r="Q96" s="1"/>
      <c r="R96" s="1"/>
      <c r="S96" s="1"/>
      <c r="T96" s="1"/>
      <c r="U96" s="1"/>
      <c r="V96" s="1"/>
      <c r="W96" s="1"/>
      <c r="X96" s="1"/>
      <c r="Y96" s="1"/>
      <c r="Z96" s="1"/>
      <c r="AA96" s="1"/>
    </row>
    <row r="97">
      <c r="A97" s="1"/>
      <c r="B97" s="3"/>
      <c r="C97" s="1"/>
      <c r="D97" s="1"/>
      <c r="E97" s="1"/>
      <c r="F97" s="1"/>
      <c r="G97" s="1"/>
      <c r="H97" s="5"/>
      <c r="I97" s="1"/>
      <c r="J97" s="1"/>
      <c r="K97" s="1"/>
      <c r="L97" s="1"/>
      <c r="M97" s="2"/>
      <c r="N97" s="1"/>
      <c r="O97" s="1"/>
      <c r="P97" s="1"/>
      <c r="Q97" s="1"/>
      <c r="R97" s="1"/>
      <c r="S97" s="1"/>
      <c r="T97" s="1"/>
      <c r="U97" s="1"/>
      <c r="V97" s="1"/>
      <c r="W97" s="1"/>
      <c r="X97" s="1"/>
      <c r="Y97" s="1"/>
      <c r="Z97" s="1"/>
      <c r="AA97" s="1"/>
    </row>
    <row r="98">
      <c r="A98" s="1"/>
      <c r="B98" s="6" t="s">
        <v>84</v>
      </c>
      <c r="C98" s="1"/>
      <c r="D98" s="1"/>
      <c r="E98" s="1"/>
      <c r="F98" s="1"/>
      <c r="G98" s="1"/>
      <c r="H98" s="1"/>
      <c r="I98" s="1"/>
      <c r="J98" s="1"/>
      <c r="K98" s="1"/>
      <c r="L98" s="1"/>
      <c r="M98" s="2"/>
      <c r="N98" s="1"/>
      <c r="O98" s="1"/>
      <c r="P98" s="1"/>
      <c r="Q98" s="1"/>
      <c r="R98" s="1"/>
      <c r="S98" s="1"/>
      <c r="T98" s="1"/>
      <c r="U98" s="1"/>
      <c r="V98" s="1"/>
      <c r="W98" s="1"/>
      <c r="X98" s="1"/>
      <c r="Y98" s="1"/>
      <c r="Z98" s="1"/>
      <c r="AA98" s="1"/>
    </row>
    <row r="99">
      <c r="A99" s="1"/>
      <c r="B99" s="30"/>
      <c r="C99" s="5" t="s">
        <v>85</v>
      </c>
      <c r="D99" s="1"/>
      <c r="E99" s="1"/>
      <c r="F99" s="1"/>
      <c r="G99" s="1"/>
      <c r="H99" s="1"/>
      <c r="I99" s="1"/>
      <c r="J99" s="1"/>
      <c r="K99" s="1"/>
      <c r="L99" s="1"/>
      <c r="M99" s="2"/>
      <c r="N99" s="1"/>
      <c r="O99" s="1"/>
      <c r="P99" s="1"/>
      <c r="Q99" s="1"/>
      <c r="R99" s="1"/>
      <c r="S99" s="1"/>
      <c r="T99" s="1"/>
      <c r="U99" s="1"/>
      <c r="V99" s="1"/>
      <c r="W99" s="1"/>
      <c r="X99" s="1"/>
      <c r="Y99" s="1"/>
      <c r="Z99" s="1"/>
      <c r="AA99" s="1"/>
    </row>
    <row r="100">
      <c r="A100" s="1"/>
      <c r="B100" s="1"/>
      <c r="C100" s="5" t="s">
        <v>86</v>
      </c>
      <c r="D100" s="1"/>
      <c r="E100" s="1"/>
      <c r="F100" s="1"/>
      <c r="G100" s="1"/>
      <c r="H100" s="1"/>
      <c r="I100" s="1"/>
      <c r="J100" s="1"/>
      <c r="K100" s="1"/>
      <c r="L100" s="1"/>
      <c r="M100" s="2"/>
      <c r="N100" s="1"/>
      <c r="O100" s="1"/>
      <c r="P100" s="1"/>
      <c r="Q100" s="1"/>
      <c r="R100" s="1"/>
      <c r="S100" s="1"/>
      <c r="T100" s="1"/>
      <c r="U100" s="1"/>
      <c r="V100" s="1"/>
      <c r="W100" s="1"/>
      <c r="X100" s="1"/>
      <c r="Y100" s="1"/>
      <c r="Z100" s="1"/>
      <c r="AA100" s="1"/>
    </row>
    <row r="101">
      <c r="A101" s="1"/>
      <c r="B101" s="1"/>
      <c r="C101" s="5" t="s">
        <v>87</v>
      </c>
      <c r="D101" s="1"/>
      <c r="E101" s="1"/>
      <c r="F101" s="1"/>
      <c r="G101" s="1"/>
      <c r="H101" s="1"/>
      <c r="I101" s="1"/>
      <c r="J101" s="1"/>
      <c r="K101" s="1"/>
      <c r="L101" s="1"/>
      <c r="M101" s="2"/>
      <c r="N101" s="1"/>
      <c r="O101" s="1"/>
      <c r="P101" s="1"/>
      <c r="Q101" s="1"/>
      <c r="R101" s="1"/>
      <c r="S101" s="1"/>
      <c r="T101" s="1"/>
      <c r="U101" s="1"/>
      <c r="V101" s="1"/>
      <c r="W101" s="1"/>
      <c r="X101" s="1"/>
      <c r="Y101" s="1"/>
      <c r="Z101" s="1"/>
      <c r="AA101" s="1"/>
    </row>
    <row r="102">
      <c r="A102" s="1"/>
      <c r="B102" s="1"/>
      <c r="C102" s="5" t="s">
        <v>88</v>
      </c>
      <c r="D102" s="1"/>
      <c r="E102" s="1"/>
      <c r="F102" s="1"/>
      <c r="G102" s="1"/>
      <c r="H102" s="1"/>
      <c r="I102" s="1"/>
      <c r="J102" s="1"/>
      <c r="K102" s="1"/>
      <c r="L102" s="1"/>
      <c r="M102" s="2"/>
      <c r="N102" s="1"/>
      <c r="O102" s="1"/>
      <c r="P102" s="1"/>
      <c r="Q102" s="1"/>
      <c r="R102" s="1"/>
      <c r="S102" s="1"/>
      <c r="T102" s="1"/>
      <c r="U102" s="1"/>
      <c r="V102" s="1"/>
      <c r="W102" s="1"/>
      <c r="X102" s="1"/>
      <c r="Y102" s="1"/>
      <c r="Z102" s="1"/>
      <c r="AA102" s="1"/>
    </row>
    <row r="103">
      <c r="A103" s="1"/>
      <c r="B103" s="1"/>
      <c r="C103" s="5" t="s">
        <v>89</v>
      </c>
      <c r="D103" s="1"/>
      <c r="E103" s="1"/>
      <c r="F103" s="1"/>
      <c r="G103" s="1"/>
      <c r="H103" s="1"/>
      <c r="I103" s="1"/>
      <c r="J103" s="1"/>
      <c r="K103" s="1"/>
      <c r="L103" s="1"/>
      <c r="M103" s="2"/>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2"/>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2"/>
      <c r="N105" s="1"/>
      <c r="O105" s="1"/>
      <c r="P105" s="1"/>
      <c r="Q105" s="1"/>
      <c r="R105" s="1"/>
      <c r="S105" s="1"/>
      <c r="T105" s="1"/>
      <c r="U105" s="1"/>
      <c r="V105" s="1"/>
      <c r="W105" s="1"/>
      <c r="X105" s="1"/>
      <c r="Y105" s="1"/>
      <c r="Z105" s="1"/>
      <c r="AA105" s="1"/>
    </row>
    <row r="106">
      <c r="A106" s="1"/>
      <c r="B106" s="1"/>
      <c r="C106" s="3" t="s">
        <v>90</v>
      </c>
      <c r="D106" s="3" t="s">
        <v>91</v>
      </c>
      <c r="E106" s="3" t="s">
        <v>92</v>
      </c>
      <c r="F106" s="3" t="s">
        <v>93</v>
      </c>
      <c r="G106" s="3" t="s">
        <v>94</v>
      </c>
      <c r="H106" s="1"/>
      <c r="I106" s="1"/>
      <c r="J106" s="1"/>
      <c r="K106" s="1"/>
      <c r="L106" s="1"/>
      <c r="M106" s="2"/>
      <c r="N106" s="1"/>
      <c r="O106" s="1"/>
      <c r="P106" s="1"/>
      <c r="Q106" s="1"/>
      <c r="R106" s="1"/>
      <c r="S106" s="1"/>
      <c r="T106" s="1"/>
      <c r="U106" s="1"/>
      <c r="V106" s="1"/>
      <c r="W106" s="1"/>
      <c r="X106" s="1"/>
      <c r="Y106" s="1"/>
      <c r="Z106" s="1"/>
      <c r="AA106" s="1"/>
    </row>
    <row r="107">
      <c r="A107" s="1"/>
      <c r="B107" s="1"/>
      <c r="C107" s="5">
        <v>2022.0</v>
      </c>
      <c r="D107" s="31">
        <v>151846.35</v>
      </c>
      <c r="E107" s="31">
        <v>882471.77</v>
      </c>
      <c r="F107" s="31">
        <f t="shared" ref="F107:F109" si="11">E107/85</f>
        <v>10382.02082</v>
      </c>
      <c r="G107" s="31">
        <f t="shared" ref="G107:G109" si="12">D107/F107</f>
        <v>14.62589534</v>
      </c>
      <c r="H107" s="1"/>
      <c r="I107" s="1"/>
      <c r="J107" s="1"/>
      <c r="K107" s="1"/>
      <c r="L107" s="1"/>
      <c r="M107" s="2"/>
      <c r="N107" s="1"/>
      <c r="O107" s="1"/>
      <c r="P107" s="1"/>
      <c r="Q107" s="1"/>
      <c r="R107" s="1"/>
      <c r="S107" s="1"/>
      <c r="T107" s="1"/>
      <c r="U107" s="1"/>
      <c r="V107" s="1"/>
      <c r="W107" s="1"/>
      <c r="X107" s="1"/>
      <c r="Y107" s="1"/>
      <c r="Z107" s="1"/>
      <c r="AA107" s="1"/>
    </row>
    <row r="108">
      <c r="A108" s="1"/>
      <c r="B108" s="1"/>
      <c r="C108" s="5">
        <v>2023.0</v>
      </c>
      <c r="D108" s="31">
        <v>112474.76</v>
      </c>
      <c r="E108" s="31">
        <v>698520.16</v>
      </c>
      <c r="F108" s="31">
        <f t="shared" si="11"/>
        <v>8217.884235</v>
      </c>
      <c r="G108" s="31">
        <f t="shared" si="12"/>
        <v>13.68658365</v>
      </c>
      <c r="H108" s="1"/>
      <c r="I108" s="1"/>
      <c r="J108" s="1"/>
      <c r="K108" s="1"/>
      <c r="L108" s="1"/>
      <c r="M108" s="2"/>
      <c r="N108" s="1"/>
      <c r="O108" s="1"/>
      <c r="P108" s="1"/>
      <c r="Q108" s="1"/>
      <c r="R108" s="1"/>
      <c r="S108" s="1"/>
      <c r="T108" s="1"/>
      <c r="U108" s="1"/>
      <c r="V108" s="1"/>
      <c r="W108" s="1"/>
      <c r="X108" s="1"/>
      <c r="Y108" s="1"/>
      <c r="Z108" s="1"/>
      <c r="AA108" s="1"/>
    </row>
    <row r="109">
      <c r="A109" s="1"/>
      <c r="B109" s="3"/>
      <c r="C109" s="5">
        <v>2024.0</v>
      </c>
      <c r="D109" s="31">
        <v>241812.9</v>
      </c>
      <c r="E109" s="31">
        <v>1014224.73</v>
      </c>
      <c r="F109" s="31">
        <f t="shared" si="11"/>
        <v>11932.05565</v>
      </c>
      <c r="G109" s="31">
        <f t="shared" si="12"/>
        <v>20.26582067</v>
      </c>
      <c r="H109" s="2"/>
      <c r="I109" s="2" t="s">
        <v>5</v>
      </c>
      <c r="J109" s="1"/>
      <c r="K109" s="1"/>
      <c r="L109" s="1"/>
      <c r="M109" s="2"/>
      <c r="N109" s="1"/>
      <c r="O109" s="1"/>
      <c r="P109" s="1"/>
      <c r="Q109" s="1"/>
      <c r="R109" s="1"/>
      <c r="S109" s="1"/>
      <c r="T109" s="1"/>
      <c r="U109" s="1"/>
      <c r="V109" s="1"/>
      <c r="W109" s="1"/>
      <c r="X109" s="1"/>
      <c r="Y109" s="1"/>
      <c r="Z109" s="1"/>
      <c r="AA109" s="1"/>
    </row>
    <row r="110">
      <c r="A110" s="1"/>
      <c r="B110" s="3"/>
      <c r="C110" s="1"/>
      <c r="D110" s="1"/>
      <c r="E110" s="1"/>
      <c r="F110" s="1"/>
      <c r="G110" s="1"/>
      <c r="H110" s="1"/>
      <c r="I110" s="1"/>
      <c r="J110" s="1"/>
      <c r="K110" s="1"/>
      <c r="L110" s="1"/>
      <c r="M110" s="2"/>
      <c r="N110" s="1"/>
      <c r="O110" s="1"/>
      <c r="P110" s="1"/>
      <c r="Q110" s="1"/>
      <c r="R110" s="1"/>
      <c r="S110" s="1"/>
      <c r="T110" s="1"/>
      <c r="U110" s="1"/>
      <c r="V110" s="1"/>
      <c r="W110" s="1"/>
      <c r="X110" s="1"/>
      <c r="Y110" s="1"/>
      <c r="Z110" s="1"/>
      <c r="AA110" s="1"/>
    </row>
    <row r="111">
      <c r="A111" s="1"/>
      <c r="B111" s="6" t="s">
        <v>95</v>
      </c>
      <c r="C111" s="1"/>
      <c r="D111" s="1"/>
      <c r="E111" s="1"/>
      <c r="F111" s="1"/>
      <c r="G111" s="1"/>
      <c r="H111" s="1"/>
      <c r="I111" s="1"/>
      <c r="J111" s="1"/>
      <c r="K111" s="1"/>
      <c r="L111" s="1"/>
      <c r="M111" s="2"/>
      <c r="N111" s="1"/>
      <c r="O111" s="1"/>
      <c r="P111" s="1"/>
      <c r="Q111" s="1"/>
      <c r="R111" s="1"/>
      <c r="S111" s="1"/>
      <c r="T111" s="1"/>
      <c r="U111" s="1"/>
      <c r="V111" s="1"/>
      <c r="W111" s="1"/>
      <c r="X111" s="1"/>
      <c r="Y111" s="1"/>
      <c r="Z111" s="1"/>
      <c r="AA111" s="1"/>
    </row>
    <row r="112">
      <c r="A112" s="1"/>
      <c r="B112" s="3"/>
      <c r="C112" s="1"/>
      <c r="D112" s="1"/>
      <c r="E112" s="1"/>
      <c r="F112" s="1"/>
      <c r="G112" s="1"/>
      <c r="H112" s="1"/>
      <c r="I112" s="1"/>
      <c r="J112" s="1"/>
      <c r="K112" s="1"/>
      <c r="L112" s="1"/>
      <c r="M112" s="2"/>
      <c r="N112" s="1"/>
      <c r="O112" s="1"/>
      <c r="P112" s="1"/>
      <c r="Q112" s="1"/>
      <c r="R112" s="1"/>
      <c r="S112" s="1"/>
      <c r="T112" s="1"/>
      <c r="U112" s="1"/>
      <c r="V112" s="1"/>
      <c r="W112" s="1"/>
      <c r="X112" s="1"/>
      <c r="Y112" s="1"/>
      <c r="Z112" s="1"/>
      <c r="AA112" s="1"/>
    </row>
    <row r="113">
      <c r="A113" s="1"/>
      <c r="B113" s="3"/>
      <c r="C113" s="5" t="s">
        <v>96</v>
      </c>
      <c r="D113" s="5" t="s">
        <v>97</v>
      </c>
      <c r="E113" s="5"/>
      <c r="F113" s="5"/>
      <c r="G113" s="3" t="s">
        <v>98</v>
      </c>
      <c r="H113" s="1"/>
      <c r="I113" s="1"/>
      <c r="J113" s="1"/>
      <c r="K113" s="1"/>
      <c r="L113" s="1"/>
      <c r="M113" s="2"/>
      <c r="N113" s="1"/>
      <c r="O113" s="1"/>
      <c r="P113" s="1"/>
      <c r="Q113" s="1"/>
      <c r="R113" s="1"/>
      <c r="S113" s="1"/>
      <c r="T113" s="1"/>
      <c r="U113" s="1"/>
      <c r="V113" s="1"/>
      <c r="W113" s="1"/>
      <c r="X113" s="1"/>
      <c r="Y113" s="1"/>
      <c r="Z113" s="1"/>
      <c r="AA113" s="1"/>
    </row>
    <row r="114">
      <c r="A114" s="1"/>
      <c r="B114" s="3"/>
      <c r="C114" s="5" t="s">
        <v>99</v>
      </c>
      <c r="D114" s="5" t="s">
        <v>100</v>
      </c>
      <c r="E114" s="31">
        <v>109100.0</v>
      </c>
      <c r="F114" s="31">
        <f t="shared" ref="F114:F116" si="13">(200000*55%)/24</f>
        <v>4583.333333</v>
      </c>
      <c r="G114" s="31">
        <f>E114+F114</f>
        <v>113683.3333</v>
      </c>
      <c r="H114" s="1"/>
      <c r="I114" s="1"/>
      <c r="J114" s="1"/>
      <c r="K114" s="1"/>
      <c r="L114" s="1"/>
      <c r="M114" s="2"/>
      <c r="N114" s="1"/>
      <c r="O114" s="1"/>
      <c r="P114" s="1"/>
      <c r="Q114" s="1"/>
      <c r="R114" s="1"/>
      <c r="S114" s="1"/>
      <c r="T114" s="1"/>
      <c r="U114" s="1"/>
      <c r="V114" s="1"/>
      <c r="W114" s="1"/>
      <c r="X114" s="1"/>
      <c r="Y114" s="1"/>
      <c r="Z114" s="1"/>
      <c r="AA114" s="1"/>
    </row>
    <row r="115">
      <c r="A115" s="1"/>
      <c r="B115" s="1"/>
      <c r="C115" s="5" t="s">
        <v>52</v>
      </c>
      <c r="D115" s="5" t="s">
        <v>101</v>
      </c>
      <c r="E115" s="31">
        <v>109100.0</v>
      </c>
      <c r="F115" s="31">
        <f t="shared" si="13"/>
        <v>4583.333333</v>
      </c>
      <c r="G115" s="31">
        <f>E115+(F115*3.5)</f>
        <v>125141.6667</v>
      </c>
      <c r="H115" s="1"/>
      <c r="I115" s="1"/>
      <c r="J115" s="1"/>
      <c r="K115" s="1"/>
      <c r="L115" s="1"/>
      <c r="M115" s="2"/>
      <c r="N115" s="1"/>
      <c r="O115" s="1"/>
      <c r="P115" s="1"/>
      <c r="Q115" s="1"/>
      <c r="R115" s="1"/>
      <c r="S115" s="1"/>
      <c r="T115" s="1"/>
      <c r="U115" s="1"/>
      <c r="V115" s="1"/>
      <c r="W115" s="1"/>
      <c r="X115" s="1"/>
      <c r="Y115" s="1"/>
      <c r="Z115" s="1"/>
      <c r="AA115" s="1"/>
    </row>
    <row r="116">
      <c r="A116" s="1"/>
      <c r="B116" s="1"/>
      <c r="C116" s="5" t="s">
        <v>102</v>
      </c>
      <c r="D116" s="5" t="s">
        <v>103</v>
      </c>
      <c r="E116" s="31">
        <v>109100.0</v>
      </c>
      <c r="F116" s="31">
        <f t="shared" si="13"/>
        <v>4583.333333</v>
      </c>
      <c r="G116" s="31">
        <f>E116+(F116*6.5)</f>
        <v>138891.6667</v>
      </c>
      <c r="H116" s="1"/>
      <c r="I116" s="1"/>
      <c r="J116" s="1"/>
      <c r="K116" s="1"/>
      <c r="L116" s="1"/>
      <c r="M116" s="2"/>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2"/>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2"/>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2"/>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2"/>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2"/>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2"/>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2"/>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2"/>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2"/>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2"/>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2"/>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2"/>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2"/>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2"/>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2"/>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2"/>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2"/>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2"/>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2"/>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2"/>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2"/>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2"/>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2"/>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2"/>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2"/>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2"/>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2"/>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2"/>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2"/>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2"/>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2"/>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2"/>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2"/>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2"/>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2"/>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2"/>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2"/>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2"/>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2"/>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2"/>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2"/>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2"/>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2"/>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2"/>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2"/>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2"/>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2"/>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2"/>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2"/>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2"/>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2"/>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2"/>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2"/>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2"/>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2"/>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2"/>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2"/>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2"/>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2"/>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2"/>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2"/>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2"/>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2"/>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2"/>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2"/>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2"/>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2"/>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2"/>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2"/>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2"/>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2"/>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2"/>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2"/>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2"/>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2"/>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2"/>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2"/>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2"/>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2"/>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2"/>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2"/>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2"/>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2"/>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2"/>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2"/>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2"/>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2"/>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2"/>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2"/>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2"/>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2"/>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2"/>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2"/>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2"/>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2"/>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2"/>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2"/>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2"/>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2"/>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2"/>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2"/>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2"/>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2"/>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2"/>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2"/>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2"/>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2"/>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2"/>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2"/>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2"/>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2"/>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2"/>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2"/>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2"/>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2"/>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2"/>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2"/>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2"/>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2"/>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2"/>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2"/>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2"/>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2"/>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2"/>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2"/>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2"/>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2"/>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2"/>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2"/>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2"/>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2"/>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2"/>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2"/>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2"/>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2"/>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2"/>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2"/>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2"/>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2"/>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2"/>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2"/>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2"/>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2"/>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2"/>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2"/>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2"/>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2"/>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2"/>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2"/>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2"/>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2"/>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2"/>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2"/>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2"/>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2"/>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2"/>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2"/>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2"/>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2"/>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2"/>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2"/>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2"/>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2"/>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2"/>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2"/>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2"/>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2"/>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2"/>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2"/>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2"/>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2"/>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2"/>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2"/>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2"/>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2"/>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2"/>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2"/>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2"/>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2"/>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2"/>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2"/>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2"/>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2"/>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2"/>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2"/>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2"/>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2"/>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2"/>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2"/>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2"/>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2"/>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2"/>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2"/>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2"/>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2"/>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2"/>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2"/>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2"/>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2"/>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2"/>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2"/>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2"/>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2"/>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2"/>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2"/>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2"/>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2"/>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2"/>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2"/>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2"/>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2"/>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2"/>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2"/>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2"/>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2"/>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2"/>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2"/>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2"/>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2"/>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2"/>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2"/>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2"/>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2"/>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2"/>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2"/>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2"/>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2"/>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2"/>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2"/>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2"/>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2"/>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2"/>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2"/>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2"/>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2"/>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2"/>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2"/>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2"/>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2"/>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2"/>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2"/>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2"/>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2"/>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2"/>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2"/>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2"/>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2"/>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2"/>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2"/>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2"/>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2"/>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2"/>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2"/>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2"/>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2"/>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2"/>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2"/>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2"/>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2"/>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2"/>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2"/>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2"/>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2"/>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2"/>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2"/>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2"/>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2"/>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2"/>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2"/>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2"/>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2"/>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2"/>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2"/>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2"/>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2"/>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2"/>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2"/>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2"/>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2"/>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2"/>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2"/>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2"/>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2"/>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2"/>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2"/>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2"/>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2"/>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2"/>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2"/>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2"/>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2"/>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2"/>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2"/>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2"/>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2"/>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2"/>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2"/>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2"/>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2"/>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2"/>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2"/>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2"/>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2"/>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2"/>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2"/>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2"/>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2"/>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2"/>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2"/>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2"/>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2"/>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2"/>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2"/>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2"/>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2"/>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2"/>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2"/>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2"/>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2"/>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2"/>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2"/>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2"/>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2"/>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2"/>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2"/>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2"/>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2"/>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2"/>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2"/>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2"/>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2"/>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2"/>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2"/>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2"/>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2"/>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2"/>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2"/>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2"/>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2"/>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2"/>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2"/>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2"/>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2"/>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2"/>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2"/>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2"/>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2"/>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2"/>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2"/>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2"/>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2"/>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2"/>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2"/>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2"/>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2"/>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2"/>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2"/>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2"/>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2"/>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2"/>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2"/>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2"/>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2"/>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2"/>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2"/>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2"/>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2"/>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2"/>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2"/>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2"/>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2"/>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2"/>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2"/>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2"/>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2"/>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2"/>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2"/>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2"/>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2"/>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2"/>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2"/>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2"/>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2"/>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2"/>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2"/>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2"/>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2"/>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2"/>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2"/>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2"/>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2"/>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2"/>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2"/>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2"/>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2"/>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2"/>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2"/>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2"/>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2"/>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2"/>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2"/>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2"/>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2"/>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2"/>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2"/>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2"/>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2"/>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2"/>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2"/>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2"/>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2"/>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2"/>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2"/>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2"/>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2"/>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2"/>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2"/>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2"/>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2"/>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2"/>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2"/>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2"/>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2"/>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2"/>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2"/>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2"/>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2"/>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2"/>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2"/>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2"/>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2"/>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2"/>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2"/>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2"/>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2"/>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2"/>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2"/>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2"/>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2"/>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2"/>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2"/>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2"/>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2"/>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2"/>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2"/>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2"/>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2"/>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2"/>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2"/>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2"/>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2"/>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2"/>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2"/>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2"/>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2"/>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2"/>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2"/>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2"/>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2"/>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2"/>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2"/>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2"/>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2"/>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2"/>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2"/>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2"/>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2"/>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2"/>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2"/>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2"/>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2"/>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2"/>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2"/>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2"/>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2"/>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2"/>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2"/>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2"/>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2"/>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2"/>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2"/>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2"/>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2"/>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2"/>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2"/>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2"/>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2"/>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2"/>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2"/>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2"/>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2"/>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2"/>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2"/>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2"/>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2"/>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2"/>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2"/>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2"/>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2"/>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2"/>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2"/>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2"/>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2"/>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2"/>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2"/>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2"/>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2"/>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2"/>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2"/>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2"/>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2"/>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2"/>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2"/>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2"/>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2"/>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2"/>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2"/>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2"/>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2"/>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2"/>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2"/>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2"/>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2"/>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2"/>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2"/>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2"/>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2"/>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2"/>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2"/>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2"/>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2"/>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2"/>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2"/>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2"/>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2"/>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2"/>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2"/>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2"/>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2"/>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2"/>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2"/>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2"/>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2"/>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2"/>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2"/>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2"/>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2"/>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2"/>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2"/>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2"/>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2"/>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2"/>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2"/>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2"/>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2"/>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2"/>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2"/>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2"/>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2"/>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2"/>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2"/>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2"/>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2"/>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2"/>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2"/>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2"/>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2"/>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2"/>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2"/>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2"/>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2"/>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2"/>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2"/>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2"/>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2"/>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2"/>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2"/>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2"/>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2"/>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2"/>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2"/>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2"/>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2"/>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2"/>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2"/>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2"/>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2"/>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2"/>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2"/>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2"/>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2"/>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2"/>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2"/>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2"/>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2"/>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2"/>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2"/>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2"/>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2"/>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2"/>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2"/>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2"/>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2"/>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2"/>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2"/>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2"/>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2"/>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2"/>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2"/>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2"/>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2"/>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2"/>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2"/>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2"/>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2"/>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2"/>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2"/>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2"/>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2"/>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2"/>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2"/>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2"/>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2"/>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2"/>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2"/>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2"/>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2"/>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2"/>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2"/>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2"/>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2"/>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2"/>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2"/>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2"/>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2"/>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2"/>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2"/>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2"/>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2"/>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2"/>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2"/>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2"/>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2"/>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2"/>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2"/>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2"/>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2"/>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2"/>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2"/>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2"/>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2"/>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2"/>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2"/>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2"/>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2"/>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2"/>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2"/>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2"/>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2"/>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2"/>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2"/>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2"/>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2"/>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2"/>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2"/>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2"/>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2"/>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2"/>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2"/>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2"/>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2"/>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2"/>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2"/>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2"/>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2"/>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2"/>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2"/>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2"/>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2"/>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2"/>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2"/>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2"/>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2"/>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2"/>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2"/>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2"/>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2"/>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2"/>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2"/>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2"/>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2"/>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2"/>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2"/>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2"/>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2"/>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2"/>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2"/>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2"/>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2"/>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2"/>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2"/>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2"/>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2"/>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2"/>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2"/>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2"/>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2"/>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2"/>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2"/>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2"/>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2"/>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2"/>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2"/>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2"/>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2"/>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2"/>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2"/>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2"/>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2"/>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2"/>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2"/>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2"/>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2"/>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2"/>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2"/>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2"/>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2"/>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2"/>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2"/>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2"/>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2"/>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2"/>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2"/>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2"/>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2"/>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2"/>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2"/>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2"/>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2"/>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2"/>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2"/>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2"/>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2"/>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2"/>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2"/>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2"/>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2"/>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2"/>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2"/>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2"/>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2"/>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2"/>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2"/>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2"/>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2"/>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2"/>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2"/>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2"/>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2"/>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2"/>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2"/>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2"/>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2"/>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2"/>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2"/>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2"/>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2"/>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2"/>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2"/>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2"/>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2"/>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2"/>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2"/>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2"/>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2"/>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2"/>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2"/>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2"/>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2"/>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2"/>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2"/>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2"/>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2"/>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2"/>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2"/>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2"/>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2"/>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2"/>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2"/>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2"/>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2"/>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2"/>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2"/>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2"/>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2"/>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2"/>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2"/>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2"/>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2"/>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2"/>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2"/>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2"/>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2"/>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2"/>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2"/>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2"/>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2"/>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2"/>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2"/>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2"/>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2"/>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2"/>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2"/>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2"/>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2"/>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2"/>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2"/>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2"/>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2"/>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2"/>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2"/>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2"/>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2"/>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2"/>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2"/>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2"/>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2"/>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2"/>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2"/>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2"/>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2"/>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2"/>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2"/>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2"/>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2"/>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2"/>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2"/>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2"/>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2"/>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2"/>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2"/>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2"/>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2"/>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2"/>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2"/>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2"/>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2"/>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2"/>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2"/>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2"/>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2"/>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2"/>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2"/>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2"/>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2"/>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2"/>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2"/>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2"/>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2"/>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2"/>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2"/>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2"/>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2"/>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2"/>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2"/>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2"/>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2"/>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2"/>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2"/>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2"/>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2"/>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2"/>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2"/>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2"/>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2"/>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2"/>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2"/>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2"/>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2"/>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2"/>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2"/>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2"/>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2"/>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2"/>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2"/>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2"/>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2"/>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2"/>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2"/>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2"/>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2"/>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2"/>
      <c r="N1008" s="1"/>
      <c r="O1008" s="1"/>
      <c r="P1008" s="1"/>
      <c r="Q1008" s="1"/>
      <c r="R1008" s="1"/>
      <c r="S1008" s="1"/>
      <c r="T1008" s="1"/>
      <c r="U1008" s="1"/>
      <c r="V1008" s="1"/>
      <c r="W1008" s="1"/>
      <c r="X1008" s="1"/>
      <c r="Y1008" s="1"/>
      <c r="Z1008" s="1"/>
      <c r="AA1008" s="1"/>
    </row>
    <row r="1009">
      <c r="A1009" s="1"/>
      <c r="B1009" s="1"/>
      <c r="C1009" s="1"/>
      <c r="D1009" s="1"/>
      <c r="E1009" s="1"/>
      <c r="F1009" s="1"/>
      <c r="G1009" s="1"/>
      <c r="H1009" s="1"/>
      <c r="I1009" s="1"/>
      <c r="J1009" s="1"/>
      <c r="K1009" s="1"/>
      <c r="L1009" s="1"/>
      <c r="M1009" s="2"/>
      <c r="N1009" s="1"/>
      <c r="O1009" s="1"/>
      <c r="P1009" s="1"/>
      <c r="Q1009" s="1"/>
      <c r="R1009" s="1"/>
      <c r="S1009" s="1"/>
      <c r="T1009" s="1"/>
      <c r="U1009" s="1"/>
      <c r="V1009" s="1"/>
      <c r="W1009" s="1"/>
      <c r="X1009" s="1"/>
      <c r="Y1009" s="1"/>
      <c r="Z1009" s="1"/>
      <c r="AA1009" s="1"/>
    </row>
  </sheetData>
  <mergeCells count="15">
    <mergeCell ref="C19:L19"/>
    <mergeCell ref="B21:L21"/>
    <mergeCell ref="H35:K35"/>
    <mergeCell ref="C61:F61"/>
    <mergeCell ref="H62:K62"/>
    <mergeCell ref="H66:K66"/>
    <mergeCell ref="H69:K69"/>
    <mergeCell ref="C76:F76"/>
    <mergeCell ref="C6:L6"/>
    <mergeCell ref="C9:L9"/>
    <mergeCell ref="C10:L10"/>
    <mergeCell ref="C11:L11"/>
    <mergeCell ref="C14:L14"/>
    <mergeCell ref="C15:L15"/>
    <mergeCell ref="C16:L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0"/>
    <col customWidth="1" hidden="1" min="2" max="3" width="12.71"/>
    <col customWidth="1" min="4" max="5" width="12.71"/>
    <col customWidth="1" min="6" max="7" width="12.43"/>
    <col customWidth="1" min="8" max="8" width="16.0"/>
    <col customWidth="1" min="9" max="10" width="11.86"/>
  </cols>
  <sheetData>
    <row r="1" ht="3.0" customHeight="1">
      <c r="A1" s="32"/>
      <c r="B1" s="32"/>
      <c r="C1" s="32"/>
      <c r="D1" s="32"/>
      <c r="E1" s="32"/>
      <c r="F1" s="32"/>
      <c r="G1" s="32"/>
      <c r="H1" s="32"/>
      <c r="I1" s="32"/>
      <c r="J1" s="32"/>
      <c r="K1" s="32"/>
      <c r="L1" s="32"/>
      <c r="M1" s="32"/>
      <c r="N1" s="32"/>
      <c r="O1" s="32"/>
      <c r="P1" s="32"/>
      <c r="Q1" s="32"/>
      <c r="R1" s="32"/>
      <c r="S1" s="32"/>
      <c r="T1" s="32"/>
      <c r="U1" s="32"/>
      <c r="V1" s="32"/>
      <c r="W1" s="32"/>
      <c r="X1" s="32"/>
      <c r="Y1" s="32"/>
      <c r="Z1" s="32"/>
    </row>
    <row r="2" ht="27.75" customHeight="1">
      <c r="A2" s="33" t="s">
        <v>104</v>
      </c>
      <c r="B2" s="34"/>
      <c r="C2" s="34"/>
      <c r="D2" s="34"/>
      <c r="E2" s="34"/>
      <c r="F2" s="34"/>
      <c r="G2" s="34"/>
      <c r="H2" s="34"/>
      <c r="I2" s="34"/>
      <c r="J2" s="34"/>
      <c r="K2" s="34"/>
      <c r="L2" s="35"/>
      <c r="M2" s="32"/>
      <c r="N2" s="32"/>
      <c r="O2" s="32"/>
      <c r="P2" s="32"/>
      <c r="Q2" s="32"/>
      <c r="R2" s="32"/>
      <c r="S2" s="32"/>
      <c r="T2" s="32"/>
      <c r="U2" s="32"/>
      <c r="V2" s="32"/>
      <c r="W2" s="32"/>
      <c r="X2" s="32"/>
      <c r="Y2" s="32"/>
      <c r="Z2" s="32"/>
    </row>
    <row r="3" ht="30.0" customHeight="1">
      <c r="A3" s="33" t="s">
        <v>105</v>
      </c>
      <c r="B3" s="34"/>
      <c r="C3" s="34"/>
      <c r="D3" s="34"/>
      <c r="E3" s="34"/>
      <c r="F3" s="34"/>
      <c r="G3" s="34"/>
      <c r="H3" s="34"/>
      <c r="I3" s="34"/>
      <c r="J3" s="34"/>
      <c r="K3" s="34"/>
      <c r="L3" s="35"/>
      <c r="M3" s="32"/>
      <c r="N3" s="32"/>
      <c r="O3" s="32"/>
      <c r="P3" s="32"/>
      <c r="Q3" s="32"/>
      <c r="R3" s="32"/>
      <c r="S3" s="32"/>
      <c r="T3" s="32"/>
      <c r="U3" s="32"/>
      <c r="V3" s="32"/>
      <c r="W3" s="32"/>
      <c r="X3" s="32"/>
      <c r="Y3" s="32"/>
      <c r="Z3" s="32"/>
    </row>
    <row r="4" ht="12.75" customHeight="1">
      <c r="A4" s="32"/>
      <c r="B4" s="32"/>
      <c r="C4" s="32"/>
      <c r="D4" s="32"/>
      <c r="E4" s="32"/>
      <c r="F4" s="32"/>
      <c r="G4" s="32"/>
      <c r="H4" s="32"/>
      <c r="I4" s="32"/>
      <c r="J4" s="32"/>
      <c r="K4" s="32"/>
      <c r="L4" s="32"/>
      <c r="M4" s="32"/>
      <c r="N4" s="32"/>
      <c r="O4" s="32"/>
      <c r="P4" s="32"/>
      <c r="Q4" s="32"/>
      <c r="R4" s="32"/>
      <c r="S4" s="32"/>
      <c r="T4" s="32"/>
      <c r="U4" s="32"/>
      <c r="V4" s="32"/>
      <c r="W4" s="32"/>
      <c r="X4" s="32"/>
      <c r="Y4" s="32"/>
      <c r="Z4" s="32"/>
    </row>
    <row r="5" ht="12.75" customHeight="1">
      <c r="A5" s="32"/>
      <c r="B5" s="32"/>
      <c r="C5" s="32"/>
      <c r="D5" s="32"/>
      <c r="E5" s="32"/>
      <c r="F5" s="32"/>
      <c r="G5" s="32"/>
      <c r="H5" s="32"/>
      <c r="I5" s="32"/>
      <c r="J5" s="32"/>
      <c r="K5" s="32"/>
      <c r="L5" s="32"/>
      <c r="M5" s="32"/>
      <c r="N5" s="32"/>
      <c r="O5" s="32"/>
      <c r="P5" s="32"/>
      <c r="Q5" s="32"/>
      <c r="R5" s="32"/>
      <c r="S5" s="32"/>
      <c r="T5" s="32"/>
      <c r="U5" s="32"/>
      <c r="V5" s="32"/>
      <c r="W5" s="32"/>
      <c r="X5" s="32"/>
      <c r="Y5" s="32"/>
      <c r="Z5" s="32"/>
    </row>
    <row r="6" ht="12.75" customHeight="1">
      <c r="A6" s="32"/>
      <c r="B6" s="32"/>
      <c r="C6" s="32"/>
      <c r="D6" s="32"/>
      <c r="E6" s="32"/>
      <c r="F6" s="32"/>
      <c r="G6" s="32"/>
      <c r="H6" s="32"/>
      <c r="I6" s="32"/>
      <c r="J6" s="32"/>
      <c r="K6" s="32"/>
      <c r="L6" s="32"/>
      <c r="M6" s="32"/>
      <c r="N6" s="32"/>
      <c r="O6" s="32"/>
      <c r="P6" s="32"/>
      <c r="Q6" s="32"/>
      <c r="R6" s="32"/>
      <c r="S6" s="32"/>
      <c r="T6" s="32"/>
      <c r="U6" s="32"/>
      <c r="V6" s="32"/>
      <c r="W6" s="32"/>
      <c r="X6" s="32"/>
      <c r="Y6" s="32"/>
      <c r="Z6" s="32"/>
    </row>
    <row r="7" ht="12.75" customHeight="1">
      <c r="A7" s="32"/>
      <c r="B7" s="32"/>
      <c r="C7" s="32"/>
      <c r="D7" s="36" t="s">
        <v>106</v>
      </c>
      <c r="E7" s="36" t="s">
        <v>106</v>
      </c>
      <c r="F7" s="36" t="s">
        <v>106</v>
      </c>
      <c r="G7" s="37" t="s">
        <v>51</v>
      </c>
      <c r="H7" s="35"/>
      <c r="I7" s="37" t="s">
        <v>52</v>
      </c>
      <c r="J7" s="35"/>
      <c r="K7" s="37" t="s">
        <v>53</v>
      </c>
      <c r="L7" s="35"/>
      <c r="M7" s="32"/>
      <c r="N7" s="32"/>
      <c r="O7" s="32"/>
      <c r="P7" s="32"/>
      <c r="Q7" s="32"/>
      <c r="R7" s="32"/>
      <c r="S7" s="32"/>
      <c r="T7" s="32"/>
      <c r="U7" s="32"/>
      <c r="V7" s="32"/>
      <c r="W7" s="32"/>
      <c r="X7" s="32"/>
      <c r="Y7" s="32"/>
      <c r="Z7" s="32"/>
    </row>
    <row r="8" ht="12.75" customHeight="1">
      <c r="A8" s="32"/>
      <c r="B8" s="38">
        <v>2021.0</v>
      </c>
      <c r="C8" s="38">
        <v>2022.0</v>
      </c>
      <c r="D8" s="38">
        <v>2023.0</v>
      </c>
      <c r="E8" s="38">
        <v>2024.0</v>
      </c>
      <c r="F8" s="38">
        <v>2025.0</v>
      </c>
      <c r="G8" s="38">
        <v>2026.0</v>
      </c>
      <c r="H8" s="38">
        <v>2027.0</v>
      </c>
      <c r="I8" s="38">
        <v>2026.0</v>
      </c>
      <c r="J8" s="38">
        <v>2027.0</v>
      </c>
      <c r="K8" s="38">
        <v>2026.0</v>
      </c>
      <c r="L8" s="38">
        <v>2027.0</v>
      </c>
      <c r="M8" s="32"/>
      <c r="N8" s="32"/>
      <c r="O8" s="32"/>
      <c r="P8" s="32"/>
      <c r="Q8" s="32"/>
      <c r="R8" s="32"/>
      <c r="S8" s="32"/>
      <c r="T8" s="32"/>
      <c r="U8" s="32"/>
      <c r="V8" s="32"/>
      <c r="W8" s="32"/>
      <c r="X8" s="32"/>
      <c r="Y8" s="32"/>
      <c r="Z8" s="32"/>
    </row>
    <row r="9" ht="12.75" customHeight="1">
      <c r="A9" s="32"/>
      <c r="B9" s="39"/>
      <c r="C9" s="39"/>
      <c r="D9" s="39"/>
      <c r="E9" s="39"/>
      <c r="F9" s="32"/>
      <c r="G9" s="32"/>
      <c r="H9" s="32"/>
      <c r="I9" s="32"/>
      <c r="J9" s="32"/>
      <c r="K9" s="32"/>
      <c r="L9" s="32"/>
      <c r="M9" s="32"/>
      <c r="N9" s="32"/>
      <c r="O9" s="32"/>
      <c r="P9" s="32"/>
      <c r="Q9" s="32"/>
      <c r="R9" s="32"/>
      <c r="S9" s="32"/>
      <c r="T9" s="32"/>
      <c r="U9" s="32"/>
      <c r="V9" s="32"/>
      <c r="W9" s="32"/>
      <c r="X9" s="32"/>
      <c r="Y9" s="32"/>
      <c r="Z9" s="32"/>
    </row>
    <row r="10" ht="12.75" hidden="1" customHeight="1">
      <c r="A10" s="32" t="s">
        <v>107</v>
      </c>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ht="12.75" hidden="1" customHeight="1">
      <c r="A11" s="32" t="s">
        <v>108</v>
      </c>
      <c r="B11" s="40">
        <f>SUM('P&amp;L Cash Flow Monthly'!K11:V11)</f>
        <v>133087.1057</v>
      </c>
      <c r="C11" s="40">
        <f>+'P&amp;L Cash Flow Monthly'!W11+'P&amp;L Cash Flow Monthly'!X11+'P&amp;L Cash Flow Monthly'!Y11+'P&amp;L Cash Flow Monthly'!Z11+'P&amp;L Cash Flow Monthly'!AA11+'P&amp;L Cash Flow Monthly'!AB11+'P&amp;L Cash Flow Monthly'!AC11+'P&amp;L Cash Flow Monthly'!AD11+'P&amp;L Cash Flow Monthly'!AE11+'P&amp;L Cash Flow Monthly'!AF11+'P&amp;L Cash Flow Monthly'!AG11+'P&amp;L Cash Flow Monthly'!AH11</f>
        <v>127294.6194</v>
      </c>
      <c r="D11" s="40">
        <f>+'P&amp;L Cash Flow Monthly'!AI11+'P&amp;L Cash Flow Monthly'!AJ11+'P&amp;L Cash Flow Monthly'!AK11+'P&amp;L Cash Flow Monthly'!AL11+'P&amp;L Cash Flow Monthly'!AM11+'P&amp;L Cash Flow Monthly'!AN11+'P&amp;L Cash Flow Monthly'!AO11+'P&amp;L Cash Flow Monthly'!AP11+'P&amp;L Cash Flow Monthly'!AQ11+'P&amp;L Cash Flow Monthly'!AR11+'P&amp;L Cash Flow Monthly'!AS11+'P&amp;L Cash Flow Monthly'!AT11</f>
        <v>90473.63176</v>
      </c>
      <c r="E11" s="40">
        <f>+'P&amp;L Cash Flow Monthly'!AU11+'P&amp;L Cash Flow Monthly'!AV11+'P&amp;L Cash Flow Monthly'!AW11+'P&amp;L Cash Flow Monthly'!AX11+'P&amp;L Cash Flow Monthly'!AY11+'P&amp;L Cash Flow Monthly'!AZ11+'P&amp;L Cash Flow Monthly'!BA11+'P&amp;L Cash Flow Monthly'!BB11+'P&amp;L Cash Flow Monthly'!BC11+'P&amp;L Cash Flow Monthly'!BD11+'P&amp;L Cash Flow Monthly'!BE11+'P&amp;L Cash Flow Monthly'!BF11</f>
        <v>132743.0454</v>
      </c>
      <c r="F11" s="40">
        <f>+'P&amp;L Cash Flow Monthly'!BG11+'P&amp;L Cash Flow Monthly'!BH11+'P&amp;L Cash Flow Monthly'!BI11+'P&amp;L Cash Flow Monthly'!BJ11+'P&amp;L Cash Flow Monthly'!BK11+'P&amp;L Cash Flow Monthly'!BL11+'P&amp;L Cash Flow Monthly'!BM11+'P&amp;L Cash Flow Monthly'!BN11+'P&amp;L Cash Flow Monthly'!BO11+'P&amp;L Cash Flow Monthly'!BP11+'P&amp;L Cash Flow Monthly'!BQ11+'P&amp;L Cash Flow Monthly'!BR11</f>
        <v>128606.4935</v>
      </c>
      <c r="G11" s="40">
        <f>SUM('P&amp;L Cash Flow Monthly'!BS11:CD11)</f>
        <v>201224.0632</v>
      </c>
      <c r="H11" s="40">
        <f>SUM('P&amp;L Cash Flow Monthly'!CE11:CP11)</f>
        <v>317836.3861</v>
      </c>
      <c r="I11" s="40">
        <f>SUM('P&amp;L Cash Flow Monthly'!BU11:CF11)</f>
        <v>220357.8627</v>
      </c>
      <c r="J11" s="40">
        <f>SUM('P&amp;L Cash Flow Monthly'!CG11:CR11)</f>
        <v>275043.5384</v>
      </c>
      <c r="K11" s="40">
        <f>SUM('P&amp;L Cash Flow Monthly'!BW11:CH11)</f>
        <v>239899.7252</v>
      </c>
      <c r="L11" s="40">
        <f>SUM('P&amp;L Cash Flow Monthly'!CI11:CT11)</f>
        <v>228638.9579</v>
      </c>
      <c r="M11" s="32"/>
      <c r="N11" s="32"/>
      <c r="O11" s="32"/>
      <c r="P11" s="32"/>
      <c r="Q11" s="32"/>
      <c r="R11" s="32"/>
      <c r="S11" s="32"/>
      <c r="T11" s="32"/>
      <c r="U11" s="32"/>
      <c r="V11" s="32"/>
      <c r="W11" s="32"/>
      <c r="X11" s="32"/>
      <c r="Y11" s="32"/>
      <c r="Z11" s="32"/>
    </row>
    <row r="12" ht="12.75" hidden="1" customHeight="1">
      <c r="A12" s="32" t="s">
        <v>109</v>
      </c>
      <c r="B12" s="41">
        <f>SUM('P&amp;L Cash Flow Monthly'!K12:V12)</f>
        <v>910216.4719</v>
      </c>
      <c r="C12" s="41">
        <f>+'P&amp;L Cash Flow Monthly'!W12+'P&amp;L Cash Flow Monthly'!X12+'P&amp;L Cash Flow Monthly'!Y12+'P&amp;L Cash Flow Monthly'!Z12+'P&amp;L Cash Flow Monthly'!AA12+'P&amp;L Cash Flow Monthly'!AB12+'P&amp;L Cash Flow Monthly'!AC12+'P&amp;L Cash Flow Monthly'!AD12+'P&amp;L Cash Flow Monthly'!AE12+'P&amp;L Cash Flow Monthly'!AF12+'P&amp;L Cash Flow Monthly'!AG12+'P&amp;L Cash Flow Monthly'!AH12</f>
        <v>891020.336</v>
      </c>
      <c r="D12" s="41">
        <f>+'P&amp;L Cash Flow Monthly'!AI12+'P&amp;L Cash Flow Monthly'!AJ12+'P&amp;L Cash Flow Monthly'!AK12+'P&amp;L Cash Flow Monthly'!AL12+'P&amp;L Cash Flow Monthly'!AM12+'P&amp;L Cash Flow Monthly'!AN12+'P&amp;L Cash Flow Monthly'!AO12+'P&amp;L Cash Flow Monthly'!AP12+'P&amp;L Cash Flow Monthly'!AQ12+'P&amp;L Cash Flow Monthly'!AR12+'P&amp;L Cash Flow Monthly'!AS12+'P&amp;L Cash Flow Monthly'!AT12</f>
        <v>633273.4223</v>
      </c>
      <c r="E12" s="41">
        <f>+'P&amp;L Cash Flow Monthly'!AU12+'P&amp;L Cash Flow Monthly'!AV12+'P&amp;L Cash Flow Monthly'!AW12+'P&amp;L Cash Flow Monthly'!AX12+'P&amp;L Cash Flow Monthly'!AY12+'P&amp;L Cash Flow Monthly'!AZ12+'P&amp;L Cash Flow Monthly'!BA12+'P&amp;L Cash Flow Monthly'!BB12+'P&amp;L Cash Flow Monthly'!BC12+'P&amp;L Cash Flow Monthly'!BD12+'P&amp;L Cash Flow Monthly'!BE12+'P&amp;L Cash Flow Monthly'!BF12</f>
        <v>929159.3178</v>
      </c>
      <c r="F12" s="41">
        <f>+'P&amp;L Cash Flow Monthly'!BG12+'P&amp;L Cash Flow Monthly'!BH12+'P&amp;L Cash Flow Monthly'!BI12+'P&amp;L Cash Flow Monthly'!BJ12+'P&amp;L Cash Flow Monthly'!BK12+'P&amp;L Cash Flow Monthly'!BL12+'P&amp;L Cash Flow Monthly'!BM12+'P&amp;L Cash Flow Monthly'!BN12+'P&amp;L Cash Flow Monthly'!BO12+'P&amp;L Cash Flow Monthly'!BP12+'P&amp;L Cash Flow Monthly'!BQ12+'P&amp;L Cash Flow Monthly'!BR12</f>
        <v>900203.4545</v>
      </c>
      <c r="G12" s="41">
        <f>SUM('P&amp;L Cash Flow Monthly'!BS12:CD12)</f>
        <v>1408526.443</v>
      </c>
      <c r="H12" s="41">
        <f>SUM('P&amp;L Cash Flow Monthly'!CE12:CP12)</f>
        <v>2224812.703</v>
      </c>
      <c r="I12" s="41">
        <f>SUM('P&amp;L Cash Flow Monthly'!BU12:CF12)</f>
        <v>1542463.039</v>
      </c>
      <c r="J12" s="41">
        <f>SUM('P&amp;L Cash Flow Monthly'!CG12:CR12)</f>
        <v>1925269.769</v>
      </c>
      <c r="K12" s="41">
        <f>SUM('P&amp;L Cash Flow Monthly'!BW12:CH12)</f>
        <v>1679256.076</v>
      </c>
      <c r="L12" s="41">
        <f>SUM('P&amp;L Cash Flow Monthly'!CI12:CT12)</f>
        <v>1600444.705</v>
      </c>
      <c r="M12" s="32"/>
      <c r="N12" s="32"/>
      <c r="O12" s="32"/>
      <c r="P12" s="32"/>
      <c r="Q12" s="32"/>
      <c r="R12" s="32"/>
      <c r="S12" s="32"/>
      <c r="T12" s="32"/>
      <c r="U12" s="32"/>
      <c r="V12" s="32"/>
      <c r="W12" s="32"/>
      <c r="X12" s="32"/>
      <c r="Y12" s="32"/>
      <c r="Z12" s="32"/>
    </row>
    <row r="13" ht="12.75" hidden="1" customHeight="1">
      <c r="A13" s="32"/>
      <c r="B13" s="42"/>
      <c r="C13" s="42"/>
      <c r="D13" s="42"/>
      <c r="E13" s="42"/>
      <c r="F13" s="42"/>
      <c r="G13" s="42"/>
      <c r="H13" s="42"/>
      <c r="I13" s="42"/>
      <c r="J13" s="42"/>
      <c r="K13" s="42"/>
      <c r="L13" s="42"/>
      <c r="M13" s="32"/>
      <c r="N13" s="32"/>
      <c r="O13" s="32"/>
      <c r="P13" s="32"/>
      <c r="Q13" s="32"/>
      <c r="R13" s="32"/>
      <c r="S13" s="32"/>
      <c r="T13" s="32"/>
      <c r="U13" s="32"/>
      <c r="V13" s="32"/>
      <c r="W13" s="32"/>
      <c r="X13" s="32"/>
      <c r="Y13" s="32"/>
      <c r="Z13" s="32"/>
    </row>
    <row r="14" ht="12.75" hidden="1" customHeight="1">
      <c r="A14" s="32"/>
      <c r="B14" s="41"/>
      <c r="C14" s="41"/>
      <c r="D14" s="41"/>
      <c r="E14" s="41"/>
      <c r="F14" s="41"/>
      <c r="G14" s="41"/>
      <c r="H14" s="41"/>
      <c r="I14" s="41"/>
      <c r="J14" s="41"/>
      <c r="K14" s="41"/>
      <c r="L14" s="41"/>
      <c r="M14" s="32"/>
      <c r="N14" s="32"/>
      <c r="O14" s="32"/>
      <c r="P14" s="32"/>
      <c r="Q14" s="32"/>
      <c r="R14" s="32"/>
      <c r="S14" s="32"/>
      <c r="T14" s="32"/>
      <c r="U14" s="32"/>
      <c r="V14" s="32"/>
      <c r="W14" s="32"/>
      <c r="X14" s="32"/>
      <c r="Y14" s="32"/>
      <c r="Z14" s="32"/>
    </row>
    <row r="15" ht="12.75" customHeight="1">
      <c r="A15" s="32" t="s">
        <v>107</v>
      </c>
      <c r="B15" s="40">
        <f t="shared" ref="B15:C15" si="1">SUM(B11:B12)</f>
        <v>1043303.578</v>
      </c>
      <c r="C15" s="40">
        <f t="shared" si="1"/>
        <v>1018314.955</v>
      </c>
      <c r="D15" s="40">
        <f>'P&amp;L 2023'!N10</f>
        <v>698520.16</v>
      </c>
      <c r="E15" s="40">
        <f>'P&amp;L 2024'!N10</f>
        <v>1014224.73</v>
      </c>
      <c r="F15" s="40">
        <f>'P&amp;L 2025'!K13</f>
        <v>981978.58</v>
      </c>
      <c r="G15" s="40">
        <f>'Forecast P&amp;L 2026 1'!N11</f>
        <v>1380067.328</v>
      </c>
      <c r="H15" s="40">
        <f>'Forecast P&amp;L 2027 1'!N11</f>
        <v>1904492.913</v>
      </c>
      <c r="I15" s="40">
        <f>'Forecast P&amp;L 2026 2'!N11</f>
        <v>1532639.653</v>
      </c>
      <c r="J15" s="40">
        <f>'Forecast P&amp;L 2027 2'!N11</f>
        <v>2145695.514</v>
      </c>
      <c r="K15" s="40">
        <f>'Forecast P&amp;L 2026 3'!N11</f>
        <v>1717102.928</v>
      </c>
      <c r="L15" s="40">
        <f>'Forecast P&amp;L 2027 3'!N11</f>
        <v>2558483.362</v>
      </c>
      <c r="Q15" s="32"/>
      <c r="R15" s="32"/>
      <c r="S15" s="32"/>
      <c r="T15" s="32"/>
      <c r="U15" s="32"/>
      <c r="V15" s="32"/>
      <c r="W15" s="32"/>
      <c r="X15" s="32"/>
      <c r="Y15" s="32"/>
      <c r="Z15" s="32"/>
    </row>
    <row r="16" ht="12.75" customHeight="1">
      <c r="A16" s="32"/>
      <c r="B16" s="41"/>
      <c r="C16" s="41"/>
      <c r="D16" s="41"/>
      <c r="E16" s="41"/>
      <c r="F16" s="41"/>
      <c r="G16" s="41"/>
      <c r="H16" s="41"/>
      <c r="I16" s="41"/>
      <c r="J16" s="41"/>
      <c r="K16" s="41"/>
      <c r="L16" s="41"/>
      <c r="M16" s="32"/>
      <c r="N16" s="32"/>
      <c r="O16" s="32"/>
      <c r="P16" s="32"/>
      <c r="Q16" s="32"/>
      <c r="R16" s="32"/>
      <c r="S16" s="32"/>
      <c r="T16" s="32"/>
      <c r="U16" s="32"/>
      <c r="V16" s="32"/>
      <c r="W16" s="32"/>
      <c r="X16" s="32"/>
      <c r="Y16" s="32"/>
      <c r="Z16" s="32"/>
    </row>
    <row r="17" ht="12.75" customHeight="1">
      <c r="A17" s="32" t="s">
        <v>110</v>
      </c>
      <c r="B17" s="42">
        <f>SUM('P&amp;L Cash Flow Monthly'!K17:V17)</f>
        <v>748803.0214</v>
      </c>
      <c r="C17" s="42">
        <f>+'P&amp;L Cash Flow Monthly'!W17+'P&amp;L Cash Flow Monthly'!X17+'P&amp;L Cash Flow Monthly'!Y17+'P&amp;L Cash Flow Monthly'!Z17+'P&amp;L Cash Flow Monthly'!AA17+'P&amp;L Cash Flow Monthly'!AB17+'P&amp;L Cash Flow Monthly'!AC17+'P&amp;L Cash Flow Monthly'!AD17+'P&amp;L Cash Flow Monthly'!AE17+'P&amp;L Cash Flow Monthly'!AF17+'P&amp;L Cash Flow Monthly'!AG17+'P&amp;L Cash Flow Monthly'!AH17</f>
        <v>716210.632</v>
      </c>
      <c r="D17" s="42">
        <f>'P&amp;L 2023'!N15</f>
        <v>489080.84</v>
      </c>
      <c r="E17" s="42">
        <f>'P&amp;L 2024'!N16</f>
        <v>700345.97</v>
      </c>
      <c r="F17" s="42">
        <f>'P&amp;L 2025'!K18</f>
        <v>622941.11</v>
      </c>
      <c r="G17" s="42">
        <f>'Forecast P&amp;L 2026 1'!N16</f>
        <v>938445.7834</v>
      </c>
      <c r="H17" s="42">
        <f>'Forecast P&amp;L 2027 1'!N16</f>
        <v>1295055.181</v>
      </c>
      <c r="I17" s="42">
        <f>'Forecast P&amp;L 2026 2'!N16</f>
        <v>1042194.964</v>
      </c>
      <c r="J17" s="42">
        <f>'Forecast P&amp;L 2027 2'!N16</f>
        <v>1459072.95</v>
      </c>
      <c r="K17" s="42">
        <f>'Forecast P&amp;L 2026 3'!N16</f>
        <v>1167629.991</v>
      </c>
      <c r="L17" s="42">
        <f>'Forecast P&amp;L 2027 3'!N16</f>
        <v>1739768.686</v>
      </c>
      <c r="Q17" s="32"/>
      <c r="R17" s="32"/>
      <c r="S17" s="32"/>
      <c r="T17" s="32"/>
      <c r="U17" s="32"/>
      <c r="V17" s="32"/>
      <c r="W17" s="32"/>
      <c r="X17" s="32"/>
      <c r="Y17" s="32"/>
      <c r="Z17" s="32"/>
    </row>
    <row r="18" ht="12.75" customHeight="1">
      <c r="A18" s="32"/>
      <c r="B18" s="41"/>
      <c r="C18" s="41"/>
      <c r="D18" s="41"/>
      <c r="E18" s="41"/>
      <c r="F18" s="41"/>
      <c r="G18" s="41"/>
      <c r="H18" s="41"/>
      <c r="I18" s="41"/>
      <c r="J18" s="41"/>
      <c r="K18" s="41"/>
      <c r="L18" s="41"/>
      <c r="M18" s="32"/>
      <c r="N18" s="32"/>
      <c r="O18" s="32"/>
      <c r="P18" s="32"/>
      <c r="Q18" s="32"/>
      <c r="R18" s="32"/>
      <c r="S18" s="32"/>
      <c r="T18" s="32"/>
      <c r="U18" s="32"/>
      <c r="V18" s="32"/>
      <c r="W18" s="32"/>
      <c r="X18" s="32"/>
      <c r="Y18" s="32"/>
      <c r="Z18" s="32"/>
    </row>
    <row r="19" ht="12.75" customHeight="1">
      <c r="A19" s="32" t="s">
        <v>111</v>
      </c>
      <c r="B19" s="41">
        <f t="shared" ref="B19:L19" si="2">+B15-B17</f>
        <v>294500.5562</v>
      </c>
      <c r="C19" s="41">
        <f t="shared" si="2"/>
        <v>302104.3235</v>
      </c>
      <c r="D19" s="41">
        <f t="shared" si="2"/>
        <v>209439.32</v>
      </c>
      <c r="E19" s="41">
        <f t="shared" si="2"/>
        <v>313878.76</v>
      </c>
      <c r="F19" s="41">
        <f t="shared" si="2"/>
        <v>359037.47</v>
      </c>
      <c r="G19" s="41">
        <f t="shared" si="2"/>
        <v>441621.5451</v>
      </c>
      <c r="H19" s="41">
        <f t="shared" si="2"/>
        <v>609437.7323</v>
      </c>
      <c r="I19" s="41">
        <f t="shared" si="2"/>
        <v>490444.689</v>
      </c>
      <c r="J19" s="41">
        <f t="shared" si="2"/>
        <v>686622.5646</v>
      </c>
      <c r="K19" s="41">
        <f t="shared" si="2"/>
        <v>549472.9369</v>
      </c>
      <c r="L19" s="41">
        <f t="shared" si="2"/>
        <v>818714.676</v>
      </c>
      <c r="M19" s="32"/>
      <c r="N19" s="32"/>
      <c r="O19" s="32"/>
      <c r="P19" s="32"/>
      <c r="Q19" s="32"/>
      <c r="R19" s="32"/>
      <c r="S19" s="32"/>
      <c r="T19" s="32"/>
      <c r="U19" s="32"/>
      <c r="V19" s="32"/>
      <c r="W19" s="32"/>
      <c r="X19" s="32"/>
      <c r="Y19" s="32"/>
      <c r="Z19" s="32"/>
    </row>
    <row r="20" ht="12.75" customHeight="1">
      <c r="A20" s="32"/>
      <c r="B20" s="41"/>
      <c r="C20" s="41"/>
      <c r="D20" s="41"/>
      <c r="E20" s="41"/>
      <c r="F20" s="41"/>
      <c r="G20" s="41"/>
      <c r="H20" s="41"/>
      <c r="I20" s="41"/>
      <c r="J20" s="41"/>
      <c r="K20" s="41"/>
      <c r="L20" s="41"/>
      <c r="M20" s="32"/>
      <c r="N20" s="32"/>
      <c r="O20" s="32"/>
      <c r="P20" s="32"/>
      <c r="Q20" s="32"/>
      <c r="R20" s="32"/>
      <c r="S20" s="32"/>
      <c r="T20" s="32"/>
      <c r="U20" s="32"/>
      <c r="V20" s="32"/>
      <c r="W20" s="32"/>
      <c r="X20" s="32"/>
      <c r="Y20" s="32"/>
      <c r="Z20" s="32"/>
    </row>
    <row r="21" ht="12.75" customHeight="1">
      <c r="A21" s="32" t="s">
        <v>112</v>
      </c>
      <c r="B21" s="42">
        <f>SUM('P&amp;L Cash Flow Monthly'!K21:V21)</f>
        <v>654881.8991</v>
      </c>
      <c r="C21" s="42">
        <f>+'P&amp;L Cash Flow Monthly'!W21+'P&amp;L Cash Flow Monthly'!X21+'P&amp;L Cash Flow Monthly'!Y21+'P&amp;L Cash Flow Monthly'!Z21+'P&amp;L Cash Flow Monthly'!AA21+'P&amp;L Cash Flow Monthly'!AB21+'P&amp;L Cash Flow Monthly'!AC21+'P&amp;L Cash Flow Monthly'!AD21+'P&amp;L Cash Flow Monthly'!AE21+'P&amp;L Cash Flow Monthly'!AF21+'P&amp;L Cash Flow Monthly'!AG21+'P&amp;L Cash Flow Monthly'!AH21</f>
        <v>648488.7453</v>
      </c>
      <c r="D21" s="42">
        <f>'P&amp;L 2023'!N41</f>
        <v>279238.33</v>
      </c>
      <c r="E21" s="42">
        <f>'P&amp;L 2024'!N45+'P&amp;L 2024'!N49</f>
        <v>572532.29</v>
      </c>
      <c r="F21" s="42">
        <f>'P&amp;L 2025'!K54</f>
        <v>426312.62</v>
      </c>
      <c r="G21" s="42">
        <f>'Forecast P&amp;L 2026 1'!N52</f>
        <v>722412.1191</v>
      </c>
      <c r="H21" s="42">
        <f>'Forecast P&amp;L 2027 1'!N52</f>
        <v>816808.7244</v>
      </c>
      <c r="I21" s="42">
        <f>'Forecast P&amp;L 2026 2'!N52</f>
        <v>749875.1375</v>
      </c>
      <c r="J21" s="42">
        <f>'Forecast P&amp;L 2027 2'!N52</f>
        <v>852428.4</v>
      </c>
      <c r="K21" s="42">
        <f>'Forecast P&amp;L 2026 3'!N52</f>
        <v>783078.527</v>
      </c>
      <c r="L21" s="42">
        <f>'Forecast P&amp;L 2027 3'!N52</f>
        <v>934527.0052</v>
      </c>
      <c r="Q21" s="32"/>
      <c r="R21" s="32"/>
      <c r="S21" s="32"/>
      <c r="T21" s="32"/>
      <c r="U21" s="32"/>
      <c r="V21" s="32"/>
      <c r="W21" s="32"/>
      <c r="X21" s="32"/>
      <c r="Y21" s="32"/>
      <c r="Z21" s="32"/>
    </row>
    <row r="22" ht="12.75" customHeight="1">
      <c r="A22" s="32"/>
      <c r="B22" s="41"/>
      <c r="C22" s="41"/>
      <c r="D22" s="41"/>
      <c r="E22" s="41"/>
      <c r="F22" s="41"/>
      <c r="G22" s="41"/>
      <c r="H22" s="41"/>
      <c r="I22" s="41"/>
      <c r="J22" s="41"/>
      <c r="K22" s="41"/>
      <c r="L22" s="41"/>
      <c r="M22" s="32"/>
      <c r="N22" s="32"/>
      <c r="O22" s="32"/>
      <c r="P22" s="32"/>
      <c r="Q22" s="32"/>
      <c r="R22" s="32"/>
      <c r="S22" s="32"/>
      <c r="T22" s="32"/>
      <c r="U22" s="32"/>
      <c r="V22" s="32"/>
      <c r="W22" s="32"/>
      <c r="X22" s="32"/>
      <c r="Y22" s="32"/>
      <c r="Z22" s="32"/>
    </row>
    <row r="23" ht="12.75" customHeight="1">
      <c r="A23" s="32" t="s">
        <v>113</v>
      </c>
      <c r="B23" s="43">
        <f t="shared" ref="B23:L23" si="3">+B19-B21</f>
        <v>-360381.3429</v>
      </c>
      <c r="C23" s="43">
        <f t="shared" si="3"/>
        <v>-346384.4219</v>
      </c>
      <c r="D23" s="43">
        <f t="shared" si="3"/>
        <v>-69799.01</v>
      </c>
      <c r="E23" s="43">
        <f t="shared" si="3"/>
        <v>-258653.53</v>
      </c>
      <c r="F23" s="43">
        <f t="shared" si="3"/>
        <v>-67275.15</v>
      </c>
      <c r="G23" s="43">
        <f t="shared" si="3"/>
        <v>-280790.574</v>
      </c>
      <c r="H23" s="43">
        <f t="shared" si="3"/>
        <v>-207370.9921</v>
      </c>
      <c r="I23" s="43">
        <f t="shared" si="3"/>
        <v>-259430.4486</v>
      </c>
      <c r="J23" s="43">
        <f t="shared" si="3"/>
        <v>-165805.8354</v>
      </c>
      <c r="K23" s="43">
        <f t="shared" si="3"/>
        <v>-233605.5901</v>
      </c>
      <c r="L23" s="43">
        <f t="shared" si="3"/>
        <v>-115812.3293</v>
      </c>
      <c r="M23" s="32"/>
      <c r="N23" s="32"/>
      <c r="O23" s="32"/>
      <c r="P23" s="32"/>
      <c r="Q23" s="32"/>
      <c r="R23" s="32"/>
      <c r="S23" s="32"/>
      <c r="T23" s="32"/>
      <c r="U23" s="32"/>
      <c r="V23" s="32"/>
      <c r="W23" s="32"/>
      <c r="X23" s="32"/>
      <c r="Y23" s="32"/>
      <c r="Z23" s="32"/>
    </row>
    <row r="24" ht="12.75" customHeight="1">
      <c r="A24" s="32"/>
      <c r="B24" s="43"/>
      <c r="C24" s="43"/>
      <c r="D24" s="43"/>
      <c r="E24" s="43"/>
      <c r="F24" s="43"/>
      <c r="G24" s="43"/>
      <c r="H24" s="43"/>
      <c r="I24" s="43"/>
      <c r="J24" s="43"/>
      <c r="K24" s="43"/>
      <c r="L24" s="43"/>
      <c r="M24" s="32"/>
      <c r="N24" s="32"/>
      <c r="O24" s="32"/>
      <c r="P24" s="32"/>
      <c r="Q24" s="32"/>
      <c r="R24" s="32"/>
      <c r="S24" s="32"/>
      <c r="T24" s="32"/>
      <c r="U24" s="32"/>
      <c r="V24" s="32"/>
      <c r="W24" s="32"/>
      <c r="X24" s="32"/>
      <c r="Y24" s="32"/>
      <c r="Z24" s="32"/>
    </row>
    <row r="25" ht="12.75" customHeight="1">
      <c r="A25" s="32" t="s">
        <v>114</v>
      </c>
      <c r="B25" s="43"/>
      <c r="C25" s="43"/>
      <c r="D25" s="43"/>
      <c r="E25" s="43"/>
      <c r="F25" s="43"/>
      <c r="G25" s="43"/>
      <c r="H25" s="43"/>
      <c r="I25" s="43"/>
      <c r="J25" s="43"/>
      <c r="K25" s="43"/>
      <c r="L25" s="43"/>
      <c r="M25" s="32"/>
      <c r="N25" s="32"/>
      <c r="O25" s="32"/>
      <c r="P25" s="32"/>
      <c r="Q25" s="32"/>
      <c r="R25" s="32"/>
      <c r="S25" s="32"/>
      <c r="T25" s="32"/>
      <c r="U25" s="32"/>
      <c r="V25" s="32"/>
      <c r="W25" s="32"/>
      <c r="X25" s="32"/>
      <c r="Y25" s="32"/>
      <c r="Z25" s="32"/>
    </row>
    <row r="26" ht="12.75" customHeight="1">
      <c r="A26" s="32" t="s">
        <v>115</v>
      </c>
      <c r="B26" s="41">
        <f>SUM('P&amp;L Cash Flow Monthly'!K26:V26)</f>
        <v>748803.0214</v>
      </c>
      <c r="C26" s="41">
        <f>+'P&amp;L Cash Flow Monthly'!W26+'P&amp;L Cash Flow Monthly'!X26+'P&amp;L Cash Flow Monthly'!Y26+'P&amp;L Cash Flow Monthly'!Z26+'P&amp;L Cash Flow Monthly'!AA26+'P&amp;L Cash Flow Monthly'!AB26+'P&amp;L Cash Flow Monthly'!AC26+'P&amp;L Cash Flow Monthly'!AD26+'P&amp;L Cash Flow Monthly'!AE26+'P&amp;L Cash Flow Monthly'!AF26+'P&amp;L Cash Flow Monthly'!AG26+'P&amp;L Cash Flow Monthly'!AH26</f>
        <v>716210.632</v>
      </c>
      <c r="D26" s="41">
        <f>'P&amp;L 2023'!N15</f>
        <v>489080.84</v>
      </c>
      <c r="E26" s="41">
        <f>'P&amp;L 2024'!N16</f>
        <v>700345.97</v>
      </c>
      <c r="F26" s="41">
        <f>'P&amp;L 2025'!K18</f>
        <v>622941.11</v>
      </c>
      <c r="G26" s="41">
        <f>'Forecast P&amp;L 2026 1'!N16</f>
        <v>938445.7834</v>
      </c>
      <c r="H26" s="41">
        <f>'Forecast P&amp;L 2027 1'!N16</f>
        <v>1295055.181</v>
      </c>
      <c r="I26" s="41">
        <f>'Forecast P&amp;L 2026 2'!N16</f>
        <v>1042194.964</v>
      </c>
      <c r="J26" s="41">
        <f>'Forecast P&amp;L 2027 2'!N16</f>
        <v>1459072.95</v>
      </c>
      <c r="K26" s="41">
        <f>'Forecast P&amp;L 2026 3'!N16</f>
        <v>1167629.991</v>
      </c>
      <c r="L26" s="41">
        <f>'Forecast P&amp;L 2027 3'!N16</f>
        <v>1739768.686</v>
      </c>
      <c r="M26" s="32"/>
      <c r="N26" s="32"/>
      <c r="O26" s="32"/>
      <c r="P26" s="32"/>
      <c r="Q26" s="32"/>
      <c r="R26" s="32"/>
      <c r="S26" s="32"/>
      <c r="T26" s="32"/>
      <c r="U26" s="32"/>
      <c r="V26" s="32"/>
      <c r="W26" s="32"/>
      <c r="X26" s="32"/>
      <c r="Y26" s="32"/>
      <c r="Z26" s="32"/>
    </row>
    <row r="27" ht="12.75" customHeight="1">
      <c r="A27" s="32" t="s">
        <v>116</v>
      </c>
      <c r="B27" s="41">
        <f>SUM('P&amp;L Cash Flow Monthly'!K27:V27)</f>
        <v>-773403.1181</v>
      </c>
      <c r="C27" s="41">
        <f>+'P&amp;L Cash Flow Monthly'!W27+'P&amp;L Cash Flow Monthly'!X27+'P&amp;L Cash Flow Monthly'!Y27+'P&amp;L Cash Flow Monthly'!Z27+'P&amp;L Cash Flow Monthly'!AA27+'P&amp;L Cash Flow Monthly'!AB27+'P&amp;L Cash Flow Monthly'!AC27+'P&amp;L Cash Flow Monthly'!AD27+'P&amp;L Cash Flow Monthly'!AE27+'P&amp;L Cash Flow Monthly'!AF27+'P&amp;L Cash Flow Monthly'!AG27+'P&amp;L Cash Flow Monthly'!AH27</f>
        <v>-695924.6679</v>
      </c>
      <c r="D27" s="41">
        <f>-'P&amp;L 2023'!N15</f>
        <v>-489080.84</v>
      </c>
      <c r="E27" s="41">
        <f>-'P&amp;L 2024'!N16</f>
        <v>-700345.97</v>
      </c>
      <c r="F27" s="41">
        <f>-'P&amp;L 2025'!K18</f>
        <v>-622941.11</v>
      </c>
      <c r="G27" s="41">
        <f>-'Forecast P&amp;L 2026 1'!N16</f>
        <v>-938445.7834</v>
      </c>
      <c r="H27" s="41">
        <f>-'Forecast P&amp;L 2027 1'!N16</f>
        <v>-1295055.181</v>
      </c>
      <c r="I27" s="41">
        <f t="shared" ref="I27:L27" si="4">-I26</f>
        <v>-1042194.964</v>
      </c>
      <c r="J27" s="41">
        <f t="shared" si="4"/>
        <v>-1459072.95</v>
      </c>
      <c r="K27" s="41">
        <f t="shared" si="4"/>
        <v>-1167629.991</v>
      </c>
      <c r="L27" s="41">
        <f t="shared" si="4"/>
        <v>-1739768.686</v>
      </c>
      <c r="M27" s="32"/>
      <c r="N27" s="32"/>
      <c r="O27" s="32"/>
      <c r="P27" s="32"/>
      <c r="Q27" s="32"/>
      <c r="R27" s="32"/>
      <c r="S27" s="32"/>
      <c r="T27" s="32"/>
      <c r="U27" s="32"/>
      <c r="V27" s="32"/>
      <c r="W27" s="32"/>
      <c r="X27" s="32"/>
      <c r="Y27" s="32"/>
      <c r="Z27" s="32"/>
    </row>
    <row r="28" ht="12.75" customHeight="1">
      <c r="A28" s="32" t="s">
        <v>117</v>
      </c>
      <c r="B28" s="41">
        <f>SUM('P&amp;L Cash Flow Monthly'!K28:V28)</f>
        <v>175000</v>
      </c>
      <c r="C28" s="41">
        <f>+'P&amp;L Cash Flow Monthly'!W28+'P&amp;L Cash Flow Monthly'!X28+'P&amp;L Cash Flow Monthly'!Y28+'P&amp;L Cash Flow Monthly'!Z28+'P&amp;L Cash Flow Monthly'!AA28+'P&amp;L Cash Flow Monthly'!AB28+'P&amp;L Cash Flow Monthly'!AC28+'P&amp;L Cash Flow Monthly'!AD28+'P&amp;L Cash Flow Monthly'!AE28+'P&amp;L Cash Flow Monthly'!AF28+'P&amp;L Cash Flow Monthly'!AG28+'P&amp;L Cash Flow Monthly'!AH28</f>
        <v>118000</v>
      </c>
      <c r="D28" s="41">
        <f>'P&amp;L 2023'!N18</f>
        <v>112474.76</v>
      </c>
      <c r="E28" s="41">
        <f>'P&amp;L 2024'!N19</f>
        <v>241812.9</v>
      </c>
      <c r="F28" s="41">
        <f>'P&amp;L 2025'!K21+'P&amp;L 2025'!K35</f>
        <v>137771.55</v>
      </c>
      <c r="G28" s="41">
        <f>'Forecast P&amp;L 2026 1'!N33</f>
        <v>248412.1191</v>
      </c>
      <c r="H28" s="41">
        <f>'Forecast P&amp;L 2027 1'!N33</f>
        <v>342808.7244</v>
      </c>
      <c r="I28" s="41">
        <f>'Forecast P&amp;L 2026 2'!N33</f>
        <v>275875.1375</v>
      </c>
      <c r="J28" s="41">
        <f>'Forecast P&amp;L 2027 2'!N33</f>
        <v>378428.4</v>
      </c>
      <c r="K28" s="41">
        <f>'Forecast P&amp;L 2026 3'!N33</f>
        <v>309078.527</v>
      </c>
      <c r="L28" s="41">
        <f>'Forecast P&amp;L 2027 3'!N33</f>
        <v>460527.0052</v>
      </c>
      <c r="Q28" s="32"/>
      <c r="R28" s="32"/>
      <c r="S28" s="32"/>
      <c r="T28" s="32"/>
      <c r="U28" s="32"/>
      <c r="V28" s="32"/>
      <c r="W28" s="32"/>
      <c r="X28" s="32"/>
      <c r="Y28" s="32"/>
      <c r="Z28" s="32"/>
    </row>
    <row r="29" ht="12.75" customHeight="1">
      <c r="A29" s="32" t="s">
        <v>118</v>
      </c>
      <c r="B29" s="41">
        <f>SUM('P&amp;L Cash Flow Monthly'!K29:V29)</f>
        <v>-170000</v>
      </c>
      <c r="C29" s="41">
        <f>+'P&amp;L Cash Flow Monthly'!W29+'P&amp;L Cash Flow Monthly'!X29+'P&amp;L Cash Flow Monthly'!Y29+'P&amp;L Cash Flow Monthly'!Z29+'P&amp;L Cash Flow Monthly'!AA29+'P&amp;L Cash Flow Monthly'!AB29+'P&amp;L Cash Flow Monthly'!AC29+'P&amp;L Cash Flow Monthly'!AD29+'P&amp;L Cash Flow Monthly'!AE29+'P&amp;L Cash Flow Monthly'!AF29+'P&amp;L Cash Flow Monthly'!AG29+'P&amp;L Cash Flow Monthly'!AH29</f>
        <v>-118000</v>
      </c>
      <c r="D29" s="41">
        <f>-'P&amp;L 2023'!N18</f>
        <v>-112474.76</v>
      </c>
      <c r="E29" s="41">
        <f>-'P&amp;L 2024'!N19</f>
        <v>-241812.9</v>
      </c>
      <c r="F29" s="41">
        <f>-'P&amp;L 2025'!K21-'P&amp;L 2025'!K35</f>
        <v>-137771.55</v>
      </c>
      <c r="G29" s="41">
        <f>-'Forecast P&amp;L 2026 1'!N33</f>
        <v>-248412.1191</v>
      </c>
      <c r="H29" s="41">
        <f>-'Forecast P&amp;L 2027 1'!N33</f>
        <v>-342808.7244</v>
      </c>
      <c r="I29" s="41">
        <f t="shared" ref="I29:L29" si="5">-I28</f>
        <v>-275875.1375</v>
      </c>
      <c r="J29" s="41">
        <f t="shared" si="5"/>
        <v>-378428.4</v>
      </c>
      <c r="K29" s="41">
        <f t="shared" si="5"/>
        <v>-309078.527</v>
      </c>
      <c r="L29" s="41">
        <f t="shared" si="5"/>
        <v>-460527.0052</v>
      </c>
      <c r="M29" s="32"/>
      <c r="N29" s="32"/>
      <c r="O29" s="32"/>
      <c r="P29" s="32"/>
      <c r="Q29" s="32"/>
      <c r="R29" s="32"/>
      <c r="S29" s="32"/>
      <c r="T29" s="32"/>
      <c r="U29" s="32"/>
      <c r="V29" s="32"/>
      <c r="W29" s="32"/>
      <c r="X29" s="32"/>
      <c r="Y29" s="32"/>
      <c r="Z29" s="32"/>
    </row>
    <row r="30" ht="12.75" customHeight="1">
      <c r="A30" s="32" t="s">
        <v>119</v>
      </c>
      <c r="B30" s="41">
        <f>SUM('P&amp;L Cash Flow Monthly'!K30:V30)</f>
        <v>0</v>
      </c>
      <c r="C30" s="41">
        <f>+'P&amp;L Cash Flow Monthly'!W30+'P&amp;L Cash Flow Monthly'!X30+'P&amp;L Cash Flow Monthly'!Y30+'P&amp;L Cash Flow Monthly'!Z30+'P&amp;L Cash Flow Monthly'!AA30+'P&amp;L Cash Flow Monthly'!AB30+'P&amp;L Cash Flow Monthly'!AC30+'P&amp;L Cash Flow Monthly'!AD30+'P&amp;L Cash Flow Monthly'!AE30+'P&amp;L Cash Flow Monthly'!AF30+'P&amp;L Cash Flow Monthly'!AG30+'P&amp;L Cash Flow Monthly'!AH30</f>
        <v>0</v>
      </c>
      <c r="D30" s="41">
        <f>+'P&amp;L Cash Flow Monthly'!AI30+'P&amp;L Cash Flow Monthly'!AJ30+'P&amp;L Cash Flow Monthly'!AK30+'P&amp;L Cash Flow Monthly'!AL30+'P&amp;L Cash Flow Monthly'!AM30+'P&amp;L Cash Flow Monthly'!AN30+'P&amp;L Cash Flow Monthly'!AO30+'P&amp;L Cash Flow Monthly'!AP30+'P&amp;L Cash Flow Monthly'!AQ30+'P&amp;L Cash Flow Monthly'!AR30+'P&amp;L Cash Flow Monthly'!AS30+'P&amp;L Cash Flow Monthly'!AT30</f>
        <v>0</v>
      </c>
      <c r="E30" s="41">
        <f>+'P&amp;L Cash Flow Monthly'!AU30+'P&amp;L Cash Flow Monthly'!AV30+'P&amp;L Cash Flow Monthly'!AW30+'P&amp;L Cash Flow Monthly'!AX30+'P&amp;L Cash Flow Monthly'!AY30+'P&amp;L Cash Flow Monthly'!AZ30+'P&amp;L Cash Flow Monthly'!BA30+'P&amp;L Cash Flow Monthly'!BB30+'P&amp;L Cash Flow Monthly'!BC30+'P&amp;L Cash Flow Monthly'!BD30+'P&amp;L Cash Flow Monthly'!BE30+'P&amp;L Cash Flow Monthly'!BF30</f>
        <v>0</v>
      </c>
      <c r="F30" s="41">
        <f>+'P&amp;L Cash Flow Monthly'!BG30+'P&amp;L Cash Flow Monthly'!BH30+'P&amp;L Cash Flow Monthly'!BI30+'P&amp;L Cash Flow Monthly'!BJ30+'P&amp;L Cash Flow Monthly'!BK30+'P&amp;L Cash Flow Monthly'!BL30+'P&amp;L Cash Flow Monthly'!BM30+'P&amp;L Cash Flow Monthly'!BN30+'P&amp;L Cash Flow Monthly'!BO30+'P&amp;L Cash Flow Monthly'!BP30+'P&amp;L Cash Flow Monthly'!BQ30+'P&amp;L Cash Flow Monthly'!BR30</f>
        <v>0</v>
      </c>
      <c r="G30" s="41">
        <f>SUM('P&amp;L Cash Flow Monthly'!BS30:CD30)</f>
        <v>0</v>
      </c>
      <c r="H30" s="41">
        <f>SUM('P&amp;L Cash Flow Monthly'!CE30:CP30)</f>
        <v>0</v>
      </c>
      <c r="I30" s="41">
        <f>SUM('P&amp;L Cash Flow Monthly'!BU30:CF30)</f>
        <v>0</v>
      </c>
      <c r="J30" s="41">
        <f>SUM('P&amp;L Cash Flow Monthly'!CG30:CR30)</f>
        <v>0</v>
      </c>
      <c r="K30" s="41">
        <f>SUM('P&amp;L Cash Flow Monthly'!BW30:CH30)</f>
        <v>0</v>
      </c>
      <c r="L30" s="41">
        <f>SUM('P&amp;L Cash Flow Monthly'!CI30:CT30)</f>
        <v>0</v>
      </c>
      <c r="M30" s="32"/>
      <c r="N30" s="32"/>
      <c r="O30" s="32"/>
      <c r="P30" s="32"/>
      <c r="Q30" s="32"/>
      <c r="R30" s="32"/>
      <c r="S30" s="32"/>
      <c r="T30" s="32"/>
      <c r="U30" s="32"/>
      <c r="V30" s="32"/>
      <c r="W30" s="32"/>
      <c r="X30" s="32"/>
      <c r="Y30" s="32"/>
      <c r="Z30" s="32"/>
    </row>
    <row r="31" ht="12.75" customHeight="1">
      <c r="A31" s="32" t="s">
        <v>120</v>
      </c>
      <c r="B31" s="41">
        <f>SUM('P&amp;L Cash Flow Monthly'!K31:V31)</f>
        <v>0</v>
      </c>
      <c r="C31" s="41">
        <f>+'P&amp;L Cash Flow Monthly'!W31+'P&amp;L Cash Flow Monthly'!X31+'P&amp;L Cash Flow Monthly'!Y31+'P&amp;L Cash Flow Monthly'!Z31+'P&amp;L Cash Flow Monthly'!AA31+'P&amp;L Cash Flow Monthly'!AB31+'P&amp;L Cash Flow Monthly'!AC31+'P&amp;L Cash Flow Monthly'!AD31+'P&amp;L Cash Flow Monthly'!AE31+'P&amp;L Cash Flow Monthly'!AF31+'P&amp;L Cash Flow Monthly'!AG31+'P&amp;L Cash Flow Monthly'!AH31</f>
        <v>0</v>
      </c>
      <c r="D31" s="41">
        <f>+'P&amp;L Cash Flow Monthly'!AI31+'P&amp;L Cash Flow Monthly'!AJ31+'P&amp;L Cash Flow Monthly'!AK31+'P&amp;L Cash Flow Monthly'!AL31+'P&amp;L Cash Flow Monthly'!AM31+'P&amp;L Cash Flow Monthly'!AN31+'P&amp;L Cash Flow Monthly'!AO31+'P&amp;L Cash Flow Monthly'!AP31+'P&amp;L Cash Flow Monthly'!AQ31+'P&amp;L Cash Flow Monthly'!AR31+'P&amp;L Cash Flow Monthly'!AS31+'P&amp;L Cash Flow Monthly'!AT31</f>
        <v>0</v>
      </c>
      <c r="E31" s="41">
        <f>+'P&amp;L Cash Flow Monthly'!AU31+'P&amp;L Cash Flow Monthly'!AV31+'P&amp;L Cash Flow Monthly'!AW31+'P&amp;L Cash Flow Monthly'!AX31+'P&amp;L Cash Flow Monthly'!AY31+'P&amp;L Cash Flow Monthly'!AZ31+'P&amp;L Cash Flow Monthly'!BA31+'P&amp;L Cash Flow Monthly'!BB31+'P&amp;L Cash Flow Monthly'!BC31+'P&amp;L Cash Flow Monthly'!BD31+'P&amp;L Cash Flow Monthly'!BE31+'P&amp;L Cash Flow Monthly'!BF31</f>
        <v>0</v>
      </c>
      <c r="F31" s="41">
        <f>+'P&amp;L Cash Flow Monthly'!BG31+'P&amp;L Cash Flow Monthly'!BH31+'P&amp;L Cash Flow Monthly'!BI31+'P&amp;L Cash Flow Monthly'!BJ31+'P&amp;L Cash Flow Monthly'!BK31+'P&amp;L Cash Flow Monthly'!BL31+'P&amp;L Cash Flow Monthly'!BM31+'P&amp;L Cash Flow Monthly'!BN31+'P&amp;L Cash Flow Monthly'!BO31+'P&amp;L Cash Flow Monthly'!BP31+'P&amp;L Cash Flow Monthly'!BQ31+'P&amp;L Cash Flow Monthly'!BR31</f>
        <v>0</v>
      </c>
      <c r="G31" s="41">
        <f>SUM('P&amp;L Cash Flow Monthly'!BS31:CD31)</f>
        <v>0</v>
      </c>
      <c r="H31" s="41">
        <f>SUM('P&amp;L Cash Flow Monthly'!CE31:CP31)</f>
        <v>0</v>
      </c>
      <c r="I31" s="41">
        <f>SUM('P&amp;L Cash Flow Monthly'!BU31:CF31)</f>
        <v>0</v>
      </c>
      <c r="J31" s="41">
        <f>SUM('P&amp;L Cash Flow Monthly'!CG31:CR31)</f>
        <v>0</v>
      </c>
      <c r="K31" s="41">
        <f>SUM('P&amp;L Cash Flow Monthly'!BW31:CH31)</f>
        <v>0</v>
      </c>
      <c r="L31" s="41">
        <f>SUM('P&amp;L Cash Flow Monthly'!CI31:CT31)</f>
        <v>0</v>
      </c>
      <c r="M31" s="32"/>
      <c r="N31" s="32"/>
      <c r="O31" s="32"/>
      <c r="P31" s="32"/>
      <c r="Q31" s="32"/>
      <c r="R31" s="32"/>
      <c r="S31" s="32"/>
      <c r="T31" s="32"/>
      <c r="U31" s="32"/>
      <c r="V31" s="32"/>
      <c r="W31" s="32"/>
      <c r="X31" s="32"/>
      <c r="Y31" s="32"/>
      <c r="Z31" s="32"/>
    </row>
    <row r="32" ht="12.75" customHeight="1">
      <c r="A32" s="32" t="s">
        <v>121</v>
      </c>
      <c r="B32" s="41">
        <f>SUM('P&amp;L Cash Flow Monthly'!K32:V32)</f>
        <v>400000</v>
      </c>
      <c r="C32" s="41">
        <f>+'P&amp;L Cash Flow Monthly'!W32+'P&amp;L Cash Flow Monthly'!X32+'P&amp;L Cash Flow Monthly'!Y32+'P&amp;L Cash Flow Monthly'!Z32+'P&amp;L Cash Flow Monthly'!AA32+'P&amp;L Cash Flow Monthly'!AB32+'P&amp;L Cash Flow Monthly'!AC32+'P&amp;L Cash Flow Monthly'!AD32+'P&amp;L Cash Flow Monthly'!AE32+'P&amp;L Cash Flow Monthly'!AF32+'P&amp;L Cash Flow Monthly'!AG32+'P&amp;L Cash Flow Monthly'!AH32</f>
        <v>285000</v>
      </c>
      <c r="D32" s="41">
        <v>0.0</v>
      </c>
      <c r="E32" s="41">
        <v>0.0</v>
      </c>
      <c r="F32" s="41">
        <v>0.0</v>
      </c>
      <c r="G32" s="41">
        <v>0.0</v>
      </c>
      <c r="H32" s="41">
        <v>0.0</v>
      </c>
      <c r="I32" s="41">
        <v>0.0</v>
      </c>
      <c r="J32" s="41">
        <v>0.0</v>
      </c>
      <c r="K32" s="41">
        <v>0.0</v>
      </c>
      <c r="L32" s="41">
        <v>0.0</v>
      </c>
      <c r="M32" s="32"/>
      <c r="N32" s="32"/>
      <c r="O32" s="32"/>
      <c r="P32" s="32"/>
      <c r="Q32" s="32"/>
      <c r="R32" s="32"/>
      <c r="S32" s="32"/>
      <c r="T32" s="32"/>
      <c r="U32" s="32"/>
      <c r="V32" s="32"/>
      <c r="W32" s="32"/>
      <c r="X32" s="32"/>
      <c r="Y32" s="32"/>
      <c r="Z32" s="32"/>
    </row>
    <row r="33" ht="12.75" customHeight="1">
      <c r="A33" s="32"/>
      <c r="B33" s="44"/>
      <c r="C33" s="44"/>
      <c r="D33" s="44"/>
      <c r="E33" s="44"/>
      <c r="F33" s="44"/>
      <c r="G33" s="44"/>
      <c r="H33" s="44"/>
      <c r="I33" s="44"/>
      <c r="J33" s="44"/>
      <c r="K33" s="44"/>
      <c r="L33" s="44"/>
      <c r="M33" s="32"/>
      <c r="N33" s="32"/>
      <c r="O33" s="32"/>
      <c r="P33" s="32"/>
      <c r="Q33" s="32"/>
      <c r="R33" s="32"/>
      <c r="S33" s="32"/>
      <c r="T33" s="32"/>
      <c r="U33" s="32"/>
      <c r="V33" s="32"/>
      <c r="W33" s="32"/>
      <c r="X33" s="32"/>
      <c r="Y33" s="32"/>
      <c r="Z33" s="32"/>
    </row>
    <row r="34" ht="12.75" customHeight="1">
      <c r="A34" s="32"/>
      <c r="B34" s="43"/>
      <c r="C34" s="43"/>
      <c r="D34" s="43"/>
      <c r="E34" s="43"/>
      <c r="F34" s="43"/>
      <c r="G34" s="43"/>
      <c r="H34" s="43"/>
      <c r="I34" s="43"/>
      <c r="J34" s="43"/>
      <c r="K34" s="43"/>
      <c r="L34" s="43"/>
      <c r="M34" s="32"/>
      <c r="N34" s="32"/>
      <c r="O34" s="32"/>
      <c r="P34" s="32"/>
      <c r="Q34" s="32"/>
      <c r="R34" s="32"/>
      <c r="S34" s="32"/>
      <c r="T34" s="32"/>
      <c r="U34" s="32"/>
      <c r="V34" s="32"/>
      <c r="W34" s="32"/>
      <c r="X34" s="32"/>
      <c r="Y34" s="32"/>
      <c r="Z34" s="32"/>
    </row>
    <row r="35" ht="12.75" customHeight="1">
      <c r="A35" s="32" t="s">
        <v>122</v>
      </c>
      <c r="B35" s="43">
        <f t="shared" ref="B35:L35" si="6">SUM(B23:B33)</f>
        <v>20018.56045</v>
      </c>
      <c r="C35" s="43">
        <f t="shared" si="6"/>
        <v>-41098.45777</v>
      </c>
      <c r="D35" s="43">
        <f t="shared" si="6"/>
        <v>-69799.01</v>
      </c>
      <c r="E35" s="43">
        <f t="shared" si="6"/>
        <v>-258653.53</v>
      </c>
      <c r="F35" s="43">
        <f t="shared" si="6"/>
        <v>-67275.15</v>
      </c>
      <c r="G35" s="43">
        <f t="shared" si="6"/>
        <v>-280790.574</v>
      </c>
      <c r="H35" s="43">
        <f t="shared" si="6"/>
        <v>-207370.9921</v>
      </c>
      <c r="I35" s="43">
        <f t="shared" si="6"/>
        <v>-259430.4486</v>
      </c>
      <c r="J35" s="43">
        <f t="shared" si="6"/>
        <v>-165805.8354</v>
      </c>
      <c r="K35" s="43">
        <f t="shared" si="6"/>
        <v>-233605.5901</v>
      </c>
      <c r="L35" s="43">
        <f t="shared" si="6"/>
        <v>-115812.3293</v>
      </c>
      <c r="M35" s="32"/>
      <c r="N35" s="32"/>
      <c r="O35" s="32"/>
      <c r="P35" s="32"/>
      <c r="Q35" s="32"/>
      <c r="R35" s="32"/>
      <c r="S35" s="32"/>
      <c r="T35" s="32"/>
      <c r="U35" s="32"/>
      <c r="V35" s="32"/>
      <c r="W35" s="32"/>
      <c r="X35" s="32"/>
      <c r="Y35" s="32"/>
      <c r="Z35" s="32"/>
    </row>
    <row r="36" ht="12.75" customHeight="1">
      <c r="A36" s="32"/>
      <c r="B36" s="43"/>
      <c r="C36" s="43"/>
      <c r="D36" s="43"/>
      <c r="E36" s="43"/>
      <c r="F36" s="43"/>
      <c r="G36" s="43"/>
      <c r="H36" s="43"/>
      <c r="I36" s="43"/>
      <c r="J36" s="43"/>
      <c r="K36" s="43"/>
      <c r="L36" s="43"/>
      <c r="M36" s="32"/>
      <c r="N36" s="32"/>
      <c r="O36" s="32"/>
      <c r="P36" s="32"/>
      <c r="Q36" s="32"/>
      <c r="R36" s="32"/>
      <c r="S36" s="32"/>
      <c r="T36" s="32"/>
      <c r="U36" s="32"/>
      <c r="V36" s="32"/>
      <c r="W36" s="32"/>
      <c r="X36" s="32"/>
      <c r="Y36" s="32"/>
      <c r="Z36" s="32"/>
    </row>
    <row r="37" ht="12.75" customHeight="1">
      <c r="A37" s="32" t="s">
        <v>123</v>
      </c>
      <c r="B37" s="42">
        <f>'P&amp;L Cash Flow Monthly'!K37:K38</f>
        <v>179360.0061</v>
      </c>
      <c r="C37" s="44">
        <f t="shared" ref="C37:H37" si="7">+B39</f>
        <v>199378.5666</v>
      </c>
      <c r="D37" s="44">
        <f t="shared" si="7"/>
        <v>158280.1088</v>
      </c>
      <c r="E37" s="44">
        <f t="shared" si="7"/>
        <v>88481.09882</v>
      </c>
      <c r="F37" s="44">
        <f t="shared" si="7"/>
        <v>-170172.4312</v>
      </c>
      <c r="G37" s="44">
        <f t="shared" si="7"/>
        <v>-237447.5812</v>
      </c>
      <c r="H37" s="44">
        <f t="shared" si="7"/>
        <v>-518238.1552</v>
      </c>
      <c r="I37" s="44">
        <f>F39</f>
        <v>-237447.5812</v>
      </c>
      <c r="J37" s="44">
        <f>+I39</f>
        <v>-496878.0298</v>
      </c>
      <c r="K37" s="44">
        <f>F39</f>
        <v>-237447.5812</v>
      </c>
      <c r="L37" s="44">
        <f>+K39</f>
        <v>-471053.1713</v>
      </c>
      <c r="M37" s="32"/>
      <c r="N37" s="32"/>
      <c r="O37" s="32"/>
      <c r="P37" s="32"/>
      <c r="Q37" s="32"/>
      <c r="R37" s="32"/>
      <c r="S37" s="32"/>
      <c r="T37" s="32"/>
      <c r="U37" s="32"/>
      <c r="V37" s="32"/>
      <c r="W37" s="32"/>
      <c r="X37" s="32"/>
      <c r="Y37" s="32"/>
      <c r="Z37" s="32"/>
    </row>
    <row r="38" ht="12.75" customHeight="1">
      <c r="A38" s="32"/>
      <c r="B38" s="43"/>
      <c r="C38" s="43"/>
      <c r="D38" s="43"/>
      <c r="E38" s="43"/>
      <c r="F38" s="43"/>
      <c r="G38" s="43"/>
      <c r="H38" s="43"/>
      <c r="I38" s="43"/>
      <c r="J38" s="43"/>
      <c r="K38" s="43"/>
      <c r="L38" s="43"/>
      <c r="M38" s="32"/>
      <c r="N38" s="32"/>
      <c r="O38" s="32"/>
      <c r="P38" s="32"/>
      <c r="Q38" s="32"/>
      <c r="R38" s="32"/>
      <c r="S38" s="32"/>
      <c r="T38" s="32"/>
      <c r="U38" s="32"/>
      <c r="V38" s="32"/>
      <c r="W38" s="32"/>
      <c r="X38" s="32"/>
      <c r="Y38" s="32"/>
      <c r="Z38" s="32"/>
    </row>
    <row r="39" ht="12.75" customHeight="1">
      <c r="A39" s="32" t="s">
        <v>124</v>
      </c>
      <c r="B39" s="45">
        <f t="shared" ref="B39:L39" si="8">SUM(B35:B37)</f>
        <v>199378.5666</v>
      </c>
      <c r="C39" s="45">
        <f t="shared" si="8"/>
        <v>158280.1088</v>
      </c>
      <c r="D39" s="45">
        <f t="shared" si="8"/>
        <v>88481.09882</v>
      </c>
      <c r="E39" s="45">
        <f t="shared" si="8"/>
        <v>-170172.4312</v>
      </c>
      <c r="F39" s="45">
        <f t="shared" si="8"/>
        <v>-237447.5812</v>
      </c>
      <c r="G39" s="45">
        <f t="shared" si="8"/>
        <v>-518238.1552</v>
      </c>
      <c r="H39" s="45">
        <f t="shared" si="8"/>
        <v>-725609.1473</v>
      </c>
      <c r="I39" s="45">
        <f t="shared" si="8"/>
        <v>-496878.0298</v>
      </c>
      <c r="J39" s="45">
        <f t="shared" si="8"/>
        <v>-662683.8652</v>
      </c>
      <c r="K39" s="45">
        <f t="shared" si="8"/>
        <v>-471053.1713</v>
      </c>
      <c r="L39" s="45">
        <f t="shared" si="8"/>
        <v>-586865.5005</v>
      </c>
      <c r="M39" s="32"/>
      <c r="N39" s="32"/>
      <c r="O39" s="32"/>
      <c r="P39" s="32"/>
      <c r="Q39" s="32"/>
      <c r="R39" s="32"/>
      <c r="S39" s="32"/>
      <c r="T39" s="32"/>
      <c r="U39" s="32"/>
      <c r="V39" s="32"/>
      <c r="W39" s="32"/>
      <c r="X39" s="32"/>
      <c r="Y39" s="32"/>
      <c r="Z39" s="32"/>
    </row>
    <row r="40" ht="12.75" customHeight="1">
      <c r="A40" s="32"/>
      <c r="B40" s="40"/>
      <c r="C40" s="40"/>
      <c r="D40" s="40"/>
      <c r="E40" s="40"/>
      <c r="F40" s="40"/>
      <c r="G40" s="40"/>
      <c r="H40" s="40"/>
      <c r="I40" s="40"/>
      <c r="J40" s="40"/>
      <c r="K40" s="40"/>
      <c r="L40" s="40"/>
      <c r="M40" s="32"/>
      <c r="N40" s="32"/>
      <c r="O40" s="32"/>
      <c r="P40" s="32"/>
      <c r="Q40" s="32"/>
      <c r="R40" s="32"/>
      <c r="S40" s="32"/>
      <c r="T40" s="32"/>
      <c r="U40" s="32"/>
      <c r="V40" s="32"/>
      <c r="W40" s="32"/>
      <c r="X40" s="32"/>
      <c r="Y40" s="32"/>
      <c r="Z40" s="32"/>
    </row>
    <row r="41" ht="12.75" customHeight="1">
      <c r="A41" s="32"/>
      <c r="B41" s="41"/>
      <c r="C41" s="41"/>
      <c r="D41" s="41"/>
      <c r="E41" s="41"/>
      <c r="F41" s="41"/>
      <c r="G41" s="41"/>
      <c r="H41" s="41"/>
      <c r="I41" s="41"/>
      <c r="J41" s="41"/>
      <c r="K41" s="41"/>
      <c r="L41" s="41"/>
      <c r="M41" s="32"/>
      <c r="N41" s="32"/>
      <c r="O41" s="32"/>
      <c r="P41" s="32"/>
      <c r="Q41" s="32"/>
      <c r="R41" s="32"/>
      <c r="S41" s="32"/>
      <c r="T41" s="32"/>
      <c r="U41" s="32"/>
      <c r="V41" s="32"/>
      <c r="W41" s="32"/>
      <c r="X41" s="32"/>
      <c r="Y41" s="32"/>
      <c r="Z41" s="32"/>
    </row>
    <row r="42" ht="12.75" customHeight="1">
      <c r="A42" s="32" t="s">
        <v>125</v>
      </c>
      <c r="B42" s="46">
        <f t="shared" ref="B42:L42" si="9">B19/B15</f>
        <v>0.2822769542</v>
      </c>
      <c r="C42" s="46">
        <f t="shared" si="9"/>
        <v>0.2966708108</v>
      </c>
      <c r="D42" s="46">
        <f t="shared" si="9"/>
        <v>0.2998328924</v>
      </c>
      <c r="E42" s="46">
        <f t="shared" si="9"/>
        <v>0.3094765398</v>
      </c>
      <c r="F42" s="46">
        <f t="shared" si="9"/>
        <v>0.3656265802</v>
      </c>
      <c r="G42" s="46">
        <f t="shared" si="9"/>
        <v>0.32</v>
      </c>
      <c r="H42" s="46">
        <f t="shared" si="9"/>
        <v>0.32</v>
      </c>
      <c r="I42" s="46">
        <f t="shared" si="9"/>
        <v>0.32</v>
      </c>
      <c r="J42" s="46">
        <f t="shared" si="9"/>
        <v>0.32</v>
      </c>
      <c r="K42" s="46">
        <f t="shared" si="9"/>
        <v>0.32</v>
      </c>
      <c r="L42" s="46">
        <f t="shared" si="9"/>
        <v>0.32</v>
      </c>
      <c r="M42" s="32"/>
      <c r="N42" s="32"/>
      <c r="O42" s="32"/>
      <c r="P42" s="32"/>
      <c r="Q42" s="32"/>
      <c r="R42" s="32"/>
      <c r="S42" s="32"/>
      <c r="T42" s="32"/>
      <c r="U42" s="32"/>
      <c r="V42" s="32"/>
      <c r="W42" s="32"/>
      <c r="X42" s="32"/>
      <c r="Y42" s="32"/>
      <c r="Z42" s="32"/>
    </row>
    <row r="43" ht="12.75" customHeight="1">
      <c r="A43" s="32"/>
      <c r="B43" s="41"/>
      <c r="C43" s="41"/>
      <c r="D43" s="41"/>
      <c r="E43" s="41"/>
      <c r="F43" s="41"/>
      <c r="G43" s="41"/>
      <c r="H43" s="41"/>
      <c r="I43" s="41"/>
      <c r="J43" s="41"/>
      <c r="K43" s="41"/>
      <c r="L43" s="41"/>
      <c r="M43" s="32"/>
      <c r="N43" s="32"/>
      <c r="O43" s="32"/>
      <c r="P43" s="32"/>
      <c r="Q43" s="32"/>
      <c r="R43" s="32"/>
      <c r="S43" s="32"/>
      <c r="T43" s="32"/>
      <c r="U43" s="32"/>
      <c r="V43" s="32"/>
      <c r="W43" s="32"/>
      <c r="X43" s="32"/>
      <c r="Y43" s="32"/>
      <c r="Z43" s="32"/>
    </row>
    <row r="44" ht="12.75" customHeight="1">
      <c r="A44" s="32" t="s">
        <v>126</v>
      </c>
      <c r="B44" s="46">
        <f t="shared" ref="B44:L44" si="10">B23/B15</f>
        <v>-0.3454232791</v>
      </c>
      <c r="C44" s="46">
        <f t="shared" si="10"/>
        <v>-0.3401545072</v>
      </c>
      <c r="D44" s="46">
        <f t="shared" si="10"/>
        <v>-0.09992411672</v>
      </c>
      <c r="E44" s="46">
        <f t="shared" si="10"/>
        <v>-0.2550258561</v>
      </c>
      <c r="F44" s="46">
        <f t="shared" si="10"/>
        <v>-0.06850979377</v>
      </c>
      <c r="G44" s="46">
        <f t="shared" si="10"/>
        <v>-0.2034615038</v>
      </c>
      <c r="H44" s="46">
        <f t="shared" si="10"/>
        <v>-0.1088851477</v>
      </c>
      <c r="I44" s="46">
        <f t="shared" si="10"/>
        <v>-0.1692703487</v>
      </c>
      <c r="J44" s="46">
        <f t="shared" si="10"/>
        <v>-0.07727370186</v>
      </c>
      <c r="K44" s="46">
        <f t="shared" si="10"/>
        <v>-0.1360463524</v>
      </c>
      <c r="L44" s="46">
        <f t="shared" si="10"/>
        <v>-0.04526600835</v>
      </c>
      <c r="M44" s="32"/>
      <c r="N44" s="32"/>
      <c r="O44" s="32"/>
      <c r="P44" s="32"/>
      <c r="Q44" s="32"/>
      <c r="R44" s="32"/>
      <c r="S44" s="32"/>
      <c r="T44" s="32"/>
      <c r="U44" s="32"/>
      <c r="V44" s="32"/>
      <c r="W44" s="32"/>
      <c r="X44" s="32"/>
      <c r="Y44" s="32"/>
      <c r="Z44" s="32"/>
    </row>
    <row r="45" ht="12.75" customHeight="1">
      <c r="A45" s="32"/>
      <c r="B45" s="41"/>
      <c r="C45" s="41"/>
      <c r="D45" s="41"/>
      <c r="E45" s="41"/>
      <c r="F45" s="41"/>
      <c r="G45" s="41"/>
      <c r="H45" s="41"/>
      <c r="I45" s="32"/>
      <c r="J45" s="32"/>
      <c r="K45" s="32"/>
      <c r="L45" s="32"/>
      <c r="M45" s="32"/>
      <c r="N45" s="32"/>
      <c r="O45" s="32"/>
      <c r="P45" s="32"/>
      <c r="Q45" s="32"/>
      <c r="R45" s="32"/>
      <c r="S45" s="32"/>
      <c r="T45" s="32"/>
      <c r="U45" s="32"/>
      <c r="V45" s="32"/>
      <c r="W45" s="32"/>
      <c r="X45" s="32"/>
      <c r="Y45" s="32"/>
      <c r="Z45" s="32"/>
    </row>
    <row r="46" ht="12.75" customHeight="1">
      <c r="A46" s="32"/>
      <c r="B46" s="41"/>
      <c r="C46" s="41"/>
      <c r="D46" s="41"/>
      <c r="E46" s="41"/>
      <c r="F46" s="32"/>
      <c r="G46" s="32"/>
      <c r="H46" s="32"/>
      <c r="I46" s="32"/>
      <c r="J46" s="32"/>
      <c r="K46" s="32"/>
      <c r="L46" s="32"/>
      <c r="M46" s="32"/>
      <c r="N46" s="32"/>
      <c r="O46" s="32"/>
      <c r="P46" s="32"/>
      <c r="Q46" s="32"/>
      <c r="R46" s="32"/>
      <c r="S46" s="32"/>
      <c r="T46" s="32"/>
      <c r="U46" s="32"/>
      <c r="V46" s="32"/>
      <c r="W46" s="32"/>
      <c r="X46" s="32"/>
      <c r="Y46" s="32"/>
      <c r="Z46" s="32"/>
    </row>
    <row r="47" ht="12.75" customHeight="1">
      <c r="A47" s="32"/>
      <c r="B47" s="41"/>
      <c r="C47" s="41"/>
      <c r="D47" s="41"/>
      <c r="E47" s="41"/>
      <c r="F47" s="32"/>
      <c r="G47" s="32"/>
      <c r="H47" s="32"/>
      <c r="I47" s="32"/>
      <c r="J47" s="32"/>
      <c r="K47" s="32"/>
      <c r="L47" s="32"/>
      <c r="M47" s="32"/>
      <c r="N47" s="32"/>
      <c r="O47" s="32"/>
      <c r="P47" s="32"/>
      <c r="Q47" s="32"/>
      <c r="R47" s="32"/>
      <c r="S47" s="32"/>
      <c r="T47" s="32"/>
      <c r="U47" s="32"/>
      <c r="V47" s="32"/>
      <c r="W47" s="32"/>
      <c r="X47" s="32"/>
      <c r="Y47" s="32"/>
      <c r="Z47" s="32"/>
    </row>
    <row r="48" ht="12.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2.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2.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2.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2.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2.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2.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2.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2.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2.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2.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2.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2.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2.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2.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2.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2.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2.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2.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2.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2.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2.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2.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2.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2.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2.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2.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2.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2.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2.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2.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2.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2.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2.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2.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2.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2.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2.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2.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2.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2.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2.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2.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2.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2.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2.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2.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2.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2.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2.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2.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2.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2.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2.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2.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2.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2.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2.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2.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2.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2.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2.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2.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2.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2.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2.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2.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2.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2.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2.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2.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2.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2.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2.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2.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2.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2.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2.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2.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2.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2.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2.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2.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2.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2.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2.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2.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2.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2.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2.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2.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2.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2.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2.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2.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2.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2.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2.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2.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2.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2.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2.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2.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2.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2.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2.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2.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2.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2.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2.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2.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2.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2.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2.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2.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2.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2.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2.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2.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2.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2.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2.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2.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2.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2.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2.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2.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2.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2.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2.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2.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2.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2.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2.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2.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2.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2.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2.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2.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2.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2.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2.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2.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2.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2.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2.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2.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2.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2.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2.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2.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2.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2.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2.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2.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2.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2.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2.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2.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2.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2.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2.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2.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2.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2.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2.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2.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2.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2.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2.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2.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2.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2.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2.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2.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2.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2.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2.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2.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2.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2.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2.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2.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2.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2.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2.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2.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2.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2.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2.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2.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2.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2.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2.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2.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2.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2.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5">
    <mergeCell ref="A2:L2"/>
    <mergeCell ref="A3:L3"/>
    <mergeCell ref="G7:H7"/>
    <mergeCell ref="I7:J7"/>
    <mergeCell ref="K7:L7"/>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2"/>
  <cols>
    <col customWidth="1" min="1" max="1" width="30.14"/>
    <col customWidth="1" min="2" max="4" width="18.43"/>
    <col customWidth="1" min="5" max="6" width="19.43"/>
    <col customWidth="1" min="7" max="7" width="18.43"/>
    <col customWidth="1" min="8" max="9" width="19.43"/>
    <col customWidth="1" min="10" max="10" width="18.43"/>
    <col customWidth="1" min="11" max="11" width="19.43"/>
    <col customWidth="1" min="12" max="12" width="18.43"/>
    <col customWidth="1" min="13" max="13" width="19.43"/>
    <col customWidth="1" min="14" max="14" width="18.43"/>
    <col customWidth="1" min="15" max="26" width="12.86"/>
  </cols>
  <sheetData>
    <row r="1" ht="15.75" customHeight="1">
      <c r="A1" s="47" t="s">
        <v>127</v>
      </c>
      <c r="O1" s="48"/>
      <c r="P1" s="48"/>
      <c r="Q1" s="48"/>
      <c r="R1" s="48"/>
      <c r="S1" s="48"/>
      <c r="T1" s="48"/>
      <c r="U1" s="48"/>
      <c r="V1" s="48"/>
      <c r="W1" s="48"/>
      <c r="X1" s="48"/>
      <c r="Y1" s="48"/>
      <c r="Z1" s="48"/>
    </row>
    <row r="2" ht="15.75" customHeight="1">
      <c r="A2" s="47" t="s">
        <v>104</v>
      </c>
      <c r="O2" s="48"/>
      <c r="P2" s="48"/>
      <c r="Q2" s="48"/>
      <c r="R2" s="48"/>
      <c r="S2" s="48"/>
      <c r="T2" s="48"/>
      <c r="U2" s="48"/>
      <c r="V2" s="48"/>
      <c r="W2" s="48"/>
      <c r="X2" s="48"/>
      <c r="Y2" s="48"/>
      <c r="Z2" s="48"/>
    </row>
    <row r="3" ht="15.75" customHeight="1">
      <c r="A3" s="47" t="s">
        <v>128</v>
      </c>
      <c r="O3" s="48"/>
      <c r="P3" s="48"/>
      <c r="Q3" s="48"/>
      <c r="R3" s="48"/>
      <c r="S3" s="48"/>
      <c r="T3" s="48"/>
      <c r="U3" s="48"/>
      <c r="V3" s="48"/>
      <c r="W3" s="48"/>
      <c r="X3" s="48"/>
      <c r="Y3" s="48"/>
      <c r="Z3" s="48"/>
    </row>
    <row r="4" ht="15.75" customHeight="1">
      <c r="A4" s="49"/>
      <c r="B4" s="49"/>
      <c r="C4" s="49"/>
      <c r="D4" s="49"/>
      <c r="E4" s="49"/>
      <c r="F4" s="49"/>
      <c r="G4" s="49"/>
      <c r="H4" s="49"/>
      <c r="I4" s="49"/>
      <c r="J4" s="49"/>
      <c r="K4" s="49"/>
      <c r="L4" s="49"/>
      <c r="M4" s="49"/>
      <c r="N4" s="49"/>
      <c r="O4" s="48"/>
      <c r="P4" s="48"/>
      <c r="Q4" s="48"/>
      <c r="R4" s="48"/>
      <c r="S4" s="48"/>
      <c r="T4" s="48"/>
      <c r="U4" s="48"/>
      <c r="V4" s="48"/>
      <c r="W4" s="48"/>
      <c r="X4" s="48"/>
      <c r="Y4" s="48"/>
      <c r="Z4" s="48"/>
    </row>
    <row r="5" ht="15.75" customHeight="1">
      <c r="A5" s="50" t="s">
        <v>129</v>
      </c>
      <c r="B5" s="50" t="s">
        <v>130</v>
      </c>
      <c r="C5" s="50" t="s">
        <v>131</v>
      </c>
      <c r="D5" s="50" t="s">
        <v>132</v>
      </c>
      <c r="E5" s="50" t="s">
        <v>133</v>
      </c>
      <c r="F5" s="50" t="s">
        <v>134</v>
      </c>
      <c r="G5" s="50" t="s">
        <v>135</v>
      </c>
      <c r="H5" s="50" t="s">
        <v>136</v>
      </c>
      <c r="I5" s="50" t="s">
        <v>137</v>
      </c>
      <c r="J5" s="50" t="s">
        <v>138</v>
      </c>
      <c r="K5" s="50" t="s">
        <v>139</v>
      </c>
      <c r="L5" s="50" t="s">
        <v>140</v>
      </c>
      <c r="M5" s="50" t="s">
        <v>141</v>
      </c>
      <c r="N5" s="50" t="s">
        <v>142</v>
      </c>
      <c r="O5" s="48"/>
      <c r="P5" s="48"/>
      <c r="Q5" s="48"/>
      <c r="R5" s="48"/>
      <c r="S5" s="48"/>
      <c r="T5" s="48"/>
      <c r="U5" s="48"/>
      <c r="V5" s="48"/>
      <c r="W5" s="48"/>
      <c r="X5" s="48"/>
      <c r="Y5" s="48"/>
      <c r="Z5" s="48"/>
    </row>
    <row r="6" ht="15.75" customHeight="1">
      <c r="A6" s="51" t="s">
        <v>143</v>
      </c>
      <c r="B6" s="49"/>
      <c r="C6" s="49"/>
      <c r="D6" s="49"/>
      <c r="E6" s="49"/>
      <c r="F6" s="49"/>
      <c r="G6" s="49"/>
      <c r="H6" s="49"/>
      <c r="I6" s="49"/>
      <c r="J6" s="49"/>
      <c r="K6" s="49"/>
      <c r="L6" s="49"/>
      <c r="M6" s="49"/>
      <c r="N6" s="49"/>
      <c r="O6" s="48"/>
      <c r="P6" s="48"/>
      <c r="Q6" s="48"/>
      <c r="R6" s="48"/>
      <c r="S6" s="48"/>
      <c r="T6" s="48"/>
      <c r="U6" s="48"/>
      <c r="V6" s="48"/>
      <c r="W6" s="48"/>
      <c r="X6" s="48"/>
      <c r="Y6" s="48"/>
      <c r="Z6" s="48"/>
    </row>
    <row r="7" ht="15.75" customHeight="1" outlineLevel="1">
      <c r="A7" s="51" t="s">
        <v>144</v>
      </c>
      <c r="B7" s="52">
        <v>38494.09</v>
      </c>
      <c r="C7" s="52">
        <v>38975.46</v>
      </c>
      <c r="D7" s="52">
        <v>40272.08</v>
      </c>
      <c r="E7" s="52">
        <v>39289.76</v>
      </c>
      <c r="F7" s="52">
        <v>45363.98</v>
      </c>
      <c r="G7" s="52">
        <v>37019.49</v>
      </c>
      <c r="H7" s="52">
        <v>33126.59</v>
      </c>
      <c r="I7" s="52">
        <v>34208.34</v>
      </c>
      <c r="J7" s="52">
        <v>34963.64</v>
      </c>
      <c r="K7" s="52">
        <v>39857.42</v>
      </c>
      <c r="L7" s="52">
        <v>31189.46</v>
      </c>
      <c r="M7" s="52">
        <v>25844.71</v>
      </c>
      <c r="N7" s="52">
        <f t="shared" ref="N7:N10" si="1">B7+C7+D7+E7+F7+G7+H7+I7+J7+K7+L7+M7</f>
        <v>438605.02</v>
      </c>
      <c r="O7" s="48"/>
      <c r="P7" s="48"/>
      <c r="Q7" s="48"/>
      <c r="R7" s="48"/>
      <c r="S7" s="48"/>
      <c r="T7" s="48"/>
      <c r="U7" s="48"/>
      <c r="V7" s="48"/>
      <c r="W7" s="48"/>
      <c r="X7" s="48"/>
      <c r="Y7" s="48"/>
      <c r="Z7" s="48"/>
    </row>
    <row r="8" ht="15.75" customHeight="1" outlineLevel="1">
      <c r="A8" s="51" t="s">
        <v>145</v>
      </c>
      <c r="B8" s="52">
        <v>13274.09</v>
      </c>
      <c r="C8" s="52">
        <v>12506.95</v>
      </c>
      <c r="D8" s="52">
        <v>12325.37</v>
      </c>
      <c r="E8" s="52">
        <v>11750.9</v>
      </c>
      <c r="F8" s="52">
        <v>12206.23</v>
      </c>
      <c r="G8" s="52">
        <v>22275.27</v>
      </c>
      <c r="H8" s="52">
        <v>10778.6</v>
      </c>
      <c r="I8" s="52">
        <v>10212.1</v>
      </c>
      <c r="J8" s="52">
        <v>8828.2</v>
      </c>
      <c r="K8" s="52">
        <v>10980.48</v>
      </c>
      <c r="L8" s="52">
        <v>8961.04</v>
      </c>
      <c r="M8" s="52">
        <v>8397.83</v>
      </c>
      <c r="N8" s="52">
        <f t="shared" si="1"/>
        <v>142497.06</v>
      </c>
      <c r="O8" s="48"/>
      <c r="P8" s="48"/>
      <c r="Q8" s="48"/>
      <c r="R8" s="48"/>
      <c r="S8" s="48"/>
      <c r="T8" s="48"/>
      <c r="U8" s="48"/>
      <c r="V8" s="48"/>
      <c r="W8" s="48"/>
      <c r="X8" s="48"/>
      <c r="Y8" s="48"/>
      <c r="Z8" s="48"/>
    </row>
    <row r="9" ht="15.75" customHeight="1" outlineLevel="1">
      <c r="A9" s="51" t="s">
        <v>146</v>
      </c>
      <c r="B9" s="52">
        <v>12881.98</v>
      </c>
      <c r="C9" s="52">
        <v>10976.16</v>
      </c>
      <c r="D9" s="52">
        <v>17053.45</v>
      </c>
      <c r="E9" s="52">
        <v>9871.58</v>
      </c>
      <c r="F9" s="52">
        <v>11461.91</v>
      </c>
      <c r="G9" s="52">
        <v>9255.24</v>
      </c>
      <c r="H9" s="52">
        <v>7947.77</v>
      </c>
      <c r="I9" s="52">
        <v>11218.93</v>
      </c>
      <c r="J9" s="52">
        <v>8514.89</v>
      </c>
      <c r="K9" s="52">
        <v>7229.84</v>
      </c>
      <c r="L9" s="52">
        <v>5731.43</v>
      </c>
      <c r="M9" s="52">
        <v>5274.9</v>
      </c>
      <c r="N9" s="52">
        <f t="shared" si="1"/>
        <v>117418.08</v>
      </c>
      <c r="O9" s="48"/>
      <c r="P9" s="48"/>
      <c r="Q9" s="48"/>
      <c r="R9" s="48"/>
      <c r="S9" s="48"/>
      <c r="T9" s="48"/>
      <c r="U9" s="48"/>
      <c r="V9" s="48"/>
      <c r="W9" s="48"/>
      <c r="X9" s="48"/>
      <c r="Y9" s="48"/>
      <c r="Z9" s="48"/>
    </row>
    <row r="10" ht="15.75" customHeight="1">
      <c r="A10" s="53" t="s">
        <v>147</v>
      </c>
      <c r="B10" s="54">
        <f t="shared" ref="B10:M10" si="2">B7+B8+B9</f>
        <v>64650.16</v>
      </c>
      <c r="C10" s="54">
        <f t="shared" si="2"/>
        <v>62458.57</v>
      </c>
      <c r="D10" s="54">
        <f t="shared" si="2"/>
        <v>69650.9</v>
      </c>
      <c r="E10" s="54">
        <f t="shared" si="2"/>
        <v>60912.24</v>
      </c>
      <c r="F10" s="54">
        <f t="shared" si="2"/>
        <v>69032.12</v>
      </c>
      <c r="G10" s="54">
        <f t="shared" si="2"/>
        <v>68550</v>
      </c>
      <c r="H10" s="54">
        <f t="shared" si="2"/>
        <v>51852.96</v>
      </c>
      <c r="I10" s="54">
        <f t="shared" si="2"/>
        <v>55639.37</v>
      </c>
      <c r="J10" s="54">
        <f t="shared" si="2"/>
        <v>52306.73</v>
      </c>
      <c r="K10" s="54">
        <f t="shared" si="2"/>
        <v>58067.74</v>
      </c>
      <c r="L10" s="54">
        <f t="shared" si="2"/>
        <v>45881.93</v>
      </c>
      <c r="M10" s="54">
        <f t="shared" si="2"/>
        <v>39517.44</v>
      </c>
      <c r="N10" s="55">
        <f t="shared" si="1"/>
        <v>698520.16</v>
      </c>
      <c r="O10" s="48"/>
      <c r="P10" s="48"/>
      <c r="Q10" s="48"/>
      <c r="R10" s="48"/>
      <c r="S10" s="48"/>
      <c r="T10" s="48"/>
      <c r="U10" s="48"/>
      <c r="V10" s="48"/>
      <c r="W10" s="48"/>
      <c r="X10" s="48"/>
      <c r="Y10" s="48"/>
      <c r="Z10" s="48"/>
    </row>
    <row r="11" ht="15.75" customHeight="1">
      <c r="A11" s="51" t="s">
        <v>148</v>
      </c>
      <c r="B11" s="49"/>
      <c r="C11" s="49"/>
      <c r="D11" s="49"/>
      <c r="E11" s="49"/>
      <c r="F11" s="49"/>
      <c r="G11" s="49"/>
      <c r="H11" s="49"/>
      <c r="I11" s="49"/>
      <c r="J11" s="49"/>
      <c r="K11" s="49"/>
      <c r="L11" s="49"/>
      <c r="M11" s="49"/>
      <c r="N11" s="49"/>
      <c r="O11" s="48"/>
      <c r="P11" s="48"/>
      <c r="Q11" s="48"/>
      <c r="R11" s="48"/>
      <c r="S11" s="48"/>
      <c r="T11" s="48"/>
      <c r="U11" s="48"/>
      <c r="V11" s="48"/>
      <c r="W11" s="48"/>
      <c r="X11" s="48"/>
      <c r="Y11" s="48"/>
      <c r="Z11" s="48"/>
    </row>
    <row r="12" ht="15.75" customHeight="1" outlineLevel="1">
      <c r="A12" s="51" t="s">
        <v>148</v>
      </c>
      <c r="B12" s="52">
        <v>9830.06</v>
      </c>
      <c r="C12" s="52">
        <v>4846.43</v>
      </c>
      <c r="D12" s="52">
        <v>6421.92</v>
      </c>
      <c r="E12" s="52">
        <v>5062.07</v>
      </c>
      <c r="F12" s="52">
        <v>9072.82</v>
      </c>
      <c r="G12" s="52">
        <v>21527.56</v>
      </c>
      <c r="H12" s="52">
        <v>3192.68</v>
      </c>
      <c r="I12" s="52">
        <v>6884.36</v>
      </c>
      <c r="J12" s="52">
        <v>6525.22</v>
      </c>
      <c r="K12" s="52">
        <v>4673.06</v>
      </c>
      <c r="L12" s="52">
        <v>6165.75</v>
      </c>
      <c r="M12" s="52">
        <v>3400.01</v>
      </c>
      <c r="N12" s="52">
        <f t="shared" ref="N12:N16" si="3">B12+C12+D12+E12+F12+G12+H12+I12+J12+K12+L12+M12</f>
        <v>87601.94</v>
      </c>
      <c r="O12" s="48"/>
      <c r="P12" s="48"/>
      <c r="Q12" s="48"/>
      <c r="R12" s="48"/>
      <c r="S12" s="48"/>
      <c r="T12" s="48"/>
      <c r="U12" s="48"/>
      <c r="V12" s="48"/>
      <c r="W12" s="48"/>
      <c r="X12" s="48"/>
      <c r="Y12" s="48"/>
      <c r="Z12" s="48"/>
    </row>
    <row r="13" ht="15.75" customHeight="1" outlineLevel="1">
      <c r="A13" s="51" t="s">
        <v>149</v>
      </c>
      <c r="B13" s="52">
        <v>21313.32</v>
      </c>
      <c r="C13" s="52">
        <v>19655.04</v>
      </c>
      <c r="D13" s="52">
        <v>29025.69</v>
      </c>
      <c r="E13" s="52">
        <v>22415.16</v>
      </c>
      <c r="F13" s="52">
        <v>37154.41</v>
      </c>
      <c r="G13" s="52">
        <v>20582.67</v>
      </c>
      <c r="H13" s="52">
        <v>27827.68</v>
      </c>
      <c r="I13" s="52">
        <v>15103.16</v>
      </c>
      <c r="J13" s="52">
        <v>22847.3</v>
      </c>
      <c r="K13" s="52">
        <v>29059.41</v>
      </c>
      <c r="L13" s="52">
        <v>13292.4</v>
      </c>
      <c r="M13" s="52">
        <v>22140.3</v>
      </c>
      <c r="N13" s="52">
        <f t="shared" si="3"/>
        <v>280416.54</v>
      </c>
      <c r="O13" s="48"/>
      <c r="P13" s="48"/>
      <c r="Q13" s="48"/>
      <c r="R13" s="48"/>
      <c r="S13" s="48"/>
      <c r="T13" s="48"/>
      <c r="U13" s="48"/>
      <c r="V13" s="48"/>
      <c r="W13" s="48"/>
      <c r="X13" s="48"/>
      <c r="Y13" s="48"/>
      <c r="Z13" s="48"/>
    </row>
    <row r="14" ht="15.75" customHeight="1" outlineLevel="1">
      <c r="A14" s="51" t="s">
        <v>150</v>
      </c>
      <c r="B14" s="52">
        <v>12227.15</v>
      </c>
      <c r="C14" s="52">
        <v>11168.19</v>
      </c>
      <c r="D14" s="52">
        <v>11427.15</v>
      </c>
      <c r="E14" s="52">
        <v>10447.15</v>
      </c>
      <c r="F14" s="52">
        <v>12647.15</v>
      </c>
      <c r="G14" s="52">
        <v>9997.58</v>
      </c>
      <c r="H14" s="52">
        <v>9617.58</v>
      </c>
      <c r="I14" s="52">
        <v>9292.2</v>
      </c>
      <c r="J14" s="52">
        <v>8662.58</v>
      </c>
      <c r="K14" s="52">
        <v>10589.49</v>
      </c>
      <c r="L14" s="52">
        <v>8341.68</v>
      </c>
      <c r="M14" s="52">
        <v>6644.46</v>
      </c>
      <c r="N14" s="52">
        <f t="shared" si="3"/>
        <v>121062.36</v>
      </c>
      <c r="O14" s="48"/>
      <c r="P14" s="48"/>
      <c r="Q14" s="48"/>
      <c r="R14" s="48"/>
      <c r="S14" s="48"/>
      <c r="T14" s="48"/>
      <c r="U14" s="48"/>
      <c r="V14" s="48"/>
      <c r="W14" s="48"/>
      <c r="X14" s="48"/>
      <c r="Y14" s="48"/>
      <c r="Z14" s="48"/>
    </row>
    <row r="15" ht="15.75" customHeight="1">
      <c r="A15" s="53" t="s">
        <v>151</v>
      </c>
      <c r="B15" s="54">
        <f t="shared" ref="B15:M15" si="4">B12+B13+B14</f>
        <v>43370.53</v>
      </c>
      <c r="C15" s="54">
        <f t="shared" si="4"/>
        <v>35669.66</v>
      </c>
      <c r="D15" s="54">
        <f t="shared" si="4"/>
        <v>46874.76</v>
      </c>
      <c r="E15" s="54">
        <f t="shared" si="4"/>
        <v>37924.38</v>
      </c>
      <c r="F15" s="54">
        <f t="shared" si="4"/>
        <v>58874.38</v>
      </c>
      <c r="G15" s="54">
        <f t="shared" si="4"/>
        <v>52107.81</v>
      </c>
      <c r="H15" s="54">
        <f t="shared" si="4"/>
        <v>40637.94</v>
      </c>
      <c r="I15" s="54">
        <f t="shared" si="4"/>
        <v>31279.72</v>
      </c>
      <c r="J15" s="54">
        <f t="shared" si="4"/>
        <v>38035.1</v>
      </c>
      <c r="K15" s="54">
        <f t="shared" si="4"/>
        <v>44321.96</v>
      </c>
      <c r="L15" s="54">
        <f t="shared" si="4"/>
        <v>27799.83</v>
      </c>
      <c r="M15" s="54">
        <f t="shared" si="4"/>
        <v>32184.77</v>
      </c>
      <c r="N15" s="55">
        <f t="shared" si="3"/>
        <v>489080.84</v>
      </c>
      <c r="O15" s="48"/>
      <c r="P15" s="48"/>
      <c r="Q15" s="48"/>
      <c r="R15" s="48"/>
      <c r="S15" s="48"/>
      <c r="T15" s="48"/>
      <c r="U15" s="48"/>
      <c r="V15" s="48"/>
      <c r="W15" s="48"/>
      <c r="X15" s="48"/>
      <c r="Y15" s="48"/>
      <c r="Z15" s="48"/>
    </row>
    <row r="16" ht="15.75" customHeight="1">
      <c r="A16" s="53" t="s">
        <v>152</v>
      </c>
      <c r="B16" s="54">
        <f t="shared" ref="B16:M16" si="5">B10-B15</f>
        <v>21279.63</v>
      </c>
      <c r="C16" s="54">
        <f t="shared" si="5"/>
        <v>26788.91</v>
      </c>
      <c r="D16" s="54">
        <f t="shared" si="5"/>
        <v>22776.14</v>
      </c>
      <c r="E16" s="54">
        <f t="shared" si="5"/>
        <v>22987.86</v>
      </c>
      <c r="F16" s="54">
        <f t="shared" si="5"/>
        <v>10157.74</v>
      </c>
      <c r="G16" s="54">
        <f t="shared" si="5"/>
        <v>16442.19</v>
      </c>
      <c r="H16" s="54">
        <f t="shared" si="5"/>
        <v>11215.02</v>
      </c>
      <c r="I16" s="54">
        <f t="shared" si="5"/>
        <v>24359.65</v>
      </c>
      <c r="J16" s="54">
        <f t="shared" si="5"/>
        <v>14271.63</v>
      </c>
      <c r="K16" s="54">
        <f t="shared" si="5"/>
        <v>13745.78</v>
      </c>
      <c r="L16" s="54">
        <f t="shared" si="5"/>
        <v>18082.1</v>
      </c>
      <c r="M16" s="54">
        <f t="shared" si="5"/>
        <v>7332.67</v>
      </c>
      <c r="N16" s="55">
        <f t="shared" si="3"/>
        <v>209439.32</v>
      </c>
      <c r="O16" s="48"/>
      <c r="P16" s="48"/>
      <c r="Q16" s="48"/>
      <c r="R16" s="48"/>
      <c r="S16" s="48"/>
      <c r="T16" s="48"/>
      <c r="U16" s="48"/>
      <c r="V16" s="48"/>
      <c r="W16" s="48"/>
      <c r="X16" s="48"/>
      <c r="Y16" s="48"/>
      <c r="Z16" s="48"/>
    </row>
    <row r="17" ht="15.75" customHeight="1">
      <c r="A17" s="51" t="s">
        <v>153</v>
      </c>
      <c r="B17" s="49"/>
      <c r="C17" s="49"/>
      <c r="D17" s="49"/>
      <c r="E17" s="49"/>
      <c r="F17" s="49"/>
      <c r="G17" s="49"/>
      <c r="H17" s="49"/>
      <c r="I17" s="49"/>
      <c r="J17" s="49"/>
      <c r="K17" s="49"/>
      <c r="L17" s="49"/>
      <c r="M17" s="49"/>
      <c r="N17" s="49"/>
      <c r="O17" s="48"/>
      <c r="P17" s="48"/>
      <c r="Q17" s="48"/>
      <c r="R17" s="48"/>
      <c r="S17" s="48"/>
      <c r="T17" s="48"/>
      <c r="U17" s="48"/>
      <c r="V17" s="48"/>
      <c r="W17" s="48"/>
      <c r="X17" s="48"/>
      <c r="Y17" s="48"/>
      <c r="Z17" s="48"/>
    </row>
    <row r="18" ht="15.75" customHeight="1" outlineLevel="1">
      <c r="A18" s="51" t="s">
        <v>154</v>
      </c>
      <c r="B18" s="52">
        <v>10528.67</v>
      </c>
      <c r="C18" s="52">
        <v>8399.45</v>
      </c>
      <c r="D18" s="52">
        <v>10489.99</v>
      </c>
      <c r="E18" s="52">
        <v>9517.54</v>
      </c>
      <c r="F18" s="52">
        <v>12295.44</v>
      </c>
      <c r="G18" s="52">
        <v>10471.82</v>
      </c>
      <c r="H18" s="52">
        <v>11041.51</v>
      </c>
      <c r="I18" s="52">
        <v>8400.46</v>
      </c>
      <c r="J18" s="52">
        <v>7646.38</v>
      </c>
      <c r="K18" s="52">
        <v>8822.12</v>
      </c>
      <c r="L18" s="52">
        <v>8185.99</v>
      </c>
      <c r="M18" s="52">
        <v>6675.39</v>
      </c>
      <c r="N18" s="52">
        <f t="shared" ref="N18:N42" si="6">B18+C18+D18+E18+F18+G18+H18+I18+J18+K18+L18+M18</f>
        <v>112474.76</v>
      </c>
      <c r="O18" s="48"/>
      <c r="P18" s="48"/>
      <c r="Q18" s="48"/>
      <c r="R18" s="48"/>
      <c r="S18" s="48"/>
      <c r="T18" s="48"/>
      <c r="U18" s="48"/>
      <c r="V18" s="48"/>
      <c r="W18" s="48"/>
      <c r="X18" s="48"/>
      <c r="Y18" s="48"/>
      <c r="Z18" s="48"/>
    </row>
    <row r="19" ht="15.75" customHeight="1" outlineLevel="1">
      <c r="A19" s="51" t="s">
        <v>155</v>
      </c>
      <c r="B19" s="52">
        <v>134.95</v>
      </c>
      <c r="C19" s="52">
        <v>34.95</v>
      </c>
      <c r="D19" s="52">
        <v>34.95</v>
      </c>
      <c r="E19" s="52">
        <v>34.95</v>
      </c>
      <c r="F19" s="52">
        <v>41.95</v>
      </c>
      <c r="G19" s="52">
        <v>34.95</v>
      </c>
      <c r="H19" s="52">
        <v>34.95</v>
      </c>
      <c r="I19" s="52">
        <v>34.95</v>
      </c>
      <c r="J19" s="52">
        <v>168.4</v>
      </c>
      <c r="K19" s="52">
        <v>34.95</v>
      </c>
      <c r="L19" s="52">
        <v>260.51</v>
      </c>
      <c r="M19" s="52">
        <v>34.95</v>
      </c>
      <c r="N19" s="52">
        <f t="shared" si="6"/>
        <v>885.41</v>
      </c>
      <c r="O19" s="48"/>
      <c r="P19" s="48"/>
      <c r="Q19" s="48"/>
      <c r="R19" s="48"/>
      <c r="S19" s="48"/>
      <c r="T19" s="48"/>
      <c r="U19" s="48"/>
      <c r="V19" s="48"/>
      <c r="W19" s="48"/>
      <c r="X19" s="48"/>
      <c r="Y19" s="48"/>
      <c r="Z19" s="48"/>
    </row>
    <row r="20" ht="15.75" customHeight="1" outlineLevel="2">
      <c r="A20" s="51" t="s">
        <v>156</v>
      </c>
      <c r="B20" s="52">
        <v>390.44</v>
      </c>
      <c r="C20" s="52">
        <v>78.73</v>
      </c>
      <c r="D20" s="52">
        <v>655.56</v>
      </c>
      <c r="E20" s="52">
        <v>412.28</v>
      </c>
      <c r="F20" s="52">
        <v>222.22</v>
      </c>
      <c r="G20" s="52">
        <v>77.3</v>
      </c>
      <c r="H20" s="52">
        <v>488.01</v>
      </c>
      <c r="I20" s="52">
        <v>285.0</v>
      </c>
      <c r="J20" s="52">
        <v>210.07</v>
      </c>
      <c r="K20" s="52">
        <v>220.48</v>
      </c>
      <c r="L20" s="52">
        <v>91.58</v>
      </c>
      <c r="M20" s="52">
        <v>210.47</v>
      </c>
      <c r="N20" s="52">
        <f t="shared" si="6"/>
        <v>3342.14</v>
      </c>
      <c r="O20" s="48"/>
      <c r="P20" s="48"/>
      <c r="Q20" s="48"/>
      <c r="R20" s="48"/>
      <c r="S20" s="48"/>
      <c r="T20" s="48"/>
      <c r="U20" s="48"/>
      <c r="V20" s="48"/>
      <c r="W20" s="48"/>
      <c r="X20" s="48"/>
      <c r="Y20" s="48"/>
      <c r="Z20" s="48"/>
    </row>
    <row r="21" ht="15.75" customHeight="1" outlineLevel="2">
      <c r="A21" s="51" t="s">
        <v>157</v>
      </c>
      <c r="B21" s="49"/>
      <c r="C21" s="49"/>
      <c r="D21" s="52">
        <v>12.0</v>
      </c>
      <c r="E21" s="49"/>
      <c r="F21" s="52">
        <v>31.0</v>
      </c>
      <c r="G21" s="49"/>
      <c r="H21" s="52">
        <v>6.0</v>
      </c>
      <c r="I21" s="49"/>
      <c r="J21" s="49"/>
      <c r="K21" s="52">
        <v>12.0</v>
      </c>
      <c r="L21" s="52">
        <v>69.89</v>
      </c>
      <c r="M21" s="49"/>
      <c r="N21" s="52">
        <f t="shared" si="6"/>
        <v>130.89</v>
      </c>
      <c r="O21" s="48"/>
      <c r="P21" s="48"/>
      <c r="Q21" s="48"/>
      <c r="R21" s="48"/>
      <c r="S21" s="48"/>
      <c r="T21" s="48"/>
      <c r="U21" s="48"/>
      <c r="V21" s="48"/>
      <c r="W21" s="48"/>
      <c r="X21" s="48"/>
      <c r="Y21" s="48"/>
      <c r="Z21" s="48"/>
    </row>
    <row r="22" ht="15.75" customHeight="1" outlineLevel="1">
      <c r="A22" s="53" t="s">
        <v>158</v>
      </c>
      <c r="B22" s="54">
        <f t="shared" ref="B22:M22" si="7">B19+B20+B21</f>
        <v>525.39</v>
      </c>
      <c r="C22" s="54">
        <f t="shared" si="7"/>
        <v>113.68</v>
      </c>
      <c r="D22" s="54">
        <f t="shared" si="7"/>
        <v>702.51</v>
      </c>
      <c r="E22" s="54">
        <f t="shared" si="7"/>
        <v>447.23</v>
      </c>
      <c r="F22" s="54">
        <f t="shared" si="7"/>
        <v>295.17</v>
      </c>
      <c r="G22" s="54">
        <f t="shared" si="7"/>
        <v>112.25</v>
      </c>
      <c r="H22" s="54">
        <f t="shared" si="7"/>
        <v>528.96</v>
      </c>
      <c r="I22" s="54">
        <f t="shared" si="7"/>
        <v>319.95</v>
      </c>
      <c r="J22" s="54">
        <f t="shared" si="7"/>
        <v>378.47</v>
      </c>
      <c r="K22" s="54">
        <f t="shared" si="7"/>
        <v>267.43</v>
      </c>
      <c r="L22" s="54">
        <f t="shared" si="7"/>
        <v>421.98</v>
      </c>
      <c r="M22" s="54">
        <f t="shared" si="7"/>
        <v>245.42</v>
      </c>
      <c r="N22" s="55">
        <f t="shared" si="6"/>
        <v>4358.44</v>
      </c>
      <c r="O22" s="48"/>
      <c r="P22" s="48"/>
      <c r="Q22" s="48"/>
      <c r="R22" s="48"/>
      <c r="S22" s="48"/>
      <c r="T22" s="48"/>
      <c r="U22" s="48"/>
      <c r="V22" s="48"/>
      <c r="W22" s="48"/>
      <c r="X22" s="48"/>
      <c r="Y22" s="48"/>
      <c r="Z22" s="48"/>
    </row>
    <row r="23" ht="15.75" customHeight="1" outlineLevel="1">
      <c r="A23" s="51" t="s">
        <v>159</v>
      </c>
      <c r="B23" s="52">
        <v>597.22</v>
      </c>
      <c r="C23" s="52">
        <v>25.0</v>
      </c>
      <c r="D23" s="52">
        <v>48.33</v>
      </c>
      <c r="E23" s="52">
        <v>10.5</v>
      </c>
      <c r="F23" s="52">
        <v>5.5</v>
      </c>
      <c r="G23" s="52">
        <v>140.26</v>
      </c>
      <c r="H23" s="52">
        <v>5.0</v>
      </c>
      <c r="I23" s="52">
        <v>12.59</v>
      </c>
      <c r="J23" s="52">
        <v>3.0</v>
      </c>
      <c r="K23" s="52">
        <v>8.5</v>
      </c>
      <c r="L23" s="52">
        <v>11.5</v>
      </c>
      <c r="M23" s="52">
        <v>69.43</v>
      </c>
      <c r="N23" s="52">
        <f t="shared" si="6"/>
        <v>936.83</v>
      </c>
      <c r="O23" s="48"/>
      <c r="P23" s="48"/>
      <c r="Q23" s="48"/>
      <c r="R23" s="48"/>
      <c r="S23" s="48"/>
      <c r="T23" s="48"/>
      <c r="U23" s="48"/>
      <c r="V23" s="48"/>
      <c r="W23" s="48"/>
      <c r="X23" s="48"/>
      <c r="Y23" s="48"/>
      <c r="Z23" s="48"/>
    </row>
    <row r="24" ht="15.75" customHeight="1" outlineLevel="1">
      <c r="A24" s="51" t="s">
        <v>160</v>
      </c>
      <c r="B24" s="52">
        <v>1047.15</v>
      </c>
      <c r="C24" s="52">
        <v>1047.15</v>
      </c>
      <c r="D24" s="52">
        <v>1047.15</v>
      </c>
      <c r="E24" s="52">
        <v>31.5</v>
      </c>
      <c r="F24" s="52">
        <v>31.5</v>
      </c>
      <c r="G24" s="52">
        <v>31.5</v>
      </c>
      <c r="H24" s="52">
        <v>31.5</v>
      </c>
      <c r="I24" s="52">
        <v>31.5</v>
      </c>
      <c r="J24" s="52">
        <v>31.5</v>
      </c>
      <c r="K24" s="52">
        <v>31.5</v>
      </c>
      <c r="L24" s="52">
        <v>31.5</v>
      </c>
      <c r="M24" s="52">
        <v>31.5</v>
      </c>
      <c r="N24" s="52">
        <f t="shared" si="6"/>
        <v>3424.95</v>
      </c>
      <c r="O24" s="48"/>
      <c r="P24" s="48"/>
      <c r="Q24" s="48"/>
      <c r="R24" s="48"/>
      <c r="S24" s="48"/>
      <c r="T24" s="48"/>
      <c r="U24" s="48"/>
      <c r="V24" s="48"/>
      <c r="W24" s="48"/>
      <c r="X24" s="48"/>
      <c r="Y24" s="48"/>
      <c r="Z24" s="48"/>
    </row>
    <row r="25" ht="15.75" customHeight="1" outlineLevel="1">
      <c r="A25" s="51" t="s">
        <v>161</v>
      </c>
      <c r="B25" s="52">
        <v>267.58</v>
      </c>
      <c r="C25" s="52">
        <v>239.57</v>
      </c>
      <c r="D25" s="52">
        <v>188.91</v>
      </c>
      <c r="E25" s="52">
        <v>121.6</v>
      </c>
      <c r="F25" s="52">
        <v>299.43</v>
      </c>
      <c r="G25" s="52">
        <v>266.44</v>
      </c>
      <c r="H25" s="52">
        <v>207.92</v>
      </c>
      <c r="I25" s="52">
        <v>207.3</v>
      </c>
      <c r="J25" s="52">
        <v>201.16</v>
      </c>
      <c r="K25" s="52">
        <v>506.11</v>
      </c>
      <c r="L25" s="52">
        <v>290.82</v>
      </c>
      <c r="M25" s="52">
        <v>254.35</v>
      </c>
      <c r="N25" s="52">
        <f t="shared" si="6"/>
        <v>3051.19</v>
      </c>
      <c r="O25" s="48"/>
      <c r="P25" s="48"/>
      <c r="Q25" s="48"/>
      <c r="R25" s="48"/>
      <c r="S25" s="48"/>
      <c r="T25" s="48"/>
      <c r="U25" s="48"/>
      <c r="V25" s="48"/>
      <c r="W25" s="48"/>
      <c r="X25" s="48"/>
      <c r="Y25" s="48"/>
      <c r="Z25" s="48"/>
    </row>
    <row r="26" ht="15.75" customHeight="1" outlineLevel="1">
      <c r="A26" s="51" t="s">
        <v>162</v>
      </c>
      <c r="B26" s="52">
        <v>289.45</v>
      </c>
      <c r="C26" s="52">
        <v>289.45</v>
      </c>
      <c r="D26" s="52">
        <v>289.45</v>
      </c>
      <c r="E26" s="52">
        <v>289.45</v>
      </c>
      <c r="F26" s="49"/>
      <c r="G26" s="52">
        <v>751.93</v>
      </c>
      <c r="H26" s="52">
        <v>190.3</v>
      </c>
      <c r="I26" s="52">
        <v>211.1</v>
      </c>
      <c r="J26" s="52">
        <v>195.9</v>
      </c>
      <c r="K26" s="52">
        <v>195.9</v>
      </c>
      <c r="L26" s="49"/>
      <c r="M26" s="52">
        <v>212.21</v>
      </c>
      <c r="N26" s="52">
        <f t="shared" si="6"/>
        <v>2915.14</v>
      </c>
      <c r="O26" s="48"/>
      <c r="P26" s="48"/>
      <c r="Q26" s="48"/>
      <c r="R26" s="48"/>
      <c r="S26" s="48"/>
      <c r="T26" s="48"/>
      <c r="U26" s="48"/>
      <c r="V26" s="48"/>
      <c r="W26" s="48"/>
      <c r="X26" s="48"/>
      <c r="Y26" s="48"/>
      <c r="Z26" s="48"/>
    </row>
    <row r="27" ht="15.75" customHeight="1" outlineLevel="1">
      <c r="A27" s="51" t="s">
        <v>163</v>
      </c>
      <c r="B27" s="49"/>
      <c r="C27" s="49"/>
      <c r="D27" s="49"/>
      <c r="E27" s="49"/>
      <c r="F27" s="49"/>
      <c r="G27" s="52">
        <v>-27423.93</v>
      </c>
      <c r="H27" s="49"/>
      <c r="I27" s="49"/>
      <c r="J27" s="49"/>
      <c r="K27" s="49"/>
      <c r="L27" s="49"/>
      <c r="M27" s="49"/>
      <c r="N27" s="52">
        <f t="shared" si="6"/>
        <v>-27423.93</v>
      </c>
      <c r="O27" s="48"/>
      <c r="P27" s="48"/>
      <c r="Q27" s="48"/>
      <c r="R27" s="48"/>
      <c r="S27" s="48"/>
      <c r="T27" s="48"/>
      <c r="U27" s="48"/>
      <c r="V27" s="48"/>
      <c r="W27" s="48"/>
      <c r="X27" s="48"/>
      <c r="Y27" s="48"/>
      <c r="Z27" s="48"/>
    </row>
    <row r="28" ht="15.75" customHeight="1" outlineLevel="1">
      <c r="A28" s="51" t="s">
        <v>164</v>
      </c>
      <c r="B28" s="49"/>
      <c r="C28" s="49"/>
      <c r="D28" s="49"/>
      <c r="E28" s="49"/>
      <c r="F28" s="49"/>
      <c r="G28" s="49"/>
      <c r="H28" s="52">
        <v>168.96</v>
      </c>
      <c r="I28" s="52">
        <v>410.0</v>
      </c>
      <c r="J28" s="52">
        <v>322.6</v>
      </c>
      <c r="K28" s="49"/>
      <c r="L28" s="52">
        <v>203.39</v>
      </c>
      <c r="M28" s="52">
        <v>1602.73</v>
      </c>
      <c r="N28" s="52">
        <f t="shared" si="6"/>
        <v>2707.68</v>
      </c>
      <c r="O28" s="48"/>
      <c r="P28" s="48"/>
      <c r="Q28" s="48"/>
      <c r="R28" s="48"/>
      <c r="S28" s="48"/>
      <c r="T28" s="48"/>
      <c r="U28" s="48"/>
      <c r="V28" s="48"/>
      <c r="W28" s="48"/>
      <c r="X28" s="48"/>
      <c r="Y28" s="48"/>
      <c r="Z28" s="48"/>
    </row>
    <row r="29" ht="15.75" customHeight="1" outlineLevel="1">
      <c r="A29" s="51" t="s">
        <v>165</v>
      </c>
      <c r="B29" s="52">
        <v>1771.68</v>
      </c>
      <c r="C29" s="52">
        <v>492.77</v>
      </c>
      <c r="D29" s="52">
        <v>991.72</v>
      </c>
      <c r="E29" s="52">
        <v>905.42</v>
      </c>
      <c r="F29" s="52">
        <v>1701.01</v>
      </c>
      <c r="G29" s="52">
        <v>272.73</v>
      </c>
      <c r="H29" s="52">
        <v>1331.02</v>
      </c>
      <c r="I29" s="52">
        <v>1118.22</v>
      </c>
      <c r="J29" s="52">
        <v>978.5</v>
      </c>
      <c r="K29" s="52">
        <v>1180.99</v>
      </c>
      <c r="L29" s="52">
        <v>3051.54</v>
      </c>
      <c r="M29" s="52">
        <v>1505.61</v>
      </c>
      <c r="N29" s="52">
        <f t="shared" si="6"/>
        <v>15301.21</v>
      </c>
      <c r="O29" s="48"/>
      <c r="P29" s="48"/>
      <c r="Q29" s="48"/>
      <c r="R29" s="48"/>
      <c r="S29" s="48"/>
      <c r="T29" s="48"/>
      <c r="U29" s="48"/>
      <c r="V29" s="48"/>
      <c r="W29" s="48"/>
      <c r="X29" s="48"/>
      <c r="Y29" s="48"/>
      <c r="Z29" s="48"/>
    </row>
    <row r="30" ht="15.75" customHeight="1" outlineLevel="1">
      <c r="A30" s="51" t="s">
        <v>166</v>
      </c>
      <c r="B30" s="52">
        <v>315.26</v>
      </c>
      <c r="C30" s="52">
        <v>76.25</v>
      </c>
      <c r="D30" s="52">
        <v>129.66</v>
      </c>
      <c r="E30" s="52">
        <v>52.99</v>
      </c>
      <c r="F30" s="52">
        <v>670.7</v>
      </c>
      <c r="G30" s="52">
        <v>576.54</v>
      </c>
      <c r="H30" s="52">
        <v>128.66</v>
      </c>
      <c r="I30" s="52">
        <v>109.83</v>
      </c>
      <c r="J30" s="52">
        <v>153.08</v>
      </c>
      <c r="K30" s="52">
        <v>172.36</v>
      </c>
      <c r="L30" s="52">
        <v>447.91</v>
      </c>
      <c r="M30" s="52">
        <v>362.85</v>
      </c>
      <c r="N30" s="52">
        <f t="shared" si="6"/>
        <v>3196.09</v>
      </c>
      <c r="O30" s="48"/>
      <c r="P30" s="48"/>
      <c r="Q30" s="48"/>
      <c r="R30" s="48"/>
      <c r="S30" s="48"/>
      <c r="T30" s="48"/>
      <c r="U30" s="48"/>
      <c r="V30" s="48"/>
      <c r="W30" s="48"/>
      <c r="X30" s="48"/>
      <c r="Y30" s="48"/>
      <c r="Z30" s="48"/>
    </row>
    <row r="31" ht="15.75" customHeight="1" outlineLevel="1">
      <c r="A31" s="51" t="s">
        <v>167</v>
      </c>
      <c r="B31" s="52">
        <v>580.51</v>
      </c>
      <c r="C31" s="52">
        <v>497.06</v>
      </c>
      <c r="D31" s="52">
        <v>567.17</v>
      </c>
      <c r="E31" s="52">
        <v>1530.02</v>
      </c>
      <c r="F31" s="52">
        <v>1921.19</v>
      </c>
      <c r="G31" s="52">
        <v>1737.28</v>
      </c>
      <c r="H31" s="52">
        <v>1734.04</v>
      </c>
      <c r="I31" s="52">
        <v>1235.65</v>
      </c>
      <c r="J31" s="52">
        <v>1377.13</v>
      </c>
      <c r="K31" s="52">
        <v>1635.07</v>
      </c>
      <c r="L31" s="52">
        <v>1272.28</v>
      </c>
      <c r="M31" s="52">
        <v>1117.23</v>
      </c>
      <c r="N31" s="52">
        <f t="shared" si="6"/>
        <v>15204.63</v>
      </c>
      <c r="O31" s="48"/>
      <c r="P31" s="48"/>
      <c r="Q31" s="48"/>
      <c r="R31" s="48"/>
      <c r="S31" s="48"/>
      <c r="T31" s="48"/>
      <c r="U31" s="48"/>
      <c r="V31" s="48"/>
      <c r="W31" s="48"/>
      <c r="X31" s="48"/>
      <c r="Y31" s="48"/>
      <c r="Z31" s="48"/>
    </row>
    <row r="32" ht="15.75" customHeight="1" outlineLevel="1">
      <c r="A32" s="51" t="s">
        <v>168</v>
      </c>
      <c r="B32" s="52">
        <v>100.0</v>
      </c>
      <c r="C32" s="52">
        <v>100.0</v>
      </c>
      <c r="D32" s="52">
        <v>217.58</v>
      </c>
      <c r="E32" s="52">
        <v>74.6</v>
      </c>
      <c r="F32" s="52">
        <v>295.8</v>
      </c>
      <c r="G32" s="49"/>
      <c r="H32" s="52">
        <v>322.24</v>
      </c>
      <c r="I32" s="52">
        <v>33.87</v>
      </c>
      <c r="J32" s="52">
        <v>71.48</v>
      </c>
      <c r="K32" s="52">
        <v>1273.99</v>
      </c>
      <c r="L32" s="52">
        <v>38.39</v>
      </c>
      <c r="M32" s="52">
        <v>42.18</v>
      </c>
      <c r="N32" s="52">
        <f t="shared" si="6"/>
        <v>2570.13</v>
      </c>
      <c r="O32" s="48"/>
      <c r="P32" s="48"/>
      <c r="Q32" s="48"/>
      <c r="R32" s="48"/>
      <c r="S32" s="48"/>
      <c r="T32" s="48"/>
      <c r="U32" s="48"/>
      <c r="V32" s="48"/>
      <c r="W32" s="48"/>
      <c r="X32" s="48"/>
      <c r="Y32" s="48"/>
      <c r="Z32" s="48"/>
    </row>
    <row r="33" ht="15.75" customHeight="1" outlineLevel="1">
      <c r="A33" s="51" t="s">
        <v>169</v>
      </c>
      <c r="B33" s="52">
        <v>1927.76</v>
      </c>
      <c r="C33" s="52">
        <v>862.69</v>
      </c>
      <c r="D33" s="52">
        <v>1223.66</v>
      </c>
      <c r="E33" s="52">
        <v>1444.2</v>
      </c>
      <c r="F33" s="52">
        <v>2878.46</v>
      </c>
      <c r="G33" s="52">
        <v>1415.34</v>
      </c>
      <c r="H33" s="52">
        <v>2803.85</v>
      </c>
      <c r="I33" s="52">
        <v>2429.02</v>
      </c>
      <c r="J33" s="52">
        <v>2922.94</v>
      </c>
      <c r="K33" s="52">
        <v>3447.64</v>
      </c>
      <c r="L33" s="52">
        <v>3161.42</v>
      </c>
      <c r="M33" s="52">
        <v>4844.87</v>
      </c>
      <c r="N33" s="52">
        <f t="shared" si="6"/>
        <v>29361.85</v>
      </c>
      <c r="O33" s="48"/>
      <c r="P33" s="48"/>
      <c r="Q33" s="48"/>
      <c r="R33" s="48"/>
      <c r="S33" s="48"/>
      <c r="T33" s="48"/>
      <c r="U33" s="48"/>
      <c r="V33" s="48"/>
      <c r="W33" s="48"/>
      <c r="X33" s="48"/>
      <c r="Y33" s="48"/>
      <c r="Z33" s="48"/>
    </row>
    <row r="34" ht="15.75" customHeight="1" outlineLevel="1">
      <c r="A34" s="51" t="s">
        <v>170</v>
      </c>
      <c r="B34" s="52">
        <v>150.42</v>
      </c>
      <c r="C34" s="49"/>
      <c r="D34" s="49"/>
      <c r="E34" s="52">
        <v>27.0</v>
      </c>
      <c r="F34" s="52">
        <v>123.46</v>
      </c>
      <c r="G34" s="52">
        <v>568.55</v>
      </c>
      <c r="H34" s="49"/>
      <c r="I34" s="49"/>
      <c r="J34" s="49"/>
      <c r="K34" s="49"/>
      <c r="L34" s="52">
        <v>612.18</v>
      </c>
      <c r="M34" s="52">
        <v>35.33</v>
      </c>
      <c r="N34" s="52">
        <f t="shared" si="6"/>
        <v>1516.94</v>
      </c>
      <c r="O34" s="48"/>
      <c r="P34" s="48"/>
      <c r="Q34" s="48"/>
      <c r="R34" s="48"/>
      <c r="S34" s="48"/>
      <c r="T34" s="48"/>
      <c r="U34" s="48"/>
      <c r="V34" s="48"/>
      <c r="W34" s="48"/>
      <c r="X34" s="48"/>
      <c r="Y34" s="48"/>
      <c r="Z34" s="48"/>
    </row>
    <row r="35" ht="15.75" customHeight="1" outlineLevel="1">
      <c r="A35" s="51" t="s">
        <v>171</v>
      </c>
      <c r="B35" s="52">
        <v>6149.92</v>
      </c>
      <c r="C35" s="52">
        <v>3667.4</v>
      </c>
      <c r="D35" s="52">
        <v>10485.47</v>
      </c>
      <c r="E35" s="52">
        <v>6325.84</v>
      </c>
      <c r="F35" s="52">
        <v>2658.38</v>
      </c>
      <c r="G35" s="52">
        <v>5163.31</v>
      </c>
      <c r="H35" s="52">
        <v>7868.78</v>
      </c>
      <c r="I35" s="52">
        <v>6908.67</v>
      </c>
      <c r="J35" s="52">
        <v>7011.66</v>
      </c>
      <c r="K35" s="52">
        <v>5530.32</v>
      </c>
      <c r="L35" s="52">
        <v>4736.19</v>
      </c>
      <c r="M35" s="52">
        <v>4406.58</v>
      </c>
      <c r="N35" s="52">
        <f t="shared" si="6"/>
        <v>70912.52</v>
      </c>
      <c r="O35" s="48"/>
      <c r="P35" s="48"/>
      <c r="Q35" s="48"/>
      <c r="R35" s="48"/>
      <c r="S35" s="48"/>
      <c r="T35" s="48"/>
      <c r="U35" s="48"/>
      <c r="V35" s="48"/>
      <c r="W35" s="48"/>
      <c r="X35" s="48"/>
      <c r="Y35" s="48"/>
      <c r="Z35" s="48"/>
    </row>
    <row r="36" ht="15.75" customHeight="1" outlineLevel="1">
      <c r="A36" s="51" t="s">
        <v>172</v>
      </c>
      <c r="B36" s="52">
        <v>1000.0</v>
      </c>
      <c r="C36" s="49"/>
      <c r="D36" s="49"/>
      <c r="E36" s="49"/>
      <c r="F36" s="49"/>
      <c r="G36" s="49"/>
      <c r="H36" s="49"/>
      <c r="I36" s="52">
        <v>100.0</v>
      </c>
      <c r="J36" s="49"/>
      <c r="K36" s="49"/>
      <c r="L36" s="52">
        <v>100.0</v>
      </c>
      <c r="M36" s="49"/>
      <c r="N36" s="52">
        <f t="shared" si="6"/>
        <v>1200</v>
      </c>
      <c r="O36" s="48"/>
      <c r="P36" s="48"/>
      <c r="Q36" s="48"/>
      <c r="R36" s="48"/>
      <c r="S36" s="48"/>
      <c r="T36" s="48"/>
      <c r="U36" s="48"/>
      <c r="V36" s="48"/>
      <c r="W36" s="48"/>
      <c r="X36" s="48"/>
      <c r="Y36" s="48"/>
      <c r="Z36" s="48"/>
    </row>
    <row r="37" ht="15.75" customHeight="1" outlineLevel="1">
      <c r="A37" s="51" t="s">
        <v>173</v>
      </c>
      <c r="B37" s="49"/>
      <c r="C37" s="49"/>
      <c r="D37" s="49"/>
      <c r="E37" s="52">
        <v>261.46</v>
      </c>
      <c r="F37" s="49"/>
      <c r="G37" s="49"/>
      <c r="H37" s="49"/>
      <c r="I37" s="52">
        <v>275.92</v>
      </c>
      <c r="J37" s="49"/>
      <c r="K37" s="49"/>
      <c r="L37" s="49"/>
      <c r="M37" s="49"/>
      <c r="N37" s="52">
        <f t="shared" si="6"/>
        <v>537.38</v>
      </c>
      <c r="O37" s="48"/>
      <c r="P37" s="48"/>
      <c r="Q37" s="48"/>
      <c r="R37" s="48"/>
      <c r="S37" s="48"/>
      <c r="T37" s="48"/>
      <c r="U37" s="48"/>
      <c r="V37" s="48"/>
      <c r="W37" s="48"/>
      <c r="X37" s="48"/>
      <c r="Y37" s="48"/>
      <c r="Z37" s="48"/>
    </row>
    <row r="38" ht="15.75" customHeight="1" outlineLevel="1">
      <c r="A38" s="51" t="s">
        <v>174</v>
      </c>
      <c r="B38" s="52">
        <v>1150.0</v>
      </c>
      <c r="C38" s="52">
        <v>1150.0</v>
      </c>
      <c r="D38" s="52">
        <v>1150.0</v>
      </c>
      <c r="E38" s="52">
        <v>1150.0</v>
      </c>
      <c r="F38" s="52">
        <v>1150.0</v>
      </c>
      <c r="G38" s="52">
        <v>1250.0</v>
      </c>
      <c r="H38" s="52">
        <v>1150.0</v>
      </c>
      <c r="I38" s="52">
        <v>1150.0</v>
      </c>
      <c r="J38" s="52">
        <v>1150.0</v>
      </c>
      <c r="K38" s="52">
        <v>1150.0</v>
      </c>
      <c r="L38" s="52">
        <v>1150.0</v>
      </c>
      <c r="M38" s="52">
        <v>1150.0</v>
      </c>
      <c r="N38" s="52">
        <f t="shared" si="6"/>
        <v>13900</v>
      </c>
      <c r="O38" s="48"/>
      <c r="P38" s="48"/>
      <c r="Q38" s="48"/>
      <c r="R38" s="48"/>
      <c r="S38" s="48"/>
      <c r="T38" s="48"/>
      <c r="U38" s="48"/>
      <c r="V38" s="48"/>
      <c r="W38" s="48"/>
      <c r="X38" s="48"/>
      <c r="Y38" s="48"/>
      <c r="Z38" s="48"/>
    </row>
    <row r="39" ht="15.75" customHeight="1" outlineLevel="1">
      <c r="A39" s="51" t="s">
        <v>175</v>
      </c>
      <c r="B39" s="52">
        <v>1598.84</v>
      </c>
      <c r="C39" s="52">
        <v>264.72</v>
      </c>
      <c r="D39" s="52">
        <v>2564.48</v>
      </c>
      <c r="E39" s="52">
        <v>846.81</v>
      </c>
      <c r="F39" s="52">
        <v>970.06</v>
      </c>
      <c r="G39" s="52">
        <v>608.78</v>
      </c>
      <c r="H39" s="52">
        <v>1903.07</v>
      </c>
      <c r="I39" s="52">
        <v>2827.87</v>
      </c>
      <c r="J39" s="52">
        <v>402.41</v>
      </c>
      <c r="K39" s="52">
        <v>556.97</v>
      </c>
      <c r="L39" s="52">
        <v>3140.57</v>
      </c>
      <c r="M39" s="52">
        <v>1371.96</v>
      </c>
      <c r="N39" s="52">
        <f t="shared" si="6"/>
        <v>17056.54</v>
      </c>
      <c r="O39" s="48"/>
      <c r="P39" s="48"/>
      <c r="Q39" s="48"/>
      <c r="R39" s="48"/>
      <c r="S39" s="48"/>
      <c r="T39" s="48"/>
      <c r="U39" s="48"/>
      <c r="V39" s="48"/>
      <c r="W39" s="48"/>
      <c r="X39" s="48"/>
      <c r="Y39" s="48"/>
      <c r="Z39" s="48"/>
    </row>
    <row r="40" ht="15.75" customHeight="1" outlineLevel="1">
      <c r="A40" s="51" t="s">
        <v>176</v>
      </c>
      <c r="B40" s="52">
        <v>16.24</v>
      </c>
      <c r="C40" s="52">
        <v>55.45</v>
      </c>
      <c r="D40" s="52">
        <v>407.41</v>
      </c>
      <c r="E40" s="52">
        <v>321.31</v>
      </c>
      <c r="F40" s="52">
        <v>716.12</v>
      </c>
      <c r="G40" s="52">
        <v>691.21</v>
      </c>
      <c r="H40" s="52">
        <v>457.76</v>
      </c>
      <c r="I40" s="52">
        <v>16.24</v>
      </c>
      <c r="J40" s="52">
        <v>563.06</v>
      </c>
      <c r="K40" s="52">
        <v>852.62</v>
      </c>
      <c r="L40" s="52">
        <v>856.85</v>
      </c>
      <c r="M40" s="52">
        <v>1081.71</v>
      </c>
      <c r="N40" s="52">
        <f t="shared" si="6"/>
        <v>6035.98</v>
      </c>
      <c r="O40" s="48"/>
      <c r="P40" s="48"/>
      <c r="Q40" s="48"/>
      <c r="R40" s="48"/>
      <c r="S40" s="48"/>
      <c r="T40" s="48"/>
      <c r="U40" s="48"/>
      <c r="V40" s="48"/>
      <c r="W40" s="48"/>
      <c r="X40" s="48"/>
      <c r="Y40" s="48"/>
      <c r="Z40" s="48"/>
    </row>
    <row r="41" ht="15.75" customHeight="1">
      <c r="A41" s="53" t="s">
        <v>177</v>
      </c>
      <c r="B41" s="54">
        <f t="shared" ref="B41:M41" si="8">B18+B22+B23+B24+B25+B26+B27+B28+B29+B30+B31+B32+B33+B34+B35+B36+B37+B38+B39+B40</f>
        <v>28016.09</v>
      </c>
      <c r="C41" s="54">
        <f t="shared" si="8"/>
        <v>17280.64</v>
      </c>
      <c r="D41" s="54">
        <f t="shared" si="8"/>
        <v>30503.49</v>
      </c>
      <c r="E41" s="54">
        <f t="shared" si="8"/>
        <v>23357.47</v>
      </c>
      <c r="F41" s="54">
        <f t="shared" si="8"/>
        <v>26012.22</v>
      </c>
      <c r="G41" s="54">
        <f t="shared" si="8"/>
        <v>-3365.99</v>
      </c>
      <c r="H41" s="54">
        <f t="shared" si="8"/>
        <v>29873.57</v>
      </c>
      <c r="I41" s="54">
        <f t="shared" si="8"/>
        <v>25798.19</v>
      </c>
      <c r="J41" s="54">
        <f t="shared" si="8"/>
        <v>23409.27</v>
      </c>
      <c r="K41" s="54">
        <f t="shared" si="8"/>
        <v>25631.52</v>
      </c>
      <c r="L41" s="54">
        <f t="shared" si="8"/>
        <v>27712.51</v>
      </c>
      <c r="M41" s="54">
        <f t="shared" si="8"/>
        <v>25009.35</v>
      </c>
      <c r="N41" s="55">
        <f t="shared" si="6"/>
        <v>279238.33</v>
      </c>
      <c r="O41" s="48"/>
      <c r="P41" s="48"/>
      <c r="Q41" s="48"/>
      <c r="R41" s="48"/>
      <c r="S41" s="48"/>
      <c r="T41" s="48"/>
      <c r="U41" s="48"/>
      <c r="V41" s="48"/>
      <c r="W41" s="48"/>
      <c r="X41" s="48"/>
      <c r="Y41" s="48"/>
      <c r="Z41" s="48"/>
    </row>
    <row r="42" ht="15.75" customHeight="1">
      <c r="A42" s="53" t="s">
        <v>178</v>
      </c>
      <c r="B42" s="54">
        <f t="shared" ref="B42:M42" si="9">B16-B41</f>
        <v>-6736.46</v>
      </c>
      <c r="C42" s="54">
        <f t="shared" si="9"/>
        <v>9508.27</v>
      </c>
      <c r="D42" s="54">
        <f t="shared" si="9"/>
        <v>-7727.35</v>
      </c>
      <c r="E42" s="54">
        <f t="shared" si="9"/>
        <v>-369.61</v>
      </c>
      <c r="F42" s="54">
        <f t="shared" si="9"/>
        <v>-15854.48</v>
      </c>
      <c r="G42" s="54">
        <f t="shared" si="9"/>
        <v>19808.18</v>
      </c>
      <c r="H42" s="54">
        <f t="shared" si="9"/>
        <v>-18658.55</v>
      </c>
      <c r="I42" s="54">
        <f t="shared" si="9"/>
        <v>-1438.54</v>
      </c>
      <c r="J42" s="54">
        <f t="shared" si="9"/>
        <v>-9137.64</v>
      </c>
      <c r="K42" s="54">
        <f t="shared" si="9"/>
        <v>-11885.74</v>
      </c>
      <c r="L42" s="54">
        <f t="shared" si="9"/>
        <v>-9630.41</v>
      </c>
      <c r="M42" s="54">
        <f t="shared" si="9"/>
        <v>-17676.68</v>
      </c>
      <c r="N42" s="55">
        <f t="shared" si="6"/>
        <v>-69799.01</v>
      </c>
      <c r="O42" s="48"/>
      <c r="P42" s="48"/>
      <c r="Q42" s="48"/>
      <c r="R42" s="48"/>
      <c r="S42" s="48"/>
      <c r="T42" s="48"/>
      <c r="U42" s="48"/>
      <c r="V42" s="48"/>
      <c r="W42" s="48"/>
      <c r="X42" s="48"/>
      <c r="Y42" s="48"/>
      <c r="Z42" s="48"/>
    </row>
    <row r="43" ht="15.75" customHeight="1">
      <c r="A43" s="53" t="s">
        <v>179</v>
      </c>
      <c r="B43" s="56"/>
      <c r="C43" s="56"/>
      <c r="D43" s="56"/>
      <c r="E43" s="56"/>
      <c r="F43" s="56"/>
      <c r="G43" s="56"/>
      <c r="H43" s="56"/>
      <c r="I43" s="56"/>
      <c r="J43" s="56"/>
      <c r="K43" s="56"/>
      <c r="L43" s="56"/>
      <c r="M43" s="56"/>
      <c r="N43" s="56"/>
      <c r="O43" s="48"/>
      <c r="P43" s="48"/>
      <c r="Q43" s="48"/>
      <c r="R43" s="48"/>
      <c r="S43" s="48"/>
      <c r="T43" s="48"/>
      <c r="U43" s="48"/>
      <c r="V43" s="48"/>
      <c r="W43" s="48"/>
      <c r="X43" s="48"/>
      <c r="Y43" s="48"/>
      <c r="Z43" s="48"/>
    </row>
    <row r="44" ht="15.75" customHeight="1">
      <c r="A44" s="53" t="s">
        <v>180</v>
      </c>
      <c r="B44" s="54">
        <v>-6736.460000000006</v>
      </c>
      <c r="C44" s="54">
        <v>9508.27</v>
      </c>
      <c r="D44" s="54">
        <v>-7727.349999999991</v>
      </c>
      <c r="E44" s="54">
        <v>-369.60999999999694</v>
      </c>
      <c r="F44" s="54">
        <v>-15854.479999999996</v>
      </c>
      <c r="G44" s="54">
        <v>19808.18</v>
      </c>
      <c r="H44" s="54">
        <v>-18658.550000000007</v>
      </c>
      <c r="I44" s="54">
        <v>-1438.5400000000045</v>
      </c>
      <c r="J44" s="54">
        <v>-9137.640000000007</v>
      </c>
      <c r="K44" s="54">
        <v>-11885.740000000009</v>
      </c>
      <c r="L44" s="54">
        <v>-9630.409999999996</v>
      </c>
      <c r="M44" s="54">
        <v>-17676.679999999993</v>
      </c>
      <c r="N44" s="55">
        <f>B44+C44+D44+E44+F44+G44+H44+I44+J44+K44+L44+M44</f>
        <v>-69799.01</v>
      </c>
      <c r="O44" s="48"/>
      <c r="P44" s="48"/>
      <c r="Q44" s="48"/>
      <c r="R44" s="48"/>
      <c r="S44" s="48"/>
      <c r="T44" s="48"/>
      <c r="U44" s="48"/>
      <c r="V44" s="48"/>
      <c r="W44" s="48"/>
      <c r="X44" s="48"/>
      <c r="Y44" s="48"/>
      <c r="Z44" s="48"/>
    </row>
    <row r="45" ht="15.75" customHeight="1">
      <c r="A45" s="49"/>
      <c r="B45" s="49"/>
      <c r="C45" s="49"/>
      <c r="D45" s="49"/>
      <c r="E45" s="49"/>
      <c r="F45" s="49"/>
      <c r="G45" s="49"/>
      <c r="H45" s="49"/>
      <c r="I45" s="49"/>
      <c r="J45" s="49"/>
      <c r="K45" s="49"/>
      <c r="L45" s="49"/>
      <c r="M45" s="49"/>
      <c r="N45" s="49"/>
      <c r="O45" s="48"/>
      <c r="P45" s="48"/>
      <c r="Q45" s="48"/>
      <c r="R45" s="48"/>
      <c r="S45" s="48"/>
      <c r="T45" s="48"/>
      <c r="U45" s="48"/>
      <c r="V45" s="48"/>
      <c r="W45" s="48"/>
      <c r="X45" s="48"/>
      <c r="Y45" s="48"/>
      <c r="Z45" s="48"/>
    </row>
    <row r="46" ht="15.75" customHeight="1">
      <c r="A46" s="49"/>
      <c r="B46" s="49"/>
      <c r="C46" s="49"/>
      <c r="D46" s="49"/>
      <c r="E46" s="49"/>
      <c r="F46" s="49"/>
      <c r="G46" s="49"/>
      <c r="H46" s="49"/>
      <c r="I46" s="49"/>
      <c r="J46" s="49"/>
      <c r="K46" s="49"/>
      <c r="L46" s="49"/>
      <c r="M46" s="49"/>
      <c r="N46" s="49"/>
      <c r="O46" s="48"/>
      <c r="P46" s="48"/>
      <c r="Q46" s="48"/>
      <c r="R46" s="48"/>
      <c r="S46" s="48"/>
      <c r="T46" s="48"/>
      <c r="U46" s="48"/>
      <c r="V46" s="48"/>
      <c r="W46" s="48"/>
      <c r="X46" s="48"/>
      <c r="Y46" s="48"/>
      <c r="Z46" s="48"/>
    </row>
    <row r="47" ht="15.75" customHeight="1">
      <c r="A47" s="49"/>
      <c r="B47" s="49"/>
      <c r="C47" s="49"/>
      <c r="D47" s="49"/>
      <c r="E47" s="49"/>
      <c r="F47" s="49"/>
      <c r="G47" s="49"/>
      <c r="H47" s="49"/>
      <c r="I47" s="49"/>
      <c r="J47" s="49"/>
      <c r="K47" s="49"/>
      <c r="L47" s="49"/>
      <c r="M47" s="49"/>
      <c r="N47" s="49"/>
      <c r="O47" s="48"/>
      <c r="P47" s="48"/>
      <c r="Q47" s="48"/>
      <c r="R47" s="48"/>
      <c r="S47" s="48"/>
      <c r="T47" s="48"/>
      <c r="U47" s="48"/>
      <c r="V47" s="48"/>
      <c r="W47" s="48"/>
      <c r="X47" s="48"/>
      <c r="Y47" s="48"/>
      <c r="Z47" s="48"/>
    </row>
    <row r="48" ht="15.75" customHeight="1">
      <c r="A48" s="57" t="s">
        <v>181</v>
      </c>
      <c r="O48" s="48"/>
      <c r="P48" s="48"/>
      <c r="Q48" s="48"/>
      <c r="R48" s="48"/>
      <c r="S48" s="48"/>
      <c r="T48" s="48"/>
      <c r="U48" s="48"/>
      <c r="V48" s="48"/>
      <c r="W48" s="48"/>
      <c r="X48" s="48"/>
      <c r="Y48" s="48"/>
      <c r="Z48" s="48"/>
    </row>
    <row r="49" ht="15.75" customHeight="1">
      <c r="A49" s="49"/>
      <c r="B49" s="49"/>
      <c r="C49" s="49"/>
      <c r="D49" s="49"/>
      <c r="E49" s="49"/>
      <c r="F49" s="49"/>
      <c r="G49" s="49"/>
      <c r="H49" s="49"/>
      <c r="I49" s="49"/>
      <c r="J49" s="49"/>
      <c r="K49" s="49"/>
      <c r="L49" s="49"/>
      <c r="M49" s="49"/>
      <c r="N49" s="49"/>
      <c r="O49" s="48"/>
      <c r="P49" s="48"/>
      <c r="Q49" s="48"/>
      <c r="R49" s="48"/>
      <c r="S49" s="48"/>
      <c r="T49" s="48"/>
      <c r="U49" s="48"/>
      <c r="V49" s="48"/>
      <c r="W49" s="48"/>
      <c r="X49" s="48"/>
      <c r="Y49" s="48"/>
      <c r="Z49" s="48"/>
    </row>
    <row r="50" ht="15.75" customHeight="1">
      <c r="A50" s="49"/>
      <c r="B50" s="49"/>
      <c r="C50" s="49"/>
      <c r="D50" s="49"/>
      <c r="E50" s="49"/>
      <c r="F50" s="49"/>
      <c r="G50" s="49"/>
      <c r="H50" s="49"/>
      <c r="I50" s="49"/>
      <c r="J50" s="49"/>
      <c r="K50" s="49"/>
      <c r="L50" s="49"/>
      <c r="M50" s="49"/>
      <c r="N50" s="49"/>
      <c r="O50" s="48"/>
      <c r="P50" s="48"/>
      <c r="Q50" s="48"/>
      <c r="R50" s="48"/>
      <c r="S50" s="48"/>
      <c r="T50" s="48"/>
      <c r="U50" s="48"/>
      <c r="V50" s="48"/>
      <c r="W50" s="48"/>
      <c r="X50" s="48"/>
      <c r="Y50" s="48"/>
      <c r="Z50" s="48"/>
    </row>
    <row r="51" ht="15.75" customHeight="1">
      <c r="A51" s="49"/>
      <c r="B51" s="49"/>
      <c r="C51" s="49"/>
      <c r="D51" s="49"/>
      <c r="E51" s="49"/>
      <c r="F51" s="49"/>
      <c r="G51" s="49"/>
      <c r="H51" s="49"/>
      <c r="I51" s="49"/>
      <c r="J51" s="49"/>
      <c r="K51" s="49"/>
      <c r="L51" s="49"/>
      <c r="M51" s="49"/>
      <c r="N51" s="49"/>
      <c r="O51" s="48"/>
      <c r="P51" s="48"/>
      <c r="Q51" s="48"/>
      <c r="R51" s="48"/>
      <c r="S51" s="48"/>
      <c r="T51" s="48"/>
      <c r="U51" s="48"/>
      <c r="V51" s="48"/>
      <c r="W51" s="48"/>
      <c r="X51" s="48"/>
      <c r="Y51" s="48"/>
      <c r="Z51" s="48"/>
    </row>
    <row r="52" ht="15.75" customHeight="1">
      <c r="A52" s="49"/>
      <c r="B52" s="49"/>
      <c r="C52" s="49"/>
      <c r="D52" s="49"/>
      <c r="E52" s="49"/>
      <c r="F52" s="49"/>
      <c r="G52" s="49"/>
      <c r="H52" s="49"/>
      <c r="I52" s="49"/>
      <c r="J52" s="49"/>
      <c r="K52" s="49"/>
      <c r="L52" s="49"/>
      <c r="M52" s="49"/>
      <c r="N52" s="49"/>
      <c r="O52" s="48"/>
      <c r="P52" s="48"/>
      <c r="Q52" s="48"/>
      <c r="R52" s="48"/>
      <c r="S52" s="48"/>
      <c r="T52" s="48"/>
      <c r="U52" s="48"/>
      <c r="V52" s="48"/>
      <c r="W52" s="48"/>
      <c r="X52" s="48"/>
      <c r="Y52" s="48"/>
      <c r="Z52" s="48"/>
    </row>
    <row r="53" ht="15.75" customHeight="1">
      <c r="A53" s="49"/>
      <c r="B53" s="49"/>
      <c r="C53" s="49"/>
      <c r="D53" s="49"/>
      <c r="E53" s="49"/>
      <c r="F53" s="49"/>
      <c r="G53" s="49"/>
      <c r="H53" s="49"/>
      <c r="I53" s="49"/>
      <c r="J53" s="49"/>
      <c r="K53" s="49"/>
      <c r="L53" s="49"/>
      <c r="M53" s="49"/>
      <c r="N53" s="49"/>
      <c r="O53" s="48"/>
      <c r="P53" s="48"/>
      <c r="Q53" s="48"/>
      <c r="R53" s="48"/>
      <c r="S53" s="48"/>
      <c r="T53" s="48"/>
      <c r="U53" s="48"/>
      <c r="V53" s="48"/>
      <c r="W53" s="48"/>
      <c r="X53" s="48"/>
      <c r="Y53" s="48"/>
      <c r="Z53" s="48"/>
    </row>
    <row r="54" ht="15.75" customHeight="1">
      <c r="A54" s="49"/>
      <c r="B54" s="49"/>
      <c r="C54" s="49"/>
      <c r="D54" s="49"/>
      <c r="E54" s="49"/>
      <c r="F54" s="49"/>
      <c r="G54" s="49"/>
      <c r="H54" s="49"/>
      <c r="I54" s="49"/>
      <c r="J54" s="49"/>
      <c r="K54" s="49"/>
      <c r="L54" s="49"/>
      <c r="M54" s="49"/>
      <c r="N54" s="49"/>
      <c r="O54" s="48"/>
      <c r="P54" s="48"/>
      <c r="Q54" s="48"/>
      <c r="R54" s="48"/>
      <c r="S54" s="48"/>
      <c r="T54" s="48"/>
      <c r="U54" s="48"/>
      <c r="V54" s="48"/>
      <c r="W54" s="48"/>
      <c r="X54" s="48"/>
      <c r="Y54" s="48"/>
      <c r="Z54" s="48"/>
    </row>
    <row r="55" ht="15.75" customHeight="1">
      <c r="A55" s="49"/>
      <c r="B55" s="49"/>
      <c r="C55" s="49"/>
      <c r="D55" s="49"/>
      <c r="E55" s="49"/>
      <c r="F55" s="49"/>
      <c r="G55" s="49"/>
      <c r="H55" s="49"/>
      <c r="I55" s="49"/>
      <c r="J55" s="49"/>
      <c r="K55" s="49"/>
      <c r="L55" s="49"/>
      <c r="M55" s="49"/>
      <c r="N55" s="49"/>
      <c r="O55" s="48"/>
      <c r="P55" s="48"/>
      <c r="Q55" s="48"/>
      <c r="R55" s="48"/>
      <c r="S55" s="48"/>
      <c r="T55" s="48"/>
      <c r="U55" s="48"/>
      <c r="V55" s="48"/>
      <c r="W55" s="48"/>
      <c r="X55" s="48"/>
      <c r="Y55" s="48"/>
      <c r="Z55" s="48"/>
    </row>
    <row r="56" ht="15.75" customHeight="1">
      <c r="A56" s="49"/>
      <c r="B56" s="49"/>
      <c r="C56" s="49"/>
      <c r="D56" s="49"/>
      <c r="E56" s="49"/>
      <c r="F56" s="49"/>
      <c r="G56" s="49"/>
      <c r="H56" s="49"/>
      <c r="I56" s="49"/>
      <c r="J56" s="49"/>
      <c r="K56" s="49"/>
      <c r="L56" s="49"/>
      <c r="M56" s="49"/>
      <c r="N56" s="49"/>
      <c r="O56" s="48"/>
      <c r="P56" s="48"/>
      <c r="Q56" s="48"/>
      <c r="R56" s="48"/>
      <c r="S56" s="48"/>
      <c r="T56" s="48"/>
      <c r="U56" s="48"/>
      <c r="V56" s="48"/>
      <c r="W56" s="48"/>
      <c r="X56" s="48"/>
      <c r="Y56" s="48"/>
      <c r="Z56" s="48"/>
    </row>
    <row r="57" ht="15.75" customHeight="1">
      <c r="A57" s="49"/>
      <c r="B57" s="49"/>
      <c r="C57" s="49"/>
      <c r="D57" s="49"/>
      <c r="E57" s="49"/>
      <c r="F57" s="49"/>
      <c r="G57" s="49"/>
      <c r="H57" s="49"/>
      <c r="I57" s="49"/>
      <c r="J57" s="49"/>
      <c r="K57" s="49"/>
      <c r="L57" s="49"/>
      <c r="M57" s="49"/>
      <c r="N57" s="49"/>
      <c r="O57" s="48"/>
      <c r="P57" s="48"/>
      <c r="Q57" s="48"/>
      <c r="R57" s="48"/>
      <c r="S57" s="48"/>
      <c r="T57" s="48"/>
      <c r="U57" s="48"/>
      <c r="V57" s="48"/>
      <c r="W57" s="48"/>
      <c r="X57" s="48"/>
      <c r="Y57" s="48"/>
      <c r="Z57" s="48"/>
    </row>
    <row r="58" ht="15.75" customHeight="1">
      <c r="A58" s="49"/>
      <c r="B58" s="49"/>
      <c r="C58" s="49"/>
      <c r="D58" s="49"/>
      <c r="E58" s="49"/>
      <c r="F58" s="49"/>
      <c r="G58" s="49"/>
      <c r="H58" s="49"/>
      <c r="I58" s="49"/>
      <c r="J58" s="49"/>
      <c r="K58" s="49"/>
      <c r="L58" s="49"/>
      <c r="M58" s="49"/>
      <c r="N58" s="49"/>
      <c r="O58" s="48"/>
      <c r="P58" s="48"/>
      <c r="Q58" s="48"/>
      <c r="R58" s="48"/>
      <c r="S58" s="48"/>
      <c r="T58" s="48"/>
      <c r="U58" s="48"/>
      <c r="V58" s="48"/>
      <c r="W58" s="48"/>
      <c r="X58" s="48"/>
      <c r="Y58" s="48"/>
      <c r="Z58" s="48"/>
    </row>
    <row r="59" ht="15.75" customHeight="1">
      <c r="A59" s="49"/>
      <c r="B59" s="49"/>
      <c r="C59" s="49"/>
      <c r="D59" s="49"/>
      <c r="E59" s="49"/>
      <c r="F59" s="49"/>
      <c r="G59" s="49"/>
      <c r="H59" s="49"/>
      <c r="I59" s="49"/>
      <c r="J59" s="49"/>
      <c r="K59" s="49"/>
      <c r="L59" s="49"/>
      <c r="M59" s="49"/>
      <c r="N59" s="49"/>
      <c r="O59" s="48"/>
      <c r="P59" s="48"/>
      <c r="Q59" s="48"/>
      <c r="R59" s="48"/>
      <c r="S59" s="48"/>
      <c r="T59" s="48"/>
      <c r="U59" s="48"/>
      <c r="V59" s="48"/>
      <c r="W59" s="48"/>
      <c r="X59" s="48"/>
      <c r="Y59" s="48"/>
      <c r="Z59" s="48"/>
    </row>
    <row r="60" ht="15.75" customHeight="1">
      <c r="A60" s="49"/>
      <c r="B60" s="49"/>
      <c r="C60" s="49"/>
      <c r="D60" s="49"/>
      <c r="E60" s="49"/>
      <c r="F60" s="49"/>
      <c r="G60" s="49"/>
      <c r="H60" s="49"/>
      <c r="I60" s="49"/>
      <c r="J60" s="49"/>
      <c r="K60" s="49"/>
      <c r="L60" s="49"/>
      <c r="M60" s="49"/>
      <c r="N60" s="49"/>
      <c r="O60" s="48"/>
      <c r="P60" s="48"/>
      <c r="Q60" s="48"/>
      <c r="R60" s="48"/>
      <c r="S60" s="48"/>
      <c r="T60" s="48"/>
      <c r="U60" s="48"/>
      <c r="V60" s="48"/>
      <c r="W60" s="48"/>
      <c r="X60" s="48"/>
      <c r="Y60" s="48"/>
      <c r="Z60" s="48"/>
    </row>
    <row r="61" ht="15.75" customHeight="1">
      <c r="A61" s="49"/>
      <c r="B61" s="49"/>
      <c r="C61" s="49"/>
      <c r="D61" s="49"/>
      <c r="E61" s="49"/>
      <c r="F61" s="49"/>
      <c r="G61" s="49"/>
      <c r="H61" s="49"/>
      <c r="I61" s="49"/>
      <c r="J61" s="49"/>
      <c r="K61" s="49"/>
      <c r="L61" s="49"/>
      <c r="M61" s="49"/>
      <c r="N61" s="49"/>
      <c r="O61" s="48"/>
      <c r="P61" s="48"/>
      <c r="Q61" s="48"/>
      <c r="R61" s="48"/>
      <c r="S61" s="48"/>
      <c r="T61" s="48"/>
      <c r="U61" s="48"/>
      <c r="V61" s="48"/>
      <c r="W61" s="48"/>
      <c r="X61" s="48"/>
      <c r="Y61" s="48"/>
      <c r="Z61" s="48"/>
    </row>
    <row r="62" ht="15.75" customHeight="1">
      <c r="A62" s="49"/>
      <c r="B62" s="49"/>
      <c r="C62" s="49"/>
      <c r="D62" s="49"/>
      <c r="E62" s="49"/>
      <c r="F62" s="49"/>
      <c r="G62" s="49"/>
      <c r="H62" s="49"/>
      <c r="I62" s="49"/>
      <c r="J62" s="49"/>
      <c r="K62" s="49"/>
      <c r="L62" s="49"/>
      <c r="M62" s="49"/>
      <c r="N62" s="49"/>
      <c r="O62" s="48"/>
      <c r="P62" s="48"/>
      <c r="Q62" s="48"/>
      <c r="R62" s="48"/>
      <c r="S62" s="48"/>
      <c r="T62" s="48"/>
      <c r="U62" s="48"/>
      <c r="V62" s="48"/>
      <c r="W62" s="48"/>
      <c r="X62" s="48"/>
      <c r="Y62" s="48"/>
      <c r="Z62" s="48"/>
    </row>
    <row r="63" ht="15.75" customHeight="1">
      <c r="A63" s="49"/>
      <c r="B63" s="49"/>
      <c r="C63" s="49"/>
      <c r="D63" s="49"/>
      <c r="E63" s="49"/>
      <c r="F63" s="49"/>
      <c r="G63" s="49"/>
      <c r="H63" s="49"/>
      <c r="I63" s="49"/>
      <c r="J63" s="49"/>
      <c r="K63" s="49"/>
      <c r="L63" s="49"/>
      <c r="M63" s="49"/>
      <c r="N63" s="49"/>
      <c r="O63" s="48"/>
      <c r="P63" s="48"/>
      <c r="Q63" s="48"/>
      <c r="R63" s="48"/>
      <c r="S63" s="48"/>
      <c r="T63" s="48"/>
      <c r="U63" s="48"/>
      <c r="V63" s="48"/>
      <c r="W63" s="48"/>
      <c r="X63" s="48"/>
      <c r="Y63" s="48"/>
      <c r="Z63" s="48"/>
    </row>
    <row r="64" ht="15.75" customHeight="1">
      <c r="A64" s="49"/>
      <c r="B64" s="49"/>
      <c r="C64" s="49"/>
      <c r="D64" s="49"/>
      <c r="E64" s="49"/>
      <c r="F64" s="49"/>
      <c r="G64" s="49"/>
      <c r="H64" s="49"/>
      <c r="I64" s="49"/>
      <c r="J64" s="49"/>
      <c r="K64" s="49"/>
      <c r="L64" s="49"/>
      <c r="M64" s="49"/>
      <c r="N64" s="49"/>
      <c r="O64" s="48"/>
      <c r="P64" s="48"/>
      <c r="Q64" s="48"/>
      <c r="R64" s="48"/>
      <c r="S64" s="48"/>
      <c r="T64" s="48"/>
      <c r="U64" s="48"/>
      <c r="V64" s="48"/>
      <c r="W64" s="48"/>
      <c r="X64" s="48"/>
      <c r="Y64" s="48"/>
      <c r="Z64" s="48"/>
    </row>
    <row r="65" ht="15.75" customHeight="1">
      <c r="A65" s="49"/>
      <c r="B65" s="49"/>
      <c r="C65" s="49"/>
      <c r="D65" s="49"/>
      <c r="E65" s="49"/>
      <c r="F65" s="49"/>
      <c r="G65" s="49"/>
      <c r="H65" s="49"/>
      <c r="I65" s="49"/>
      <c r="J65" s="49"/>
      <c r="K65" s="49"/>
      <c r="L65" s="49"/>
      <c r="M65" s="49"/>
      <c r="N65" s="49"/>
      <c r="O65" s="48"/>
      <c r="P65" s="48"/>
      <c r="Q65" s="48"/>
      <c r="R65" s="48"/>
      <c r="S65" s="48"/>
      <c r="T65" s="48"/>
      <c r="U65" s="48"/>
      <c r="V65" s="48"/>
      <c r="W65" s="48"/>
      <c r="X65" s="48"/>
      <c r="Y65" s="48"/>
      <c r="Z65" s="48"/>
    </row>
    <row r="66" ht="15.75" customHeight="1">
      <c r="A66" s="49"/>
      <c r="B66" s="49"/>
      <c r="C66" s="49"/>
      <c r="D66" s="49"/>
      <c r="E66" s="49"/>
      <c r="F66" s="49"/>
      <c r="G66" s="49"/>
      <c r="H66" s="49"/>
      <c r="I66" s="49"/>
      <c r="J66" s="49"/>
      <c r="K66" s="49"/>
      <c r="L66" s="49"/>
      <c r="M66" s="49"/>
      <c r="N66" s="49"/>
      <c r="O66" s="48"/>
      <c r="P66" s="48"/>
      <c r="Q66" s="48"/>
      <c r="R66" s="48"/>
      <c r="S66" s="48"/>
      <c r="T66" s="48"/>
      <c r="U66" s="48"/>
      <c r="V66" s="48"/>
      <c r="W66" s="48"/>
      <c r="X66" s="48"/>
      <c r="Y66" s="48"/>
      <c r="Z66" s="48"/>
    </row>
    <row r="67" ht="15.75" customHeight="1">
      <c r="A67" s="49"/>
      <c r="B67" s="49"/>
      <c r="C67" s="49"/>
      <c r="D67" s="49"/>
      <c r="E67" s="49"/>
      <c r="F67" s="49"/>
      <c r="G67" s="49"/>
      <c r="H67" s="49"/>
      <c r="I67" s="49"/>
      <c r="J67" s="49"/>
      <c r="K67" s="49"/>
      <c r="L67" s="49"/>
      <c r="M67" s="49"/>
      <c r="N67" s="49"/>
      <c r="O67" s="48"/>
      <c r="P67" s="48"/>
      <c r="Q67" s="48"/>
      <c r="R67" s="48"/>
      <c r="S67" s="48"/>
      <c r="T67" s="48"/>
      <c r="U67" s="48"/>
      <c r="V67" s="48"/>
      <c r="W67" s="48"/>
      <c r="X67" s="48"/>
      <c r="Y67" s="48"/>
      <c r="Z67" s="48"/>
    </row>
    <row r="68" ht="15.75" customHeight="1">
      <c r="A68" s="49"/>
      <c r="B68" s="49"/>
      <c r="C68" s="49"/>
      <c r="D68" s="49"/>
      <c r="E68" s="49"/>
      <c r="F68" s="49"/>
      <c r="G68" s="49"/>
      <c r="H68" s="49"/>
      <c r="I68" s="49"/>
      <c r="J68" s="49"/>
      <c r="K68" s="49"/>
      <c r="L68" s="49"/>
      <c r="M68" s="49"/>
      <c r="N68" s="49"/>
      <c r="O68" s="48"/>
      <c r="P68" s="48"/>
      <c r="Q68" s="48"/>
      <c r="R68" s="48"/>
      <c r="S68" s="48"/>
      <c r="T68" s="48"/>
      <c r="U68" s="48"/>
      <c r="V68" s="48"/>
      <c r="W68" s="48"/>
      <c r="X68" s="48"/>
      <c r="Y68" s="48"/>
      <c r="Z68" s="48"/>
    </row>
    <row r="69" ht="15.75" customHeight="1">
      <c r="A69" s="49"/>
      <c r="B69" s="49"/>
      <c r="C69" s="49"/>
      <c r="D69" s="49"/>
      <c r="E69" s="49"/>
      <c r="F69" s="49"/>
      <c r="G69" s="49"/>
      <c r="H69" s="49"/>
      <c r="I69" s="49"/>
      <c r="J69" s="49"/>
      <c r="K69" s="49"/>
      <c r="L69" s="49"/>
      <c r="M69" s="49"/>
      <c r="N69" s="49"/>
      <c r="O69" s="48"/>
      <c r="P69" s="48"/>
      <c r="Q69" s="48"/>
      <c r="R69" s="48"/>
      <c r="S69" s="48"/>
      <c r="T69" s="48"/>
      <c r="U69" s="48"/>
      <c r="V69" s="48"/>
      <c r="W69" s="48"/>
      <c r="X69" s="48"/>
      <c r="Y69" s="48"/>
      <c r="Z69" s="48"/>
    </row>
    <row r="70" ht="15.75" customHeight="1">
      <c r="A70" s="49"/>
      <c r="B70" s="49"/>
      <c r="C70" s="49"/>
      <c r="D70" s="49"/>
      <c r="E70" s="49"/>
      <c r="F70" s="49"/>
      <c r="G70" s="49"/>
      <c r="H70" s="49"/>
      <c r="I70" s="49"/>
      <c r="J70" s="49"/>
      <c r="K70" s="49"/>
      <c r="L70" s="49"/>
      <c r="M70" s="49"/>
      <c r="N70" s="49"/>
      <c r="O70" s="48"/>
      <c r="P70" s="48"/>
      <c r="Q70" s="48"/>
      <c r="R70" s="48"/>
      <c r="S70" s="48"/>
      <c r="T70" s="48"/>
      <c r="U70" s="48"/>
      <c r="V70" s="48"/>
      <c r="W70" s="48"/>
      <c r="X70" s="48"/>
      <c r="Y70" s="48"/>
      <c r="Z70" s="48"/>
    </row>
    <row r="71" ht="15.75" customHeight="1">
      <c r="A71" s="49"/>
      <c r="B71" s="49"/>
      <c r="C71" s="49"/>
      <c r="D71" s="49"/>
      <c r="E71" s="49"/>
      <c r="F71" s="49"/>
      <c r="G71" s="49"/>
      <c r="H71" s="49"/>
      <c r="I71" s="49"/>
      <c r="J71" s="49"/>
      <c r="K71" s="49"/>
      <c r="L71" s="49"/>
      <c r="M71" s="49"/>
      <c r="N71" s="49"/>
      <c r="O71" s="48"/>
      <c r="P71" s="48"/>
      <c r="Q71" s="48"/>
      <c r="R71" s="48"/>
      <c r="S71" s="48"/>
      <c r="T71" s="48"/>
      <c r="U71" s="48"/>
      <c r="V71" s="48"/>
      <c r="W71" s="48"/>
      <c r="X71" s="48"/>
      <c r="Y71" s="48"/>
      <c r="Z71" s="48"/>
    </row>
    <row r="72" ht="15.75" customHeight="1">
      <c r="A72" s="49"/>
      <c r="B72" s="49"/>
      <c r="C72" s="49"/>
      <c r="D72" s="49"/>
      <c r="E72" s="49"/>
      <c r="F72" s="49"/>
      <c r="G72" s="49"/>
      <c r="H72" s="49"/>
      <c r="I72" s="49"/>
      <c r="J72" s="49"/>
      <c r="K72" s="49"/>
      <c r="L72" s="49"/>
      <c r="M72" s="49"/>
      <c r="N72" s="49"/>
      <c r="O72" s="48"/>
      <c r="P72" s="48"/>
      <c r="Q72" s="48"/>
      <c r="R72" s="48"/>
      <c r="S72" s="48"/>
      <c r="T72" s="48"/>
      <c r="U72" s="48"/>
      <c r="V72" s="48"/>
      <c r="W72" s="48"/>
      <c r="X72" s="48"/>
      <c r="Y72" s="48"/>
      <c r="Z72" s="48"/>
    </row>
    <row r="73" ht="15.75" customHeight="1">
      <c r="A73" s="49"/>
      <c r="B73" s="49"/>
      <c r="C73" s="49"/>
      <c r="D73" s="49"/>
      <c r="E73" s="49"/>
      <c r="F73" s="49"/>
      <c r="G73" s="49"/>
      <c r="H73" s="49"/>
      <c r="I73" s="49"/>
      <c r="J73" s="49"/>
      <c r="K73" s="49"/>
      <c r="L73" s="49"/>
      <c r="M73" s="49"/>
      <c r="N73" s="49"/>
      <c r="O73" s="48"/>
      <c r="P73" s="48"/>
      <c r="Q73" s="48"/>
      <c r="R73" s="48"/>
      <c r="S73" s="48"/>
      <c r="T73" s="48"/>
      <c r="U73" s="48"/>
      <c r="V73" s="48"/>
      <c r="W73" s="48"/>
      <c r="X73" s="48"/>
      <c r="Y73" s="48"/>
      <c r="Z73" s="48"/>
    </row>
    <row r="74" ht="15.75" customHeight="1">
      <c r="A74" s="49"/>
      <c r="B74" s="49"/>
      <c r="C74" s="49"/>
      <c r="D74" s="49"/>
      <c r="E74" s="49"/>
      <c r="F74" s="49"/>
      <c r="G74" s="49"/>
      <c r="H74" s="49"/>
      <c r="I74" s="49"/>
      <c r="J74" s="49"/>
      <c r="K74" s="49"/>
      <c r="L74" s="49"/>
      <c r="M74" s="49"/>
      <c r="N74" s="49"/>
      <c r="O74" s="48"/>
      <c r="P74" s="48"/>
      <c r="Q74" s="48"/>
      <c r="R74" s="48"/>
      <c r="S74" s="48"/>
      <c r="T74" s="48"/>
      <c r="U74" s="48"/>
      <c r="V74" s="48"/>
      <c r="W74" s="48"/>
      <c r="X74" s="48"/>
      <c r="Y74" s="48"/>
      <c r="Z74" s="48"/>
    </row>
    <row r="75" ht="15.75" customHeight="1">
      <c r="A75" s="49"/>
      <c r="B75" s="49"/>
      <c r="C75" s="49"/>
      <c r="D75" s="49"/>
      <c r="E75" s="49"/>
      <c r="F75" s="49"/>
      <c r="G75" s="49"/>
      <c r="H75" s="49"/>
      <c r="I75" s="49"/>
      <c r="J75" s="49"/>
      <c r="K75" s="49"/>
      <c r="L75" s="49"/>
      <c r="M75" s="49"/>
      <c r="N75" s="49"/>
      <c r="O75" s="48"/>
      <c r="P75" s="48"/>
      <c r="Q75" s="48"/>
      <c r="R75" s="48"/>
      <c r="S75" s="48"/>
      <c r="T75" s="48"/>
      <c r="U75" s="48"/>
      <c r="V75" s="48"/>
      <c r="W75" s="48"/>
      <c r="X75" s="48"/>
      <c r="Y75" s="48"/>
      <c r="Z75" s="48"/>
    </row>
    <row r="76" ht="15.75" customHeight="1">
      <c r="A76" s="49"/>
      <c r="B76" s="49"/>
      <c r="C76" s="49"/>
      <c r="D76" s="49"/>
      <c r="E76" s="49"/>
      <c r="F76" s="49"/>
      <c r="G76" s="49"/>
      <c r="H76" s="49"/>
      <c r="I76" s="49"/>
      <c r="J76" s="49"/>
      <c r="K76" s="49"/>
      <c r="L76" s="49"/>
      <c r="M76" s="49"/>
      <c r="N76" s="49"/>
      <c r="O76" s="48"/>
      <c r="P76" s="48"/>
      <c r="Q76" s="48"/>
      <c r="R76" s="48"/>
      <c r="S76" s="48"/>
      <c r="T76" s="48"/>
      <c r="U76" s="48"/>
      <c r="V76" s="48"/>
      <c r="W76" s="48"/>
      <c r="X76" s="48"/>
      <c r="Y76" s="48"/>
      <c r="Z76" s="48"/>
    </row>
    <row r="77" ht="15.75" customHeight="1">
      <c r="A77" s="49"/>
      <c r="B77" s="49"/>
      <c r="C77" s="49"/>
      <c r="D77" s="49"/>
      <c r="E77" s="49"/>
      <c r="F77" s="49"/>
      <c r="G77" s="49"/>
      <c r="H77" s="49"/>
      <c r="I77" s="49"/>
      <c r="J77" s="49"/>
      <c r="K77" s="49"/>
      <c r="L77" s="49"/>
      <c r="M77" s="49"/>
      <c r="N77" s="49"/>
      <c r="O77" s="48"/>
      <c r="P77" s="48"/>
      <c r="Q77" s="48"/>
      <c r="R77" s="48"/>
      <c r="S77" s="48"/>
      <c r="T77" s="48"/>
      <c r="U77" s="48"/>
      <c r="V77" s="48"/>
      <c r="W77" s="48"/>
      <c r="X77" s="48"/>
      <c r="Y77" s="48"/>
      <c r="Z77" s="48"/>
    </row>
    <row r="78" ht="15.75" customHeight="1">
      <c r="A78" s="49"/>
      <c r="B78" s="49"/>
      <c r="C78" s="49"/>
      <c r="D78" s="49"/>
      <c r="E78" s="49"/>
      <c r="F78" s="49"/>
      <c r="G78" s="49"/>
      <c r="H78" s="49"/>
      <c r="I78" s="49"/>
      <c r="J78" s="49"/>
      <c r="K78" s="49"/>
      <c r="L78" s="49"/>
      <c r="M78" s="49"/>
      <c r="N78" s="49"/>
      <c r="O78" s="48"/>
      <c r="P78" s="48"/>
      <c r="Q78" s="48"/>
      <c r="R78" s="48"/>
      <c r="S78" s="48"/>
      <c r="T78" s="48"/>
      <c r="U78" s="48"/>
      <c r="V78" s="48"/>
      <c r="W78" s="48"/>
      <c r="X78" s="48"/>
      <c r="Y78" s="48"/>
      <c r="Z78" s="48"/>
    </row>
    <row r="79" ht="15.75" customHeight="1">
      <c r="A79" s="49"/>
      <c r="B79" s="49"/>
      <c r="C79" s="49"/>
      <c r="D79" s="49"/>
      <c r="E79" s="49"/>
      <c r="F79" s="49"/>
      <c r="G79" s="49"/>
      <c r="H79" s="49"/>
      <c r="I79" s="49"/>
      <c r="J79" s="49"/>
      <c r="K79" s="49"/>
      <c r="L79" s="49"/>
      <c r="M79" s="49"/>
      <c r="N79" s="49"/>
      <c r="O79" s="48"/>
      <c r="P79" s="48"/>
      <c r="Q79" s="48"/>
      <c r="R79" s="48"/>
      <c r="S79" s="48"/>
      <c r="T79" s="48"/>
      <c r="U79" s="48"/>
      <c r="V79" s="48"/>
      <c r="W79" s="48"/>
      <c r="X79" s="48"/>
      <c r="Y79" s="48"/>
      <c r="Z79" s="48"/>
    </row>
    <row r="80" ht="15.75" customHeight="1">
      <c r="A80" s="49"/>
      <c r="B80" s="49"/>
      <c r="C80" s="49"/>
      <c r="D80" s="49"/>
      <c r="E80" s="49"/>
      <c r="F80" s="49"/>
      <c r="G80" s="49"/>
      <c r="H80" s="49"/>
      <c r="I80" s="49"/>
      <c r="J80" s="49"/>
      <c r="K80" s="49"/>
      <c r="L80" s="49"/>
      <c r="M80" s="49"/>
      <c r="N80" s="49"/>
      <c r="O80" s="48"/>
      <c r="P80" s="48"/>
      <c r="Q80" s="48"/>
      <c r="R80" s="48"/>
      <c r="S80" s="48"/>
      <c r="T80" s="48"/>
      <c r="U80" s="48"/>
      <c r="V80" s="48"/>
      <c r="W80" s="48"/>
      <c r="X80" s="48"/>
      <c r="Y80" s="48"/>
      <c r="Z80" s="48"/>
    </row>
    <row r="81" ht="15.75" customHeight="1">
      <c r="A81" s="49"/>
      <c r="B81" s="49"/>
      <c r="C81" s="49"/>
      <c r="D81" s="49"/>
      <c r="E81" s="49"/>
      <c r="F81" s="49"/>
      <c r="G81" s="49"/>
      <c r="H81" s="49"/>
      <c r="I81" s="49"/>
      <c r="J81" s="49"/>
      <c r="K81" s="49"/>
      <c r="L81" s="49"/>
      <c r="M81" s="49"/>
      <c r="N81" s="49"/>
      <c r="O81" s="48"/>
      <c r="P81" s="48"/>
      <c r="Q81" s="48"/>
      <c r="R81" s="48"/>
      <c r="S81" s="48"/>
      <c r="T81" s="48"/>
      <c r="U81" s="48"/>
      <c r="V81" s="48"/>
      <c r="W81" s="48"/>
      <c r="X81" s="48"/>
      <c r="Y81" s="48"/>
      <c r="Z81" s="48"/>
    </row>
    <row r="82" ht="15.75" customHeight="1">
      <c r="A82" s="49"/>
      <c r="B82" s="49"/>
      <c r="C82" s="49"/>
      <c r="D82" s="49"/>
      <c r="E82" s="49"/>
      <c r="F82" s="49"/>
      <c r="G82" s="49"/>
      <c r="H82" s="49"/>
      <c r="I82" s="49"/>
      <c r="J82" s="49"/>
      <c r="K82" s="49"/>
      <c r="L82" s="49"/>
      <c r="M82" s="49"/>
      <c r="N82" s="49"/>
      <c r="O82" s="48"/>
      <c r="P82" s="48"/>
      <c r="Q82" s="48"/>
      <c r="R82" s="48"/>
      <c r="S82" s="48"/>
      <c r="T82" s="48"/>
      <c r="U82" s="48"/>
      <c r="V82" s="48"/>
      <c r="W82" s="48"/>
      <c r="X82" s="48"/>
      <c r="Y82" s="48"/>
      <c r="Z82" s="48"/>
    </row>
    <row r="83" ht="15.75" customHeight="1">
      <c r="A83" s="49"/>
      <c r="B83" s="49"/>
      <c r="C83" s="49"/>
      <c r="D83" s="49"/>
      <c r="E83" s="49"/>
      <c r="F83" s="49"/>
      <c r="G83" s="49"/>
      <c r="H83" s="49"/>
      <c r="I83" s="49"/>
      <c r="J83" s="49"/>
      <c r="K83" s="49"/>
      <c r="L83" s="49"/>
      <c r="M83" s="49"/>
      <c r="N83" s="49"/>
      <c r="O83" s="48"/>
      <c r="P83" s="48"/>
      <c r="Q83" s="48"/>
      <c r="R83" s="48"/>
      <c r="S83" s="48"/>
      <c r="T83" s="48"/>
      <c r="U83" s="48"/>
      <c r="V83" s="48"/>
      <c r="W83" s="48"/>
      <c r="X83" s="48"/>
      <c r="Y83" s="48"/>
      <c r="Z83" s="48"/>
    </row>
    <row r="84" ht="15.75" customHeight="1">
      <c r="A84" s="49"/>
      <c r="B84" s="49"/>
      <c r="C84" s="49"/>
      <c r="D84" s="49"/>
      <c r="E84" s="49"/>
      <c r="F84" s="49"/>
      <c r="G84" s="49"/>
      <c r="H84" s="49"/>
      <c r="I84" s="49"/>
      <c r="J84" s="49"/>
      <c r="K84" s="49"/>
      <c r="L84" s="49"/>
      <c r="M84" s="49"/>
      <c r="N84" s="49"/>
      <c r="O84" s="48"/>
      <c r="P84" s="48"/>
      <c r="Q84" s="48"/>
      <c r="R84" s="48"/>
      <c r="S84" s="48"/>
      <c r="T84" s="48"/>
      <c r="U84" s="48"/>
      <c r="V84" s="48"/>
      <c r="W84" s="48"/>
      <c r="X84" s="48"/>
      <c r="Y84" s="48"/>
      <c r="Z84" s="48"/>
    </row>
    <row r="85" ht="15.75" customHeight="1">
      <c r="A85" s="49"/>
      <c r="B85" s="49"/>
      <c r="C85" s="49"/>
      <c r="D85" s="49"/>
      <c r="E85" s="49"/>
      <c r="F85" s="49"/>
      <c r="G85" s="49"/>
      <c r="H85" s="49"/>
      <c r="I85" s="49"/>
      <c r="J85" s="49"/>
      <c r="K85" s="49"/>
      <c r="L85" s="49"/>
      <c r="M85" s="49"/>
      <c r="N85" s="49"/>
      <c r="O85" s="48"/>
      <c r="P85" s="48"/>
      <c r="Q85" s="48"/>
      <c r="R85" s="48"/>
      <c r="S85" s="48"/>
      <c r="T85" s="48"/>
      <c r="U85" s="48"/>
      <c r="V85" s="48"/>
      <c r="W85" s="48"/>
      <c r="X85" s="48"/>
      <c r="Y85" s="48"/>
      <c r="Z85" s="48"/>
    </row>
    <row r="86" ht="15.75" customHeight="1">
      <c r="A86" s="49"/>
      <c r="B86" s="49"/>
      <c r="C86" s="49"/>
      <c r="D86" s="49"/>
      <c r="E86" s="49"/>
      <c r="F86" s="49"/>
      <c r="G86" s="49"/>
      <c r="H86" s="49"/>
      <c r="I86" s="49"/>
      <c r="J86" s="49"/>
      <c r="K86" s="49"/>
      <c r="L86" s="49"/>
      <c r="M86" s="49"/>
      <c r="N86" s="49"/>
      <c r="O86" s="48"/>
      <c r="P86" s="48"/>
      <c r="Q86" s="48"/>
      <c r="R86" s="48"/>
      <c r="S86" s="48"/>
      <c r="T86" s="48"/>
      <c r="U86" s="48"/>
      <c r="V86" s="48"/>
      <c r="W86" s="48"/>
      <c r="X86" s="48"/>
      <c r="Y86" s="48"/>
      <c r="Z86" s="48"/>
    </row>
    <row r="87" ht="15.75" customHeight="1">
      <c r="A87" s="49"/>
      <c r="B87" s="49"/>
      <c r="C87" s="49"/>
      <c r="D87" s="49"/>
      <c r="E87" s="49"/>
      <c r="F87" s="49"/>
      <c r="G87" s="49"/>
      <c r="H87" s="49"/>
      <c r="I87" s="49"/>
      <c r="J87" s="49"/>
      <c r="K87" s="49"/>
      <c r="L87" s="49"/>
      <c r="M87" s="49"/>
      <c r="N87" s="49"/>
      <c r="O87" s="48"/>
      <c r="P87" s="48"/>
      <c r="Q87" s="48"/>
      <c r="R87" s="48"/>
      <c r="S87" s="48"/>
      <c r="T87" s="48"/>
      <c r="U87" s="48"/>
      <c r="V87" s="48"/>
      <c r="W87" s="48"/>
      <c r="X87" s="48"/>
      <c r="Y87" s="48"/>
      <c r="Z87" s="48"/>
    </row>
    <row r="88" ht="15.75" customHeight="1">
      <c r="A88" s="49"/>
      <c r="B88" s="49"/>
      <c r="C88" s="49"/>
      <c r="D88" s="49"/>
      <c r="E88" s="49"/>
      <c r="F88" s="49"/>
      <c r="G88" s="49"/>
      <c r="H88" s="49"/>
      <c r="I88" s="49"/>
      <c r="J88" s="49"/>
      <c r="K88" s="49"/>
      <c r="L88" s="49"/>
      <c r="M88" s="49"/>
      <c r="N88" s="49"/>
      <c r="O88" s="48"/>
      <c r="P88" s="48"/>
      <c r="Q88" s="48"/>
      <c r="R88" s="48"/>
      <c r="S88" s="48"/>
      <c r="T88" s="48"/>
      <c r="U88" s="48"/>
      <c r="V88" s="48"/>
      <c r="W88" s="48"/>
      <c r="X88" s="48"/>
      <c r="Y88" s="48"/>
      <c r="Z88" s="48"/>
    </row>
    <row r="89" ht="15.75" customHeight="1">
      <c r="A89" s="49"/>
      <c r="B89" s="49"/>
      <c r="C89" s="49"/>
      <c r="D89" s="49"/>
      <c r="E89" s="49"/>
      <c r="F89" s="49"/>
      <c r="G89" s="49"/>
      <c r="H89" s="49"/>
      <c r="I89" s="49"/>
      <c r="J89" s="49"/>
      <c r="K89" s="49"/>
      <c r="L89" s="49"/>
      <c r="M89" s="49"/>
      <c r="N89" s="49"/>
      <c r="O89" s="48"/>
      <c r="P89" s="48"/>
      <c r="Q89" s="48"/>
      <c r="R89" s="48"/>
      <c r="S89" s="48"/>
      <c r="T89" s="48"/>
      <c r="U89" s="48"/>
      <c r="V89" s="48"/>
      <c r="W89" s="48"/>
      <c r="X89" s="48"/>
      <c r="Y89" s="48"/>
      <c r="Z89" s="48"/>
    </row>
    <row r="90" ht="15.75" customHeight="1">
      <c r="A90" s="49"/>
      <c r="B90" s="49"/>
      <c r="C90" s="49"/>
      <c r="D90" s="49"/>
      <c r="E90" s="49"/>
      <c r="F90" s="49"/>
      <c r="G90" s="49"/>
      <c r="H90" s="49"/>
      <c r="I90" s="49"/>
      <c r="J90" s="49"/>
      <c r="K90" s="49"/>
      <c r="L90" s="49"/>
      <c r="M90" s="49"/>
      <c r="N90" s="49"/>
      <c r="O90" s="48"/>
      <c r="P90" s="48"/>
      <c r="Q90" s="48"/>
      <c r="R90" s="48"/>
      <c r="S90" s="48"/>
      <c r="T90" s="48"/>
      <c r="U90" s="48"/>
      <c r="V90" s="48"/>
      <c r="W90" s="48"/>
      <c r="X90" s="48"/>
      <c r="Y90" s="48"/>
      <c r="Z90" s="48"/>
    </row>
    <row r="91" ht="15.75" customHeight="1">
      <c r="A91" s="49"/>
      <c r="B91" s="49"/>
      <c r="C91" s="49"/>
      <c r="D91" s="49"/>
      <c r="E91" s="49"/>
      <c r="F91" s="49"/>
      <c r="G91" s="49"/>
      <c r="H91" s="49"/>
      <c r="I91" s="49"/>
      <c r="J91" s="49"/>
      <c r="K91" s="49"/>
      <c r="L91" s="49"/>
      <c r="M91" s="49"/>
      <c r="N91" s="49"/>
      <c r="O91" s="48"/>
      <c r="P91" s="48"/>
      <c r="Q91" s="48"/>
      <c r="R91" s="48"/>
      <c r="S91" s="48"/>
      <c r="T91" s="48"/>
      <c r="U91" s="48"/>
      <c r="V91" s="48"/>
      <c r="W91" s="48"/>
      <c r="X91" s="48"/>
      <c r="Y91" s="48"/>
      <c r="Z91" s="48"/>
    </row>
    <row r="92" ht="15.75" customHeight="1">
      <c r="A92" s="49"/>
      <c r="B92" s="49"/>
      <c r="C92" s="49"/>
      <c r="D92" s="49"/>
      <c r="E92" s="49"/>
      <c r="F92" s="49"/>
      <c r="G92" s="49"/>
      <c r="H92" s="49"/>
      <c r="I92" s="49"/>
      <c r="J92" s="49"/>
      <c r="K92" s="49"/>
      <c r="L92" s="49"/>
      <c r="M92" s="49"/>
      <c r="N92" s="49"/>
      <c r="O92" s="48"/>
      <c r="P92" s="48"/>
      <c r="Q92" s="48"/>
      <c r="R92" s="48"/>
      <c r="S92" s="48"/>
      <c r="T92" s="48"/>
      <c r="U92" s="48"/>
      <c r="V92" s="48"/>
      <c r="W92" s="48"/>
      <c r="X92" s="48"/>
      <c r="Y92" s="48"/>
      <c r="Z92" s="48"/>
    </row>
    <row r="93" ht="15.75" customHeight="1">
      <c r="A93" s="49"/>
      <c r="B93" s="49"/>
      <c r="C93" s="49"/>
      <c r="D93" s="49"/>
      <c r="E93" s="49"/>
      <c r="F93" s="49"/>
      <c r="G93" s="49"/>
      <c r="H93" s="49"/>
      <c r="I93" s="49"/>
      <c r="J93" s="49"/>
      <c r="K93" s="49"/>
      <c r="L93" s="49"/>
      <c r="M93" s="49"/>
      <c r="N93" s="49"/>
      <c r="O93" s="48"/>
      <c r="P93" s="48"/>
      <c r="Q93" s="48"/>
      <c r="R93" s="48"/>
      <c r="S93" s="48"/>
      <c r="T93" s="48"/>
      <c r="U93" s="48"/>
      <c r="V93" s="48"/>
      <c r="W93" s="48"/>
      <c r="X93" s="48"/>
      <c r="Y93" s="48"/>
      <c r="Z93" s="48"/>
    </row>
    <row r="94" ht="15.75" customHeight="1">
      <c r="A94" s="49"/>
      <c r="B94" s="49"/>
      <c r="C94" s="49"/>
      <c r="D94" s="49"/>
      <c r="E94" s="49"/>
      <c r="F94" s="49"/>
      <c r="G94" s="49"/>
      <c r="H94" s="49"/>
      <c r="I94" s="49"/>
      <c r="J94" s="49"/>
      <c r="K94" s="49"/>
      <c r="L94" s="49"/>
      <c r="M94" s="49"/>
      <c r="N94" s="49"/>
      <c r="O94" s="48"/>
      <c r="P94" s="48"/>
      <c r="Q94" s="48"/>
      <c r="R94" s="48"/>
      <c r="S94" s="48"/>
      <c r="T94" s="48"/>
      <c r="U94" s="48"/>
      <c r="V94" s="48"/>
      <c r="W94" s="48"/>
      <c r="X94" s="48"/>
      <c r="Y94" s="48"/>
      <c r="Z94" s="48"/>
    </row>
    <row r="95" ht="15.75" customHeight="1">
      <c r="A95" s="49"/>
      <c r="B95" s="49"/>
      <c r="C95" s="49"/>
      <c r="D95" s="49"/>
      <c r="E95" s="49"/>
      <c r="F95" s="49"/>
      <c r="G95" s="49"/>
      <c r="H95" s="49"/>
      <c r="I95" s="49"/>
      <c r="J95" s="49"/>
      <c r="K95" s="49"/>
      <c r="L95" s="49"/>
      <c r="M95" s="49"/>
      <c r="N95" s="49"/>
      <c r="O95" s="48"/>
      <c r="P95" s="48"/>
      <c r="Q95" s="48"/>
      <c r="R95" s="48"/>
      <c r="S95" s="48"/>
      <c r="T95" s="48"/>
      <c r="U95" s="48"/>
      <c r="V95" s="48"/>
      <c r="W95" s="48"/>
      <c r="X95" s="48"/>
      <c r="Y95" s="48"/>
      <c r="Z95" s="48"/>
    </row>
    <row r="96" ht="15.75" customHeight="1">
      <c r="A96" s="49"/>
      <c r="B96" s="49"/>
      <c r="C96" s="49"/>
      <c r="D96" s="49"/>
      <c r="E96" s="49"/>
      <c r="F96" s="49"/>
      <c r="G96" s="49"/>
      <c r="H96" s="49"/>
      <c r="I96" s="49"/>
      <c r="J96" s="49"/>
      <c r="K96" s="49"/>
      <c r="L96" s="49"/>
      <c r="M96" s="49"/>
      <c r="N96" s="49"/>
      <c r="O96" s="48"/>
      <c r="P96" s="48"/>
      <c r="Q96" s="48"/>
      <c r="R96" s="48"/>
      <c r="S96" s="48"/>
      <c r="T96" s="48"/>
      <c r="U96" s="48"/>
      <c r="V96" s="48"/>
      <c r="W96" s="48"/>
      <c r="X96" s="48"/>
      <c r="Y96" s="48"/>
      <c r="Z96" s="48"/>
    </row>
    <row r="97" ht="15.75" customHeight="1">
      <c r="A97" s="49"/>
      <c r="B97" s="49"/>
      <c r="C97" s="49"/>
      <c r="D97" s="49"/>
      <c r="E97" s="49"/>
      <c r="F97" s="49"/>
      <c r="G97" s="49"/>
      <c r="H97" s="49"/>
      <c r="I97" s="49"/>
      <c r="J97" s="49"/>
      <c r="K97" s="49"/>
      <c r="L97" s="49"/>
      <c r="M97" s="49"/>
      <c r="N97" s="49"/>
      <c r="O97" s="48"/>
      <c r="P97" s="48"/>
      <c r="Q97" s="48"/>
      <c r="R97" s="48"/>
      <c r="S97" s="48"/>
      <c r="T97" s="48"/>
      <c r="U97" s="48"/>
      <c r="V97" s="48"/>
      <c r="W97" s="48"/>
      <c r="X97" s="48"/>
      <c r="Y97" s="48"/>
      <c r="Z97" s="48"/>
    </row>
    <row r="98" ht="15.75" customHeight="1">
      <c r="A98" s="49"/>
      <c r="B98" s="49"/>
      <c r="C98" s="49"/>
      <c r="D98" s="49"/>
      <c r="E98" s="49"/>
      <c r="F98" s="49"/>
      <c r="G98" s="49"/>
      <c r="H98" s="49"/>
      <c r="I98" s="49"/>
      <c r="J98" s="49"/>
      <c r="K98" s="49"/>
      <c r="L98" s="49"/>
      <c r="M98" s="49"/>
      <c r="N98" s="49"/>
      <c r="O98" s="48"/>
      <c r="P98" s="48"/>
      <c r="Q98" s="48"/>
      <c r="R98" s="48"/>
      <c r="S98" s="48"/>
      <c r="T98" s="48"/>
      <c r="U98" s="48"/>
      <c r="V98" s="48"/>
      <c r="W98" s="48"/>
      <c r="X98" s="48"/>
      <c r="Y98" s="48"/>
      <c r="Z98" s="48"/>
    </row>
    <row r="99" ht="15.75" customHeight="1">
      <c r="A99" s="49"/>
      <c r="B99" s="49"/>
      <c r="C99" s="49"/>
      <c r="D99" s="49"/>
      <c r="E99" s="49"/>
      <c r="F99" s="49"/>
      <c r="G99" s="49"/>
      <c r="H99" s="49"/>
      <c r="I99" s="49"/>
      <c r="J99" s="49"/>
      <c r="K99" s="49"/>
      <c r="L99" s="49"/>
      <c r="M99" s="49"/>
      <c r="N99" s="49"/>
      <c r="O99" s="48"/>
      <c r="P99" s="48"/>
      <c r="Q99" s="48"/>
      <c r="R99" s="48"/>
      <c r="S99" s="48"/>
      <c r="T99" s="48"/>
      <c r="U99" s="48"/>
      <c r="V99" s="48"/>
      <c r="W99" s="48"/>
      <c r="X99" s="48"/>
      <c r="Y99" s="48"/>
      <c r="Z99" s="48"/>
    </row>
    <row r="100" ht="15.75" customHeight="1">
      <c r="A100" s="49"/>
      <c r="B100" s="49"/>
      <c r="C100" s="49"/>
      <c r="D100" s="49"/>
      <c r="E100" s="49"/>
      <c r="F100" s="49"/>
      <c r="G100" s="49"/>
      <c r="H100" s="49"/>
      <c r="I100" s="49"/>
      <c r="J100" s="49"/>
      <c r="K100" s="49"/>
      <c r="L100" s="49"/>
      <c r="M100" s="49"/>
      <c r="N100" s="49"/>
      <c r="O100" s="48"/>
      <c r="P100" s="48"/>
      <c r="Q100" s="48"/>
      <c r="R100" s="48"/>
      <c r="S100" s="48"/>
      <c r="T100" s="48"/>
      <c r="U100" s="48"/>
      <c r="V100" s="48"/>
      <c r="W100" s="48"/>
      <c r="X100" s="48"/>
      <c r="Y100" s="48"/>
      <c r="Z100" s="48"/>
    </row>
    <row r="101" ht="15.75" customHeight="1">
      <c r="A101" s="49"/>
      <c r="B101" s="49"/>
      <c r="C101" s="49"/>
      <c r="D101" s="49"/>
      <c r="E101" s="49"/>
      <c r="F101" s="49"/>
      <c r="G101" s="49"/>
      <c r="H101" s="49"/>
      <c r="I101" s="49"/>
      <c r="J101" s="49"/>
      <c r="K101" s="49"/>
      <c r="L101" s="49"/>
      <c r="M101" s="49"/>
      <c r="N101" s="49"/>
      <c r="O101" s="48"/>
      <c r="P101" s="48"/>
      <c r="Q101" s="48"/>
      <c r="R101" s="48"/>
      <c r="S101" s="48"/>
      <c r="T101" s="48"/>
      <c r="U101" s="48"/>
      <c r="V101" s="48"/>
      <c r="W101" s="48"/>
      <c r="X101" s="48"/>
      <c r="Y101" s="48"/>
      <c r="Z101" s="48"/>
    </row>
    <row r="102" ht="15.75" customHeight="1">
      <c r="A102" s="49"/>
      <c r="B102" s="49"/>
      <c r="C102" s="49"/>
      <c r="D102" s="49"/>
      <c r="E102" s="49"/>
      <c r="F102" s="49"/>
      <c r="G102" s="49"/>
      <c r="H102" s="49"/>
      <c r="I102" s="49"/>
      <c r="J102" s="49"/>
      <c r="K102" s="49"/>
      <c r="L102" s="49"/>
      <c r="M102" s="49"/>
      <c r="N102" s="49"/>
      <c r="O102" s="48"/>
      <c r="P102" s="48"/>
      <c r="Q102" s="48"/>
      <c r="R102" s="48"/>
      <c r="S102" s="48"/>
      <c r="T102" s="48"/>
      <c r="U102" s="48"/>
      <c r="V102" s="48"/>
      <c r="W102" s="48"/>
      <c r="X102" s="48"/>
      <c r="Y102" s="48"/>
      <c r="Z102" s="48"/>
    </row>
    <row r="103" ht="15.75" customHeight="1">
      <c r="A103" s="49"/>
      <c r="B103" s="49"/>
      <c r="C103" s="49"/>
      <c r="D103" s="49"/>
      <c r="E103" s="49"/>
      <c r="F103" s="49"/>
      <c r="G103" s="49"/>
      <c r="H103" s="49"/>
      <c r="I103" s="49"/>
      <c r="J103" s="49"/>
      <c r="K103" s="49"/>
      <c r="L103" s="49"/>
      <c r="M103" s="49"/>
      <c r="N103" s="49"/>
      <c r="O103" s="48"/>
      <c r="P103" s="48"/>
      <c r="Q103" s="48"/>
      <c r="R103" s="48"/>
      <c r="S103" s="48"/>
      <c r="T103" s="48"/>
      <c r="U103" s="48"/>
      <c r="V103" s="48"/>
      <c r="W103" s="48"/>
      <c r="X103" s="48"/>
      <c r="Y103" s="48"/>
      <c r="Z103" s="48"/>
    </row>
    <row r="104" ht="15.75" customHeight="1">
      <c r="A104" s="49"/>
      <c r="B104" s="49"/>
      <c r="C104" s="49"/>
      <c r="D104" s="49"/>
      <c r="E104" s="49"/>
      <c r="F104" s="49"/>
      <c r="G104" s="49"/>
      <c r="H104" s="49"/>
      <c r="I104" s="49"/>
      <c r="J104" s="49"/>
      <c r="K104" s="49"/>
      <c r="L104" s="49"/>
      <c r="M104" s="49"/>
      <c r="N104" s="49"/>
      <c r="O104" s="48"/>
      <c r="P104" s="48"/>
      <c r="Q104" s="48"/>
      <c r="R104" s="48"/>
      <c r="S104" s="48"/>
      <c r="T104" s="48"/>
      <c r="U104" s="48"/>
      <c r="V104" s="48"/>
      <c r="W104" s="48"/>
      <c r="X104" s="48"/>
      <c r="Y104" s="48"/>
      <c r="Z104" s="48"/>
    </row>
    <row r="105" ht="15.75" customHeight="1">
      <c r="A105" s="49"/>
      <c r="B105" s="49"/>
      <c r="C105" s="49"/>
      <c r="D105" s="49"/>
      <c r="E105" s="49"/>
      <c r="F105" s="49"/>
      <c r="G105" s="49"/>
      <c r="H105" s="49"/>
      <c r="I105" s="49"/>
      <c r="J105" s="49"/>
      <c r="K105" s="49"/>
      <c r="L105" s="49"/>
      <c r="M105" s="49"/>
      <c r="N105" s="49"/>
      <c r="O105" s="48"/>
      <c r="P105" s="48"/>
      <c r="Q105" s="48"/>
      <c r="R105" s="48"/>
      <c r="S105" s="48"/>
      <c r="T105" s="48"/>
      <c r="U105" s="48"/>
      <c r="V105" s="48"/>
      <c r="W105" s="48"/>
      <c r="X105" s="48"/>
      <c r="Y105" s="48"/>
      <c r="Z105" s="48"/>
    </row>
    <row r="106" ht="15.75" customHeight="1">
      <c r="A106" s="49"/>
      <c r="B106" s="49"/>
      <c r="C106" s="49"/>
      <c r="D106" s="49"/>
      <c r="E106" s="49"/>
      <c r="F106" s="49"/>
      <c r="G106" s="49"/>
      <c r="H106" s="49"/>
      <c r="I106" s="49"/>
      <c r="J106" s="49"/>
      <c r="K106" s="49"/>
      <c r="L106" s="49"/>
      <c r="M106" s="49"/>
      <c r="N106" s="49"/>
      <c r="O106" s="48"/>
      <c r="P106" s="48"/>
      <c r="Q106" s="48"/>
      <c r="R106" s="48"/>
      <c r="S106" s="48"/>
      <c r="T106" s="48"/>
      <c r="U106" s="48"/>
      <c r="V106" s="48"/>
      <c r="W106" s="48"/>
      <c r="X106" s="48"/>
      <c r="Y106" s="48"/>
      <c r="Z106" s="48"/>
    </row>
    <row r="107" ht="15.75" customHeight="1">
      <c r="A107" s="49"/>
      <c r="B107" s="49"/>
      <c r="C107" s="49"/>
      <c r="D107" s="49"/>
      <c r="E107" s="49"/>
      <c r="F107" s="49"/>
      <c r="G107" s="49"/>
      <c r="H107" s="49"/>
      <c r="I107" s="49"/>
      <c r="J107" s="49"/>
      <c r="K107" s="49"/>
      <c r="L107" s="49"/>
      <c r="M107" s="49"/>
      <c r="N107" s="49"/>
      <c r="O107" s="48"/>
      <c r="P107" s="48"/>
      <c r="Q107" s="48"/>
      <c r="R107" s="48"/>
      <c r="S107" s="48"/>
      <c r="T107" s="48"/>
      <c r="U107" s="48"/>
      <c r="V107" s="48"/>
      <c r="W107" s="48"/>
      <c r="X107" s="48"/>
      <c r="Y107" s="48"/>
      <c r="Z107" s="48"/>
    </row>
    <row r="108" ht="15.75" customHeight="1">
      <c r="A108" s="49"/>
      <c r="B108" s="49"/>
      <c r="C108" s="49"/>
      <c r="D108" s="49"/>
      <c r="E108" s="49"/>
      <c r="F108" s="49"/>
      <c r="G108" s="49"/>
      <c r="H108" s="49"/>
      <c r="I108" s="49"/>
      <c r="J108" s="49"/>
      <c r="K108" s="49"/>
      <c r="L108" s="49"/>
      <c r="M108" s="49"/>
      <c r="N108" s="49"/>
      <c r="O108" s="48"/>
      <c r="P108" s="48"/>
      <c r="Q108" s="48"/>
      <c r="R108" s="48"/>
      <c r="S108" s="48"/>
      <c r="T108" s="48"/>
      <c r="U108" s="48"/>
      <c r="V108" s="48"/>
      <c r="W108" s="48"/>
      <c r="X108" s="48"/>
      <c r="Y108" s="48"/>
      <c r="Z108" s="48"/>
    </row>
    <row r="109" ht="15.75" customHeight="1">
      <c r="A109" s="49"/>
      <c r="B109" s="49"/>
      <c r="C109" s="49"/>
      <c r="D109" s="49"/>
      <c r="E109" s="49"/>
      <c r="F109" s="49"/>
      <c r="G109" s="49"/>
      <c r="H109" s="49"/>
      <c r="I109" s="49"/>
      <c r="J109" s="49"/>
      <c r="K109" s="49"/>
      <c r="L109" s="49"/>
      <c r="M109" s="49"/>
      <c r="N109" s="49"/>
      <c r="O109" s="48"/>
      <c r="P109" s="48"/>
      <c r="Q109" s="48"/>
      <c r="R109" s="48"/>
      <c r="S109" s="48"/>
      <c r="T109" s="48"/>
      <c r="U109" s="48"/>
      <c r="V109" s="48"/>
      <c r="W109" s="48"/>
      <c r="X109" s="48"/>
      <c r="Y109" s="48"/>
      <c r="Z109" s="48"/>
    </row>
    <row r="110" ht="15.75" customHeight="1">
      <c r="A110" s="49"/>
      <c r="B110" s="49"/>
      <c r="C110" s="49"/>
      <c r="D110" s="49"/>
      <c r="E110" s="49"/>
      <c r="F110" s="49"/>
      <c r="G110" s="49"/>
      <c r="H110" s="49"/>
      <c r="I110" s="49"/>
      <c r="J110" s="49"/>
      <c r="K110" s="49"/>
      <c r="L110" s="49"/>
      <c r="M110" s="49"/>
      <c r="N110" s="49"/>
      <c r="O110" s="48"/>
      <c r="P110" s="48"/>
      <c r="Q110" s="48"/>
      <c r="R110" s="48"/>
      <c r="S110" s="48"/>
      <c r="T110" s="48"/>
      <c r="U110" s="48"/>
      <c r="V110" s="48"/>
      <c r="W110" s="48"/>
      <c r="X110" s="48"/>
      <c r="Y110" s="48"/>
      <c r="Z110" s="48"/>
    </row>
    <row r="111" ht="15.75" customHeight="1">
      <c r="A111" s="49"/>
      <c r="B111" s="49"/>
      <c r="C111" s="49"/>
      <c r="D111" s="49"/>
      <c r="E111" s="49"/>
      <c r="F111" s="49"/>
      <c r="G111" s="49"/>
      <c r="H111" s="49"/>
      <c r="I111" s="49"/>
      <c r="J111" s="49"/>
      <c r="K111" s="49"/>
      <c r="L111" s="49"/>
      <c r="M111" s="49"/>
      <c r="N111" s="49"/>
      <c r="O111" s="48"/>
      <c r="P111" s="48"/>
      <c r="Q111" s="48"/>
      <c r="R111" s="48"/>
      <c r="S111" s="48"/>
      <c r="T111" s="48"/>
      <c r="U111" s="48"/>
      <c r="V111" s="48"/>
      <c r="W111" s="48"/>
      <c r="X111" s="48"/>
      <c r="Y111" s="48"/>
      <c r="Z111" s="48"/>
    </row>
    <row r="112" ht="15.75" customHeight="1">
      <c r="A112" s="49"/>
      <c r="B112" s="49"/>
      <c r="C112" s="49"/>
      <c r="D112" s="49"/>
      <c r="E112" s="49"/>
      <c r="F112" s="49"/>
      <c r="G112" s="49"/>
      <c r="H112" s="49"/>
      <c r="I112" s="49"/>
      <c r="J112" s="49"/>
      <c r="K112" s="49"/>
      <c r="L112" s="49"/>
      <c r="M112" s="49"/>
      <c r="N112" s="49"/>
      <c r="O112" s="48"/>
      <c r="P112" s="48"/>
      <c r="Q112" s="48"/>
      <c r="R112" s="48"/>
      <c r="S112" s="48"/>
      <c r="T112" s="48"/>
      <c r="U112" s="48"/>
      <c r="V112" s="48"/>
      <c r="W112" s="48"/>
      <c r="X112" s="48"/>
      <c r="Y112" s="48"/>
      <c r="Z112" s="48"/>
    </row>
    <row r="113" ht="15.75" customHeight="1">
      <c r="A113" s="49"/>
      <c r="B113" s="49"/>
      <c r="C113" s="49"/>
      <c r="D113" s="49"/>
      <c r="E113" s="49"/>
      <c r="F113" s="49"/>
      <c r="G113" s="49"/>
      <c r="H113" s="49"/>
      <c r="I113" s="49"/>
      <c r="J113" s="49"/>
      <c r="K113" s="49"/>
      <c r="L113" s="49"/>
      <c r="M113" s="49"/>
      <c r="N113" s="49"/>
      <c r="O113" s="48"/>
      <c r="P113" s="48"/>
      <c r="Q113" s="48"/>
      <c r="R113" s="48"/>
      <c r="S113" s="48"/>
      <c r="T113" s="48"/>
      <c r="U113" s="48"/>
      <c r="V113" s="48"/>
      <c r="W113" s="48"/>
      <c r="X113" s="48"/>
      <c r="Y113" s="48"/>
      <c r="Z113" s="48"/>
    </row>
    <row r="114" ht="15.75" customHeight="1">
      <c r="A114" s="49"/>
      <c r="B114" s="49"/>
      <c r="C114" s="49"/>
      <c r="D114" s="49"/>
      <c r="E114" s="49"/>
      <c r="F114" s="49"/>
      <c r="G114" s="49"/>
      <c r="H114" s="49"/>
      <c r="I114" s="49"/>
      <c r="J114" s="49"/>
      <c r="K114" s="49"/>
      <c r="L114" s="49"/>
      <c r="M114" s="49"/>
      <c r="N114" s="49"/>
      <c r="O114" s="48"/>
      <c r="P114" s="48"/>
      <c r="Q114" s="48"/>
      <c r="R114" s="48"/>
      <c r="S114" s="48"/>
      <c r="T114" s="48"/>
      <c r="U114" s="48"/>
      <c r="V114" s="48"/>
      <c r="W114" s="48"/>
      <c r="X114" s="48"/>
      <c r="Y114" s="48"/>
      <c r="Z114" s="48"/>
    </row>
    <row r="115" ht="15.75" customHeight="1">
      <c r="A115" s="49"/>
      <c r="B115" s="49"/>
      <c r="C115" s="49"/>
      <c r="D115" s="49"/>
      <c r="E115" s="49"/>
      <c r="F115" s="49"/>
      <c r="G115" s="49"/>
      <c r="H115" s="49"/>
      <c r="I115" s="49"/>
      <c r="J115" s="49"/>
      <c r="K115" s="49"/>
      <c r="L115" s="49"/>
      <c r="M115" s="49"/>
      <c r="N115" s="49"/>
      <c r="O115" s="48"/>
      <c r="P115" s="48"/>
      <c r="Q115" s="48"/>
      <c r="R115" s="48"/>
      <c r="S115" s="48"/>
      <c r="T115" s="48"/>
      <c r="U115" s="48"/>
      <c r="V115" s="48"/>
      <c r="W115" s="48"/>
      <c r="X115" s="48"/>
      <c r="Y115" s="48"/>
      <c r="Z115" s="48"/>
    </row>
    <row r="116" ht="15.75" customHeight="1">
      <c r="A116" s="49"/>
      <c r="B116" s="49"/>
      <c r="C116" s="49"/>
      <c r="D116" s="49"/>
      <c r="E116" s="49"/>
      <c r="F116" s="49"/>
      <c r="G116" s="49"/>
      <c r="H116" s="49"/>
      <c r="I116" s="49"/>
      <c r="J116" s="49"/>
      <c r="K116" s="49"/>
      <c r="L116" s="49"/>
      <c r="M116" s="49"/>
      <c r="N116" s="49"/>
      <c r="O116" s="48"/>
      <c r="P116" s="48"/>
      <c r="Q116" s="48"/>
      <c r="R116" s="48"/>
      <c r="S116" s="48"/>
      <c r="T116" s="48"/>
      <c r="U116" s="48"/>
      <c r="V116" s="48"/>
      <c r="W116" s="48"/>
      <c r="X116" s="48"/>
      <c r="Y116" s="48"/>
      <c r="Z116" s="48"/>
    </row>
    <row r="117" ht="15.75" customHeight="1">
      <c r="A117" s="49"/>
      <c r="B117" s="49"/>
      <c r="C117" s="49"/>
      <c r="D117" s="49"/>
      <c r="E117" s="49"/>
      <c r="F117" s="49"/>
      <c r="G117" s="49"/>
      <c r="H117" s="49"/>
      <c r="I117" s="49"/>
      <c r="J117" s="49"/>
      <c r="K117" s="49"/>
      <c r="L117" s="49"/>
      <c r="M117" s="49"/>
      <c r="N117" s="49"/>
      <c r="O117" s="48"/>
      <c r="P117" s="48"/>
      <c r="Q117" s="48"/>
      <c r="R117" s="48"/>
      <c r="S117" s="48"/>
      <c r="T117" s="48"/>
      <c r="U117" s="48"/>
      <c r="V117" s="48"/>
      <c r="W117" s="48"/>
      <c r="X117" s="48"/>
      <c r="Y117" s="48"/>
      <c r="Z117" s="48"/>
    </row>
    <row r="118" ht="15.75" customHeight="1">
      <c r="A118" s="49"/>
      <c r="B118" s="49"/>
      <c r="C118" s="49"/>
      <c r="D118" s="49"/>
      <c r="E118" s="49"/>
      <c r="F118" s="49"/>
      <c r="G118" s="49"/>
      <c r="H118" s="49"/>
      <c r="I118" s="49"/>
      <c r="J118" s="49"/>
      <c r="K118" s="49"/>
      <c r="L118" s="49"/>
      <c r="M118" s="49"/>
      <c r="N118" s="49"/>
      <c r="O118" s="48"/>
      <c r="P118" s="48"/>
      <c r="Q118" s="48"/>
      <c r="R118" s="48"/>
      <c r="S118" s="48"/>
      <c r="T118" s="48"/>
      <c r="U118" s="48"/>
      <c r="V118" s="48"/>
      <c r="W118" s="48"/>
      <c r="X118" s="48"/>
      <c r="Y118" s="48"/>
      <c r="Z118" s="48"/>
    </row>
    <row r="119" ht="15.75" customHeight="1">
      <c r="A119" s="49"/>
      <c r="B119" s="49"/>
      <c r="C119" s="49"/>
      <c r="D119" s="49"/>
      <c r="E119" s="49"/>
      <c r="F119" s="49"/>
      <c r="G119" s="49"/>
      <c r="H119" s="49"/>
      <c r="I119" s="49"/>
      <c r="J119" s="49"/>
      <c r="K119" s="49"/>
      <c r="L119" s="49"/>
      <c r="M119" s="49"/>
      <c r="N119" s="49"/>
      <c r="O119" s="48"/>
      <c r="P119" s="48"/>
      <c r="Q119" s="48"/>
      <c r="R119" s="48"/>
      <c r="S119" s="48"/>
      <c r="T119" s="48"/>
      <c r="U119" s="48"/>
      <c r="V119" s="48"/>
      <c r="W119" s="48"/>
      <c r="X119" s="48"/>
      <c r="Y119" s="48"/>
      <c r="Z119" s="48"/>
    </row>
    <row r="120" ht="15.75" customHeight="1">
      <c r="A120" s="49"/>
      <c r="B120" s="49"/>
      <c r="C120" s="49"/>
      <c r="D120" s="49"/>
      <c r="E120" s="49"/>
      <c r="F120" s="49"/>
      <c r="G120" s="49"/>
      <c r="H120" s="49"/>
      <c r="I120" s="49"/>
      <c r="J120" s="49"/>
      <c r="K120" s="49"/>
      <c r="L120" s="49"/>
      <c r="M120" s="49"/>
      <c r="N120" s="49"/>
      <c r="O120" s="48"/>
      <c r="P120" s="48"/>
      <c r="Q120" s="48"/>
      <c r="R120" s="48"/>
      <c r="S120" s="48"/>
      <c r="T120" s="48"/>
      <c r="U120" s="48"/>
      <c r="V120" s="48"/>
      <c r="W120" s="48"/>
      <c r="X120" s="48"/>
      <c r="Y120" s="48"/>
      <c r="Z120" s="48"/>
    </row>
    <row r="121" ht="15.75" customHeight="1">
      <c r="A121" s="49"/>
      <c r="B121" s="49"/>
      <c r="C121" s="49"/>
      <c r="D121" s="49"/>
      <c r="E121" s="49"/>
      <c r="F121" s="49"/>
      <c r="G121" s="49"/>
      <c r="H121" s="49"/>
      <c r="I121" s="49"/>
      <c r="J121" s="49"/>
      <c r="K121" s="49"/>
      <c r="L121" s="49"/>
      <c r="M121" s="49"/>
      <c r="N121" s="49"/>
      <c r="O121" s="48"/>
      <c r="P121" s="48"/>
      <c r="Q121" s="48"/>
      <c r="R121" s="48"/>
      <c r="S121" s="48"/>
      <c r="T121" s="48"/>
      <c r="U121" s="48"/>
      <c r="V121" s="48"/>
      <c r="W121" s="48"/>
      <c r="X121" s="48"/>
      <c r="Y121" s="48"/>
      <c r="Z121" s="48"/>
    </row>
    <row r="122" ht="15.75" customHeight="1">
      <c r="A122" s="49"/>
      <c r="B122" s="49"/>
      <c r="C122" s="49"/>
      <c r="D122" s="49"/>
      <c r="E122" s="49"/>
      <c r="F122" s="49"/>
      <c r="G122" s="49"/>
      <c r="H122" s="49"/>
      <c r="I122" s="49"/>
      <c r="J122" s="49"/>
      <c r="K122" s="49"/>
      <c r="L122" s="49"/>
      <c r="M122" s="49"/>
      <c r="N122" s="49"/>
      <c r="O122" s="48"/>
      <c r="P122" s="48"/>
      <c r="Q122" s="48"/>
      <c r="R122" s="48"/>
      <c r="S122" s="48"/>
      <c r="T122" s="48"/>
      <c r="U122" s="48"/>
      <c r="V122" s="48"/>
      <c r="W122" s="48"/>
      <c r="X122" s="48"/>
      <c r="Y122" s="48"/>
      <c r="Z122" s="48"/>
    </row>
    <row r="123" ht="15.75" customHeight="1">
      <c r="A123" s="49"/>
      <c r="B123" s="49"/>
      <c r="C123" s="49"/>
      <c r="D123" s="49"/>
      <c r="E123" s="49"/>
      <c r="F123" s="49"/>
      <c r="G123" s="49"/>
      <c r="H123" s="49"/>
      <c r="I123" s="49"/>
      <c r="J123" s="49"/>
      <c r="K123" s="49"/>
      <c r="L123" s="49"/>
      <c r="M123" s="49"/>
      <c r="N123" s="49"/>
      <c r="O123" s="48"/>
      <c r="P123" s="48"/>
      <c r="Q123" s="48"/>
      <c r="R123" s="48"/>
      <c r="S123" s="48"/>
      <c r="T123" s="48"/>
      <c r="U123" s="48"/>
      <c r="V123" s="48"/>
      <c r="W123" s="48"/>
      <c r="X123" s="48"/>
      <c r="Y123" s="48"/>
      <c r="Z123" s="48"/>
    </row>
    <row r="124" ht="15.75" customHeight="1">
      <c r="A124" s="49"/>
      <c r="B124" s="49"/>
      <c r="C124" s="49"/>
      <c r="D124" s="49"/>
      <c r="E124" s="49"/>
      <c r="F124" s="49"/>
      <c r="G124" s="49"/>
      <c r="H124" s="49"/>
      <c r="I124" s="49"/>
      <c r="J124" s="49"/>
      <c r="K124" s="49"/>
      <c r="L124" s="49"/>
      <c r="M124" s="49"/>
      <c r="N124" s="49"/>
      <c r="O124" s="48"/>
      <c r="P124" s="48"/>
      <c r="Q124" s="48"/>
      <c r="R124" s="48"/>
      <c r="S124" s="48"/>
      <c r="T124" s="48"/>
      <c r="U124" s="48"/>
      <c r="V124" s="48"/>
      <c r="W124" s="48"/>
      <c r="X124" s="48"/>
      <c r="Y124" s="48"/>
      <c r="Z124" s="48"/>
    </row>
    <row r="125" ht="15.75" customHeight="1">
      <c r="A125" s="49"/>
      <c r="B125" s="49"/>
      <c r="C125" s="49"/>
      <c r="D125" s="49"/>
      <c r="E125" s="49"/>
      <c r="F125" s="49"/>
      <c r="G125" s="49"/>
      <c r="H125" s="49"/>
      <c r="I125" s="49"/>
      <c r="J125" s="49"/>
      <c r="K125" s="49"/>
      <c r="L125" s="49"/>
      <c r="M125" s="49"/>
      <c r="N125" s="49"/>
      <c r="O125" s="48"/>
      <c r="P125" s="48"/>
      <c r="Q125" s="48"/>
      <c r="R125" s="48"/>
      <c r="S125" s="48"/>
      <c r="T125" s="48"/>
      <c r="U125" s="48"/>
      <c r="V125" s="48"/>
      <c r="W125" s="48"/>
      <c r="X125" s="48"/>
      <c r="Y125" s="48"/>
      <c r="Z125" s="48"/>
    </row>
    <row r="126" ht="15.75" customHeight="1">
      <c r="A126" s="49"/>
      <c r="B126" s="49"/>
      <c r="C126" s="49"/>
      <c r="D126" s="49"/>
      <c r="E126" s="49"/>
      <c r="F126" s="49"/>
      <c r="G126" s="49"/>
      <c r="H126" s="49"/>
      <c r="I126" s="49"/>
      <c r="J126" s="49"/>
      <c r="K126" s="49"/>
      <c r="L126" s="49"/>
      <c r="M126" s="49"/>
      <c r="N126" s="49"/>
      <c r="O126" s="48"/>
      <c r="P126" s="48"/>
      <c r="Q126" s="48"/>
      <c r="R126" s="48"/>
      <c r="S126" s="48"/>
      <c r="T126" s="48"/>
      <c r="U126" s="48"/>
      <c r="V126" s="48"/>
      <c r="W126" s="48"/>
      <c r="X126" s="48"/>
      <c r="Y126" s="48"/>
      <c r="Z126" s="48"/>
    </row>
    <row r="127" ht="15.75" customHeight="1">
      <c r="A127" s="49"/>
      <c r="B127" s="49"/>
      <c r="C127" s="49"/>
      <c r="D127" s="49"/>
      <c r="E127" s="49"/>
      <c r="F127" s="49"/>
      <c r="G127" s="49"/>
      <c r="H127" s="49"/>
      <c r="I127" s="49"/>
      <c r="J127" s="49"/>
      <c r="K127" s="49"/>
      <c r="L127" s="49"/>
      <c r="M127" s="49"/>
      <c r="N127" s="49"/>
      <c r="O127" s="48"/>
      <c r="P127" s="48"/>
      <c r="Q127" s="48"/>
      <c r="R127" s="48"/>
      <c r="S127" s="48"/>
      <c r="T127" s="48"/>
      <c r="U127" s="48"/>
      <c r="V127" s="48"/>
      <c r="W127" s="48"/>
      <c r="X127" s="48"/>
      <c r="Y127" s="48"/>
      <c r="Z127" s="48"/>
    </row>
    <row r="128" ht="15.75" customHeight="1">
      <c r="A128" s="49"/>
      <c r="B128" s="49"/>
      <c r="C128" s="49"/>
      <c r="D128" s="49"/>
      <c r="E128" s="49"/>
      <c r="F128" s="49"/>
      <c r="G128" s="49"/>
      <c r="H128" s="49"/>
      <c r="I128" s="49"/>
      <c r="J128" s="49"/>
      <c r="K128" s="49"/>
      <c r="L128" s="49"/>
      <c r="M128" s="49"/>
      <c r="N128" s="49"/>
      <c r="O128" s="48"/>
      <c r="P128" s="48"/>
      <c r="Q128" s="48"/>
      <c r="R128" s="48"/>
      <c r="S128" s="48"/>
      <c r="T128" s="48"/>
      <c r="U128" s="48"/>
      <c r="V128" s="48"/>
      <c r="W128" s="48"/>
      <c r="X128" s="48"/>
      <c r="Y128" s="48"/>
      <c r="Z128" s="48"/>
    </row>
    <row r="129" ht="15.75" customHeight="1">
      <c r="A129" s="49"/>
      <c r="B129" s="49"/>
      <c r="C129" s="49"/>
      <c r="D129" s="49"/>
      <c r="E129" s="49"/>
      <c r="F129" s="49"/>
      <c r="G129" s="49"/>
      <c r="H129" s="49"/>
      <c r="I129" s="49"/>
      <c r="J129" s="49"/>
      <c r="K129" s="49"/>
      <c r="L129" s="49"/>
      <c r="M129" s="49"/>
      <c r="N129" s="49"/>
      <c r="O129" s="48"/>
      <c r="P129" s="48"/>
      <c r="Q129" s="48"/>
      <c r="R129" s="48"/>
      <c r="S129" s="48"/>
      <c r="T129" s="48"/>
      <c r="U129" s="48"/>
      <c r="V129" s="48"/>
      <c r="W129" s="48"/>
      <c r="X129" s="48"/>
      <c r="Y129" s="48"/>
      <c r="Z129" s="48"/>
    </row>
    <row r="130" ht="15.75" customHeight="1">
      <c r="A130" s="49"/>
      <c r="B130" s="49"/>
      <c r="C130" s="49"/>
      <c r="D130" s="49"/>
      <c r="E130" s="49"/>
      <c r="F130" s="49"/>
      <c r="G130" s="49"/>
      <c r="H130" s="49"/>
      <c r="I130" s="49"/>
      <c r="J130" s="49"/>
      <c r="K130" s="49"/>
      <c r="L130" s="49"/>
      <c r="M130" s="49"/>
      <c r="N130" s="49"/>
      <c r="O130" s="48"/>
      <c r="P130" s="48"/>
      <c r="Q130" s="48"/>
      <c r="R130" s="48"/>
      <c r="S130" s="48"/>
      <c r="T130" s="48"/>
      <c r="U130" s="48"/>
      <c r="V130" s="48"/>
      <c r="W130" s="48"/>
      <c r="X130" s="48"/>
      <c r="Y130" s="48"/>
      <c r="Z130" s="48"/>
    </row>
    <row r="131" ht="15.75" customHeight="1">
      <c r="A131" s="49"/>
      <c r="B131" s="49"/>
      <c r="C131" s="49"/>
      <c r="D131" s="49"/>
      <c r="E131" s="49"/>
      <c r="F131" s="49"/>
      <c r="G131" s="49"/>
      <c r="H131" s="49"/>
      <c r="I131" s="49"/>
      <c r="J131" s="49"/>
      <c r="K131" s="49"/>
      <c r="L131" s="49"/>
      <c r="M131" s="49"/>
      <c r="N131" s="49"/>
      <c r="O131" s="48"/>
      <c r="P131" s="48"/>
      <c r="Q131" s="48"/>
      <c r="R131" s="48"/>
      <c r="S131" s="48"/>
      <c r="T131" s="48"/>
      <c r="U131" s="48"/>
      <c r="V131" s="48"/>
      <c r="W131" s="48"/>
      <c r="X131" s="48"/>
      <c r="Y131" s="48"/>
      <c r="Z131" s="48"/>
    </row>
    <row r="132" ht="15.75" customHeight="1">
      <c r="A132" s="49"/>
      <c r="B132" s="49"/>
      <c r="C132" s="49"/>
      <c r="D132" s="49"/>
      <c r="E132" s="49"/>
      <c r="F132" s="49"/>
      <c r="G132" s="49"/>
      <c r="H132" s="49"/>
      <c r="I132" s="49"/>
      <c r="J132" s="49"/>
      <c r="K132" s="49"/>
      <c r="L132" s="49"/>
      <c r="M132" s="49"/>
      <c r="N132" s="49"/>
      <c r="O132" s="48"/>
      <c r="P132" s="48"/>
      <c r="Q132" s="48"/>
      <c r="R132" s="48"/>
      <c r="S132" s="48"/>
      <c r="T132" s="48"/>
      <c r="U132" s="48"/>
      <c r="V132" s="48"/>
      <c r="W132" s="48"/>
      <c r="X132" s="48"/>
      <c r="Y132" s="48"/>
      <c r="Z132" s="48"/>
    </row>
    <row r="133" ht="15.75" customHeight="1">
      <c r="A133" s="49"/>
      <c r="B133" s="49"/>
      <c r="C133" s="49"/>
      <c r="D133" s="49"/>
      <c r="E133" s="49"/>
      <c r="F133" s="49"/>
      <c r="G133" s="49"/>
      <c r="H133" s="49"/>
      <c r="I133" s="49"/>
      <c r="J133" s="49"/>
      <c r="K133" s="49"/>
      <c r="L133" s="49"/>
      <c r="M133" s="49"/>
      <c r="N133" s="49"/>
      <c r="O133" s="48"/>
      <c r="P133" s="48"/>
      <c r="Q133" s="48"/>
      <c r="R133" s="48"/>
      <c r="S133" s="48"/>
      <c r="T133" s="48"/>
      <c r="U133" s="48"/>
      <c r="V133" s="48"/>
      <c r="W133" s="48"/>
      <c r="X133" s="48"/>
      <c r="Y133" s="48"/>
      <c r="Z133" s="48"/>
    </row>
    <row r="134" ht="15.75" customHeight="1">
      <c r="A134" s="49"/>
      <c r="B134" s="49"/>
      <c r="C134" s="49"/>
      <c r="D134" s="49"/>
      <c r="E134" s="49"/>
      <c r="F134" s="49"/>
      <c r="G134" s="49"/>
      <c r="H134" s="49"/>
      <c r="I134" s="49"/>
      <c r="J134" s="49"/>
      <c r="K134" s="49"/>
      <c r="L134" s="49"/>
      <c r="M134" s="49"/>
      <c r="N134" s="49"/>
      <c r="O134" s="48"/>
      <c r="P134" s="48"/>
      <c r="Q134" s="48"/>
      <c r="R134" s="48"/>
      <c r="S134" s="48"/>
      <c r="T134" s="48"/>
      <c r="U134" s="48"/>
      <c r="V134" s="48"/>
      <c r="W134" s="48"/>
      <c r="X134" s="48"/>
      <c r="Y134" s="48"/>
      <c r="Z134" s="48"/>
    </row>
    <row r="135" ht="15.75" customHeight="1">
      <c r="A135" s="49"/>
      <c r="B135" s="49"/>
      <c r="C135" s="49"/>
      <c r="D135" s="49"/>
      <c r="E135" s="49"/>
      <c r="F135" s="49"/>
      <c r="G135" s="49"/>
      <c r="H135" s="49"/>
      <c r="I135" s="49"/>
      <c r="J135" s="49"/>
      <c r="K135" s="49"/>
      <c r="L135" s="49"/>
      <c r="M135" s="49"/>
      <c r="N135" s="49"/>
      <c r="O135" s="48"/>
      <c r="P135" s="48"/>
      <c r="Q135" s="48"/>
      <c r="R135" s="48"/>
      <c r="S135" s="48"/>
      <c r="T135" s="48"/>
      <c r="U135" s="48"/>
      <c r="V135" s="48"/>
      <c r="W135" s="48"/>
      <c r="X135" s="48"/>
      <c r="Y135" s="48"/>
      <c r="Z135" s="48"/>
    </row>
    <row r="136" ht="15.75" customHeight="1">
      <c r="A136" s="49"/>
      <c r="B136" s="49"/>
      <c r="C136" s="49"/>
      <c r="D136" s="49"/>
      <c r="E136" s="49"/>
      <c r="F136" s="49"/>
      <c r="G136" s="49"/>
      <c r="H136" s="49"/>
      <c r="I136" s="49"/>
      <c r="J136" s="49"/>
      <c r="K136" s="49"/>
      <c r="L136" s="49"/>
      <c r="M136" s="49"/>
      <c r="N136" s="49"/>
      <c r="O136" s="48"/>
      <c r="P136" s="48"/>
      <c r="Q136" s="48"/>
      <c r="R136" s="48"/>
      <c r="S136" s="48"/>
      <c r="T136" s="48"/>
      <c r="U136" s="48"/>
      <c r="V136" s="48"/>
      <c r="W136" s="48"/>
      <c r="X136" s="48"/>
      <c r="Y136" s="48"/>
      <c r="Z136" s="48"/>
    </row>
    <row r="137" ht="15.75" customHeight="1">
      <c r="A137" s="49"/>
      <c r="B137" s="49"/>
      <c r="C137" s="49"/>
      <c r="D137" s="49"/>
      <c r="E137" s="49"/>
      <c r="F137" s="49"/>
      <c r="G137" s="49"/>
      <c r="H137" s="49"/>
      <c r="I137" s="49"/>
      <c r="J137" s="49"/>
      <c r="K137" s="49"/>
      <c r="L137" s="49"/>
      <c r="M137" s="49"/>
      <c r="N137" s="49"/>
      <c r="O137" s="48"/>
      <c r="P137" s="48"/>
      <c r="Q137" s="48"/>
      <c r="R137" s="48"/>
      <c r="S137" s="48"/>
      <c r="T137" s="48"/>
      <c r="U137" s="48"/>
      <c r="V137" s="48"/>
      <c r="W137" s="48"/>
      <c r="X137" s="48"/>
      <c r="Y137" s="48"/>
      <c r="Z137" s="48"/>
    </row>
    <row r="138" ht="15.75" customHeight="1">
      <c r="A138" s="49"/>
      <c r="B138" s="49"/>
      <c r="C138" s="49"/>
      <c r="D138" s="49"/>
      <c r="E138" s="49"/>
      <c r="F138" s="49"/>
      <c r="G138" s="49"/>
      <c r="H138" s="49"/>
      <c r="I138" s="49"/>
      <c r="J138" s="49"/>
      <c r="K138" s="49"/>
      <c r="L138" s="49"/>
      <c r="M138" s="49"/>
      <c r="N138" s="49"/>
      <c r="O138" s="48"/>
      <c r="P138" s="48"/>
      <c r="Q138" s="48"/>
      <c r="R138" s="48"/>
      <c r="S138" s="48"/>
      <c r="T138" s="48"/>
      <c r="U138" s="48"/>
      <c r="V138" s="48"/>
      <c r="W138" s="48"/>
      <c r="X138" s="48"/>
      <c r="Y138" s="48"/>
      <c r="Z138" s="48"/>
    </row>
    <row r="139" ht="15.75" customHeight="1">
      <c r="A139" s="49"/>
      <c r="B139" s="49"/>
      <c r="C139" s="49"/>
      <c r="D139" s="49"/>
      <c r="E139" s="49"/>
      <c r="F139" s="49"/>
      <c r="G139" s="49"/>
      <c r="H139" s="49"/>
      <c r="I139" s="49"/>
      <c r="J139" s="49"/>
      <c r="K139" s="49"/>
      <c r="L139" s="49"/>
      <c r="M139" s="49"/>
      <c r="N139" s="49"/>
      <c r="O139" s="48"/>
      <c r="P139" s="48"/>
      <c r="Q139" s="48"/>
      <c r="R139" s="48"/>
      <c r="S139" s="48"/>
      <c r="T139" s="48"/>
      <c r="U139" s="48"/>
      <c r="V139" s="48"/>
      <c r="W139" s="48"/>
      <c r="X139" s="48"/>
      <c r="Y139" s="48"/>
      <c r="Z139" s="48"/>
    </row>
    <row r="140" ht="15.75" customHeight="1">
      <c r="A140" s="49"/>
      <c r="B140" s="49"/>
      <c r="C140" s="49"/>
      <c r="D140" s="49"/>
      <c r="E140" s="49"/>
      <c r="F140" s="49"/>
      <c r="G140" s="49"/>
      <c r="H140" s="49"/>
      <c r="I140" s="49"/>
      <c r="J140" s="49"/>
      <c r="K140" s="49"/>
      <c r="L140" s="49"/>
      <c r="M140" s="49"/>
      <c r="N140" s="49"/>
      <c r="O140" s="48"/>
      <c r="P140" s="48"/>
      <c r="Q140" s="48"/>
      <c r="R140" s="48"/>
      <c r="S140" s="48"/>
      <c r="T140" s="48"/>
      <c r="U140" s="48"/>
      <c r="V140" s="48"/>
      <c r="W140" s="48"/>
      <c r="X140" s="48"/>
      <c r="Y140" s="48"/>
      <c r="Z140" s="48"/>
    </row>
    <row r="141" ht="15.75" customHeight="1">
      <c r="A141" s="49"/>
      <c r="B141" s="49"/>
      <c r="C141" s="49"/>
      <c r="D141" s="49"/>
      <c r="E141" s="49"/>
      <c r="F141" s="49"/>
      <c r="G141" s="49"/>
      <c r="H141" s="49"/>
      <c r="I141" s="49"/>
      <c r="J141" s="49"/>
      <c r="K141" s="49"/>
      <c r="L141" s="49"/>
      <c r="M141" s="49"/>
      <c r="N141" s="49"/>
      <c r="O141" s="48"/>
      <c r="P141" s="48"/>
      <c r="Q141" s="48"/>
      <c r="R141" s="48"/>
      <c r="S141" s="48"/>
      <c r="T141" s="48"/>
      <c r="U141" s="48"/>
      <c r="V141" s="48"/>
      <c r="W141" s="48"/>
      <c r="X141" s="48"/>
      <c r="Y141" s="48"/>
      <c r="Z141" s="48"/>
    </row>
    <row r="142" ht="15.75" customHeight="1">
      <c r="A142" s="49"/>
      <c r="B142" s="49"/>
      <c r="C142" s="49"/>
      <c r="D142" s="49"/>
      <c r="E142" s="49"/>
      <c r="F142" s="49"/>
      <c r="G142" s="49"/>
      <c r="H142" s="49"/>
      <c r="I142" s="49"/>
      <c r="J142" s="49"/>
      <c r="K142" s="49"/>
      <c r="L142" s="49"/>
      <c r="M142" s="49"/>
      <c r="N142" s="49"/>
      <c r="O142" s="48"/>
      <c r="P142" s="48"/>
      <c r="Q142" s="48"/>
      <c r="R142" s="48"/>
      <c r="S142" s="48"/>
      <c r="T142" s="48"/>
      <c r="U142" s="48"/>
      <c r="V142" s="48"/>
      <c r="W142" s="48"/>
      <c r="X142" s="48"/>
      <c r="Y142" s="48"/>
      <c r="Z142" s="48"/>
    </row>
    <row r="143" ht="15.75" customHeight="1">
      <c r="A143" s="49"/>
      <c r="B143" s="49"/>
      <c r="C143" s="49"/>
      <c r="D143" s="49"/>
      <c r="E143" s="49"/>
      <c r="F143" s="49"/>
      <c r="G143" s="49"/>
      <c r="H143" s="49"/>
      <c r="I143" s="49"/>
      <c r="J143" s="49"/>
      <c r="K143" s="49"/>
      <c r="L143" s="49"/>
      <c r="M143" s="49"/>
      <c r="N143" s="49"/>
      <c r="O143" s="48"/>
      <c r="P143" s="48"/>
      <c r="Q143" s="48"/>
      <c r="R143" s="48"/>
      <c r="S143" s="48"/>
      <c r="T143" s="48"/>
      <c r="U143" s="48"/>
      <c r="V143" s="48"/>
      <c r="W143" s="48"/>
      <c r="X143" s="48"/>
      <c r="Y143" s="48"/>
      <c r="Z143" s="48"/>
    </row>
    <row r="144" ht="15.75" customHeight="1">
      <c r="A144" s="49"/>
      <c r="B144" s="49"/>
      <c r="C144" s="49"/>
      <c r="D144" s="49"/>
      <c r="E144" s="49"/>
      <c r="F144" s="49"/>
      <c r="G144" s="49"/>
      <c r="H144" s="49"/>
      <c r="I144" s="49"/>
      <c r="J144" s="49"/>
      <c r="K144" s="49"/>
      <c r="L144" s="49"/>
      <c r="M144" s="49"/>
      <c r="N144" s="49"/>
      <c r="O144" s="48"/>
      <c r="P144" s="48"/>
      <c r="Q144" s="48"/>
      <c r="R144" s="48"/>
      <c r="S144" s="48"/>
      <c r="T144" s="48"/>
      <c r="U144" s="48"/>
      <c r="V144" s="48"/>
      <c r="W144" s="48"/>
      <c r="X144" s="48"/>
      <c r="Y144" s="48"/>
      <c r="Z144" s="48"/>
    </row>
    <row r="145" ht="15.75" customHeight="1">
      <c r="A145" s="49"/>
      <c r="B145" s="49"/>
      <c r="C145" s="49"/>
      <c r="D145" s="49"/>
      <c r="E145" s="49"/>
      <c r="F145" s="49"/>
      <c r="G145" s="49"/>
      <c r="H145" s="49"/>
      <c r="I145" s="49"/>
      <c r="J145" s="49"/>
      <c r="K145" s="49"/>
      <c r="L145" s="49"/>
      <c r="M145" s="49"/>
      <c r="N145" s="49"/>
      <c r="O145" s="48"/>
      <c r="P145" s="48"/>
      <c r="Q145" s="48"/>
      <c r="R145" s="48"/>
      <c r="S145" s="48"/>
      <c r="T145" s="48"/>
      <c r="U145" s="48"/>
      <c r="V145" s="48"/>
      <c r="W145" s="48"/>
      <c r="X145" s="48"/>
      <c r="Y145" s="48"/>
      <c r="Z145" s="48"/>
    </row>
    <row r="146" ht="15.75" customHeight="1">
      <c r="A146" s="49"/>
      <c r="B146" s="49"/>
      <c r="C146" s="49"/>
      <c r="D146" s="49"/>
      <c r="E146" s="49"/>
      <c r="F146" s="49"/>
      <c r="G146" s="49"/>
      <c r="H146" s="49"/>
      <c r="I146" s="49"/>
      <c r="J146" s="49"/>
      <c r="K146" s="49"/>
      <c r="L146" s="49"/>
      <c r="M146" s="49"/>
      <c r="N146" s="49"/>
      <c r="O146" s="48"/>
      <c r="P146" s="48"/>
      <c r="Q146" s="48"/>
      <c r="R146" s="48"/>
      <c r="S146" s="48"/>
      <c r="T146" s="48"/>
      <c r="U146" s="48"/>
      <c r="V146" s="48"/>
      <c r="W146" s="48"/>
      <c r="X146" s="48"/>
      <c r="Y146" s="48"/>
      <c r="Z146" s="48"/>
    </row>
    <row r="147" ht="15.75" customHeight="1">
      <c r="A147" s="49"/>
      <c r="B147" s="49"/>
      <c r="C147" s="49"/>
      <c r="D147" s="49"/>
      <c r="E147" s="49"/>
      <c r="F147" s="49"/>
      <c r="G147" s="49"/>
      <c r="H147" s="49"/>
      <c r="I147" s="49"/>
      <c r="J147" s="49"/>
      <c r="K147" s="49"/>
      <c r="L147" s="49"/>
      <c r="M147" s="49"/>
      <c r="N147" s="49"/>
      <c r="O147" s="48"/>
      <c r="P147" s="48"/>
      <c r="Q147" s="48"/>
      <c r="R147" s="48"/>
      <c r="S147" s="48"/>
      <c r="T147" s="48"/>
      <c r="U147" s="48"/>
      <c r="V147" s="48"/>
      <c r="W147" s="48"/>
      <c r="X147" s="48"/>
      <c r="Y147" s="48"/>
      <c r="Z147" s="48"/>
    </row>
    <row r="148" ht="15.75" customHeight="1">
      <c r="A148" s="49"/>
      <c r="B148" s="49"/>
      <c r="C148" s="49"/>
      <c r="D148" s="49"/>
      <c r="E148" s="49"/>
      <c r="F148" s="49"/>
      <c r="G148" s="49"/>
      <c r="H148" s="49"/>
      <c r="I148" s="49"/>
      <c r="J148" s="49"/>
      <c r="K148" s="49"/>
      <c r="L148" s="49"/>
      <c r="M148" s="49"/>
      <c r="N148" s="49"/>
      <c r="O148" s="48"/>
      <c r="P148" s="48"/>
      <c r="Q148" s="48"/>
      <c r="R148" s="48"/>
      <c r="S148" s="48"/>
      <c r="T148" s="48"/>
      <c r="U148" s="48"/>
      <c r="V148" s="48"/>
      <c r="W148" s="48"/>
      <c r="X148" s="48"/>
      <c r="Y148" s="48"/>
      <c r="Z148" s="48"/>
    </row>
    <row r="149" ht="15.75" customHeight="1">
      <c r="A149" s="49"/>
      <c r="B149" s="49"/>
      <c r="C149" s="49"/>
      <c r="D149" s="49"/>
      <c r="E149" s="49"/>
      <c r="F149" s="49"/>
      <c r="G149" s="49"/>
      <c r="H149" s="49"/>
      <c r="I149" s="49"/>
      <c r="J149" s="49"/>
      <c r="K149" s="49"/>
      <c r="L149" s="49"/>
      <c r="M149" s="49"/>
      <c r="N149" s="49"/>
      <c r="O149" s="48"/>
      <c r="P149" s="48"/>
      <c r="Q149" s="48"/>
      <c r="R149" s="48"/>
      <c r="S149" s="48"/>
      <c r="T149" s="48"/>
      <c r="U149" s="48"/>
      <c r="V149" s="48"/>
      <c r="W149" s="48"/>
      <c r="X149" s="48"/>
      <c r="Y149" s="48"/>
      <c r="Z149" s="48"/>
    </row>
    <row r="150" ht="15.75" customHeight="1">
      <c r="A150" s="49"/>
      <c r="B150" s="49"/>
      <c r="C150" s="49"/>
      <c r="D150" s="49"/>
      <c r="E150" s="49"/>
      <c r="F150" s="49"/>
      <c r="G150" s="49"/>
      <c r="H150" s="49"/>
      <c r="I150" s="49"/>
      <c r="J150" s="49"/>
      <c r="K150" s="49"/>
      <c r="L150" s="49"/>
      <c r="M150" s="49"/>
      <c r="N150" s="49"/>
      <c r="O150" s="48"/>
      <c r="P150" s="48"/>
      <c r="Q150" s="48"/>
      <c r="R150" s="48"/>
      <c r="S150" s="48"/>
      <c r="T150" s="48"/>
      <c r="U150" s="48"/>
      <c r="V150" s="48"/>
      <c r="W150" s="48"/>
      <c r="X150" s="48"/>
      <c r="Y150" s="48"/>
      <c r="Z150" s="48"/>
    </row>
    <row r="151" ht="15.75" customHeight="1">
      <c r="A151" s="49"/>
      <c r="B151" s="49"/>
      <c r="C151" s="49"/>
      <c r="D151" s="49"/>
      <c r="E151" s="49"/>
      <c r="F151" s="49"/>
      <c r="G151" s="49"/>
      <c r="H151" s="49"/>
      <c r="I151" s="49"/>
      <c r="J151" s="49"/>
      <c r="K151" s="49"/>
      <c r="L151" s="49"/>
      <c r="M151" s="49"/>
      <c r="N151" s="49"/>
      <c r="O151" s="48"/>
      <c r="P151" s="48"/>
      <c r="Q151" s="48"/>
      <c r="R151" s="48"/>
      <c r="S151" s="48"/>
      <c r="T151" s="48"/>
      <c r="U151" s="48"/>
      <c r="V151" s="48"/>
      <c r="W151" s="48"/>
      <c r="X151" s="48"/>
      <c r="Y151" s="48"/>
      <c r="Z151" s="48"/>
    </row>
    <row r="152" ht="15.75" customHeight="1">
      <c r="A152" s="49"/>
      <c r="B152" s="49"/>
      <c r="C152" s="49"/>
      <c r="D152" s="49"/>
      <c r="E152" s="49"/>
      <c r="F152" s="49"/>
      <c r="G152" s="49"/>
      <c r="H152" s="49"/>
      <c r="I152" s="49"/>
      <c r="J152" s="49"/>
      <c r="K152" s="49"/>
      <c r="L152" s="49"/>
      <c r="M152" s="49"/>
      <c r="N152" s="49"/>
      <c r="O152" s="48"/>
      <c r="P152" s="48"/>
      <c r="Q152" s="48"/>
      <c r="R152" s="48"/>
      <c r="S152" s="48"/>
      <c r="T152" s="48"/>
      <c r="U152" s="48"/>
      <c r="V152" s="48"/>
      <c r="W152" s="48"/>
      <c r="X152" s="48"/>
      <c r="Y152" s="48"/>
      <c r="Z152" s="48"/>
    </row>
    <row r="153" ht="15.75" customHeight="1">
      <c r="A153" s="49"/>
      <c r="B153" s="49"/>
      <c r="C153" s="49"/>
      <c r="D153" s="49"/>
      <c r="E153" s="49"/>
      <c r="F153" s="49"/>
      <c r="G153" s="49"/>
      <c r="H153" s="49"/>
      <c r="I153" s="49"/>
      <c r="J153" s="49"/>
      <c r="K153" s="49"/>
      <c r="L153" s="49"/>
      <c r="M153" s="49"/>
      <c r="N153" s="49"/>
      <c r="O153" s="48"/>
      <c r="P153" s="48"/>
      <c r="Q153" s="48"/>
      <c r="R153" s="48"/>
      <c r="S153" s="48"/>
      <c r="T153" s="48"/>
      <c r="U153" s="48"/>
      <c r="V153" s="48"/>
      <c r="W153" s="48"/>
      <c r="X153" s="48"/>
      <c r="Y153" s="48"/>
      <c r="Z153" s="48"/>
    </row>
    <row r="154" ht="15.75" customHeight="1">
      <c r="A154" s="49"/>
      <c r="B154" s="49"/>
      <c r="C154" s="49"/>
      <c r="D154" s="49"/>
      <c r="E154" s="49"/>
      <c r="F154" s="49"/>
      <c r="G154" s="49"/>
      <c r="H154" s="49"/>
      <c r="I154" s="49"/>
      <c r="J154" s="49"/>
      <c r="K154" s="49"/>
      <c r="L154" s="49"/>
      <c r="M154" s="49"/>
      <c r="N154" s="49"/>
      <c r="O154" s="48"/>
      <c r="P154" s="48"/>
      <c r="Q154" s="48"/>
      <c r="R154" s="48"/>
      <c r="S154" s="48"/>
      <c r="T154" s="48"/>
      <c r="U154" s="48"/>
      <c r="V154" s="48"/>
      <c r="W154" s="48"/>
      <c r="X154" s="48"/>
      <c r="Y154" s="48"/>
      <c r="Z154" s="48"/>
    </row>
    <row r="155" ht="15.75" customHeight="1">
      <c r="A155" s="49"/>
      <c r="B155" s="49"/>
      <c r="C155" s="49"/>
      <c r="D155" s="49"/>
      <c r="E155" s="49"/>
      <c r="F155" s="49"/>
      <c r="G155" s="49"/>
      <c r="H155" s="49"/>
      <c r="I155" s="49"/>
      <c r="J155" s="49"/>
      <c r="K155" s="49"/>
      <c r="L155" s="49"/>
      <c r="M155" s="49"/>
      <c r="N155" s="49"/>
      <c r="O155" s="48"/>
      <c r="P155" s="48"/>
      <c r="Q155" s="48"/>
      <c r="R155" s="48"/>
      <c r="S155" s="48"/>
      <c r="T155" s="48"/>
      <c r="U155" s="48"/>
      <c r="V155" s="48"/>
      <c r="W155" s="48"/>
      <c r="X155" s="48"/>
      <c r="Y155" s="48"/>
      <c r="Z155" s="48"/>
    </row>
    <row r="156" ht="15.75" customHeight="1">
      <c r="A156" s="49"/>
      <c r="B156" s="49"/>
      <c r="C156" s="49"/>
      <c r="D156" s="49"/>
      <c r="E156" s="49"/>
      <c r="F156" s="49"/>
      <c r="G156" s="49"/>
      <c r="H156" s="49"/>
      <c r="I156" s="49"/>
      <c r="J156" s="49"/>
      <c r="K156" s="49"/>
      <c r="L156" s="49"/>
      <c r="M156" s="49"/>
      <c r="N156" s="49"/>
      <c r="O156" s="48"/>
      <c r="P156" s="48"/>
      <c r="Q156" s="48"/>
      <c r="R156" s="48"/>
      <c r="S156" s="48"/>
      <c r="T156" s="48"/>
      <c r="U156" s="48"/>
      <c r="V156" s="48"/>
      <c r="W156" s="48"/>
      <c r="X156" s="48"/>
      <c r="Y156" s="48"/>
      <c r="Z156" s="48"/>
    </row>
    <row r="157" ht="15.75" customHeight="1">
      <c r="A157" s="49"/>
      <c r="B157" s="49"/>
      <c r="C157" s="49"/>
      <c r="D157" s="49"/>
      <c r="E157" s="49"/>
      <c r="F157" s="49"/>
      <c r="G157" s="49"/>
      <c r="H157" s="49"/>
      <c r="I157" s="49"/>
      <c r="J157" s="49"/>
      <c r="K157" s="49"/>
      <c r="L157" s="49"/>
      <c r="M157" s="49"/>
      <c r="N157" s="49"/>
      <c r="O157" s="48"/>
      <c r="P157" s="48"/>
      <c r="Q157" s="48"/>
      <c r="R157" s="48"/>
      <c r="S157" s="48"/>
      <c r="T157" s="48"/>
      <c r="U157" s="48"/>
      <c r="V157" s="48"/>
      <c r="W157" s="48"/>
      <c r="X157" s="48"/>
      <c r="Y157" s="48"/>
      <c r="Z157" s="48"/>
    </row>
    <row r="158" ht="15.75" customHeight="1">
      <c r="A158" s="49"/>
      <c r="B158" s="49"/>
      <c r="C158" s="49"/>
      <c r="D158" s="49"/>
      <c r="E158" s="49"/>
      <c r="F158" s="49"/>
      <c r="G158" s="49"/>
      <c r="H158" s="49"/>
      <c r="I158" s="49"/>
      <c r="J158" s="49"/>
      <c r="K158" s="49"/>
      <c r="L158" s="49"/>
      <c r="M158" s="49"/>
      <c r="N158" s="49"/>
      <c r="O158" s="48"/>
      <c r="P158" s="48"/>
      <c r="Q158" s="48"/>
      <c r="R158" s="48"/>
      <c r="S158" s="48"/>
      <c r="T158" s="48"/>
      <c r="U158" s="48"/>
      <c r="V158" s="48"/>
      <c r="W158" s="48"/>
      <c r="X158" s="48"/>
      <c r="Y158" s="48"/>
      <c r="Z158" s="48"/>
    </row>
    <row r="159" ht="15.75" customHeight="1">
      <c r="A159" s="49"/>
      <c r="B159" s="49"/>
      <c r="C159" s="49"/>
      <c r="D159" s="49"/>
      <c r="E159" s="49"/>
      <c r="F159" s="49"/>
      <c r="G159" s="49"/>
      <c r="H159" s="49"/>
      <c r="I159" s="49"/>
      <c r="J159" s="49"/>
      <c r="K159" s="49"/>
      <c r="L159" s="49"/>
      <c r="M159" s="49"/>
      <c r="N159" s="49"/>
      <c r="O159" s="48"/>
      <c r="P159" s="48"/>
      <c r="Q159" s="48"/>
      <c r="R159" s="48"/>
      <c r="S159" s="48"/>
      <c r="T159" s="48"/>
      <c r="U159" s="48"/>
      <c r="V159" s="48"/>
      <c r="W159" s="48"/>
      <c r="X159" s="48"/>
      <c r="Y159" s="48"/>
      <c r="Z159" s="48"/>
    </row>
    <row r="160" ht="15.75" customHeight="1">
      <c r="A160" s="49"/>
      <c r="B160" s="49"/>
      <c r="C160" s="49"/>
      <c r="D160" s="49"/>
      <c r="E160" s="49"/>
      <c r="F160" s="49"/>
      <c r="G160" s="49"/>
      <c r="H160" s="49"/>
      <c r="I160" s="49"/>
      <c r="J160" s="49"/>
      <c r="K160" s="49"/>
      <c r="L160" s="49"/>
      <c r="M160" s="49"/>
      <c r="N160" s="49"/>
      <c r="O160" s="48"/>
      <c r="P160" s="48"/>
      <c r="Q160" s="48"/>
      <c r="R160" s="48"/>
      <c r="S160" s="48"/>
      <c r="T160" s="48"/>
      <c r="U160" s="48"/>
      <c r="V160" s="48"/>
      <c r="W160" s="48"/>
      <c r="X160" s="48"/>
      <c r="Y160" s="48"/>
      <c r="Z160" s="48"/>
    </row>
    <row r="161" ht="15.75" customHeight="1">
      <c r="A161" s="49"/>
      <c r="B161" s="49"/>
      <c r="C161" s="49"/>
      <c r="D161" s="49"/>
      <c r="E161" s="49"/>
      <c r="F161" s="49"/>
      <c r="G161" s="49"/>
      <c r="H161" s="49"/>
      <c r="I161" s="49"/>
      <c r="J161" s="49"/>
      <c r="K161" s="49"/>
      <c r="L161" s="49"/>
      <c r="M161" s="49"/>
      <c r="N161" s="49"/>
      <c r="O161" s="48"/>
      <c r="P161" s="48"/>
      <c r="Q161" s="48"/>
      <c r="R161" s="48"/>
      <c r="S161" s="48"/>
      <c r="T161" s="48"/>
      <c r="U161" s="48"/>
      <c r="V161" s="48"/>
      <c r="W161" s="48"/>
      <c r="X161" s="48"/>
      <c r="Y161" s="48"/>
      <c r="Z161" s="48"/>
    </row>
    <row r="162" ht="15.75" customHeight="1">
      <c r="A162" s="49"/>
      <c r="B162" s="49"/>
      <c r="C162" s="49"/>
      <c r="D162" s="49"/>
      <c r="E162" s="49"/>
      <c r="F162" s="49"/>
      <c r="G162" s="49"/>
      <c r="H162" s="49"/>
      <c r="I162" s="49"/>
      <c r="J162" s="49"/>
      <c r="K162" s="49"/>
      <c r="L162" s="49"/>
      <c r="M162" s="49"/>
      <c r="N162" s="49"/>
      <c r="O162" s="48"/>
      <c r="P162" s="48"/>
      <c r="Q162" s="48"/>
      <c r="R162" s="48"/>
      <c r="S162" s="48"/>
      <c r="T162" s="48"/>
      <c r="U162" s="48"/>
      <c r="V162" s="48"/>
      <c r="W162" s="48"/>
      <c r="X162" s="48"/>
      <c r="Y162" s="48"/>
      <c r="Z162" s="48"/>
    </row>
    <row r="163" ht="15.75" customHeight="1">
      <c r="A163" s="49"/>
      <c r="B163" s="49"/>
      <c r="C163" s="49"/>
      <c r="D163" s="49"/>
      <c r="E163" s="49"/>
      <c r="F163" s="49"/>
      <c r="G163" s="49"/>
      <c r="H163" s="49"/>
      <c r="I163" s="49"/>
      <c r="J163" s="49"/>
      <c r="K163" s="49"/>
      <c r="L163" s="49"/>
      <c r="M163" s="49"/>
      <c r="N163" s="49"/>
      <c r="O163" s="48"/>
      <c r="P163" s="48"/>
      <c r="Q163" s="48"/>
      <c r="R163" s="48"/>
      <c r="S163" s="48"/>
      <c r="T163" s="48"/>
      <c r="U163" s="48"/>
      <c r="V163" s="48"/>
      <c r="W163" s="48"/>
      <c r="X163" s="48"/>
      <c r="Y163" s="48"/>
      <c r="Z163" s="48"/>
    </row>
    <row r="164" ht="15.75" customHeight="1">
      <c r="A164" s="49"/>
      <c r="B164" s="49"/>
      <c r="C164" s="49"/>
      <c r="D164" s="49"/>
      <c r="E164" s="49"/>
      <c r="F164" s="49"/>
      <c r="G164" s="49"/>
      <c r="H164" s="49"/>
      <c r="I164" s="49"/>
      <c r="J164" s="49"/>
      <c r="K164" s="49"/>
      <c r="L164" s="49"/>
      <c r="M164" s="49"/>
      <c r="N164" s="49"/>
      <c r="O164" s="48"/>
      <c r="P164" s="48"/>
      <c r="Q164" s="48"/>
      <c r="R164" s="48"/>
      <c r="S164" s="48"/>
      <c r="T164" s="48"/>
      <c r="U164" s="48"/>
      <c r="V164" s="48"/>
      <c r="W164" s="48"/>
      <c r="X164" s="48"/>
      <c r="Y164" s="48"/>
      <c r="Z164" s="48"/>
    </row>
    <row r="165" ht="15.75" customHeight="1">
      <c r="A165" s="49"/>
      <c r="B165" s="49"/>
      <c r="C165" s="49"/>
      <c r="D165" s="49"/>
      <c r="E165" s="49"/>
      <c r="F165" s="49"/>
      <c r="G165" s="49"/>
      <c r="H165" s="49"/>
      <c r="I165" s="49"/>
      <c r="J165" s="49"/>
      <c r="K165" s="49"/>
      <c r="L165" s="49"/>
      <c r="M165" s="49"/>
      <c r="N165" s="49"/>
      <c r="O165" s="48"/>
      <c r="P165" s="48"/>
      <c r="Q165" s="48"/>
      <c r="R165" s="48"/>
      <c r="S165" s="48"/>
      <c r="T165" s="48"/>
      <c r="U165" s="48"/>
      <c r="V165" s="48"/>
      <c r="W165" s="48"/>
      <c r="X165" s="48"/>
      <c r="Y165" s="48"/>
      <c r="Z165" s="48"/>
    </row>
    <row r="166" ht="15.75" customHeight="1">
      <c r="A166" s="49"/>
      <c r="B166" s="49"/>
      <c r="C166" s="49"/>
      <c r="D166" s="49"/>
      <c r="E166" s="49"/>
      <c r="F166" s="49"/>
      <c r="G166" s="49"/>
      <c r="H166" s="49"/>
      <c r="I166" s="49"/>
      <c r="J166" s="49"/>
      <c r="K166" s="49"/>
      <c r="L166" s="49"/>
      <c r="M166" s="49"/>
      <c r="N166" s="49"/>
      <c r="O166" s="48"/>
      <c r="P166" s="48"/>
      <c r="Q166" s="48"/>
      <c r="R166" s="48"/>
      <c r="S166" s="48"/>
      <c r="T166" s="48"/>
      <c r="U166" s="48"/>
      <c r="V166" s="48"/>
      <c r="W166" s="48"/>
      <c r="X166" s="48"/>
      <c r="Y166" s="48"/>
      <c r="Z166" s="48"/>
    </row>
    <row r="167" ht="15.75" customHeight="1">
      <c r="A167" s="49"/>
      <c r="B167" s="49"/>
      <c r="C167" s="49"/>
      <c r="D167" s="49"/>
      <c r="E167" s="49"/>
      <c r="F167" s="49"/>
      <c r="G167" s="49"/>
      <c r="H167" s="49"/>
      <c r="I167" s="49"/>
      <c r="J167" s="49"/>
      <c r="K167" s="49"/>
      <c r="L167" s="49"/>
      <c r="M167" s="49"/>
      <c r="N167" s="49"/>
      <c r="O167" s="48"/>
      <c r="P167" s="48"/>
      <c r="Q167" s="48"/>
      <c r="R167" s="48"/>
      <c r="S167" s="48"/>
      <c r="T167" s="48"/>
      <c r="U167" s="48"/>
      <c r="V167" s="48"/>
      <c r="W167" s="48"/>
      <c r="X167" s="48"/>
      <c r="Y167" s="48"/>
      <c r="Z167" s="48"/>
    </row>
    <row r="168" ht="15.75" customHeight="1">
      <c r="A168" s="49"/>
      <c r="B168" s="49"/>
      <c r="C168" s="49"/>
      <c r="D168" s="49"/>
      <c r="E168" s="49"/>
      <c r="F168" s="49"/>
      <c r="G168" s="49"/>
      <c r="H168" s="49"/>
      <c r="I168" s="49"/>
      <c r="J168" s="49"/>
      <c r="K168" s="49"/>
      <c r="L168" s="49"/>
      <c r="M168" s="49"/>
      <c r="N168" s="49"/>
      <c r="O168" s="48"/>
      <c r="P168" s="48"/>
      <c r="Q168" s="48"/>
      <c r="R168" s="48"/>
      <c r="S168" s="48"/>
      <c r="T168" s="48"/>
      <c r="U168" s="48"/>
      <c r="V168" s="48"/>
      <c r="W168" s="48"/>
      <c r="X168" s="48"/>
      <c r="Y168" s="48"/>
      <c r="Z168" s="48"/>
    </row>
    <row r="169" ht="15.75" customHeight="1">
      <c r="A169" s="49"/>
      <c r="B169" s="49"/>
      <c r="C169" s="49"/>
      <c r="D169" s="49"/>
      <c r="E169" s="49"/>
      <c r="F169" s="49"/>
      <c r="G169" s="49"/>
      <c r="H169" s="49"/>
      <c r="I169" s="49"/>
      <c r="J169" s="49"/>
      <c r="K169" s="49"/>
      <c r="L169" s="49"/>
      <c r="M169" s="49"/>
      <c r="N169" s="49"/>
      <c r="O169" s="48"/>
      <c r="P169" s="48"/>
      <c r="Q169" s="48"/>
      <c r="R169" s="48"/>
      <c r="S169" s="48"/>
      <c r="T169" s="48"/>
      <c r="U169" s="48"/>
      <c r="V169" s="48"/>
      <c r="W169" s="48"/>
      <c r="X169" s="48"/>
      <c r="Y169" s="48"/>
      <c r="Z169" s="48"/>
    </row>
    <row r="170" ht="15.75" customHeight="1">
      <c r="A170" s="49"/>
      <c r="B170" s="49"/>
      <c r="C170" s="49"/>
      <c r="D170" s="49"/>
      <c r="E170" s="49"/>
      <c r="F170" s="49"/>
      <c r="G170" s="49"/>
      <c r="H170" s="49"/>
      <c r="I170" s="49"/>
      <c r="J170" s="49"/>
      <c r="K170" s="49"/>
      <c r="L170" s="49"/>
      <c r="M170" s="49"/>
      <c r="N170" s="49"/>
      <c r="O170" s="48"/>
      <c r="P170" s="48"/>
      <c r="Q170" s="48"/>
      <c r="R170" s="48"/>
      <c r="S170" s="48"/>
      <c r="T170" s="48"/>
      <c r="U170" s="48"/>
      <c r="V170" s="48"/>
      <c r="W170" s="48"/>
      <c r="X170" s="48"/>
      <c r="Y170" s="48"/>
      <c r="Z170" s="48"/>
    </row>
    <row r="171" ht="15.75" customHeight="1">
      <c r="A171" s="49"/>
      <c r="B171" s="49"/>
      <c r="C171" s="49"/>
      <c r="D171" s="49"/>
      <c r="E171" s="49"/>
      <c r="F171" s="49"/>
      <c r="G171" s="49"/>
      <c r="H171" s="49"/>
      <c r="I171" s="49"/>
      <c r="J171" s="49"/>
      <c r="K171" s="49"/>
      <c r="L171" s="49"/>
      <c r="M171" s="49"/>
      <c r="N171" s="49"/>
      <c r="O171" s="48"/>
      <c r="P171" s="48"/>
      <c r="Q171" s="48"/>
      <c r="R171" s="48"/>
      <c r="S171" s="48"/>
      <c r="T171" s="48"/>
      <c r="U171" s="48"/>
      <c r="V171" s="48"/>
      <c r="W171" s="48"/>
      <c r="X171" s="48"/>
      <c r="Y171" s="48"/>
      <c r="Z171" s="48"/>
    </row>
    <row r="172" ht="15.75" customHeight="1">
      <c r="A172" s="49"/>
      <c r="B172" s="49"/>
      <c r="C172" s="49"/>
      <c r="D172" s="49"/>
      <c r="E172" s="49"/>
      <c r="F172" s="49"/>
      <c r="G172" s="49"/>
      <c r="H172" s="49"/>
      <c r="I172" s="49"/>
      <c r="J172" s="49"/>
      <c r="K172" s="49"/>
      <c r="L172" s="49"/>
      <c r="M172" s="49"/>
      <c r="N172" s="49"/>
      <c r="O172" s="48"/>
      <c r="P172" s="48"/>
      <c r="Q172" s="48"/>
      <c r="R172" s="48"/>
      <c r="S172" s="48"/>
      <c r="T172" s="48"/>
      <c r="U172" s="48"/>
      <c r="V172" s="48"/>
      <c r="W172" s="48"/>
      <c r="X172" s="48"/>
      <c r="Y172" s="48"/>
      <c r="Z172" s="48"/>
    </row>
    <row r="173" ht="15.75" customHeight="1">
      <c r="A173" s="49"/>
      <c r="B173" s="49"/>
      <c r="C173" s="49"/>
      <c r="D173" s="49"/>
      <c r="E173" s="49"/>
      <c r="F173" s="49"/>
      <c r="G173" s="49"/>
      <c r="H173" s="49"/>
      <c r="I173" s="49"/>
      <c r="J173" s="49"/>
      <c r="K173" s="49"/>
      <c r="L173" s="49"/>
      <c r="M173" s="49"/>
      <c r="N173" s="49"/>
      <c r="O173" s="48"/>
      <c r="P173" s="48"/>
      <c r="Q173" s="48"/>
      <c r="R173" s="48"/>
      <c r="S173" s="48"/>
      <c r="T173" s="48"/>
      <c r="U173" s="48"/>
      <c r="V173" s="48"/>
      <c r="W173" s="48"/>
      <c r="X173" s="48"/>
      <c r="Y173" s="48"/>
      <c r="Z173" s="48"/>
    </row>
    <row r="174" ht="15.75" customHeight="1">
      <c r="A174" s="49"/>
      <c r="B174" s="49"/>
      <c r="C174" s="49"/>
      <c r="D174" s="49"/>
      <c r="E174" s="49"/>
      <c r="F174" s="49"/>
      <c r="G174" s="49"/>
      <c r="H174" s="49"/>
      <c r="I174" s="49"/>
      <c r="J174" s="49"/>
      <c r="K174" s="49"/>
      <c r="L174" s="49"/>
      <c r="M174" s="49"/>
      <c r="N174" s="49"/>
      <c r="O174" s="48"/>
      <c r="P174" s="48"/>
      <c r="Q174" s="48"/>
      <c r="R174" s="48"/>
      <c r="S174" s="48"/>
      <c r="T174" s="48"/>
      <c r="U174" s="48"/>
      <c r="V174" s="48"/>
      <c r="W174" s="48"/>
      <c r="X174" s="48"/>
      <c r="Y174" s="48"/>
      <c r="Z174" s="48"/>
    </row>
    <row r="175" ht="15.75" customHeight="1">
      <c r="A175" s="49"/>
      <c r="B175" s="49"/>
      <c r="C175" s="49"/>
      <c r="D175" s="49"/>
      <c r="E175" s="49"/>
      <c r="F175" s="49"/>
      <c r="G175" s="49"/>
      <c r="H175" s="49"/>
      <c r="I175" s="49"/>
      <c r="J175" s="49"/>
      <c r="K175" s="49"/>
      <c r="L175" s="49"/>
      <c r="M175" s="49"/>
      <c r="N175" s="49"/>
      <c r="O175" s="48"/>
      <c r="P175" s="48"/>
      <c r="Q175" s="48"/>
      <c r="R175" s="48"/>
      <c r="S175" s="48"/>
      <c r="T175" s="48"/>
      <c r="U175" s="48"/>
      <c r="V175" s="48"/>
      <c r="W175" s="48"/>
      <c r="X175" s="48"/>
      <c r="Y175" s="48"/>
      <c r="Z175" s="48"/>
    </row>
    <row r="176" ht="15.75" customHeight="1">
      <c r="A176" s="49"/>
      <c r="B176" s="49"/>
      <c r="C176" s="49"/>
      <c r="D176" s="49"/>
      <c r="E176" s="49"/>
      <c r="F176" s="49"/>
      <c r="G176" s="49"/>
      <c r="H176" s="49"/>
      <c r="I176" s="49"/>
      <c r="J176" s="49"/>
      <c r="K176" s="49"/>
      <c r="L176" s="49"/>
      <c r="M176" s="49"/>
      <c r="N176" s="49"/>
      <c r="O176" s="48"/>
      <c r="P176" s="48"/>
      <c r="Q176" s="48"/>
      <c r="R176" s="48"/>
      <c r="S176" s="48"/>
      <c r="T176" s="48"/>
      <c r="U176" s="48"/>
      <c r="V176" s="48"/>
      <c r="W176" s="48"/>
      <c r="X176" s="48"/>
      <c r="Y176" s="48"/>
      <c r="Z176" s="48"/>
    </row>
    <row r="177" ht="15.75" customHeight="1">
      <c r="A177" s="49"/>
      <c r="B177" s="49"/>
      <c r="C177" s="49"/>
      <c r="D177" s="49"/>
      <c r="E177" s="49"/>
      <c r="F177" s="49"/>
      <c r="G177" s="49"/>
      <c r="H177" s="49"/>
      <c r="I177" s="49"/>
      <c r="J177" s="49"/>
      <c r="K177" s="49"/>
      <c r="L177" s="49"/>
      <c r="M177" s="49"/>
      <c r="N177" s="49"/>
      <c r="O177" s="48"/>
      <c r="P177" s="48"/>
      <c r="Q177" s="48"/>
      <c r="R177" s="48"/>
      <c r="S177" s="48"/>
      <c r="T177" s="48"/>
      <c r="U177" s="48"/>
      <c r="V177" s="48"/>
      <c r="W177" s="48"/>
      <c r="X177" s="48"/>
      <c r="Y177" s="48"/>
      <c r="Z177" s="48"/>
    </row>
    <row r="178" ht="15.75" customHeight="1">
      <c r="A178" s="49"/>
      <c r="B178" s="49"/>
      <c r="C178" s="49"/>
      <c r="D178" s="49"/>
      <c r="E178" s="49"/>
      <c r="F178" s="49"/>
      <c r="G178" s="49"/>
      <c r="H178" s="49"/>
      <c r="I178" s="49"/>
      <c r="J178" s="49"/>
      <c r="K178" s="49"/>
      <c r="L178" s="49"/>
      <c r="M178" s="49"/>
      <c r="N178" s="49"/>
      <c r="O178" s="48"/>
      <c r="P178" s="48"/>
      <c r="Q178" s="48"/>
      <c r="R178" s="48"/>
      <c r="S178" s="48"/>
      <c r="T178" s="48"/>
      <c r="U178" s="48"/>
      <c r="V178" s="48"/>
      <c r="W178" s="48"/>
      <c r="X178" s="48"/>
      <c r="Y178" s="48"/>
      <c r="Z178" s="48"/>
    </row>
    <row r="179" ht="15.75" customHeight="1">
      <c r="A179" s="49"/>
      <c r="B179" s="49"/>
      <c r="C179" s="49"/>
      <c r="D179" s="49"/>
      <c r="E179" s="49"/>
      <c r="F179" s="49"/>
      <c r="G179" s="49"/>
      <c r="H179" s="49"/>
      <c r="I179" s="49"/>
      <c r="J179" s="49"/>
      <c r="K179" s="49"/>
      <c r="L179" s="49"/>
      <c r="M179" s="49"/>
      <c r="N179" s="49"/>
      <c r="O179" s="48"/>
      <c r="P179" s="48"/>
      <c r="Q179" s="48"/>
      <c r="R179" s="48"/>
      <c r="S179" s="48"/>
      <c r="T179" s="48"/>
      <c r="U179" s="48"/>
      <c r="V179" s="48"/>
      <c r="W179" s="48"/>
      <c r="X179" s="48"/>
      <c r="Y179" s="48"/>
      <c r="Z179" s="48"/>
    </row>
    <row r="180" ht="15.75" customHeight="1">
      <c r="A180" s="49"/>
      <c r="B180" s="49"/>
      <c r="C180" s="49"/>
      <c r="D180" s="49"/>
      <c r="E180" s="49"/>
      <c r="F180" s="49"/>
      <c r="G180" s="49"/>
      <c r="H180" s="49"/>
      <c r="I180" s="49"/>
      <c r="J180" s="49"/>
      <c r="K180" s="49"/>
      <c r="L180" s="49"/>
      <c r="M180" s="49"/>
      <c r="N180" s="49"/>
      <c r="O180" s="48"/>
      <c r="P180" s="48"/>
      <c r="Q180" s="48"/>
      <c r="R180" s="48"/>
      <c r="S180" s="48"/>
      <c r="T180" s="48"/>
      <c r="U180" s="48"/>
      <c r="V180" s="48"/>
      <c r="W180" s="48"/>
      <c r="X180" s="48"/>
      <c r="Y180" s="48"/>
      <c r="Z180" s="48"/>
    </row>
    <row r="181" ht="15.75" customHeight="1">
      <c r="A181" s="49"/>
      <c r="B181" s="49"/>
      <c r="C181" s="49"/>
      <c r="D181" s="49"/>
      <c r="E181" s="49"/>
      <c r="F181" s="49"/>
      <c r="G181" s="49"/>
      <c r="H181" s="49"/>
      <c r="I181" s="49"/>
      <c r="J181" s="49"/>
      <c r="K181" s="49"/>
      <c r="L181" s="49"/>
      <c r="M181" s="49"/>
      <c r="N181" s="49"/>
      <c r="O181" s="48"/>
      <c r="P181" s="48"/>
      <c r="Q181" s="48"/>
      <c r="R181" s="48"/>
      <c r="S181" s="48"/>
      <c r="T181" s="48"/>
      <c r="U181" s="48"/>
      <c r="V181" s="48"/>
      <c r="W181" s="48"/>
      <c r="X181" s="48"/>
      <c r="Y181" s="48"/>
      <c r="Z181" s="48"/>
    </row>
    <row r="182" ht="15.75" customHeight="1">
      <c r="A182" s="49"/>
      <c r="B182" s="49"/>
      <c r="C182" s="49"/>
      <c r="D182" s="49"/>
      <c r="E182" s="49"/>
      <c r="F182" s="49"/>
      <c r="G182" s="49"/>
      <c r="H182" s="49"/>
      <c r="I182" s="49"/>
      <c r="J182" s="49"/>
      <c r="K182" s="49"/>
      <c r="L182" s="49"/>
      <c r="M182" s="49"/>
      <c r="N182" s="49"/>
      <c r="O182" s="48"/>
      <c r="P182" s="48"/>
      <c r="Q182" s="48"/>
      <c r="R182" s="48"/>
      <c r="S182" s="48"/>
      <c r="T182" s="48"/>
      <c r="U182" s="48"/>
      <c r="V182" s="48"/>
      <c r="W182" s="48"/>
      <c r="X182" s="48"/>
      <c r="Y182" s="48"/>
      <c r="Z182" s="48"/>
    </row>
    <row r="183" ht="15.75" customHeight="1">
      <c r="A183" s="49"/>
      <c r="B183" s="49"/>
      <c r="C183" s="49"/>
      <c r="D183" s="49"/>
      <c r="E183" s="49"/>
      <c r="F183" s="49"/>
      <c r="G183" s="49"/>
      <c r="H183" s="49"/>
      <c r="I183" s="49"/>
      <c r="J183" s="49"/>
      <c r="K183" s="49"/>
      <c r="L183" s="49"/>
      <c r="M183" s="49"/>
      <c r="N183" s="49"/>
      <c r="O183" s="48"/>
      <c r="P183" s="48"/>
      <c r="Q183" s="48"/>
      <c r="R183" s="48"/>
      <c r="S183" s="48"/>
      <c r="T183" s="48"/>
      <c r="U183" s="48"/>
      <c r="V183" s="48"/>
      <c r="W183" s="48"/>
      <c r="X183" s="48"/>
      <c r="Y183" s="48"/>
      <c r="Z183" s="48"/>
    </row>
    <row r="184" ht="15.75" customHeight="1">
      <c r="A184" s="49"/>
      <c r="B184" s="49"/>
      <c r="C184" s="49"/>
      <c r="D184" s="49"/>
      <c r="E184" s="49"/>
      <c r="F184" s="49"/>
      <c r="G184" s="49"/>
      <c r="H184" s="49"/>
      <c r="I184" s="49"/>
      <c r="J184" s="49"/>
      <c r="K184" s="49"/>
      <c r="L184" s="49"/>
      <c r="M184" s="49"/>
      <c r="N184" s="49"/>
      <c r="O184" s="48"/>
      <c r="P184" s="48"/>
      <c r="Q184" s="48"/>
      <c r="R184" s="48"/>
      <c r="S184" s="48"/>
      <c r="T184" s="48"/>
      <c r="U184" s="48"/>
      <c r="V184" s="48"/>
      <c r="W184" s="48"/>
      <c r="X184" s="48"/>
      <c r="Y184" s="48"/>
      <c r="Z184" s="48"/>
    </row>
    <row r="185" ht="15.75" customHeight="1">
      <c r="A185" s="49"/>
      <c r="B185" s="49"/>
      <c r="C185" s="49"/>
      <c r="D185" s="49"/>
      <c r="E185" s="49"/>
      <c r="F185" s="49"/>
      <c r="G185" s="49"/>
      <c r="H185" s="49"/>
      <c r="I185" s="49"/>
      <c r="J185" s="49"/>
      <c r="K185" s="49"/>
      <c r="L185" s="49"/>
      <c r="M185" s="49"/>
      <c r="N185" s="49"/>
      <c r="O185" s="48"/>
      <c r="P185" s="48"/>
      <c r="Q185" s="48"/>
      <c r="R185" s="48"/>
      <c r="S185" s="48"/>
      <c r="T185" s="48"/>
      <c r="U185" s="48"/>
      <c r="V185" s="48"/>
      <c r="W185" s="48"/>
      <c r="X185" s="48"/>
      <c r="Y185" s="48"/>
      <c r="Z185" s="48"/>
    </row>
    <row r="186" ht="15.75" customHeight="1">
      <c r="A186" s="49"/>
      <c r="B186" s="49"/>
      <c r="C186" s="49"/>
      <c r="D186" s="49"/>
      <c r="E186" s="49"/>
      <c r="F186" s="49"/>
      <c r="G186" s="49"/>
      <c r="H186" s="49"/>
      <c r="I186" s="49"/>
      <c r="J186" s="49"/>
      <c r="K186" s="49"/>
      <c r="L186" s="49"/>
      <c r="M186" s="49"/>
      <c r="N186" s="49"/>
      <c r="O186" s="48"/>
      <c r="P186" s="48"/>
      <c r="Q186" s="48"/>
      <c r="R186" s="48"/>
      <c r="S186" s="48"/>
      <c r="T186" s="48"/>
      <c r="U186" s="48"/>
      <c r="V186" s="48"/>
      <c r="W186" s="48"/>
      <c r="X186" s="48"/>
      <c r="Y186" s="48"/>
      <c r="Z186" s="48"/>
    </row>
    <row r="187" ht="15.75" customHeight="1">
      <c r="A187" s="49"/>
      <c r="B187" s="49"/>
      <c r="C187" s="49"/>
      <c r="D187" s="49"/>
      <c r="E187" s="49"/>
      <c r="F187" s="49"/>
      <c r="G187" s="49"/>
      <c r="H187" s="49"/>
      <c r="I187" s="49"/>
      <c r="J187" s="49"/>
      <c r="K187" s="49"/>
      <c r="L187" s="49"/>
      <c r="M187" s="49"/>
      <c r="N187" s="49"/>
      <c r="O187" s="48"/>
      <c r="P187" s="48"/>
      <c r="Q187" s="48"/>
      <c r="R187" s="48"/>
      <c r="S187" s="48"/>
      <c r="T187" s="48"/>
      <c r="U187" s="48"/>
      <c r="V187" s="48"/>
      <c r="W187" s="48"/>
      <c r="X187" s="48"/>
      <c r="Y187" s="48"/>
      <c r="Z187" s="48"/>
    </row>
    <row r="188" ht="15.75" customHeight="1">
      <c r="A188" s="49"/>
      <c r="B188" s="49"/>
      <c r="C188" s="49"/>
      <c r="D188" s="49"/>
      <c r="E188" s="49"/>
      <c r="F188" s="49"/>
      <c r="G188" s="49"/>
      <c r="H188" s="49"/>
      <c r="I188" s="49"/>
      <c r="J188" s="49"/>
      <c r="K188" s="49"/>
      <c r="L188" s="49"/>
      <c r="M188" s="49"/>
      <c r="N188" s="49"/>
      <c r="O188" s="48"/>
      <c r="P188" s="48"/>
      <c r="Q188" s="48"/>
      <c r="R188" s="48"/>
      <c r="S188" s="48"/>
      <c r="T188" s="48"/>
      <c r="U188" s="48"/>
      <c r="V188" s="48"/>
      <c r="W188" s="48"/>
      <c r="X188" s="48"/>
      <c r="Y188" s="48"/>
      <c r="Z188" s="48"/>
    </row>
    <row r="189" ht="15.75" customHeight="1">
      <c r="A189" s="49"/>
      <c r="B189" s="49"/>
      <c r="C189" s="49"/>
      <c r="D189" s="49"/>
      <c r="E189" s="49"/>
      <c r="F189" s="49"/>
      <c r="G189" s="49"/>
      <c r="H189" s="49"/>
      <c r="I189" s="49"/>
      <c r="J189" s="49"/>
      <c r="K189" s="49"/>
      <c r="L189" s="49"/>
      <c r="M189" s="49"/>
      <c r="N189" s="49"/>
      <c r="O189" s="48"/>
      <c r="P189" s="48"/>
      <c r="Q189" s="48"/>
      <c r="R189" s="48"/>
      <c r="S189" s="48"/>
      <c r="T189" s="48"/>
      <c r="U189" s="48"/>
      <c r="V189" s="48"/>
      <c r="W189" s="48"/>
      <c r="X189" s="48"/>
      <c r="Y189" s="48"/>
      <c r="Z189" s="48"/>
    </row>
    <row r="190" ht="15.75" customHeight="1">
      <c r="A190" s="49"/>
      <c r="B190" s="49"/>
      <c r="C190" s="49"/>
      <c r="D190" s="49"/>
      <c r="E190" s="49"/>
      <c r="F190" s="49"/>
      <c r="G190" s="49"/>
      <c r="H190" s="49"/>
      <c r="I190" s="49"/>
      <c r="J190" s="49"/>
      <c r="K190" s="49"/>
      <c r="L190" s="49"/>
      <c r="M190" s="49"/>
      <c r="N190" s="49"/>
      <c r="O190" s="48"/>
      <c r="P190" s="48"/>
      <c r="Q190" s="48"/>
      <c r="R190" s="48"/>
      <c r="S190" s="48"/>
      <c r="T190" s="48"/>
      <c r="U190" s="48"/>
      <c r="V190" s="48"/>
      <c r="W190" s="48"/>
      <c r="X190" s="48"/>
      <c r="Y190" s="48"/>
      <c r="Z190" s="48"/>
    </row>
    <row r="191" ht="15.75" customHeight="1">
      <c r="A191" s="49"/>
      <c r="B191" s="49"/>
      <c r="C191" s="49"/>
      <c r="D191" s="49"/>
      <c r="E191" s="49"/>
      <c r="F191" s="49"/>
      <c r="G191" s="49"/>
      <c r="H191" s="49"/>
      <c r="I191" s="49"/>
      <c r="J191" s="49"/>
      <c r="K191" s="49"/>
      <c r="L191" s="49"/>
      <c r="M191" s="49"/>
      <c r="N191" s="49"/>
      <c r="O191" s="48"/>
      <c r="P191" s="48"/>
      <c r="Q191" s="48"/>
      <c r="R191" s="48"/>
      <c r="S191" s="48"/>
      <c r="T191" s="48"/>
      <c r="U191" s="48"/>
      <c r="V191" s="48"/>
      <c r="W191" s="48"/>
      <c r="X191" s="48"/>
      <c r="Y191" s="48"/>
      <c r="Z191" s="48"/>
    </row>
    <row r="192" ht="15.75" customHeight="1">
      <c r="A192" s="49"/>
      <c r="B192" s="49"/>
      <c r="C192" s="49"/>
      <c r="D192" s="49"/>
      <c r="E192" s="49"/>
      <c r="F192" s="49"/>
      <c r="G192" s="49"/>
      <c r="H192" s="49"/>
      <c r="I192" s="49"/>
      <c r="J192" s="49"/>
      <c r="K192" s="49"/>
      <c r="L192" s="49"/>
      <c r="M192" s="49"/>
      <c r="N192" s="49"/>
      <c r="O192" s="48"/>
      <c r="P192" s="48"/>
      <c r="Q192" s="48"/>
      <c r="R192" s="48"/>
      <c r="S192" s="48"/>
      <c r="T192" s="48"/>
      <c r="U192" s="48"/>
      <c r="V192" s="48"/>
      <c r="W192" s="48"/>
      <c r="X192" s="48"/>
      <c r="Y192" s="48"/>
      <c r="Z192" s="48"/>
    </row>
    <row r="193" ht="15.75" customHeight="1">
      <c r="A193" s="49"/>
      <c r="B193" s="49"/>
      <c r="C193" s="49"/>
      <c r="D193" s="49"/>
      <c r="E193" s="49"/>
      <c r="F193" s="49"/>
      <c r="G193" s="49"/>
      <c r="H193" s="49"/>
      <c r="I193" s="49"/>
      <c r="J193" s="49"/>
      <c r="K193" s="49"/>
      <c r="L193" s="49"/>
      <c r="M193" s="49"/>
      <c r="N193" s="49"/>
      <c r="O193" s="48"/>
      <c r="P193" s="48"/>
      <c r="Q193" s="48"/>
      <c r="R193" s="48"/>
      <c r="S193" s="48"/>
      <c r="T193" s="48"/>
      <c r="U193" s="48"/>
      <c r="V193" s="48"/>
      <c r="W193" s="48"/>
      <c r="X193" s="48"/>
      <c r="Y193" s="48"/>
      <c r="Z193" s="48"/>
    </row>
    <row r="194" ht="15.75" customHeight="1">
      <c r="A194" s="49"/>
      <c r="B194" s="49"/>
      <c r="C194" s="49"/>
      <c r="D194" s="49"/>
      <c r="E194" s="49"/>
      <c r="F194" s="49"/>
      <c r="G194" s="49"/>
      <c r="H194" s="49"/>
      <c r="I194" s="49"/>
      <c r="J194" s="49"/>
      <c r="K194" s="49"/>
      <c r="L194" s="49"/>
      <c r="M194" s="49"/>
      <c r="N194" s="49"/>
      <c r="O194" s="48"/>
      <c r="P194" s="48"/>
      <c r="Q194" s="48"/>
      <c r="R194" s="48"/>
      <c r="S194" s="48"/>
      <c r="T194" s="48"/>
      <c r="U194" s="48"/>
      <c r="V194" s="48"/>
      <c r="W194" s="48"/>
      <c r="X194" s="48"/>
      <c r="Y194" s="48"/>
      <c r="Z194" s="48"/>
    </row>
    <row r="195" ht="15.75" customHeight="1">
      <c r="A195" s="49"/>
      <c r="B195" s="49"/>
      <c r="C195" s="49"/>
      <c r="D195" s="49"/>
      <c r="E195" s="49"/>
      <c r="F195" s="49"/>
      <c r="G195" s="49"/>
      <c r="H195" s="49"/>
      <c r="I195" s="49"/>
      <c r="J195" s="49"/>
      <c r="K195" s="49"/>
      <c r="L195" s="49"/>
      <c r="M195" s="49"/>
      <c r="N195" s="49"/>
      <c r="O195" s="48"/>
      <c r="P195" s="48"/>
      <c r="Q195" s="48"/>
      <c r="R195" s="48"/>
      <c r="S195" s="48"/>
      <c r="T195" s="48"/>
      <c r="U195" s="48"/>
      <c r="V195" s="48"/>
      <c r="W195" s="48"/>
      <c r="X195" s="48"/>
      <c r="Y195" s="48"/>
      <c r="Z195" s="48"/>
    </row>
    <row r="196" ht="15.75" customHeight="1">
      <c r="A196" s="49"/>
      <c r="B196" s="49"/>
      <c r="C196" s="49"/>
      <c r="D196" s="49"/>
      <c r="E196" s="49"/>
      <c r="F196" s="49"/>
      <c r="G196" s="49"/>
      <c r="H196" s="49"/>
      <c r="I196" s="49"/>
      <c r="J196" s="49"/>
      <c r="K196" s="49"/>
      <c r="L196" s="49"/>
      <c r="M196" s="49"/>
      <c r="N196" s="49"/>
      <c r="O196" s="48"/>
      <c r="P196" s="48"/>
      <c r="Q196" s="48"/>
      <c r="R196" s="48"/>
      <c r="S196" s="48"/>
      <c r="T196" s="48"/>
      <c r="U196" s="48"/>
      <c r="V196" s="48"/>
      <c r="W196" s="48"/>
      <c r="X196" s="48"/>
      <c r="Y196" s="48"/>
      <c r="Z196" s="48"/>
    </row>
    <row r="197" ht="15.75" customHeight="1">
      <c r="A197" s="49"/>
      <c r="B197" s="49"/>
      <c r="C197" s="49"/>
      <c r="D197" s="49"/>
      <c r="E197" s="49"/>
      <c r="F197" s="49"/>
      <c r="G197" s="49"/>
      <c r="H197" s="49"/>
      <c r="I197" s="49"/>
      <c r="J197" s="49"/>
      <c r="K197" s="49"/>
      <c r="L197" s="49"/>
      <c r="M197" s="49"/>
      <c r="N197" s="49"/>
      <c r="O197" s="48"/>
      <c r="P197" s="48"/>
      <c r="Q197" s="48"/>
      <c r="R197" s="48"/>
      <c r="S197" s="48"/>
      <c r="T197" s="48"/>
      <c r="U197" s="48"/>
      <c r="V197" s="48"/>
      <c r="W197" s="48"/>
      <c r="X197" s="48"/>
      <c r="Y197" s="48"/>
      <c r="Z197" s="48"/>
    </row>
    <row r="198" ht="15.75" customHeight="1">
      <c r="A198" s="49"/>
      <c r="B198" s="49"/>
      <c r="C198" s="49"/>
      <c r="D198" s="49"/>
      <c r="E198" s="49"/>
      <c r="F198" s="49"/>
      <c r="G198" s="49"/>
      <c r="H198" s="49"/>
      <c r="I198" s="49"/>
      <c r="J198" s="49"/>
      <c r="K198" s="49"/>
      <c r="L198" s="49"/>
      <c r="M198" s="49"/>
      <c r="N198" s="49"/>
      <c r="O198" s="48"/>
      <c r="P198" s="48"/>
      <c r="Q198" s="48"/>
      <c r="R198" s="48"/>
      <c r="S198" s="48"/>
      <c r="T198" s="48"/>
      <c r="U198" s="48"/>
      <c r="V198" s="48"/>
      <c r="W198" s="48"/>
      <c r="X198" s="48"/>
      <c r="Y198" s="48"/>
      <c r="Z198" s="48"/>
    </row>
    <row r="199" ht="15.75" customHeight="1">
      <c r="A199" s="49"/>
      <c r="B199" s="49"/>
      <c r="C199" s="49"/>
      <c r="D199" s="49"/>
      <c r="E199" s="49"/>
      <c r="F199" s="49"/>
      <c r="G199" s="49"/>
      <c r="H199" s="49"/>
      <c r="I199" s="49"/>
      <c r="J199" s="49"/>
      <c r="K199" s="49"/>
      <c r="L199" s="49"/>
      <c r="M199" s="49"/>
      <c r="N199" s="49"/>
      <c r="O199" s="48"/>
      <c r="P199" s="48"/>
      <c r="Q199" s="48"/>
      <c r="R199" s="48"/>
      <c r="S199" s="48"/>
      <c r="T199" s="48"/>
      <c r="U199" s="48"/>
      <c r="V199" s="48"/>
      <c r="W199" s="48"/>
      <c r="X199" s="48"/>
      <c r="Y199" s="48"/>
      <c r="Z199" s="48"/>
    </row>
    <row r="200" ht="15.75" customHeight="1">
      <c r="A200" s="49"/>
      <c r="B200" s="49"/>
      <c r="C200" s="49"/>
      <c r="D200" s="49"/>
      <c r="E200" s="49"/>
      <c r="F200" s="49"/>
      <c r="G200" s="49"/>
      <c r="H200" s="49"/>
      <c r="I200" s="49"/>
      <c r="J200" s="49"/>
      <c r="K200" s="49"/>
      <c r="L200" s="49"/>
      <c r="M200" s="49"/>
      <c r="N200" s="49"/>
      <c r="O200" s="48"/>
      <c r="P200" s="48"/>
      <c r="Q200" s="48"/>
      <c r="R200" s="48"/>
      <c r="S200" s="48"/>
      <c r="T200" s="48"/>
      <c r="U200" s="48"/>
      <c r="V200" s="48"/>
      <c r="W200" s="48"/>
      <c r="X200" s="48"/>
      <c r="Y200" s="48"/>
      <c r="Z200" s="48"/>
    </row>
    <row r="201" ht="15.75" customHeight="1">
      <c r="A201" s="49"/>
      <c r="B201" s="49"/>
      <c r="C201" s="49"/>
      <c r="D201" s="49"/>
      <c r="E201" s="49"/>
      <c r="F201" s="49"/>
      <c r="G201" s="49"/>
      <c r="H201" s="49"/>
      <c r="I201" s="49"/>
      <c r="J201" s="49"/>
      <c r="K201" s="49"/>
      <c r="L201" s="49"/>
      <c r="M201" s="49"/>
      <c r="N201" s="49"/>
      <c r="O201" s="48"/>
      <c r="P201" s="48"/>
      <c r="Q201" s="48"/>
      <c r="R201" s="48"/>
      <c r="S201" s="48"/>
      <c r="T201" s="48"/>
      <c r="U201" s="48"/>
      <c r="V201" s="48"/>
      <c r="W201" s="48"/>
      <c r="X201" s="48"/>
      <c r="Y201" s="48"/>
      <c r="Z201" s="48"/>
    </row>
    <row r="202" ht="15.75" customHeight="1">
      <c r="A202" s="49"/>
      <c r="B202" s="49"/>
      <c r="C202" s="49"/>
      <c r="D202" s="49"/>
      <c r="E202" s="49"/>
      <c r="F202" s="49"/>
      <c r="G202" s="49"/>
      <c r="H202" s="49"/>
      <c r="I202" s="49"/>
      <c r="J202" s="49"/>
      <c r="K202" s="49"/>
      <c r="L202" s="49"/>
      <c r="M202" s="49"/>
      <c r="N202" s="49"/>
      <c r="O202" s="48"/>
      <c r="P202" s="48"/>
      <c r="Q202" s="48"/>
      <c r="R202" s="48"/>
      <c r="S202" s="48"/>
      <c r="T202" s="48"/>
      <c r="U202" s="48"/>
      <c r="V202" s="48"/>
      <c r="W202" s="48"/>
      <c r="X202" s="48"/>
      <c r="Y202" s="48"/>
      <c r="Z202" s="48"/>
    </row>
    <row r="203" ht="15.75" customHeight="1">
      <c r="A203" s="49"/>
      <c r="B203" s="49"/>
      <c r="C203" s="49"/>
      <c r="D203" s="49"/>
      <c r="E203" s="49"/>
      <c r="F203" s="49"/>
      <c r="G203" s="49"/>
      <c r="H203" s="49"/>
      <c r="I203" s="49"/>
      <c r="J203" s="49"/>
      <c r="K203" s="49"/>
      <c r="L203" s="49"/>
      <c r="M203" s="49"/>
      <c r="N203" s="49"/>
      <c r="O203" s="48"/>
      <c r="P203" s="48"/>
      <c r="Q203" s="48"/>
      <c r="R203" s="48"/>
      <c r="S203" s="48"/>
      <c r="T203" s="48"/>
      <c r="U203" s="48"/>
      <c r="V203" s="48"/>
      <c r="W203" s="48"/>
      <c r="X203" s="48"/>
      <c r="Y203" s="48"/>
      <c r="Z203" s="48"/>
    </row>
    <row r="204" ht="15.75" customHeight="1">
      <c r="A204" s="49"/>
      <c r="B204" s="49"/>
      <c r="C204" s="49"/>
      <c r="D204" s="49"/>
      <c r="E204" s="49"/>
      <c r="F204" s="49"/>
      <c r="G204" s="49"/>
      <c r="H204" s="49"/>
      <c r="I204" s="49"/>
      <c r="J204" s="49"/>
      <c r="K204" s="49"/>
      <c r="L204" s="49"/>
      <c r="M204" s="49"/>
      <c r="N204" s="49"/>
      <c r="O204" s="48"/>
      <c r="P204" s="48"/>
      <c r="Q204" s="48"/>
      <c r="R204" s="48"/>
      <c r="S204" s="48"/>
      <c r="T204" s="48"/>
      <c r="U204" s="48"/>
      <c r="V204" s="48"/>
      <c r="W204" s="48"/>
      <c r="X204" s="48"/>
      <c r="Y204" s="48"/>
      <c r="Z204" s="48"/>
    </row>
    <row r="205" ht="15.75" customHeight="1">
      <c r="A205" s="49"/>
      <c r="B205" s="49"/>
      <c r="C205" s="49"/>
      <c r="D205" s="49"/>
      <c r="E205" s="49"/>
      <c r="F205" s="49"/>
      <c r="G205" s="49"/>
      <c r="H205" s="49"/>
      <c r="I205" s="49"/>
      <c r="J205" s="49"/>
      <c r="K205" s="49"/>
      <c r="L205" s="49"/>
      <c r="M205" s="49"/>
      <c r="N205" s="49"/>
      <c r="O205" s="48"/>
      <c r="P205" s="48"/>
      <c r="Q205" s="48"/>
      <c r="R205" s="48"/>
      <c r="S205" s="48"/>
      <c r="T205" s="48"/>
      <c r="U205" s="48"/>
      <c r="V205" s="48"/>
      <c r="W205" s="48"/>
      <c r="X205" s="48"/>
      <c r="Y205" s="48"/>
      <c r="Z205" s="48"/>
    </row>
    <row r="206" ht="15.75" customHeight="1">
      <c r="A206" s="49"/>
      <c r="B206" s="49"/>
      <c r="C206" s="49"/>
      <c r="D206" s="49"/>
      <c r="E206" s="49"/>
      <c r="F206" s="49"/>
      <c r="G206" s="49"/>
      <c r="H206" s="49"/>
      <c r="I206" s="49"/>
      <c r="J206" s="49"/>
      <c r="K206" s="49"/>
      <c r="L206" s="49"/>
      <c r="M206" s="49"/>
      <c r="N206" s="49"/>
      <c r="O206" s="48"/>
      <c r="P206" s="48"/>
      <c r="Q206" s="48"/>
      <c r="R206" s="48"/>
      <c r="S206" s="48"/>
      <c r="T206" s="48"/>
      <c r="U206" s="48"/>
      <c r="V206" s="48"/>
      <c r="W206" s="48"/>
      <c r="X206" s="48"/>
      <c r="Y206" s="48"/>
      <c r="Z206" s="48"/>
    </row>
    <row r="207" ht="15.75" customHeight="1">
      <c r="A207" s="49"/>
      <c r="B207" s="49"/>
      <c r="C207" s="49"/>
      <c r="D207" s="49"/>
      <c r="E207" s="49"/>
      <c r="F207" s="49"/>
      <c r="G207" s="49"/>
      <c r="H207" s="49"/>
      <c r="I207" s="49"/>
      <c r="J207" s="49"/>
      <c r="K207" s="49"/>
      <c r="L207" s="49"/>
      <c r="M207" s="49"/>
      <c r="N207" s="49"/>
      <c r="O207" s="48"/>
      <c r="P207" s="48"/>
      <c r="Q207" s="48"/>
      <c r="R207" s="48"/>
      <c r="S207" s="48"/>
      <c r="T207" s="48"/>
      <c r="U207" s="48"/>
      <c r="V207" s="48"/>
      <c r="W207" s="48"/>
      <c r="X207" s="48"/>
      <c r="Y207" s="48"/>
      <c r="Z207" s="48"/>
    </row>
    <row r="208" ht="15.75" customHeight="1">
      <c r="A208" s="49"/>
      <c r="B208" s="49"/>
      <c r="C208" s="49"/>
      <c r="D208" s="49"/>
      <c r="E208" s="49"/>
      <c r="F208" s="49"/>
      <c r="G208" s="49"/>
      <c r="H208" s="49"/>
      <c r="I208" s="49"/>
      <c r="J208" s="49"/>
      <c r="K208" s="49"/>
      <c r="L208" s="49"/>
      <c r="M208" s="49"/>
      <c r="N208" s="49"/>
      <c r="O208" s="48"/>
      <c r="P208" s="48"/>
      <c r="Q208" s="48"/>
      <c r="R208" s="48"/>
      <c r="S208" s="48"/>
      <c r="T208" s="48"/>
      <c r="U208" s="48"/>
      <c r="V208" s="48"/>
      <c r="W208" s="48"/>
      <c r="X208" s="48"/>
      <c r="Y208" s="48"/>
      <c r="Z208" s="48"/>
    </row>
    <row r="209" ht="15.75" customHeight="1">
      <c r="A209" s="49"/>
      <c r="B209" s="49"/>
      <c r="C209" s="49"/>
      <c r="D209" s="49"/>
      <c r="E209" s="49"/>
      <c r="F209" s="49"/>
      <c r="G209" s="49"/>
      <c r="H209" s="49"/>
      <c r="I209" s="49"/>
      <c r="J209" s="49"/>
      <c r="K209" s="49"/>
      <c r="L209" s="49"/>
      <c r="M209" s="49"/>
      <c r="N209" s="49"/>
      <c r="O209" s="48"/>
      <c r="P209" s="48"/>
      <c r="Q209" s="48"/>
      <c r="R209" s="48"/>
      <c r="S209" s="48"/>
      <c r="T209" s="48"/>
      <c r="U209" s="48"/>
      <c r="V209" s="48"/>
      <c r="W209" s="48"/>
      <c r="X209" s="48"/>
      <c r="Y209" s="48"/>
      <c r="Z209" s="48"/>
    </row>
    <row r="210" ht="15.75" customHeight="1">
      <c r="A210" s="49"/>
      <c r="B210" s="49"/>
      <c r="C210" s="49"/>
      <c r="D210" s="49"/>
      <c r="E210" s="49"/>
      <c r="F210" s="49"/>
      <c r="G210" s="49"/>
      <c r="H210" s="49"/>
      <c r="I210" s="49"/>
      <c r="J210" s="49"/>
      <c r="K210" s="49"/>
      <c r="L210" s="49"/>
      <c r="M210" s="49"/>
      <c r="N210" s="49"/>
      <c r="O210" s="48"/>
      <c r="P210" s="48"/>
      <c r="Q210" s="48"/>
      <c r="R210" s="48"/>
      <c r="S210" s="48"/>
      <c r="T210" s="48"/>
      <c r="U210" s="48"/>
      <c r="V210" s="48"/>
      <c r="W210" s="48"/>
      <c r="X210" s="48"/>
      <c r="Y210" s="48"/>
      <c r="Z210" s="48"/>
    </row>
    <row r="211" ht="15.75" customHeight="1">
      <c r="A211" s="49"/>
      <c r="B211" s="49"/>
      <c r="C211" s="49"/>
      <c r="D211" s="49"/>
      <c r="E211" s="49"/>
      <c r="F211" s="49"/>
      <c r="G211" s="49"/>
      <c r="H211" s="49"/>
      <c r="I211" s="49"/>
      <c r="J211" s="49"/>
      <c r="K211" s="49"/>
      <c r="L211" s="49"/>
      <c r="M211" s="49"/>
      <c r="N211" s="49"/>
      <c r="O211" s="48"/>
      <c r="P211" s="48"/>
      <c r="Q211" s="48"/>
      <c r="R211" s="48"/>
      <c r="S211" s="48"/>
      <c r="T211" s="48"/>
      <c r="U211" s="48"/>
      <c r="V211" s="48"/>
      <c r="W211" s="48"/>
      <c r="X211" s="48"/>
      <c r="Y211" s="48"/>
      <c r="Z211" s="48"/>
    </row>
    <row r="212" ht="15.75" customHeight="1">
      <c r="A212" s="49"/>
      <c r="B212" s="49"/>
      <c r="C212" s="49"/>
      <c r="D212" s="49"/>
      <c r="E212" s="49"/>
      <c r="F212" s="49"/>
      <c r="G212" s="49"/>
      <c r="H212" s="49"/>
      <c r="I212" s="49"/>
      <c r="J212" s="49"/>
      <c r="K212" s="49"/>
      <c r="L212" s="49"/>
      <c r="M212" s="49"/>
      <c r="N212" s="49"/>
      <c r="O212" s="48"/>
      <c r="P212" s="48"/>
      <c r="Q212" s="48"/>
      <c r="R212" s="48"/>
      <c r="S212" s="48"/>
      <c r="T212" s="48"/>
      <c r="U212" s="48"/>
      <c r="V212" s="48"/>
      <c r="W212" s="48"/>
      <c r="X212" s="48"/>
      <c r="Y212" s="48"/>
      <c r="Z212" s="48"/>
    </row>
    <row r="213" ht="15.75" customHeight="1">
      <c r="A213" s="49"/>
      <c r="B213" s="49"/>
      <c r="C213" s="49"/>
      <c r="D213" s="49"/>
      <c r="E213" s="49"/>
      <c r="F213" s="49"/>
      <c r="G213" s="49"/>
      <c r="H213" s="49"/>
      <c r="I213" s="49"/>
      <c r="J213" s="49"/>
      <c r="K213" s="49"/>
      <c r="L213" s="49"/>
      <c r="M213" s="49"/>
      <c r="N213" s="49"/>
      <c r="O213" s="48"/>
      <c r="P213" s="48"/>
      <c r="Q213" s="48"/>
      <c r="R213" s="48"/>
      <c r="S213" s="48"/>
      <c r="T213" s="48"/>
      <c r="U213" s="48"/>
      <c r="V213" s="48"/>
      <c r="W213" s="48"/>
      <c r="X213" s="48"/>
      <c r="Y213" s="48"/>
      <c r="Z213" s="48"/>
    </row>
    <row r="214" ht="15.75" customHeight="1">
      <c r="A214" s="49"/>
      <c r="B214" s="49"/>
      <c r="C214" s="49"/>
      <c r="D214" s="49"/>
      <c r="E214" s="49"/>
      <c r="F214" s="49"/>
      <c r="G214" s="49"/>
      <c r="H214" s="49"/>
      <c r="I214" s="49"/>
      <c r="J214" s="49"/>
      <c r="K214" s="49"/>
      <c r="L214" s="49"/>
      <c r="M214" s="49"/>
      <c r="N214" s="49"/>
      <c r="O214" s="48"/>
      <c r="P214" s="48"/>
      <c r="Q214" s="48"/>
      <c r="R214" s="48"/>
      <c r="S214" s="48"/>
      <c r="T214" s="48"/>
      <c r="U214" s="48"/>
      <c r="V214" s="48"/>
      <c r="W214" s="48"/>
      <c r="X214" s="48"/>
      <c r="Y214" s="48"/>
      <c r="Z214" s="48"/>
    </row>
    <row r="215" ht="15.75" customHeight="1">
      <c r="A215" s="49"/>
      <c r="B215" s="49"/>
      <c r="C215" s="49"/>
      <c r="D215" s="49"/>
      <c r="E215" s="49"/>
      <c r="F215" s="49"/>
      <c r="G215" s="49"/>
      <c r="H215" s="49"/>
      <c r="I215" s="49"/>
      <c r="J215" s="49"/>
      <c r="K215" s="49"/>
      <c r="L215" s="49"/>
      <c r="M215" s="49"/>
      <c r="N215" s="49"/>
      <c r="O215" s="48"/>
      <c r="P215" s="48"/>
      <c r="Q215" s="48"/>
      <c r="R215" s="48"/>
      <c r="S215" s="48"/>
      <c r="T215" s="48"/>
      <c r="U215" s="48"/>
      <c r="V215" s="48"/>
      <c r="W215" s="48"/>
      <c r="X215" s="48"/>
      <c r="Y215" s="48"/>
      <c r="Z215" s="48"/>
    </row>
    <row r="216" ht="15.75" customHeight="1">
      <c r="A216" s="49"/>
      <c r="B216" s="49"/>
      <c r="C216" s="49"/>
      <c r="D216" s="49"/>
      <c r="E216" s="49"/>
      <c r="F216" s="49"/>
      <c r="G216" s="49"/>
      <c r="H216" s="49"/>
      <c r="I216" s="49"/>
      <c r="J216" s="49"/>
      <c r="K216" s="49"/>
      <c r="L216" s="49"/>
      <c r="M216" s="49"/>
      <c r="N216" s="49"/>
      <c r="O216" s="48"/>
      <c r="P216" s="48"/>
      <c r="Q216" s="48"/>
      <c r="R216" s="48"/>
      <c r="S216" s="48"/>
      <c r="T216" s="48"/>
      <c r="U216" s="48"/>
      <c r="V216" s="48"/>
      <c r="W216" s="48"/>
      <c r="X216" s="48"/>
      <c r="Y216" s="48"/>
      <c r="Z216" s="48"/>
    </row>
    <row r="217" ht="15.75" customHeight="1">
      <c r="A217" s="49"/>
      <c r="B217" s="49"/>
      <c r="C217" s="49"/>
      <c r="D217" s="49"/>
      <c r="E217" s="49"/>
      <c r="F217" s="49"/>
      <c r="G217" s="49"/>
      <c r="H217" s="49"/>
      <c r="I217" s="49"/>
      <c r="J217" s="49"/>
      <c r="K217" s="49"/>
      <c r="L217" s="49"/>
      <c r="M217" s="49"/>
      <c r="N217" s="49"/>
      <c r="O217" s="48"/>
      <c r="P217" s="48"/>
      <c r="Q217" s="48"/>
      <c r="R217" s="48"/>
      <c r="S217" s="48"/>
      <c r="T217" s="48"/>
      <c r="U217" s="48"/>
      <c r="V217" s="48"/>
      <c r="W217" s="48"/>
      <c r="X217" s="48"/>
      <c r="Y217" s="48"/>
      <c r="Z217" s="48"/>
    </row>
    <row r="218" ht="15.75" customHeight="1">
      <c r="A218" s="49"/>
      <c r="B218" s="49"/>
      <c r="C218" s="49"/>
      <c r="D218" s="49"/>
      <c r="E218" s="49"/>
      <c r="F218" s="49"/>
      <c r="G218" s="49"/>
      <c r="H218" s="49"/>
      <c r="I218" s="49"/>
      <c r="J218" s="49"/>
      <c r="K218" s="49"/>
      <c r="L218" s="49"/>
      <c r="M218" s="49"/>
      <c r="N218" s="49"/>
      <c r="O218" s="48"/>
      <c r="P218" s="48"/>
      <c r="Q218" s="48"/>
      <c r="R218" s="48"/>
      <c r="S218" s="48"/>
      <c r="T218" s="48"/>
      <c r="U218" s="48"/>
      <c r="V218" s="48"/>
      <c r="W218" s="48"/>
      <c r="X218" s="48"/>
      <c r="Y218" s="48"/>
      <c r="Z218" s="48"/>
    </row>
    <row r="219" ht="15.75" customHeight="1">
      <c r="A219" s="49"/>
      <c r="B219" s="49"/>
      <c r="C219" s="49"/>
      <c r="D219" s="49"/>
      <c r="E219" s="49"/>
      <c r="F219" s="49"/>
      <c r="G219" s="49"/>
      <c r="H219" s="49"/>
      <c r="I219" s="49"/>
      <c r="J219" s="49"/>
      <c r="K219" s="49"/>
      <c r="L219" s="49"/>
      <c r="M219" s="49"/>
      <c r="N219" s="49"/>
      <c r="O219" s="48"/>
      <c r="P219" s="48"/>
      <c r="Q219" s="48"/>
      <c r="R219" s="48"/>
      <c r="S219" s="48"/>
      <c r="T219" s="48"/>
      <c r="U219" s="48"/>
      <c r="V219" s="48"/>
      <c r="W219" s="48"/>
      <c r="X219" s="48"/>
      <c r="Y219" s="48"/>
      <c r="Z219" s="48"/>
    </row>
    <row r="220" ht="15.75" customHeight="1">
      <c r="A220" s="49"/>
      <c r="B220" s="49"/>
      <c r="C220" s="49"/>
      <c r="D220" s="49"/>
      <c r="E220" s="49"/>
      <c r="F220" s="49"/>
      <c r="G220" s="49"/>
      <c r="H220" s="49"/>
      <c r="I220" s="49"/>
      <c r="J220" s="49"/>
      <c r="K220" s="49"/>
      <c r="L220" s="49"/>
      <c r="M220" s="49"/>
      <c r="N220" s="49"/>
      <c r="O220" s="48"/>
      <c r="P220" s="48"/>
      <c r="Q220" s="48"/>
      <c r="R220" s="48"/>
      <c r="S220" s="48"/>
      <c r="T220" s="48"/>
      <c r="U220" s="48"/>
      <c r="V220" s="48"/>
      <c r="W220" s="48"/>
      <c r="X220" s="48"/>
      <c r="Y220" s="48"/>
      <c r="Z220" s="48"/>
    </row>
    <row r="221" ht="15.75" customHeight="1">
      <c r="A221" s="49"/>
      <c r="B221" s="49"/>
      <c r="C221" s="49"/>
      <c r="D221" s="49"/>
      <c r="E221" s="49"/>
      <c r="F221" s="49"/>
      <c r="G221" s="49"/>
      <c r="H221" s="49"/>
      <c r="I221" s="49"/>
      <c r="J221" s="49"/>
      <c r="K221" s="49"/>
      <c r="L221" s="49"/>
      <c r="M221" s="49"/>
      <c r="N221" s="49"/>
      <c r="O221" s="48"/>
      <c r="P221" s="48"/>
      <c r="Q221" s="48"/>
      <c r="R221" s="48"/>
      <c r="S221" s="48"/>
      <c r="T221" s="48"/>
      <c r="U221" s="48"/>
      <c r="V221" s="48"/>
      <c r="W221" s="48"/>
      <c r="X221" s="48"/>
      <c r="Y221" s="48"/>
      <c r="Z221" s="48"/>
    </row>
    <row r="222" ht="15.75" customHeight="1">
      <c r="A222" s="49"/>
      <c r="B222" s="49"/>
      <c r="C222" s="49"/>
      <c r="D222" s="49"/>
      <c r="E222" s="49"/>
      <c r="F222" s="49"/>
      <c r="G222" s="49"/>
      <c r="H222" s="49"/>
      <c r="I222" s="49"/>
      <c r="J222" s="49"/>
      <c r="K222" s="49"/>
      <c r="L222" s="49"/>
      <c r="M222" s="49"/>
      <c r="N222" s="49"/>
      <c r="O222" s="48"/>
      <c r="P222" s="48"/>
      <c r="Q222" s="48"/>
      <c r="R222" s="48"/>
      <c r="S222" s="48"/>
      <c r="T222" s="48"/>
      <c r="U222" s="48"/>
      <c r="V222" s="48"/>
      <c r="W222" s="48"/>
      <c r="X222" s="48"/>
      <c r="Y222" s="48"/>
      <c r="Z222" s="48"/>
    </row>
    <row r="223" ht="15.75" customHeight="1">
      <c r="A223" s="49"/>
      <c r="B223" s="49"/>
      <c r="C223" s="49"/>
      <c r="D223" s="49"/>
      <c r="E223" s="49"/>
      <c r="F223" s="49"/>
      <c r="G223" s="49"/>
      <c r="H223" s="49"/>
      <c r="I223" s="49"/>
      <c r="J223" s="49"/>
      <c r="K223" s="49"/>
      <c r="L223" s="49"/>
      <c r="M223" s="49"/>
      <c r="N223" s="49"/>
      <c r="O223" s="48"/>
      <c r="P223" s="48"/>
      <c r="Q223" s="48"/>
      <c r="R223" s="48"/>
      <c r="S223" s="48"/>
      <c r="T223" s="48"/>
      <c r="U223" s="48"/>
      <c r="V223" s="48"/>
      <c r="W223" s="48"/>
      <c r="X223" s="48"/>
      <c r="Y223" s="48"/>
      <c r="Z223" s="48"/>
    </row>
    <row r="224" ht="15.75" customHeight="1">
      <c r="A224" s="49"/>
      <c r="B224" s="49"/>
      <c r="C224" s="49"/>
      <c r="D224" s="49"/>
      <c r="E224" s="49"/>
      <c r="F224" s="49"/>
      <c r="G224" s="49"/>
      <c r="H224" s="49"/>
      <c r="I224" s="49"/>
      <c r="J224" s="49"/>
      <c r="K224" s="49"/>
      <c r="L224" s="49"/>
      <c r="M224" s="49"/>
      <c r="N224" s="49"/>
      <c r="O224" s="48"/>
      <c r="P224" s="48"/>
      <c r="Q224" s="48"/>
      <c r="R224" s="48"/>
      <c r="S224" s="48"/>
      <c r="T224" s="48"/>
      <c r="U224" s="48"/>
      <c r="V224" s="48"/>
      <c r="W224" s="48"/>
      <c r="X224" s="48"/>
      <c r="Y224" s="48"/>
      <c r="Z224" s="48"/>
    </row>
    <row r="225" ht="15.75" customHeight="1">
      <c r="A225" s="49"/>
      <c r="B225" s="49"/>
      <c r="C225" s="49"/>
      <c r="D225" s="49"/>
      <c r="E225" s="49"/>
      <c r="F225" s="49"/>
      <c r="G225" s="49"/>
      <c r="H225" s="49"/>
      <c r="I225" s="49"/>
      <c r="J225" s="49"/>
      <c r="K225" s="49"/>
      <c r="L225" s="49"/>
      <c r="M225" s="49"/>
      <c r="N225" s="49"/>
      <c r="O225" s="48"/>
      <c r="P225" s="48"/>
      <c r="Q225" s="48"/>
      <c r="R225" s="48"/>
      <c r="S225" s="48"/>
      <c r="T225" s="48"/>
      <c r="U225" s="48"/>
      <c r="V225" s="48"/>
      <c r="W225" s="48"/>
      <c r="X225" s="48"/>
      <c r="Y225" s="48"/>
      <c r="Z225" s="48"/>
    </row>
    <row r="226" ht="15.75" customHeight="1">
      <c r="A226" s="49"/>
      <c r="B226" s="49"/>
      <c r="C226" s="49"/>
      <c r="D226" s="49"/>
      <c r="E226" s="49"/>
      <c r="F226" s="49"/>
      <c r="G226" s="49"/>
      <c r="H226" s="49"/>
      <c r="I226" s="49"/>
      <c r="J226" s="49"/>
      <c r="K226" s="49"/>
      <c r="L226" s="49"/>
      <c r="M226" s="49"/>
      <c r="N226" s="49"/>
      <c r="O226" s="48"/>
      <c r="P226" s="48"/>
      <c r="Q226" s="48"/>
      <c r="R226" s="48"/>
      <c r="S226" s="48"/>
      <c r="T226" s="48"/>
      <c r="U226" s="48"/>
      <c r="V226" s="48"/>
      <c r="W226" s="48"/>
      <c r="X226" s="48"/>
      <c r="Y226" s="48"/>
      <c r="Z226" s="48"/>
    </row>
    <row r="227" ht="15.75" customHeight="1">
      <c r="A227" s="49"/>
      <c r="B227" s="49"/>
      <c r="C227" s="49"/>
      <c r="D227" s="49"/>
      <c r="E227" s="49"/>
      <c r="F227" s="49"/>
      <c r="G227" s="49"/>
      <c r="H227" s="49"/>
      <c r="I227" s="49"/>
      <c r="J227" s="49"/>
      <c r="K227" s="49"/>
      <c r="L227" s="49"/>
      <c r="M227" s="49"/>
      <c r="N227" s="49"/>
      <c r="O227" s="48"/>
      <c r="P227" s="48"/>
      <c r="Q227" s="48"/>
      <c r="R227" s="48"/>
      <c r="S227" s="48"/>
      <c r="T227" s="48"/>
      <c r="U227" s="48"/>
      <c r="V227" s="48"/>
      <c r="W227" s="48"/>
      <c r="X227" s="48"/>
      <c r="Y227" s="48"/>
      <c r="Z227" s="48"/>
    </row>
    <row r="228" ht="15.75" customHeight="1">
      <c r="A228" s="49"/>
      <c r="B228" s="49"/>
      <c r="C228" s="49"/>
      <c r="D228" s="49"/>
      <c r="E228" s="49"/>
      <c r="F228" s="49"/>
      <c r="G228" s="49"/>
      <c r="H228" s="49"/>
      <c r="I228" s="49"/>
      <c r="J228" s="49"/>
      <c r="K228" s="49"/>
      <c r="L228" s="49"/>
      <c r="M228" s="49"/>
      <c r="N228" s="49"/>
      <c r="O228" s="48"/>
      <c r="P228" s="48"/>
      <c r="Q228" s="48"/>
      <c r="R228" s="48"/>
      <c r="S228" s="48"/>
      <c r="T228" s="48"/>
      <c r="U228" s="48"/>
      <c r="V228" s="48"/>
      <c r="W228" s="48"/>
      <c r="X228" s="48"/>
      <c r="Y228" s="48"/>
      <c r="Z228" s="48"/>
    </row>
    <row r="229" ht="15.75" customHeight="1">
      <c r="A229" s="49"/>
      <c r="B229" s="49"/>
      <c r="C229" s="49"/>
      <c r="D229" s="49"/>
      <c r="E229" s="49"/>
      <c r="F229" s="49"/>
      <c r="G229" s="49"/>
      <c r="H229" s="49"/>
      <c r="I229" s="49"/>
      <c r="J229" s="49"/>
      <c r="K229" s="49"/>
      <c r="L229" s="49"/>
      <c r="M229" s="49"/>
      <c r="N229" s="49"/>
      <c r="O229" s="48"/>
      <c r="P229" s="48"/>
      <c r="Q229" s="48"/>
      <c r="R229" s="48"/>
      <c r="S229" s="48"/>
      <c r="T229" s="48"/>
      <c r="U229" s="48"/>
      <c r="V229" s="48"/>
      <c r="W229" s="48"/>
      <c r="X229" s="48"/>
      <c r="Y229" s="48"/>
      <c r="Z229" s="48"/>
    </row>
    <row r="230" ht="15.75" customHeight="1">
      <c r="A230" s="49"/>
      <c r="B230" s="49"/>
      <c r="C230" s="49"/>
      <c r="D230" s="49"/>
      <c r="E230" s="49"/>
      <c r="F230" s="49"/>
      <c r="G230" s="49"/>
      <c r="H230" s="49"/>
      <c r="I230" s="49"/>
      <c r="J230" s="49"/>
      <c r="K230" s="49"/>
      <c r="L230" s="49"/>
      <c r="M230" s="49"/>
      <c r="N230" s="49"/>
      <c r="O230" s="48"/>
      <c r="P230" s="48"/>
      <c r="Q230" s="48"/>
      <c r="R230" s="48"/>
      <c r="S230" s="48"/>
      <c r="T230" s="48"/>
      <c r="U230" s="48"/>
      <c r="V230" s="48"/>
      <c r="W230" s="48"/>
      <c r="X230" s="48"/>
      <c r="Y230" s="48"/>
      <c r="Z230" s="48"/>
    </row>
    <row r="231" ht="15.75" customHeight="1">
      <c r="A231" s="49"/>
      <c r="B231" s="49"/>
      <c r="C231" s="49"/>
      <c r="D231" s="49"/>
      <c r="E231" s="49"/>
      <c r="F231" s="49"/>
      <c r="G231" s="49"/>
      <c r="H231" s="49"/>
      <c r="I231" s="49"/>
      <c r="J231" s="49"/>
      <c r="K231" s="49"/>
      <c r="L231" s="49"/>
      <c r="M231" s="49"/>
      <c r="N231" s="49"/>
      <c r="O231" s="48"/>
      <c r="P231" s="48"/>
      <c r="Q231" s="48"/>
      <c r="R231" s="48"/>
      <c r="S231" s="48"/>
      <c r="T231" s="48"/>
      <c r="U231" s="48"/>
      <c r="V231" s="48"/>
      <c r="W231" s="48"/>
      <c r="X231" s="48"/>
      <c r="Y231" s="48"/>
      <c r="Z231" s="48"/>
    </row>
    <row r="232" ht="15.75" customHeight="1">
      <c r="A232" s="49"/>
      <c r="B232" s="49"/>
      <c r="C232" s="49"/>
      <c r="D232" s="49"/>
      <c r="E232" s="49"/>
      <c r="F232" s="49"/>
      <c r="G232" s="49"/>
      <c r="H232" s="49"/>
      <c r="I232" s="49"/>
      <c r="J232" s="49"/>
      <c r="K232" s="49"/>
      <c r="L232" s="49"/>
      <c r="M232" s="49"/>
      <c r="N232" s="49"/>
      <c r="O232" s="48"/>
      <c r="P232" s="48"/>
      <c r="Q232" s="48"/>
      <c r="R232" s="48"/>
      <c r="S232" s="48"/>
      <c r="T232" s="48"/>
      <c r="U232" s="48"/>
      <c r="V232" s="48"/>
      <c r="W232" s="48"/>
      <c r="X232" s="48"/>
      <c r="Y232" s="48"/>
      <c r="Z232" s="48"/>
    </row>
    <row r="233" ht="15.75" customHeight="1">
      <c r="A233" s="49"/>
      <c r="B233" s="49"/>
      <c r="C233" s="49"/>
      <c r="D233" s="49"/>
      <c r="E233" s="49"/>
      <c r="F233" s="49"/>
      <c r="G233" s="49"/>
      <c r="H233" s="49"/>
      <c r="I233" s="49"/>
      <c r="J233" s="49"/>
      <c r="K233" s="49"/>
      <c r="L233" s="49"/>
      <c r="M233" s="49"/>
      <c r="N233" s="49"/>
      <c r="O233" s="48"/>
      <c r="P233" s="48"/>
      <c r="Q233" s="48"/>
      <c r="R233" s="48"/>
      <c r="S233" s="48"/>
      <c r="T233" s="48"/>
      <c r="U233" s="48"/>
      <c r="V233" s="48"/>
      <c r="W233" s="48"/>
      <c r="X233" s="48"/>
      <c r="Y233" s="48"/>
      <c r="Z233" s="48"/>
    </row>
    <row r="234" ht="15.75" customHeight="1">
      <c r="A234" s="49"/>
      <c r="B234" s="49"/>
      <c r="C234" s="49"/>
      <c r="D234" s="49"/>
      <c r="E234" s="49"/>
      <c r="F234" s="49"/>
      <c r="G234" s="49"/>
      <c r="H234" s="49"/>
      <c r="I234" s="49"/>
      <c r="J234" s="49"/>
      <c r="K234" s="49"/>
      <c r="L234" s="49"/>
      <c r="M234" s="49"/>
      <c r="N234" s="49"/>
      <c r="O234" s="48"/>
      <c r="P234" s="48"/>
      <c r="Q234" s="48"/>
      <c r="R234" s="48"/>
      <c r="S234" s="48"/>
      <c r="T234" s="48"/>
      <c r="U234" s="48"/>
      <c r="V234" s="48"/>
      <c r="W234" s="48"/>
      <c r="X234" s="48"/>
      <c r="Y234" s="48"/>
      <c r="Z234" s="48"/>
    </row>
    <row r="235" ht="15.75" customHeight="1">
      <c r="A235" s="49"/>
      <c r="B235" s="49"/>
      <c r="C235" s="49"/>
      <c r="D235" s="49"/>
      <c r="E235" s="49"/>
      <c r="F235" s="49"/>
      <c r="G235" s="49"/>
      <c r="H235" s="49"/>
      <c r="I235" s="49"/>
      <c r="J235" s="49"/>
      <c r="K235" s="49"/>
      <c r="L235" s="49"/>
      <c r="M235" s="49"/>
      <c r="N235" s="49"/>
      <c r="O235" s="48"/>
      <c r="P235" s="48"/>
      <c r="Q235" s="48"/>
      <c r="R235" s="48"/>
      <c r="S235" s="48"/>
      <c r="T235" s="48"/>
      <c r="U235" s="48"/>
      <c r="V235" s="48"/>
      <c r="W235" s="48"/>
      <c r="X235" s="48"/>
      <c r="Y235" s="48"/>
      <c r="Z235" s="48"/>
    </row>
    <row r="236" ht="15.75" customHeight="1">
      <c r="A236" s="49"/>
      <c r="B236" s="49"/>
      <c r="C236" s="49"/>
      <c r="D236" s="49"/>
      <c r="E236" s="49"/>
      <c r="F236" s="49"/>
      <c r="G236" s="49"/>
      <c r="H236" s="49"/>
      <c r="I236" s="49"/>
      <c r="J236" s="49"/>
      <c r="K236" s="49"/>
      <c r="L236" s="49"/>
      <c r="M236" s="49"/>
      <c r="N236" s="49"/>
      <c r="O236" s="48"/>
      <c r="P236" s="48"/>
      <c r="Q236" s="48"/>
      <c r="R236" s="48"/>
      <c r="S236" s="48"/>
      <c r="T236" s="48"/>
      <c r="U236" s="48"/>
      <c r="V236" s="48"/>
      <c r="W236" s="48"/>
      <c r="X236" s="48"/>
      <c r="Y236" s="48"/>
      <c r="Z236" s="48"/>
    </row>
    <row r="237" ht="15.75" customHeight="1">
      <c r="A237" s="49"/>
      <c r="B237" s="49"/>
      <c r="C237" s="49"/>
      <c r="D237" s="49"/>
      <c r="E237" s="49"/>
      <c r="F237" s="49"/>
      <c r="G237" s="49"/>
      <c r="H237" s="49"/>
      <c r="I237" s="49"/>
      <c r="J237" s="49"/>
      <c r="K237" s="49"/>
      <c r="L237" s="49"/>
      <c r="M237" s="49"/>
      <c r="N237" s="49"/>
      <c r="O237" s="48"/>
      <c r="P237" s="48"/>
      <c r="Q237" s="48"/>
      <c r="R237" s="48"/>
      <c r="S237" s="48"/>
      <c r="T237" s="48"/>
      <c r="U237" s="48"/>
      <c r="V237" s="48"/>
      <c r="W237" s="48"/>
      <c r="X237" s="48"/>
      <c r="Y237" s="48"/>
      <c r="Z237" s="48"/>
    </row>
    <row r="238" ht="15.75" customHeight="1">
      <c r="A238" s="49"/>
      <c r="B238" s="49"/>
      <c r="C238" s="49"/>
      <c r="D238" s="49"/>
      <c r="E238" s="49"/>
      <c r="F238" s="49"/>
      <c r="G238" s="49"/>
      <c r="H238" s="49"/>
      <c r="I238" s="49"/>
      <c r="J238" s="49"/>
      <c r="K238" s="49"/>
      <c r="L238" s="49"/>
      <c r="M238" s="49"/>
      <c r="N238" s="49"/>
      <c r="O238" s="48"/>
      <c r="P238" s="48"/>
      <c r="Q238" s="48"/>
      <c r="R238" s="48"/>
      <c r="S238" s="48"/>
      <c r="T238" s="48"/>
      <c r="U238" s="48"/>
      <c r="V238" s="48"/>
      <c r="W238" s="48"/>
      <c r="X238" s="48"/>
      <c r="Y238" s="48"/>
      <c r="Z238" s="48"/>
    </row>
    <row r="239" ht="15.75" customHeight="1">
      <c r="A239" s="49"/>
      <c r="B239" s="49"/>
      <c r="C239" s="49"/>
      <c r="D239" s="49"/>
      <c r="E239" s="49"/>
      <c r="F239" s="49"/>
      <c r="G239" s="49"/>
      <c r="H239" s="49"/>
      <c r="I239" s="49"/>
      <c r="J239" s="49"/>
      <c r="K239" s="49"/>
      <c r="L239" s="49"/>
      <c r="M239" s="49"/>
      <c r="N239" s="49"/>
      <c r="O239" s="48"/>
      <c r="P239" s="48"/>
      <c r="Q239" s="48"/>
      <c r="R239" s="48"/>
      <c r="S239" s="48"/>
      <c r="T239" s="48"/>
      <c r="U239" s="48"/>
      <c r="V239" s="48"/>
      <c r="W239" s="48"/>
      <c r="X239" s="48"/>
      <c r="Y239" s="48"/>
      <c r="Z239" s="48"/>
    </row>
    <row r="240" ht="15.75" customHeight="1">
      <c r="A240" s="49"/>
      <c r="B240" s="49"/>
      <c r="C240" s="49"/>
      <c r="D240" s="49"/>
      <c r="E240" s="49"/>
      <c r="F240" s="49"/>
      <c r="G240" s="49"/>
      <c r="H240" s="49"/>
      <c r="I240" s="49"/>
      <c r="J240" s="49"/>
      <c r="K240" s="49"/>
      <c r="L240" s="49"/>
      <c r="M240" s="49"/>
      <c r="N240" s="49"/>
      <c r="O240" s="48"/>
      <c r="P240" s="48"/>
      <c r="Q240" s="48"/>
      <c r="R240" s="48"/>
      <c r="S240" s="48"/>
      <c r="T240" s="48"/>
      <c r="U240" s="48"/>
      <c r="V240" s="48"/>
      <c r="W240" s="48"/>
      <c r="X240" s="48"/>
      <c r="Y240" s="48"/>
      <c r="Z240" s="48"/>
    </row>
    <row r="241" ht="15.75" customHeight="1">
      <c r="A241" s="49"/>
      <c r="B241" s="49"/>
      <c r="C241" s="49"/>
      <c r="D241" s="49"/>
      <c r="E241" s="49"/>
      <c r="F241" s="49"/>
      <c r="G241" s="49"/>
      <c r="H241" s="49"/>
      <c r="I241" s="49"/>
      <c r="J241" s="49"/>
      <c r="K241" s="49"/>
      <c r="L241" s="49"/>
      <c r="M241" s="49"/>
      <c r="N241" s="49"/>
      <c r="O241" s="48"/>
      <c r="P241" s="48"/>
      <c r="Q241" s="48"/>
      <c r="R241" s="48"/>
      <c r="S241" s="48"/>
      <c r="T241" s="48"/>
      <c r="U241" s="48"/>
      <c r="V241" s="48"/>
      <c r="W241" s="48"/>
      <c r="X241" s="48"/>
      <c r="Y241" s="48"/>
      <c r="Z241" s="48"/>
    </row>
    <row r="242" ht="15.75" customHeight="1">
      <c r="A242" s="49"/>
      <c r="B242" s="49"/>
      <c r="C242" s="49"/>
      <c r="D242" s="49"/>
      <c r="E242" s="49"/>
      <c r="F242" s="49"/>
      <c r="G242" s="49"/>
      <c r="H242" s="49"/>
      <c r="I242" s="49"/>
      <c r="J242" s="49"/>
      <c r="K242" s="49"/>
      <c r="L242" s="49"/>
      <c r="M242" s="49"/>
      <c r="N242" s="49"/>
      <c r="O242" s="48"/>
      <c r="P242" s="48"/>
      <c r="Q242" s="48"/>
      <c r="R242" s="48"/>
      <c r="S242" s="48"/>
      <c r="T242" s="48"/>
      <c r="U242" s="48"/>
      <c r="V242" s="48"/>
      <c r="W242" s="48"/>
      <c r="X242" s="48"/>
      <c r="Y242" s="48"/>
      <c r="Z242" s="48"/>
    </row>
    <row r="243" ht="15.75" customHeight="1">
      <c r="A243" s="49"/>
      <c r="B243" s="49"/>
      <c r="C243" s="49"/>
      <c r="D243" s="49"/>
      <c r="E243" s="49"/>
      <c r="F243" s="49"/>
      <c r="G243" s="49"/>
      <c r="H243" s="49"/>
      <c r="I243" s="49"/>
      <c r="J243" s="49"/>
      <c r="K243" s="49"/>
      <c r="L243" s="49"/>
      <c r="M243" s="49"/>
      <c r="N243" s="49"/>
      <c r="O243" s="48"/>
      <c r="P243" s="48"/>
      <c r="Q243" s="48"/>
      <c r="R243" s="48"/>
      <c r="S243" s="48"/>
      <c r="T243" s="48"/>
      <c r="U243" s="48"/>
      <c r="V243" s="48"/>
      <c r="W243" s="48"/>
      <c r="X243" s="48"/>
      <c r="Y243" s="48"/>
      <c r="Z243" s="48"/>
    </row>
    <row r="244" ht="15.75" customHeight="1">
      <c r="A244" s="49"/>
      <c r="B244" s="49"/>
      <c r="C244" s="49"/>
      <c r="D244" s="49"/>
      <c r="E244" s="49"/>
      <c r="F244" s="49"/>
      <c r="G244" s="49"/>
      <c r="H244" s="49"/>
      <c r="I244" s="49"/>
      <c r="J244" s="49"/>
      <c r="K244" s="49"/>
      <c r="L244" s="49"/>
      <c r="M244" s="49"/>
      <c r="N244" s="49"/>
      <c r="O244" s="48"/>
      <c r="P244" s="48"/>
      <c r="Q244" s="48"/>
      <c r="R244" s="48"/>
      <c r="S244" s="48"/>
      <c r="T244" s="48"/>
      <c r="U244" s="48"/>
      <c r="V244" s="48"/>
      <c r="W244" s="48"/>
      <c r="X244" s="48"/>
      <c r="Y244" s="48"/>
      <c r="Z244" s="48"/>
    </row>
    <row r="245" ht="15.75" customHeight="1">
      <c r="A245" s="49"/>
      <c r="B245" s="49"/>
      <c r="C245" s="49"/>
      <c r="D245" s="49"/>
      <c r="E245" s="49"/>
      <c r="F245" s="49"/>
      <c r="G245" s="49"/>
      <c r="H245" s="49"/>
      <c r="I245" s="49"/>
      <c r="J245" s="49"/>
      <c r="K245" s="49"/>
      <c r="L245" s="49"/>
      <c r="M245" s="49"/>
      <c r="N245" s="49"/>
      <c r="O245" s="48"/>
      <c r="P245" s="48"/>
      <c r="Q245" s="48"/>
      <c r="R245" s="48"/>
      <c r="S245" s="48"/>
      <c r="T245" s="48"/>
      <c r="U245" s="48"/>
      <c r="V245" s="48"/>
      <c r="W245" s="48"/>
      <c r="X245" s="48"/>
      <c r="Y245" s="48"/>
      <c r="Z245" s="48"/>
    </row>
    <row r="246" ht="15.75" customHeight="1">
      <c r="A246" s="49"/>
      <c r="B246" s="49"/>
      <c r="C246" s="49"/>
      <c r="D246" s="49"/>
      <c r="E246" s="49"/>
      <c r="F246" s="49"/>
      <c r="G246" s="49"/>
      <c r="H246" s="49"/>
      <c r="I246" s="49"/>
      <c r="J246" s="49"/>
      <c r="K246" s="49"/>
      <c r="L246" s="49"/>
      <c r="M246" s="49"/>
      <c r="N246" s="49"/>
      <c r="O246" s="48"/>
      <c r="P246" s="48"/>
      <c r="Q246" s="48"/>
      <c r="R246" s="48"/>
      <c r="S246" s="48"/>
      <c r="T246" s="48"/>
      <c r="U246" s="48"/>
      <c r="V246" s="48"/>
      <c r="W246" s="48"/>
      <c r="X246" s="48"/>
      <c r="Y246" s="48"/>
      <c r="Z246" s="48"/>
    </row>
    <row r="247" ht="15.75" customHeight="1">
      <c r="A247" s="49"/>
      <c r="B247" s="49"/>
      <c r="C247" s="49"/>
      <c r="D247" s="49"/>
      <c r="E247" s="49"/>
      <c r="F247" s="49"/>
      <c r="G247" s="49"/>
      <c r="H247" s="49"/>
      <c r="I247" s="49"/>
      <c r="J247" s="49"/>
      <c r="K247" s="49"/>
      <c r="L247" s="49"/>
      <c r="M247" s="49"/>
      <c r="N247" s="49"/>
      <c r="O247" s="48"/>
      <c r="P247" s="48"/>
      <c r="Q247" s="48"/>
      <c r="R247" s="48"/>
      <c r="S247" s="48"/>
      <c r="T247" s="48"/>
      <c r="U247" s="48"/>
      <c r="V247" s="48"/>
      <c r="W247" s="48"/>
      <c r="X247" s="48"/>
      <c r="Y247" s="48"/>
      <c r="Z247" s="48"/>
    </row>
    <row r="248" ht="15.75" customHeight="1">
      <c r="A248" s="49"/>
      <c r="B248" s="49"/>
      <c r="C248" s="49"/>
      <c r="D248" s="49"/>
      <c r="E248" s="49"/>
      <c r="F248" s="49"/>
      <c r="G248" s="49"/>
      <c r="H248" s="49"/>
      <c r="I248" s="49"/>
      <c r="J248" s="49"/>
      <c r="K248" s="49"/>
      <c r="L248" s="49"/>
      <c r="M248" s="49"/>
      <c r="N248" s="49"/>
      <c r="O248" s="48"/>
      <c r="P248" s="48"/>
      <c r="Q248" s="48"/>
      <c r="R248" s="48"/>
      <c r="S248" s="48"/>
      <c r="T248" s="48"/>
      <c r="U248" s="48"/>
      <c r="V248" s="48"/>
      <c r="W248" s="48"/>
      <c r="X248" s="48"/>
      <c r="Y248" s="48"/>
      <c r="Z248" s="48"/>
    </row>
    <row r="249" ht="15.75" customHeight="1">
      <c r="A249" s="49"/>
      <c r="B249" s="49"/>
      <c r="C249" s="49"/>
      <c r="D249" s="49"/>
      <c r="E249" s="49"/>
      <c r="F249" s="49"/>
      <c r="G249" s="49"/>
      <c r="H249" s="49"/>
      <c r="I249" s="49"/>
      <c r="J249" s="49"/>
      <c r="K249" s="49"/>
      <c r="L249" s="49"/>
      <c r="M249" s="49"/>
      <c r="N249" s="49"/>
      <c r="O249" s="48"/>
      <c r="P249" s="48"/>
      <c r="Q249" s="48"/>
      <c r="R249" s="48"/>
      <c r="S249" s="48"/>
      <c r="T249" s="48"/>
      <c r="U249" s="48"/>
      <c r="V249" s="48"/>
      <c r="W249" s="48"/>
      <c r="X249" s="48"/>
      <c r="Y249" s="48"/>
      <c r="Z249" s="48"/>
    </row>
    <row r="250" ht="15.75" customHeight="1">
      <c r="A250" s="49"/>
      <c r="B250" s="49"/>
      <c r="C250" s="49"/>
      <c r="D250" s="49"/>
      <c r="E250" s="49"/>
      <c r="F250" s="49"/>
      <c r="G250" s="49"/>
      <c r="H250" s="49"/>
      <c r="I250" s="49"/>
      <c r="J250" s="49"/>
      <c r="K250" s="49"/>
      <c r="L250" s="49"/>
      <c r="M250" s="49"/>
      <c r="N250" s="49"/>
      <c r="O250" s="48"/>
      <c r="P250" s="48"/>
      <c r="Q250" s="48"/>
      <c r="R250" s="48"/>
      <c r="S250" s="48"/>
      <c r="T250" s="48"/>
      <c r="U250" s="48"/>
      <c r="V250" s="48"/>
      <c r="W250" s="48"/>
      <c r="X250" s="48"/>
      <c r="Y250" s="48"/>
      <c r="Z250" s="48"/>
    </row>
    <row r="251" ht="15.75" customHeight="1">
      <c r="A251" s="49"/>
      <c r="B251" s="49"/>
      <c r="C251" s="49"/>
      <c r="D251" s="49"/>
      <c r="E251" s="49"/>
      <c r="F251" s="49"/>
      <c r="G251" s="49"/>
      <c r="H251" s="49"/>
      <c r="I251" s="49"/>
      <c r="J251" s="49"/>
      <c r="K251" s="49"/>
      <c r="L251" s="49"/>
      <c r="M251" s="49"/>
      <c r="N251" s="49"/>
      <c r="O251" s="48"/>
      <c r="P251" s="48"/>
      <c r="Q251" s="48"/>
      <c r="R251" s="48"/>
      <c r="S251" s="48"/>
      <c r="T251" s="48"/>
      <c r="U251" s="48"/>
      <c r="V251" s="48"/>
      <c r="W251" s="48"/>
      <c r="X251" s="48"/>
      <c r="Y251" s="48"/>
      <c r="Z251" s="48"/>
    </row>
    <row r="252" ht="15.75" customHeight="1">
      <c r="A252" s="49"/>
      <c r="B252" s="49"/>
      <c r="C252" s="49"/>
      <c r="D252" s="49"/>
      <c r="E252" s="49"/>
      <c r="F252" s="49"/>
      <c r="G252" s="49"/>
      <c r="H252" s="49"/>
      <c r="I252" s="49"/>
      <c r="J252" s="49"/>
      <c r="K252" s="49"/>
      <c r="L252" s="49"/>
      <c r="M252" s="49"/>
      <c r="N252" s="49"/>
      <c r="O252" s="48"/>
      <c r="P252" s="48"/>
      <c r="Q252" s="48"/>
      <c r="R252" s="48"/>
      <c r="S252" s="48"/>
      <c r="T252" s="48"/>
      <c r="U252" s="48"/>
      <c r="V252" s="48"/>
      <c r="W252" s="48"/>
      <c r="X252" s="48"/>
      <c r="Y252" s="48"/>
      <c r="Z252" s="48"/>
    </row>
    <row r="253" ht="15.75" customHeight="1">
      <c r="A253" s="49"/>
      <c r="B253" s="49"/>
      <c r="C253" s="49"/>
      <c r="D253" s="49"/>
      <c r="E253" s="49"/>
      <c r="F253" s="49"/>
      <c r="G253" s="49"/>
      <c r="H253" s="49"/>
      <c r="I253" s="49"/>
      <c r="J253" s="49"/>
      <c r="K253" s="49"/>
      <c r="L253" s="49"/>
      <c r="M253" s="49"/>
      <c r="N253" s="49"/>
      <c r="O253" s="48"/>
      <c r="P253" s="48"/>
      <c r="Q253" s="48"/>
      <c r="R253" s="48"/>
      <c r="S253" s="48"/>
      <c r="T253" s="48"/>
      <c r="U253" s="48"/>
      <c r="V253" s="48"/>
      <c r="W253" s="48"/>
      <c r="X253" s="48"/>
      <c r="Y253" s="48"/>
      <c r="Z253" s="48"/>
    </row>
    <row r="254" ht="15.75" customHeight="1">
      <c r="A254" s="49"/>
      <c r="B254" s="49"/>
      <c r="C254" s="49"/>
      <c r="D254" s="49"/>
      <c r="E254" s="49"/>
      <c r="F254" s="49"/>
      <c r="G254" s="49"/>
      <c r="H254" s="49"/>
      <c r="I254" s="49"/>
      <c r="J254" s="49"/>
      <c r="K254" s="49"/>
      <c r="L254" s="49"/>
      <c r="M254" s="49"/>
      <c r="N254" s="49"/>
      <c r="O254" s="48"/>
      <c r="P254" s="48"/>
      <c r="Q254" s="48"/>
      <c r="R254" s="48"/>
      <c r="S254" s="48"/>
      <c r="T254" s="48"/>
      <c r="U254" s="48"/>
      <c r="V254" s="48"/>
      <c r="W254" s="48"/>
      <c r="X254" s="48"/>
      <c r="Y254" s="48"/>
      <c r="Z254" s="48"/>
    </row>
    <row r="255" ht="15.75" customHeight="1">
      <c r="A255" s="49"/>
      <c r="B255" s="49"/>
      <c r="C255" s="49"/>
      <c r="D255" s="49"/>
      <c r="E255" s="49"/>
      <c r="F255" s="49"/>
      <c r="G255" s="49"/>
      <c r="H255" s="49"/>
      <c r="I255" s="49"/>
      <c r="J255" s="49"/>
      <c r="K255" s="49"/>
      <c r="L255" s="49"/>
      <c r="M255" s="49"/>
      <c r="N255" s="49"/>
      <c r="O255" s="48"/>
      <c r="P255" s="48"/>
      <c r="Q255" s="48"/>
      <c r="R255" s="48"/>
      <c r="S255" s="48"/>
      <c r="T255" s="48"/>
      <c r="U255" s="48"/>
      <c r="V255" s="48"/>
      <c r="W255" s="48"/>
      <c r="X255" s="48"/>
      <c r="Y255" s="48"/>
      <c r="Z255" s="48"/>
    </row>
    <row r="256" ht="15.75" customHeight="1">
      <c r="A256" s="49"/>
      <c r="B256" s="49"/>
      <c r="C256" s="49"/>
      <c r="D256" s="49"/>
      <c r="E256" s="49"/>
      <c r="F256" s="49"/>
      <c r="G256" s="49"/>
      <c r="H256" s="49"/>
      <c r="I256" s="49"/>
      <c r="J256" s="49"/>
      <c r="K256" s="49"/>
      <c r="L256" s="49"/>
      <c r="M256" s="49"/>
      <c r="N256" s="49"/>
      <c r="O256" s="48"/>
      <c r="P256" s="48"/>
      <c r="Q256" s="48"/>
      <c r="R256" s="48"/>
      <c r="S256" s="48"/>
      <c r="T256" s="48"/>
      <c r="U256" s="48"/>
      <c r="V256" s="48"/>
      <c r="W256" s="48"/>
      <c r="X256" s="48"/>
      <c r="Y256" s="48"/>
      <c r="Z256" s="48"/>
    </row>
    <row r="257" ht="15.75" customHeight="1">
      <c r="A257" s="49"/>
      <c r="B257" s="49"/>
      <c r="C257" s="49"/>
      <c r="D257" s="49"/>
      <c r="E257" s="49"/>
      <c r="F257" s="49"/>
      <c r="G257" s="49"/>
      <c r="H257" s="49"/>
      <c r="I257" s="49"/>
      <c r="J257" s="49"/>
      <c r="K257" s="49"/>
      <c r="L257" s="49"/>
      <c r="M257" s="49"/>
      <c r="N257" s="49"/>
      <c r="O257" s="48"/>
      <c r="P257" s="48"/>
      <c r="Q257" s="48"/>
      <c r="R257" s="48"/>
      <c r="S257" s="48"/>
      <c r="T257" s="48"/>
      <c r="U257" s="48"/>
      <c r="V257" s="48"/>
      <c r="W257" s="48"/>
      <c r="X257" s="48"/>
      <c r="Y257" s="48"/>
      <c r="Z257" s="48"/>
    </row>
    <row r="258" ht="15.75" customHeight="1">
      <c r="A258" s="49"/>
      <c r="B258" s="49"/>
      <c r="C258" s="49"/>
      <c r="D258" s="49"/>
      <c r="E258" s="49"/>
      <c r="F258" s="49"/>
      <c r="G258" s="49"/>
      <c r="H258" s="49"/>
      <c r="I258" s="49"/>
      <c r="J258" s="49"/>
      <c r="K258" s="49"/>
      <c r="L258" s="49"/>
      <c r="M258" s="49"/>
      <c r="N258" s="49"/>
      <c r="O258" s="48"/>
      <c r="P258" s="48"/>
      <c r="Q258" s="48"/>
      <c r="R258" s="48"/>
      <c r="S258" s="48"/>
      <c r="T258" s="48"/>
      <c r="U258" s="48"/>
      <c r="V258" s="48"/>
      <c r="W258" s="48"/>
      <c r="X258" s="48"/>
      <c r="Y258" s="48"/>
      <c r="Z258" s="48"/>
    </row>
    <row r="259" ht="15.75" customHeight="1">
      <c r="A259" s="49"/>
      <c r="B259" s="49"/>
      <c r="C259" s="49"/>
      <c r="D259" s="49"/>
      <c r="E259" s="49"/>
      <c r="F259" s="49"/>
      <c r="G259" s="49"/>
      <c r="H259" s="49"/>
      <c r="I259" s="49"/>
      <c r="J259" s="49"/>
      <c r="K259" s="49"/>
      <c r="L259" s="49"/>
      <c r="M259" s="49"/>
      <c r="N259" s="49"/>
      <c r="O259" s="48"/>
      <c r="P259" s="48"/>
      <c r="Q259" s="48"/>
      <c r="R259" s="48"/>
      <c r="S259" s="48"/>
      <c r="T259" s="48"/>
      <c r="U259" s="48"/>
      <c r="V259" s="48"/>
      <c r="W259" s="48"/>
      <c r="X259" s="48"/>
      <c r="Y259" s="48"/>
      <c r="Z259" s="48"/>
    </row>
    <row r="260" ht="15.75" customHeight="1">
      <c r="A260" s="49"/>
      <c r="B260" s="49"/>
      <c r="C260" s="49"/>
      <c r="D260" s="49"/>
      <c r="E260" s="49"/>
      <c r="F260" s="49"/>
      <c r="G260" s="49"/>
      <c r="H260" s="49"/>
      <c r="I260" s="49"/>
      <c r="J260" s="49"/>
      <c r="K260" s="49"/>
      <c r="L260" s="49"/>
      <c r="M260" s="49"/>
      <c r="N260" s="49"/>
      <c r="O260" s="48"/>
      <c r="P260" s="48"/>
      <c r="Q260" s="48"/>
      <c r="R260" s="48"/>
      <c r="S260" s="48"/>
      <c r="T260" s="48"/>
      <c r="U260" s="48"/>
      <c r="V260" s="48"/>
      <c r="W260" s="48"/>
      <c r="X260" s="48"/>
      <c r="Y260" s="48"/>
      <c r="Z260" s="48"/>
    </row>
    <row r="261" ht="15.75" customHeight="1">
      <c r="A261" s="49"/>
      <c r="B261" s="49"/>
      <c r="C261" s="49"/>
      <c r="D261" s="49"/>
      <c r="E261" s="49"/>
      <c r="F261" s="49"/>
      <c r="G261" s="49"/>
      <c r="H261" s="49"/>
      <c r="I261" s="49"/>
      <c r="J261" s="49"/>
      <c r="K261" s="49"/>
      <c r="L261" s="49"/>
      <c r="M261" s="49"/>
      <c r="N261" s="49"/>
      <c r="O261" s="48"/>
      <c r="P261" s="48"/>
      <c r="Q261" s="48"/>
      <c r="R261" s="48"/>
      <c r="S261" s="48"/>
      <c r="T261" s="48"/>
      <c r="U261" s="48"/>
      <c r="V261" s="48"/>
      <c r="W261" s="48"/>
      <c r="X261" s="48"/>
      <c r="Y261" s="48"/>
      <c r="Z261" s="48"/>
    </row>
    <row r="262" ht="15.75" customHeight="1">
      <c r="A262" s="49"/>
      <c r="B262" s="49"/>
      <c r="C262" s="49"/>
      <c r="D262" s="49"/>
      <c r="E262" s="49"/>
      <c r="F262" s="49"/>
      <c r="G262" s="49"/>
      <c r="H262" s="49"/>
      <c r="I262" s="49"/>
      <c r="J262" s="49"/>
      <c r="K262" s="49"/>
      <c r="L262" s="49"/>
      <c r="M262" s="49"/>
      <c r="N262" s="49"/>
      <c r="O262" s="48"/>
      <c r="P262" s="48"/>
      <c r="Q262" s="48"/>
      <c r="R262" s="48"/>
      <c r="S262" s="48"/>
      <c r="T262" s="48"/>
      <c r="U262" s="48"/>
      <c r="V262" s="48"/>
      <c r="W262" s="48"/>
      <c r="X262" s="48"/>
      <c r="Y262" s="48"/>
      <c r="Z262" s="48"/>
    </row>
    <row r="263" ht="15.75" customHeight="1">
      <c r="A263" s="49"/>
      <c r="B263" s="49"/>
      <c r="C263" s="49"/>
      <c r="D263" s="49"/>
      <c r="E263" s="49"/>
      <c r="F263" s="49"/>
      <c r="G263" s="49"/>
      <c r="H263" s="49"/>
      <c r="I263" s="49"/>
      <c r="J263" s="49"/>
      <c r="K263" s="49"/>
      <c r="L263" s="49"/>
      <c r="M263" s="49"/>
      <c r="N263" s="49"/>
      <c r="O263" s="48"/>
      <c r="P263" s="48"/>
      <c r="Q263" s="48"/>
      <c r="R263" s="48"/>
      <c r="S263" s="48"/>
      <c r="T263" s="48"/>
      <c r="U263" s="48"/>
      <c r="V263" s="48"/>
      <c r="W263" s="48"/>
      <c r="X263" s="48"/>
      <c r="Y263" s="48"/>
      <c r="Z263" s="48"/>
    </row>
    <row r="264" ht="15.75" customHeight="1">
      <c r="A264" s="49"/>
      <c r="B264" s="49"/>
      <c r="C264" s="49"/>
      <c r="D264" s="49"/>
      <c r="E264" s="49"/>
      <c r="F264" s="49"/>
      <c r="G264" s="49"/>
      <c r="H264" s="49"/>
      <c r="I264" s="49"/>
      <c r="J264" s="49"/>
      <c r="K264" s="49"/>
      <c r="L264" s="49"/>
      <c r="M264" s="49"/>
      <c r="N264" s="49"/>
      <c r="O264" s="48"/>
      <c r="P264" s="48"/>
      <c r="Q264" s="48"/>
      <c r="R264" s="48"/>
      <c r="S264" s="48"/>
      <c r="T264" s="48"/>
      <c r="U264" s="48"/>
      <c r="V264" s="48"/>
      <c r="W264" s="48"/>
      <c r="X264" s="48"/>
      <c r="Y264" s="48"/>
      <c r="Z264" s="48"/>
    </row>
    <row r="265" ht="15.75" customHeight="1">
      <c r="A265" s="49"/>
      <c r="B265" s="49"/>
      <c r="C265" s="49"/>
      <c r="D265" s="49"/>
      <c r="E265" s="49"/>
      <c r="F265" s="49"/>
      <c r="G265" s="49"/>
      <c r="H265" s="49"/>
      <c r="I265" s="49"/>
      <c r="J265" s="49"/>
      <c r="K265" s="49"/>
      <c r="L265" s="49"/>
      <c r="M265" s="49"/>
      <c r="N265" s="49"/>
      <c r="O265" s="48"/>
      <c r="P265" s="48"/>
      <c r="Q265" s="48"/>
      <c r="R265" s="48"/>
      <c r="S265" s="48"/>
      <c r="T265" s="48"/>
      <c r="U265" s="48"/>
      <c r="V265" s="48"/>
      <c r="W265" s="48"/>
      <c r="X265" s="48"/>
      <c r="Y265" s="48"/>
      <c r="Z265" s="48"/>
    </row>
    <row r="266" ht="15.75" customHeight="1">
      <c r="A266" s="49"/>
      <c r="B266" s="49"/>
      <c r="C266" s="49"/>
      <c r="D266" s="49"/>
      <c r="E266" s="49"/>
      <c r="F266" s="49"/>
      <c r="G266" s="49"/>
      <c r="H266" s="49"/>
      <c r="I266" s="49"/>
      <c r="J266" s="49"/>
      <c r="K266" s="49"/>
      <c r="L266" s="49"/>
      <c r="M266" s="49"/>
      <c r="N266" s="49"/>
      <c r="O266" s="48"/>
      <c r="P266" s="48"/>
      <c r="Q266" s="48"/>
      <c r="R266" s="48"/>
      <c r="S266" s="48"/>
      <c r="T266" s="48"/>
      <c r="U266" s="48"/>
      <c r="V266" s="48"/>
      <c r="W266" s="48"/>
      <c r="X266" s="48"/>
      <c r="Y266" s="48"/>
      <c r="Z266" s="48"/>
    </row>
    <row r="267" ht="15.75" customHeight="1">
      <c r="A267" s="49"/>
      <c r="B267" s="49"/>
      <c r="C267" s="49"/>
      <c r="D267" s="49"/>
      <c r="E267" s="49"/>
      <c r="F267" s="49"/>
      <c r="G267" s="49"/>
      <c r="H267" s="49"/>
      <c r="I267" s="49"/>
      <c r="J267" s="49"/>
      <c r="K267" s="49"/>
      <c r="L267" s="49"/>
      <c r="M267" s="49"/>
      <c r="N267" s="49"/>
      <c r="O267" s="48"/>
      <c r="P267" s="48"/>
      <c r="Q267" s="48"/>
      <c r="R267" s="48"/>
      <c r="S267" s="48"/>
      <c r="T267" s="48"/>
      <c r="U267" s="48"/>
      <c r="V267" s="48"/>
      <c r="W267" s="48"/>
      <c r="X267" s="48"/>
      <c r="Y267" s="48"/>
      <c r="Z267" s="48"/>
    </row>
    <row r="268" ht="15.75" customHeight="1">
      <c r="A268" s="49"/>
      <c r="B268" s="49"/>
      <c r="C268" s="49"/>
      <c r="D268" s="49"/>
      <c r="E268" s="49"/>
      <c r="F268" s="49"/>
      <c r="G268" s="49"/>
      <c r="H268" s="49"/>
      <c r="I268" s="49"/>
      <c r="J268" s="49"/>
      <c r="K268" s="49"/>
      <c r="L268" s="49"/>
      <c r="M268" s="49"/>
      <c r="N268" s="49"/>
      <c r="O268" s="48"/>
      <c r="P268" s="48"/>
      <c r="Q268" s="48"/>
      <c r="R268" s="48"/>
      <c r="S268" s="48"/>
      <c r="T268" s="48"/>
      <c r="U268" s="48"/>
      <c r="V268" s="48"/>
      <c r="W268" s="48"/>
      <c r="X268" s="48"/>
      <c r="Y268" s="48"/>
      <c r="Z268" s="48"/>
    </row>
    <row r="269" ht="15.75" customHeight="1">
      <c r="A269" s="49"/>
      <c r="B269" s="49"/>
      <c r="C269" s="49"/>
      <c r="D269" s="49"/>
      <c r="E269" s="49"/>
      <c r="F269" s="49"/>
      <c r="G269" s="49"/>
      <c r="H269" s="49"/>
      <c r="I269" s="49"/>
      <c r="J269" s="49"/>
      <c r="K269" s="49"/>
      <c r="L269" s="49"/>
      <c r="M269" s="49"/>
      <c r="N269" s="49"/>
      <c r="O269" s="48"/>
      <c r="P269" s="48"/>
      <c r="Q269" s="48"/>
      <c r="R269" s="48"/>
      <c r="S269" s="48"/>
      <c r="T269" s="48"/>
      <c r="U269" s="48"/>
      <c r="V269" s="48"/>
      <c r="W269" s="48"/>
      <c r="X269" s="48"/>
      <c r="Y269" s="48"/>
      <c r="Z269" s="48"/>
    </row>
    <row r="270" ht="15.75" customHeight="1">
      <c r="A270" s="49"/>
      <c r="B270" s="49"/>
      <c r="C270" s="49"/>
      <c r="D270" s="49"/>
      <c r="E270" s="49"/>
      <c r="F270" s="49"/>
      <c r="G270" s="49"/>
      <c r="H270" s="49"/>
      <c r="I270" s="49"/>
      <c r="J270" s="49"/>
      <c r="K270" s="49"/>
      <c r="L270" s="49"/>
      <c r="M270" s="49"/>
      <c r="N270" s="49"/>
      <c r="O270" s="48"/>
      <c r="P270" s="48"/>
      <c r="Q270" s="48"/>
      <c r="R270" s="48"/>
      <c r="S270" s="48"/>
      <c r="T270" s="48"/>
      <c r="U270" s="48"/>
      <c r="V270" s="48"/>
      <c r="W270" s="48"/>
      <c r="X270" s="48"/>
      <c r="Y270" s="48"/>
      <c r="Z270" s="48"/>
    </row>
    <row r="271" ht="15.75" customHeight="1">
      <c r="A271" s="49"/>
      <c r="B271" s="49"/>
      <c r="C271" s="49"/>
      <c r="D271" s="49"/>
      <c r="E271" s="49"/>
      <c r="F271" s="49"/>
      <c r="G271" s="49"/>
      <c r="H271" s="49"/>
      <c r="I271" s="49"/>
      <c r="J271" s="49"/>
      <c r="K271" s="49"/>
      <c r="L271" s="49"/>
      <c r="M271" s="49"/>
      <c r="N271" s="49"/>
      <c r="O271" s="48"/>
      <c r="P271" s="48"/>
      <c r="Q271" s="48"/>
      <c r="R271" s="48"/>
      <c r="S271" s="48"/>
      <c r="T271" s="48"/>
      <c r="U271" s="48"/>
      <c r="V271" s="48"/>
      <c r="W271" s="48"/>
      <c r="X271" s="48"/>
      <c r="Y271" s="48"/>
      <c r="Z271" s="48"/>
    </row>
    <row r="272" ht="15.75" customHeight="1">
      <c r="A272" s="49"/>
      <c r="B272" s="49"/>
      <c r="C272" s="49"/>
      <c r="D272" s="49"/>
      <c r="E272" s="49"/>
      <c r="F272" s="49"/>
      <c r="G272" s="49"/>
      <c r="H272" s="49"/>
      <c r="I272" s="49"/>
      <c r="J272" s="49"/>
      <c r="K272" s="49"/>
      <c r="L272" s="49"/>
      <c r="M272" s="49"/>
      <c r="N272" s="49"/>
      <c r="O272" s="48"/>
      <c r="P272" s="48"/>
      <c r="Q272" s="48"/>
      <c r="R272" s="48"/>
      <c r="S272" s="48"/>
      <c r="T272" s="48"/>
      <c r="U272" s="48"/>
      <c r="V272" s="48"/>
      <c r="W272" s="48"/>
      <c r="X272" s="48"/>
      <c r="Y272" s="48"/>
      <c r="Z272" s="48"/>
    </row>
    <row r="273" ht="15.75" customHeight="1">
      <c r="A273" s="49"/>
      <c r="B273" s="49"/>
      <c r="C273" s="49"/>
      <c r="D273" s="49"/>
      <c r="E273" s="49"/>
      <c r="F273" s="49"/>
      <c r="G273" s="49"/>
      <c r="H273" s="49"/>
      <c r="I273" s="49"/>
      <c r="J273" s="49"/>
      <c r="K273" s="49"/>
      <c r="L273" s="49"/>
      <c r="M273" s="49"/>
      <c r="N273" s="49"/>
      <c r="O273" s="48"/>
      <c r="P273" s="48"/>
      <c r="Q273" s="48"/>
      <c r="R273" s="48"/>
      <c r="S273" s="48"/>
      <c r="T273" s="48"/>
      <c r="U273" s="48"/>
      <c r="V273" s="48"/>
      <c r="W273" s="48"/>
      <c r="X273" s="48"/>
      <c r="Y273" s="48"/>
      <c r="Z273" s="48"/>
    </row>
    <row r="274" ht="15.75" customHeight="1">
      <c r="A274" s="49"/>
      <c r="B274" s="49"/>
      <c r="C274" s="49"/>
      <c r="D274" s="49"/>
      <c r="E274" s="49"/>
      <c r="F274" s="49"/>
      <c r="G274" s="49"/>
      <c r="H274" s="49"/>
      <c r="I274" s="49"/>
      <c r="J274" s="49"/>
      <c r="K274" s="49"/>
      <c r="L274" s="49"/>
      <c r="M274" s="49"/>
      <c r="N274" s="49"/>
      <c r="O274" s="48"/>
      <c r="P274" s="48"/>
      <c r="Q274" s="48"/>
      <c r="R274" s="48"/>
      <c r="S274" s="48"/>
      <c r="T274" s="48"/>
      <c r="U274" s="48"/>
      <c r="V274" s="48"/>
      <c r="W274" s="48"/>
      <c r="X274" s="48"/>
      <c r="Y274" s="48"/>
      <c r="Z274" s="48"/>
    </row>
    <row r="275" ht="15.75" customHeight="1">
      <c r="A275" s="49"/>
      <c r="B275" s="49"/>
      <c r="C275" s="49"/>
      <c r="D275" s="49"/>
      <c r="E275" s="49"/>
      <c r="F275" s="49"/>
      <c r="G275" s="49"/>
      <c r="H275" s="49"/>
      <c r="I275" s="49"/>
      <c r="J275" s="49"/>
      <c r="K275" s="49"/>
      <c r="L275" s="49"/>
      <c r="M275" s="49"/>
      <c r="N275" s="49"/>
      <c r="O275" s="48"/>
      <c r="P275" s="48"/>
      <c r="Q275" s="48"/>
      <c r="R275" s="48"/>
      <c r="S275" s="48"/>
      <c r="T275" s="48"/>
      <c r="U275" s="48"/>
      <c r="V275" s="48"/>
      <c r="W275" s="48"/>
      <c r="X275" s="48"/>
      <c r="Y275" s="48"/>
      <c r="Z275" s="48"/>
    </row>
    <row r="276" ht="15.75" customHeight="1">
      <c r="A276" s="49"/>
      <c r="B276" s="49"/>
      <c r="C276" s="49"/>
      <c r="D276" s="49"/>
      <c r="E276" s="49"/>
      <c r="F276" s="49"/>
      <c r="G276" s="49"/>
      <c r="H276" s="49"/>
      <c r="I276" s="49"/>
      <c r="J276" s="49"/>
      <c r="K276" s="49"/>
      <c r="L276" s="49"/>
      <c r="M276" s="49"/>
      <c r="N276" s="49"/>
      <c r="O276" s="48"/>
      <c r="P276" s="48"/>
      <c r="Q276" s="48"/>
      <c r="R276" s="48"/>
      <c r="S276" s="48"/>
      <c r="T276" s="48"/>
      <c r="U276" s="48"/>
      <c r="V276" s="48"/>
      <c r="W276" s="48"/>
      <c r="X276" s="48"/>
      <c r="Y276" s="48"/>
      <c r="Z276" s="48"/>
    </row>
    <row r="277" ht="15.75" customHeight="1">
      <c r="A277" s="49"/>
      <c r="B277" s="49"/>
      <c r="C277" s="49"/>
      <c r="D277" s="49"/>
      <c r="E277" s="49"/>
      <c r="F277" s="49"/>
      <c r="G277" s="49"/>
      <c r="H277" s="49"/>
      <c r="I277" s="49"/>
      <c r="J277" s="49"/>
      <c r="K277" s="49"/>
      <c r="L277" s="49"/>
      <c r="M277" s="49"/>
      <c r="N277" s="49"/>
      <c r="O277" s="48"/>
      <c r="P277" s="48"/>
      <c r="Q277" s="48"/>
      <c r="R277" s="48"/>
      <c r="S277" s="48"/>
      <c r="T277" s="48"/>
      <c r="U277" s="48"/>
      <c r="V277" s="48"/>
      <c r="W277" s="48"/>
      <c r="X277" s="48"/>
      <c r="Y277" s="48"/>
      <c r="Z277" s="48"/>
    </row>
    <row r="278" ht="15.75" customHeight="1">
      <c r="A278" s="49"/>
      <c r="B278" s="49"/>
      <c r="C278" s="49"/>
      <c r="D278" s="49"/>
      <c r="E278" s="49"/>
      <c r="F278" s="49"/>
      <c r="G278" s="49"/>
      <c r="H278" s="49"/>
      <c r="I278" s="49"/>
      <c r="J278" s="49"/>
      <c r="K278" s="49"/>
      <c r="L278" s="49"/>
      <c r="M278" s="49"/>
      <c r="N278" s="49"/>
      <c r="O278" s="48"/>
      <c r="P278" s="48"/>
      <c r="Q278" s="48"/>
      <c r="R278" s="48"/>
      <c r="S278" s="48"/>
      <c r="T278" s="48"/>
      <c r="U278" s="48"/>
      <c r="V278" s="48"/>
      <c r="W278" s="48"/>
      <c r="X278" s="48"/>
      <c r="Y278" s="48"/>
      <c r="Z278" s="48"/>
    </row>
    <row r="279" ht="15.75" customHeight="1">
      <c r="A279" s="49"/>
      <c r="B279" s="49"/>
      <c r="C279" s="49"/>
      <c r="D279" s="49"/>
      <c r="E279" s="49"/>
      <c r="F279" s="49"/>
      <c r="G279" s="49"/>
      <c r="H279" s="49"/>
      <c r="I279" s="49"/>
      <c r="J279" s="49"/>
      <c r="K279" s="49"/>
      <c r="L279" s="49"/>
      <c r="M279" s="49"/>
      <c r="N279" s="49"/>
      <c r="O279" s="48"/>
      <c r="P279" s="48"/>
      <c r="Q279" s="48"/>
      <c r="R279" s="48"/>
      <c r="S279" s="48"/>
      <c r="T279" s="48"/>
      <c r="U279" s="48"/>
      <c r="V279" s="48"/>
      <c r="W279" s="48"/>
      <c r="X279" s="48"/>
      <c r="Y279" s="48"/>
      <c r="Z279" s="48"/>
    </row>
    <row r="280" ht="15.75" customHeight="1">
      <c r="A280" s="49"/>
      <c r="B280" s="49"/>
      <c r="C280" s="49"/>
      <c r="D280" s="49"/>
      <c r="E280" s="49"/>
      <c r="F280" s="49"/>
      <c r="G280" s="49"/>
      <c r="H280" s="49"/>
      <c r="I280" s="49"/>
      <c r="J280" s="49"/>
      <c r="K280" s="49"/>
      <c r="L280" s="49"/>
      <c r="M280" s="49"/>
      <c r="N280" s="49"/>
      <c r="O280" s="48"/>
      <c r="P280" s="48"/>
      <c r="Q280" s="48"/>
      <c r="R280" s="48"/>
      <c r="S280" s="48"/>
      <c r="T280" s="48"/>
      <c r="U280" s="48"/>
      <c r="V280" s="48"/>
      <c r="W280" s="48"/>
      <c r="X280" s="48"/>
      <c r="Y280" s="48"/>
      <c r="Z280" s="48"/>
    </row>
    <row r="281" ht="15.75" customHeight="1">
      <c r="A281" s="49"/>
      <c r="B281" s="49"/>
      <c r="C281" s="49"/>
      <c r="D281" s="49"/>
      <c r="E281" s="49"/>
      <c r="F281" s="49"/>
      <c r="G281" s="49"/>
      <c r="H281" s="49"/>
      <c r="I281" s="49"/>
      <c r="J281" s="49"/>
      <c r="K281" s="49"/>
      <c r="L281" s="49"/>
      <c r="M281" s="49"/>
      <c r="N281" s="49"/>
      <c r="O281" s="48"/>
      <c r="P281" s="48"/>
      <c r="Q281" s="48"/>
      <c r="R281" s="48"/>
      <c r="S281" s="48"/>
      <c r="T281" s="48"/>
      <c r="U281" s="48"/>
      <c r="V281" s="48"/>
      <c r="W281" s="48"/>
      <c r="X281" s="48"/>
      <c r="Y281" s="48"/>
      <c r="Z281" s="48"/>
    </row>
    <row r="282" ht="15.75" customHeight="1">
      <c r="A282" s="49"/>
      <c r="B282" s="49"/>
      <c r="C282" s="49"/>
      <c r="D282" s="49"/>
      <c r="E282" s="49"/>
      <c r="F282" s="49"/>
      <c r="G282" s="49"/>
      <c r="H282" s="49"/>
      <c r="I282" s="49"/>
      <c r="J282" s="49"/>
      <c r="K282" s="49"/>
      <c r="L282" s="49"/>
      <c r="M282" s="49"/>
      <c r="N282" s="49"/>
      <c r="O282" s="48"/>
      <c r="P282" s="48"/>
      <c r="Q282" s="48"/>
      <c r="R282" s="48"/>
      <c r="S282" s="48"/>
      <c r="T282" s="48"/>
      <c r="U282" s="48"/>
      <c r="V282" s="48"/>
      <c r="W282" s="48"/>
      <c r="X282" s="48"/>
      <c r="Y282" s="48"/>
      <c r="Z282" s="48"/>
    </row>
    <row r="283" ht="15.75" customHeight="1">
      <c r="A283" s="49"/>
      <c r="B283" s="49"/>
      <c r="C283" s="49"/>
      <c r="D283" s="49"/>
      <c r="E283" s="49"/>
      <c r="F283" s="49"/>
      <c r="G283" s="49"/>
      <c r="H283" s="49"/>
      <c r="I283" s="49"/>
      <c r="J283" s="49"/>
      <c r="K283" s="49"/>
      <c r="L283" s="49"/>
      <c r="M283" s="49"/>
      <c r="N283" s="49"/>
      <c r="O283" s="48"/>
      <c r="P283" s="48"/>
      <c r="Q283" s="48"/>
      <c r="R283" s="48"/>
      <c r="S283" s="48"/>
      <c r="T283" s="48"/>
      <c r="U283" s="48"/>
      <c r="V283" s="48"/>
      <c r="W283" s="48"/>
      <c r="X283" s="48"/>
      <c r="Y283" s="48"/>
      <c r="Z283" s="48"/>
    </row>
    <row r="284" ht="15.75" customHeight="1">
      <c r="A284" s="49"/>
      <c r="B284" s="49"/>
      <c r="C284" s="49"/>
      <c r="D284" s="49"/>
      <c r="E284" s="49"/>
      <c r="F284" s="49"/>
      <c r="G284" s="49"/>
      <c r="H284" s="49"/>
      <c r="I284" s="49"/>
      <c r="J284" s="49"/>
      <c r="K284" s="49"/>
      <c r="L284" s="49"/>
      <c r="M284" s="49"/>
      <c r="N284" s="49"/>
      <c r="O284" s="48"/>
      <c r="P284" s="48"/>
      <c r="Q284" s="48"/>
      <c r="R284" s="48"/>
      <c r="S284" s="48"/>
      <c r="T284" s="48"/>
      <c r="U284" s="48"/>
      <c r="V284" s="48"/>
      <c r="W284" s="48"/>
      <c r="X284" s="48"/>
      <c r="Y284" s="48"/>
      <c r="Z284" s="48"/>
    </row>
    <row r="285" ht="15.75" customHeight="1">
      <c r="A285" s="49"/>
      <c r="B285" s="49"/>
      <c r="C285" s="49"/>
      <c r="D285" s="49"/>
      <c r="E285" s="49"/>
      <c r="F285" s="49"/>
      <c r="G285" s="49"/>
      <c r="H285" s="49"/>
      <c r="I285" s="49"/>
      <c r="J285" s="49"/>
      <c r="K285" s="49"/>
      <c r="L285" s="49"/>
      <c r="M285" s="49"/>
      <c r="N285" s="49"/>
      <c r="O285" s="48"/>
      <c r="P285" s="48"/>
      <c r="Q285" s="48"/>
      <c r="R285" s="48"/>
      <c r="S285" s="48"/>
      <c r="T285" s="48"/>
      <c r="U285" s="48"/>
      <c r="V285" s="48"/>
      <c r="W285" s="48"/>
      <c r="X285" s="48"/>
      <c r="Y285" s="48"/>
      <c r="Z285" s="48"/>
    </row>
    <row r="286" ht="15.75" customHeight="1">
      <c r="A286" s="49"/>
      <c r="B286" s="49"/>
      <c r="C286" s="49"/>
      <c r="D286" s="49"/>
      <c r="E286" s="49"/>
      <c r="F286" s="49"/>
      <c r="G286" s="49"/>
      <c r="H286" s="49"/>
      <c r="I286" s="49"/>
      <c r="J286" s="49"/>
      <c r="K286" s="49"/>
      <c r="L286" s="49"/>
      <c r="M286" s="49"/>
      <c r="N286" s="49"/>
      <c r="O286" s="48"/>
      <c r="P286" s="48"/>
      <c r="Q286" s="48"/>
      <c r="R286" s="48"/>
      <c r="S286" s="48"/>
      <c r="T286" s="48"/>
      <c r="U286" s="48"/>
      <c r="V286" s="48"/>
      <c r="W286" s="48"/>
      <c r="X286" s="48"/>
      <c r="Y286" s="48"/>
      <c r="Z286" s="48"/>
    </row>
    <row r="287" ht="15.75" customHeight="1">
      <c r="A287" s="49"/>
      <c r="B287" s="49"/>
      <c r="C287" s="49"/>
      <c r="D287" s="49"/>
      <c r="E287" s="49"/>
      <c r="F287" s="49"/>
      <c r="G287" s="49"/>
      <c r="H287" s="49"/>
      <c r="I287" s="49"/>
      <c r="J287" s="49"/>
      <c r="K287" s="49"/>
      <c r="L287" s="49"/>
      <c r="M287" s="49"/>
      <c r="N287" s="49"/>
      <c r="O287" s="48"/>
      <c r="P287" s="48"/>
      <c r="Q287" s="48"/>
      <c r="R287" s="48"/>
      <c r="S287" s="48"/>
      <c r="T287" s="48"/>
      <c r="U287" s="48"/>
      <c r="V287" s="48"/>
      <c r="W287" s="48"/>
      <c r="X287" s="48"/>
      <c r="Y287" s="48"/>
      <c r="Z287" s="48"/>
    </row>
    <row r="288" ht="15.75" customHeight="1">
      <c r="A288" s="49"/>
      <c r="B288" s="49"/>
      <c r="C288" s="49"/>
      <c r="D288" s="49"/>
      <c r="E288" s="49"/>
      <c r="F288" s="49"/>
      <c r="G288" s="49"/>
      <c r="H288" s="49"/>
      <c r="I288" s="49"/>
      <c r="J288" s="49"/>
      <c r="K288" s="49"/>
      <c r="L288" s="49"/>
      <c r="M288" s="49"/>
      <c r="N288" s="49"/>
      <c r="O288" s="48"/>
      <c r="P288" s="48"/>
      <c r="Q288" s="48"/>
      <c r="R288" s="48"/>
      <c r="S288" s="48"/>
      <c r="T288" s="48"/>
      <c r="U288" s="48"/>
      <c r="V288" s="48"/>
      <c r="W288" s="48"/>
      <c r="X288" s="48"/>
      <c r="Y288" s="48"/>
      <c r="Z288" s="48"/>
    </row>
    <row r="289" ht="15.75" customHeight="1">
      <c r="A289" s="49"/>
      <c r="B289" s="49"/>
      <c r="C289" s="49"/>
      <c r="D289" s="49"/>
      <c r="E289" s="49"/>
      <c r="F289" s="49"/>
      <c r="G289" s="49"/>
      <c r="H289" s="49"/>
      <c r="I289" s="49"/>
      <c r="J289" s="49"/>
      <c r="K289" s="49"/>
      <c r="L289" s="49"/>
      <c r="M289" s="49"/>
      <c r="N289" s="49"/>
      <c r="O289" s="48"/>
      <c r="P289" s="48"/>
      <c r="Q289" s="48"/>
      <c r="R289" s="48"/>
      <c r="S289" s="48"/>
      <c r="T289" s="48"/>
      <c r="U289" s="48"/>
      <c r="V289" s="48"/>
      <c r="W289" s="48"/>
      <c r="X289" s="48"/>
      <c r="Y289" s="48"/>
      <c r="Z289" s="48"/>
    </row>
    <row r="290" ht="15.75" customHeight="1">
      <c r="A290" s="49"/>
      <c r="B290" s="49"/>
      <c r="C290" s="49"/>
      <c r="D290" s="49"/>
      <c r="E290" s="49"/>
      <c r="F290" s="49"/>
      <c r="G290" s="49"/>
      <c r="H290" s="49"/>
      <c r="I290" s="49"/>
      <c r="J290" s="49"/>
      <c r="K290" s="49"/>
      <c r="L290" s="49"/>
      <c r="M290" s="49"/>
      <c r="N290" s="49"/>
      <c r="O290" s="48"/>
      <c r="P290" s="48"/>
      <c r="Q290" s="48"/>
      <c r="R290" s="48"/>
      <c r="S290" s="48"/>
      <c r="T290" s="48"/>
      <c r="U290" s="48"/>
      <c r="V290" s="48"/>
      <c r="W290" s="48"/>
      <c r="X290" s="48"/>
      <c r="Y290" s="48"/>
      <c r="Z290" s="48"/>
    </row>
    <row r="291" ht="15.75" customHeight="1">
      <c r="A291" s="49"/>
      <c r="B291" s="49"/>
      <c r="C291" s="49"/>
      <c r="D291" s="49"/>
      <c r="E291" s="49"/>
      <c r="F291" s="49"/>
      <c r="G291" s="49"/>
      <c r="H291" s="49"/>
      <c r="I291" s="49"/>
      <c r="J291" s="49"/>
      <c r="K291" s="49"/>
      <c r="L291" s="49"/>
      <c r="M291" s="49"/>
      <c r="N291" s="49"/>
      <c r="O291" s="48"/>
      <c r="P291" s="48"/>
      <c r="Q291" s="48"/>
      <c r="R291" s="48"/>
      <c r="S291" s="48"/>
      <c r="T291" s="48"/>
      <c r="U291" s="48"/>
      <c r="V291" s="48"/>
      <c r="W291" s="48"/>
      <c r="X291" s="48"/>
      <c r="Y291" s="48"/>
      <c r="Z291" s="48"/>
    </row>
    <row r="292" ht="15.75" customHeight="1">
      <c r="A292" s="49"/>
      <c r="B292" s="49"/>
      <c r="C292" s="49"/>
      <c r="D292" s="49"/>
      <c r="E292" s="49"/>
      <c r="F292" s="49"/>
      <c r="G292" s="49"/>
      <c r="H292" s="49"/>
      <c r="I292" s="49"/>
      <c r="J292" s="49"/>
      <c r="K292" s="49"/>
      <c r="L292" s="49"/>
      <c r="M292" s="49"/>
      <c r="N292" s="49"/>
      <c r="O292" s="48"/>
      <c r="P292" s="48"/>
      <c r="Q292" s="48"/>
      <c r="R292" s="48"/>
      <c r="S292" s="48"/>
      <c r="T292" s="48"/>
      <c r="U292" s="48"/>
      <c r="V292" s="48"/>
      <c r="W292" s="48"/>
      <c r="X292" s="48"/>
      <c r="Y292" s="48"/>
      <c r="Z292" s="48"/>
    </row>
    <row r="293" ht="15.75" customHeight="1">
      <c r="A293" s="49"/>
      <c r="B293" s="49"/>
      <c r="C293" s="49"/>
      <c r="D293" s="49"/>
      <c r="E293" s="49"/>
      <c r="F293" s="49"/>
      <c r="G293" s="49"/>
      <c r="H293" s="49"/>
      <c r="I293" s="49"/>
      <c r="J293" s="49"/>
      <c r="K293" s="49"/>
      <c r="L293" s="49"/>
      <c r="M293" s="49"/>
      <c r="N293" s="49"/>
      <c r="O293" s="48"/>
      <c r="P293" s="48"/>
      <c r="Q293" s="48"/>
      <c r="R293" s="48"/>
      <c r="S293" s="48"/>
      <c r="T293" s="48"/>
      <c r="U293" s="48"/>
      <c r="V293" s="48"/>
      <c r="W293" s="48"/>
      <c r="X293" s="48"/>
      <c r="Y293" s="48"/>
      <c r="Z293" s="48"/>
    </row>
    <row r="294" ht="15.75" customHeight="1">
      <c r="A294" s="49"/>
      <c r="B294" s="49"/>
      <c r="C294" s="49"/>
      <c r="D294" s="49"/>
      <c r="E294" s="49"/>
      <c r="F294" s="49"/>
      <c r="G294" s="49"/>
      <c r="H294" s="49"/>
      <c r="I294" s="49"/>
      <c r="J294" s="49"/>
      <c r="K294" s="49"/>
      <c r="L294" s="49"/>
      <c r="M294" s="49"/>
      <c r="N294" s="49"/>
      <c r="O294" s="48"/>
      <c r="P294" s="48"/>
      <c r="Q294" s="48"/>
      <c r="R294" s="48"/>
      <c r="S294" s="48"/>
      <c r="T294" s="48"/>
      <c r="U294" s="48"/>
      <c r="V294" s="48"/>
      <c r="W294" s="48"/>
      <c r="X294" s="48"/>
      <c r="Y294" s="48"/>
      <c r="Z294" s="48"/>
    </row>
    <row r="295" ht="15.75" customHeight="1">
      <c r="A295" s="49"/>
      <c r="B295" s="49"/>
      <c r="C295" s="49"/>
      <c r="D295" s="49"/>
      <c r="E295" s="49"/>
      <c r="F295" s="49"/>
      <c r="G295" s="49"/>
      <c r="H295" s="49"/>
      <c r="I295" s="49"/>
      <c r="J295" s="49"/>
      <c r="K295" s="49"/>
      <c r="L295" s="49"/>
      <c r="M295" s="49"/>
      <c r="N295" s="49"/>
      <c r="O295" s="48"/>
      <c r="P295" s="48"/>
      <c r="Q295" s="48"/>
      <c r="R295" s="48"/>
      <c r="S295" s="48"/>
      <c r="T295" s="48"/>
      <c r="U295" s="48"/>
      <c r="V295" s="48"/>
      <c r="W295" s="48"/>
      <c r="X295" s="48"/>
      <c r="Y295" s="48"/>
      <c r="Z295" s="48"/>
    </row>
    <row r="296" ht="15.75" customHeight="1">
      <c r="A296" s="49"/>
      <c r="B296" s="49"/>
      <c r="C296" s="49"/>
      <c r="D296" s="49"/>
      <c r="E296" s="49"/>
      <c r="F296" s="49"/>
      <c r="G296" s="49"/>
      <c r="H296" s="49"/>
      <c r="I296" s="49"/>
      <c r="J296" s="49"/>
      <c r="K296" s="49"/>
      <c r="L296" s="49"/>
      <c r="M296" s="49"/>
      <c r="N296" s="49"/>
      <c r="O296" s="48"/>
      <c r="P296" s="48"/>
      <c r="Q296" s="48"/>
      <c r="R296" s="48"/>
      <c r="S296" s="48"/>
      <c r="T296" s="48"/>
      <c r="U296" s="48"/>
      <c r="V296" s="48"/>
      <c r="W296" s="48"/>
      <c r="X296" s="48"/>
      <c r="Y296" s="48"/>
      <c r="Z296" s="48"/>
    </row>
    <row r="297" ht="15.75" customHeight="1">
      <c r="A297" s="49"/>
      <c r="B297" s="49"/>
      <c r="C297" s="49"/>
      <c r="D297" s="49"/>
      <c r="E297" s="49"/>
      <c r="F297" s="49"/>
      <c r="G297" s="49"/>
      <c r="H297" s="49"/>
      <c r="I297" s="49"/>
      <c r="J297" s="49"/>
      <c r="K297" s="49"/>
      <c r="L297" s="49"/>
      <c r="M297" s="49"/>
      <c r="N297" s="49"/>
      <c r="O297" s="48"/>
      <c r="P297" s="48"/>
      <c r="Q297" s="48"/>
      <c r="R297" s="48"/>
      <c r="S297" s="48"/>
      <c r="T297" s="48"/>
      <c r="U297" s="48"/>
      <c r="V297" s="48"/>
      <c r="W297" s="48"/>
      <c r="X297" s="48"/>
      <c r="Y297" s="48"/>
      <c r="Z297" s="48"/>
    </row>
    <row r="298" ht="15.75" customHeight="1">
      <c r="A298" s="49"/>
      <c r="B298" s="49"/>
      <c r="C298" s="49"/>
      <c r="D298" s="49"/>
      <c r="E298" s="49"/>
      <c r="F298" s="49"/>
      <c r="G298" s="49"/>
      <c r="H298" s="49"/>
      <c r="I298" s="49"/>
      <c r="J298" s="49"/>
      <c r="K298" s="49"/>
      <c r="L298" s="49"/>
      <c r="M298" s="49"/>
      <c r="N298" s="49"/>
      <c r="O298" s="48"/>
      <c r="P298" s="48"/>
      <c r="Q298" s="48"/>
      <c r="R298" s="48"/>
      <c r="S298" s="48"/>
      <c r="T298" s="48"/>
      <c r="U298" s="48"/>
      <c r="V298" s="48"/>
      <c r="W298" s="48"/>
      <c r="X298" s="48"/>
      <c r="Y298" s="48"/>
      <c r="Z298" s="48"/>
    </row>
    <row r="299" ht="15.75" customHeight="1">
      <c r="A299" s="49"/>
      <c r="B299" s="49"/>
      <c r="C299" s="49"/>
      <c r="D299" s="49"/>
      <c r="E299" s="49"/>
      <c r="F299" s="49"/>
      <c r="G299" s="49"/>
      <c r="H299" s="49"/>
      <c r="I299" s="49"/>
      <c r="J299" s="49"/>
      <c r="K299" s="49"/>
      <c r="L299" s="49"/>
      <c r="M299" s="49"/>
      <c r="N299" s="49"/>
      <c r="O299" s="48"/>
      <c r="P299" s="48"/>
      <c r="Q299" s="48"/>
      <c r="R299" s="48"/>
      <c r="S299" s="48"/>
      <c r="T299" s="48"/>
      <c r="U299" s="48"/>
      <c r="V299" s="48"/>
      <c r="W299" s="48"/>
      <c r="X299" s="48"/>
      <c r="Y299" s="48"/>
      <c r="Z299" s="48"/>
    </row>
    <row r="300" ht="15.75" customHeight="1">
      <c r="A300" s="49"/>
      <c r="B300" s="49"/>
      <c r="C300" s="49"/>
      <c r="D300" s="49"/>
      <c r="E300" s="49"/>
      <c r="F300" s="49"/>
      <c r="G300" s="49"/>
      <c r="H300" s="49"/>
      <c r="I300" s="49"/>
      <c r="J300" s="49"/>
      <c r="K300" s="49"/>
      <c r="L300" s="49"/>
      <c r="M300" s="49"/>
      <c r="N300" s="49"/>
      <c r="O300" s="48"/>
      <c r="P300" s="48"/>
      <c r="Q300" s="48"/>
      <c r="R300" s="48"/>
      <c r="S300" s="48"/>
      <c r="T300" s="48"/>
      <c r="U300" s="48"/>
      <c r="V300" s="48"/>
      <c r="W300" s="48"/>
      <c r="X300" s="48"/>
      <c r="Y300" s="48"/>
      <c r="Z300" s="48"/>
    </row>
    <row r="301" ht="15.75" customHeight="1">
      <c r="A301" s="49"/>
      <c r="B301" s="49"/>
      <c r="C301" s="49"/>
      <c r="D301" s="49"/>
      <c r="E301" s="49"/>
      <c r="F301" s="49"/>
      <c r="G301" s="49"/>
      <c r="H301" s="49"/>
      <c r="I301" s="49"/>
      <c r="J301" s="49"/>
      <c r="K301" s="49"/>
      <c r="L301" s="49"/>
      <c r="M301" s="49"/>
      <c r="N301" s="49"/>
      <c r="O301" s="48"/>
      <c r="P301" s="48"/>
      <c r="Q301" s="48"/>
      <c r="R301" s="48"/>
      <c r="S301" s="48"/>
      <c r="T301" s="48"/>
      <c r="U301" s="48"/>
      <c r="V301" s="48"/>
      <c r="W301" s="48"/>
      <c r="X301" s="48"/>
      <c r="Y301" s="48"/>
      <c r="Z301" s="48"/>
    </row>
    <row r="302" ht="15.75" customHeight="1">
      <c r="A302" s="49"/>
      <c r="B302" s="49"/>
      <c r="C302" s="49"/>
      <c r="D302" s="49"/>
      <c r="E302" s="49"/>
      <c r="F302" s="49"/>
      <c r="G302" s="49"/>
      <c r="H302" s="49"/>
      <c r="I302" s="49"/>
      <c r="J302" s="49"/>
      <c r="K302" s="49"/>
      <c r="L302" s="49"/>
      <c r="M302" s="49"/>
      <c r="N302" s="49"/>
      <c r="O302" s="48"/>
      <c r="P302" s="48"/>
      <c r="Q302" s="48"/>
      <c r="R302" s="48"/>
      <c r="S302" s="48"/>
      <c r="T302" s="48"/>
      <c r="U302" s="48"/>
      <c r="V302" s="48"/>
      <c r="W302" s="48"/>
      <c r="X302" s="48"/>
      <c r="Y302" s="48"/>
      <c r="Z302" s="48"/>
    </row>
    <row r="303" ht="15.75" customHeight="1">
      <c r="A303" s="49"/>
      <c r="B303" s="49"/>
      <c r="C303" s="49"/>
      <c r="D303" s="49"/>
      <c r="E303" s="49"/>
      <c r="F303" s="49"/>
      <c r="G303" s="49"/>
      <c r="H303" s="49"/>
      <c r="I303" s="49"/>
      <c r="J303" s="49"/>
      <c r="K303" s="49"/>
      <c r="L303" s="49"/>
      <c r="M303" s="49"/>
      <c r="N303" s="49"/>
      <c r="O303" s="48"/>
      <c r="P303" s="48"/>
      <c r="Q303" s="48"/>
      <c r="R303" s="48"/>
      <c r="S303" s="48"/>
      <c r="T303" s="48"/>
      <c r="U303" s="48"/>
      <c r="V303" s="48"/>
      <c r="W303" s="48"/>
      <c r="X303" s="48"/>
      <c r="Y303" s="48"/>
      <c r="Z303" s="48"/>
    </row>
    <row r="304" ht="15.75" customHeight="1">
      <c r="A304" s="49"/>
      <c r="B304" s="49"/>
      <c r="C304" s="49"/>
      <c r="D304" s="49"/>
      <c r="E304" s="49"/>
      <c r="F304" s="49"/>
      <c r="G304" s="49"/>
      <c r="H304" s="49"/>
      <c r="I304" s="49"/>
      <c r="J304" s="49"/>
      <c r="K304" s="49"/>
      <c r="L304" s="49"/>
      <c r="M304" s="49"/>
      <c r="N304" s="49"/>
      <c r="O304" s="48"/>
      <c r="P304" s="48"/>
      <c r="Q304" s="48"/>
      <c r="R304" s="48"/>
      <c r="S304" s="48"/>
      <c r="T304" s="48"/>
      <c r="U304" s="48"/>
      <c r="V304" s="48"/>
      <c r="W304" s="48"/>
      <c r="X304" s="48"/>
      <c r="Y304" s="48"/>
      <c r="Z304" s="48"/>
    </row>
    <row r="305" ht="15.75" customHeight="1">
      <c r="A305" s="49"/>
      <c r="B305" s="49"/>
      <c r="C305" s="49"/>
      <c r="D305" s="49"/>
      <c r="E305" s="49"/>
      <c r="F305" s="49"/>
      <c r="G305" s="49"/>
      <c r="H305" s="49"/>
      <c r="I305" s="49"/>
      <c r="J305" s="49"/>
      <c r="K305" s="49"/>
      <c r="L305" s="49"/>
      <c r="M305" s="49"/>
      <c r="N305" s="49"/>
      <c r="O305" s="48"/>
      <c r="P305" s="48"/>
      <c r="Q305" s="48"/>
      <c r="R305" s="48"/>
      <c r="S305" s="48"/>
      <c r="T305" s="48"/>
      <c r="U305" s="48"/>
      <c r="V305" s="48"/>
      <c r="W305" s="48"/>
      <c r="X305" s="48"/>
      <c r="Y305" s="48"/>
      <c r="Z305" s="48"/>
    </row>
    <row r="306" ht="15.75" customHeight="1">
      <c r="A306" s="49"/>
      <c r="B306" s="49"/>
      <c r="C306" s="49"/>
      <c r="D306" s="49"/>
      <c r="E306" s="49"/>
      <c r="F306" s="49"/>
      <c r="G306" s="49"/>
      <c r="H306" s="49"/>
      <c r="I306" s="49"/>
      <c r="J306" s="49"/>
      <c r="K306" s="49"/>
      <c r="L306" s="49"/>
      <c r="M306" s="49"/>
      <c r="N306" s="49"/>
      <c r="O306" s="48"/>
      <c r="P306" s="48"/>
      <c r="Q306" s="48"/>
      <c r="R306" s="48"/>
      <c r="S306" s="48"/>
      <c r="T306" s="48"/>
      <c r="U306" s="48"/>
      <c r="V306" s="48"/>
      <c r="W306" s="48"/>
      <c r="X306" s="48"/>
      <c r="Y306" s="48"/>
      <c r="Z306" s="48"/>
    </row>
    <row r="307" ht="15.75" customHeight="1">
      <c r="A307" s="49"/>
      <c r="B307" s="49"/>
      <c r="C307" s="49"/>
      <c r="D307" s="49"/>
      <c r="E307" s="49"/>
      <c r="F307" s="49"/>
      <c r="G307" s="49"/>
      <c r="H307" s="49"/>
      <c r="I307" s="49"/>
      <c r="J307" s="49"/>
      <c r="K307" s="49"/>
      <c r="L307" s="49"/>
      <c r="M307" s="49"/>
      <c r="N307" s="49"/>
      <c r="O307" s="48"/>
      <c r="P307" s="48"/>
      <c r="Q307" s="48"/>
      <c r="R307" s="48"/>
      <c r="S307" s="48"/>
      <c r="T307" s="48"/>
      <c r="U307" s="48"/>
      <c r="V307" s="48"/>
      <c r="W307" s="48"/>
      <c r="X307" s="48"/>
      <c r="Y307" s="48"/>
      <c r="Z307" s="48"/>
    </row>
    <row r="308" ht="15.75" customHeight="1">
      <c r="A308" s="49"/>
      <c r="B308" s="49"/>
      <c r="C308" s="49"/>
      <c r="D308" s="49"/>
      <c r="E308" s="49"/>
      <c r="F308" s="49"/>
      <c r="G308" s="49"/>
      <c r="H308" s="49"/>
      <c r="I308" s="49"/>
      <c r="J308" s="49"/>
      <c r="K308" s="49"/>
      <c r="L308" s="49"/>
      <c r="M308" s="49"/>
      <c r="N308" s="49"/>
      <c r="O308" s="48"/>
      <c r="P308" s="48"/>
      <c r="Q308" s="48"/>
      <c r="R308" s="48"/>
      <c r="S308" s="48"/>
      <c r="T308" s="48"/>
      <c r="U308" s="48"/>
      <c r="V308" s="48"/>
      <c r="W308" s="48"/>
      <c r="X308" s="48"/>
      <c r="Y308" s="48"/>
      <c r="Z308" s="48"/>
    </row>
    <row r="309" ht="15.75" customHeight="1">
      <c r="A309" s="49"/>
      <c r="B309" s="49"/>
      <c r="C309" s="49"/>
      <c r="D309" s="49"/>
      <c r="E309" s="49"/>
      <c r="F309" s="49"/>
      <c r="G309" s="49"/>
      <c r="H309" s="49"/>
      <c r="I309" s="49"/>
      <c r="J309" s="49"/>
      <c r="K309" s="49"/>
      <c r="L309" s="49"/>
      <c r="M309" s="49"/>
      <c r="N309" s="49"/>
      <c r="O309" s="48"/>
      <c r="P309" s="48"/>
      <c r="Q309" s="48"/>
      <c r="R309" s="48"/>
      <c r="S309" s="48"/>
      <c r="T309" s="48"/>
      <c r="U309" s="48"/>
      <c r="V309" s="48"/>
      <c r="W309" s="48"/>
      <c r="X309" s="48"/>
      <c r="Y309" s="48"/>
      <c r="Z309" s="48"/>
    </row>
    <row r="310" ht="15.75" customHeight="1">
      <c r="A310" s="49"/>
      <c r="B310" s="49"/>
      <c r="C310" s="49"/>
      <c r="D310" s="49"/>
      <c r="E310" s="49"/>
      <c r="F310" s="49"/>
      <c r="G310" s="49"/>
      <c r="H310" s="49"/>
      <c r="I310" s="49"/>
      <c r="J310" s="49"/>
      <c r="K310" s="49"/>
      <c r="L310" s="49"/>
      <c r="M310" s="49"/>
      <c r="N310" s="49"/>
      <c r="O310" s="48"/>
      <c r="P310" s="48"/>
      <c r="Q310" s="48"/>
      <c r="R310" s="48"/>
      <c r="S310" s="48"/>
      <c r="T310" s="48"/>
      <c r="U310" s="48"/>
      <c r="V310" s="48"/>
      <c r="W310" s="48"/>
      <c r="X310" s="48"/>
      <c r="Y310" s="48"/>
      <c r="Z310" s="48"/>
    </row>
    <row r="311" ht="15.75" customHeight="1">
      <c r="A311" s="49"/>
      <c r="B311" s="49"/>
      <c r="C311" s="49"/>
      <c r="D311" s="49"/>
      <c r="E311" s="49"/>
      <c r="F311" s="49"/>
      <c r="G311" s="49"/>
      <c r="H311" s="49"/>
      <c r="I311" s="49"/>
      <c r="J311" s="49"/>
      <c r="K311" s="49"/>
      <c r="L311" s="49"/>
      <c r="M311" s="49"/>
      <c r="N311" s="49"/>
      <c r="O311" s="48"/>
      <c r="P311" s="48"/>
      <c r="Q311" s="48"/>
      <c r="R311" s="48"/>
      <c r="S311" s="48"/>
      <c r="T311" s="48"/>
      <c r="U311" s="48"/>
      <c r="V311" s="48"/>
      <c r="W311" s="48"/>
      <c r="X311" s="48"/>
      <c r="Y311" s="48"/>
      <c r="Z311" s="48"/>
    </row>
    <row r="312" ht="15.75" customHeight="1">
      <c r="A312" s="49"/>
      <c r="B312" s="49"/>
      <c r="C312" s="49"/>
      <c r="D312" s="49"/>
      <c r="E312" s="49"/>
      <c r="F312" s="49"/>
      <c r="G312" s="49"/>
      <c r="H312" s="49"/>
      <c r="I312" s="49"/>
      <c r="J312" s="49"/>
      <c r="K312" s="49"/>
      <c r="L312" s="49"/>
      <c r="M312" s="49"/>
      <c r="N312" s="49"/>
      <c r="O312" s="48"/>
      <c r="P312" s="48"/>
      <c r="Q312" s="48"/>
      <c r="R312" s="48"/>
      <c r="S312" s="48"/>
      <c r="T312" s="48"/>
      <c r="U312" s="48"/>
      <c r="V312" s="48"/>
      <c r="W312" s="48"/>
      <c r="X312" s="48"/>
      <c r="Y312" s="48"/>
      <c r="Z312" s="48"/>
    </row>
    <row r="313" ht="15.75" customHeight="1">
      <c r="A313" s="49"/>
      <c r="B313" s="49"/>
      <c r="C313" s="49"/>
      <c r="D313" s="49"/>
      <c r="E313" s="49"/>
      <c r="F313" s="49"/>
      <c r="G313" s="49"/>
      <c r="H313" s="49"/>
      <c r="I313" s="49"/>
      <c r="J313" s="49"/>
      <c r="K313" s="49"/>
      <c r="L313" s="49"/>
      <c r="M313" s="49"/>
      <c r="N313" s="49"/>
      <c r="O313" s="48"/>
      <c r="P313" s="48"/>
      <c r="Q313" s="48"/>
      <c r="R313" s="48"/>
      <c r="S313" s="48"/>
      <c r="T313" s="48"/>
      <c r="U313" s="48"/>
      <c r="V313" s="48"/>
      <c r="W313" s="48"/>
      <c r="X313" s="48"/>
      <c r="Y313" s="48"/>
      <c r="Z313" s="48"/>
    </row>
    <row r="314" ht="15.75" customHeight="1">
      <c r="A314" s="49"/>
      <c r="B314" s="49"/>
      <c r="C314" s="49"/>
      <c r="D314" s="49"/>
      <c r="E314" s="49"/>
      <c r="F314" s="49"/>
      <c r="G314" s="49"/>
      <c r="H314" s="49"/>
      <c r="I314" s="49"/>
      <c r="J314" s="49"/>
      <c r="K314" s="49"/>
      <c r="L314" s="49"/>
      <c r="M314" s="49"/>
      <c r="N314" s="49"/>
      <c r="O314" s="48"/>
      <c r="P314" s="48"/>
      <c r="Q314" s="48"/>
      <c r="R314" s="48"/>
      <c r="S314" s="48"/>
      <c r="T314" s="48"/>
      <c r="U314" s="48"/>
      <c r="V314" s="48"/>
      <c r="W314" s="48"/>
      <c r="X314" s="48"/>
      <c r="Y314" s="48"/>
      <c r="Z314" s="48"/>
    </row>
    <row r="315" ht="15.75" customHeight="1">
      <c r="A315" s="49"/>
      <c r="B315" s="49"/>
      <c r="C315" s="49"/>
      <c r="D315" s="49"/>
      <c r="E315" s="49"/>
      <c r="F315" s="49"/>
      <c r="G315" s="49"/>
      <c r="H315" s="49"/>
      <c r="I315" s="49"/>
      <c r="J315" s="49"/>
      <c r="K315" s="49"/>
      <c r="L315" s="49"/>
      <c r="M315" s="49"/>
      <c r="N315" s="49"/>
      <c r="O315" s="48"/>
      <c r="P315" s="48"/>
      <c r="Q315" s="48"/>
      <c r="R315" s="48"/>
      <c r="S315" s="48"/>
      <c r="T315" s="48"/>
      <c r="U315" s="48"/>
      <c r="V315" s="48"/>
      <c r="W315" s="48"/>
      <c r="X315" s="48"/>
      <c r="Y315" s="48"/>
      <c r="Z315" s="48"/>
    </row>
    <row r="316" ht="15.75" customHeight="1">
      <c r="A316" s="49"/>
      <c r="B316" s="49"/>
      <c r="C316" s="49"/>
      <c r="D316" s="49"/>
      <c r="E316" s="49"/>
      <c r="F316" s="49"/>
      <c r="G316" s="49"/>
      <c r="H316" s="49"/>
      <c r="I316" s="49"/>
      <c r="J316" s="49"/>
      <c r="K316" s="49"/>
      <c r="L316" s="49"/>
      <c r="M316" s="49"/>
      <c r="N316" s="49"/>
      <c r="O316" s="48"/>
      <c r="P316" s="48"/>
      <c r="Q316" s="48"/>
      <c r="R316" s="48"/>
      <c r="S316" s="48"/>
      <c r="T316" s="48"/>
      <c r="U316" s="48"/>
      <c r="V316" s="48"/>
      <c r="W316" s="48"/>
      <c r="X316" s="48"/>
      <c r="Y316" s="48"/>
      <c r="Z316" s="48"/>
    </row>
    <row r="317" ht="15.75" customHeight="1">
      <c r="A317" s="49"/>
      <c r="B317" s="49"/>
      <c r="C317" s="49"/>
      <c r="D317" s="49"/>
      <c r="E317" s="49"/>
      <c r="F317" s="49"/>
      <c r="G317" s="49"/>
      <c r="H317" s="49"/>
      <c r="I317" s="49"/>
      <c r="J317" s="49"/>
      <c r="K317" s="49"/>
      <c r="L317" s="49"/>
      <c r="M317" s="49"/>
      <c r="N317" s="49"/>
      <c r="O317" s="48"/>
      <c r="P317" s="48"/>
      <c r="Q317" s="48"/>
      <c r="R317" s="48"/>
      <c r="S317" s="48"/>
      <c r="T317" s="48"/>
      <c r="U317" s="48"/>
      <c r="V317" s="48"/>
      <c r="W317" s="48"/>
      <c r="X317" s="48"/>
      <c r="Y317" s="48"/>
      <c r="Z317" s="48"/>
    </row>
    <row r="318" ht="15.75" customHeight="1">
      <c r="A318" s="49"/>
      <c r="B318" s="49"/>
      <c r="C318" s="49"/>
      <c r="D318" s="49"/>
      <c r="E318" s="49"/>
      <c r="F318" s="49"/>
      <c r="G318" s="49"/>
      <c r="H318" s="49"/>
      <c r="I318" s="49"/>
      <c r="J318" s="49"/>
      <c r="K318" s="49"/>
      <c r="L318" s="49"/>
      <c r="M318" s="49"/>
      <c r="N318" s="49"/>
      <c r="O318" s="48"/>
      <c r="P318" s="48"/>
      <c r="Q318" s="48"/>
      <c r="R318" s="48"/>
      <c r="S318" s="48"/>
      <c r="T318" s="48"/>
      <c r="U318" s="48"/>
      <c r="V318" s="48"/>
      <c r="W318" s="48"/>
      <c r="X318" s="48"/>
      <c r="Y318" s="48"/>
      <c r="Z318" s="48"/>
    </row>
    <row r="319" ht="15.75" customHeight="1">
      <c r="A319" s="49"/>
      <c r="B319" s="49"/>
      <c r="C319" s="49"/>
      <c r="D319" s="49"/>
      <c r="E319" s="49"/>
      <c r="F319" s="49"/>
      <c r="G319" s="49"/>
      <c r="H319" s="49"/>
      <c r="I319" s="49"/>
      <c r="J319" s="49"/>
      <c r="K319" s="49"/>
      <c r="L319" s="49"/>
      <c r="M319" s="49"/>
      <c r="N319" s="49"/>
      <c r="O319" s="48"/>
      <c r="P319" s="48"/>
      <c r="Q319" s="48"/>
      <c r="R319" s="48"/>
      <c r="S319" s="48"/>
      <c r="T319" s="48"/>
      <c r="U319" s="48"/>
      <c r="V319" s="48"/>
      <c r="W319" s="48"/>
      <c r="X319" s="48"/>
      <c r="Y319" s="48"/>
      <c r="Z319" s="48"/>
    </row>
    <row r="320" ht="15.75" customHeight="1">
      <c r="A320" s="49"/>
      <c r="B320" s="49"/>
      <c r="C320" s="49"/>
      <c r="D320" s="49"/>
      <c r="E320" s="49"/>
      <c r="F320" s="49"/>
      <c r="G320" s="49"/>
      <c r="H320" s="49"/>
      <c r="I320" s="49"/>
      <c r="J320" s="49"/>
      <c r="K320" s="49"/>
      <c r="L320" s="49"/>
      <c r="M320" s="49"/>
      <c r="N320" s="49"/>
      <c r="O320" s="48"/>
      <c r="P320" s="48"/>
      <c r="Q320" s="48"/>
      <c r="R320" s="48"/>
      <c r="S320" s="48"/>
      <c r="T320" s="48"/>
      <c r="U320" s="48"/>
      <c r="V320" s="48"/>
      <c r="W320" s="48"/>
      <c r="X320" s="48"/>
      <c r="Y320" s="48"/>
      <c r="Z320" s="48"/>
    </row>
    <row r="321" ht="15.75" customHeight="1">
      <c r="A321" s="49"/>
      <c r="B321" s="49"/>
      <c r="C321" s="49"/>
      <c r="D321" s="49"/>
      <c r="E321" s="49"/>
      <c r="F321" s="49"/>
      <c r="G321" s="49"/>
      <c r="H321" s="49"/>
      <c r="I321" s="49"/>
      <c r="J321" s="49"/>
      <c r="K321" s="49"/>
      <c r="L321" s="49"/>
      <c r="M321" s="49"/>
      <c r="N321" s="49"/>
      <c r="O321" s="48"/>
      <c r="P321" s="48"/>
      <c r="Q321" s="48"/>
      <c r="R321" s="48"/>
      <c r="S321" s="48"/>
      <c r="T321" s="48"/>
      <c r="U321" s="48"/>
      <c r="V321" s="48"/>
      <c r="W321" s="48"/>
      <c r="X321" s="48"/>
      <c r="Y321" s="48"/>
      <c r="Z321" s="48"/>
    </row>
    <row r="322" ht="15.75" customHeight="1">
      <c r="A322" s="49"/>
      <c r="B322" s="49"/>
      <c r="C322" s="49"/>
      <c r="D322" s="49"/>
      <c r="E322" s="49"/>
      <c r="F322" s="49"/>
      <c r="G322" s="49"/>
      <c r="H322" s="49"/>
      <c r="I322" s="49"/>
      <c r="J322" s="49"/>
      <c r="K322" s="49"/>
      <c r="L322" s="49"/>
      <c r="M322" s="49"/>
      <c r="N322" s="49"/>
      <c r="O322" s="48"/>
      <c r="P322" s="48"/>
      <c r="Q322" s="48"/>
      <c r="R322" s="48"/>
      <c r="S322" s="48"/>
      <c r="T322" s="48"/>
      <c r="U322" s="48"/>
      <c r="V322" s="48"/>
      <c r="W322" s="48"/>
      <c r="X322" s="48"/>
      <c r="Y322" s="48"/>
      <c r="Z322" s="48"/>
    </row>
    <row r="323" ht="15.75" customHeight="1">
      <c r="A323" s="49"/>
      <c r="B323" s="49"/>
      <c r="C323" s="49"/>
      <c r="D323" s="49"/>
      <c r="E323" s="49"/>
      <c r="F323" s="49"/>
      <c r="G323" s="49"/>
      <c r="H323" s="49"/>
      <c r="I323" s="49"/>
      <c r="J323" s="49"/>
      <c r="K323" s="49"/>
      <c r="L323" s="49"/>
      <c r="M323" s="49"/>
      <c r="N323" s="49"/>
      <c r="O323" s="48"/>
      <c r="P323" s="48"/>
      <c r="Q323" s="48"/>
      <c r="R323" s="48"/>
      <c r="S323" s="48"/>
      <c r="T323" s="48"/>
      <c r="U323" s="48"/>
      <c r="V323" s="48"/>
      <c r="W323" s="48"/>
      <c r="X323" s="48"/>
      <c r="Y323" s="48"/>
      <c r="Z323" s="48"/>
    </row>
    <row r="324" ht="15.75" customHeight="1">
      <c r="A324" s="49"/>
      <c r="B324" s="49"/>
      <c r="C324" s="49"/>
      <c r="D324" s="49"/>
      <c r="E324" s="49"/>
      <c r="F324" s="49"/>
      <c r="G324" s="49"/>
      <c r="H324" s="49"/>
      <c r="I324" s="49"/>
      <c r="J324" s="49"/>
      <c r="K324" s="49"/>
      <c r="L324" s="49"/>
      <c r="M324" s="49"/>
      <c r="N324" s="49"/>
      <c r="O324" s="48"/>
      <c r="P324" s="48"/>
      <c r="Q324" s="48"/>
      <c r="R324" s="48"/>
      <c r="S324" s="48"/>
      <c r="T324" s="48"/>
      <c r="U324" s="48"/>
      <c r="V324" s="48"/>
      <c r="W324" s="48"/>
      <c r="X324" s="48"/>
      <c r="Y324" s="48"/>
      <c r="Z324" s="48"/>
    </row>
    <row r="325" ht="15.75" customHeight="1">
      <c r="A325" s="49"/>
      <c r="B325" s="49"/>
      <c r="C325" s="49"/>
      <c r="D325" s="49"/>
      <c r="E325" s="49"/>
      <c r="F325" s="49"/>
      <c r="G325" s="49"/>
      <c r="H325" s="49"/>
      <c r="I325" s="49"/>
      <c r="J325" s="49"/>
      <c r="K325" s="49"/>
      <c r="L325" s="49"/>
      <c r="M325" s="49"/>
      <c r="N325" s="49"/>
      <c r="O325" s="48"/>
      <c r="P325" s="48"/>
      <c r="Q325" s="48"/>
      <c r="R325" s="48"/>
      <c r="S325" s="48"/>
      <c r="T325" s="48"/>
      <c r="U325" s="48"/>
      <c r="V325" s="48"/>
      <c r="W325" s="48"/>
      <c r="X325" s="48"/>
      <c r="Y325" s="48"/>
      <c r="Z325" s="48"/>
    </row>
    <row r="326" ht="15.75" customHeight="1">
      <c r="A326" s="49"/>
      <c r="B326" s="49"/>
      <c r="C326" s="49"/>
      <c r="D326" s="49"/>
      <c r="E326" s="49"/>
      <c r="F326" s="49"/>
      <c r="G326" s="49"/>
      <c r="H326" s="49"/>
      <c r="I326" s="49"/>
      <c r="J326" s="49"/>
      <c r="K326" s="49"/>
      <c r="L326" s="49"/>
      <c r="M326" s="49"/>
      <c r="N326" s="49"/>
      <c r="O326" s="48"/>
      <c r="P326" s="48"/>
      <c r="Q326" s="48"/>
      <c r="R326" s="48"/>
      <c r="S326" s="48"/>
      <c r="T326" s="48"/>
      <c r="U326" s="48"/>
      <c r="V326" s="48"/>
      <c r="W326" s="48"/>
      <c r="X326" s="48"/>
      <c r="Y326" s="48"/>
      <c r="Z326" s="48"/>
    </row>
    <row r="327" ht="15.75" customHeight="1">
      <c r="A327" s="49"/>
      <c r="B327" s="49"/>
      <c r="C327" s="49"/>
      <c r="D327" s="49"/>
      <c r="E327" s="49"/>
      <c r="F327" s="49"/>
      <c r="G327" s="49"/>
      <c r="H327" s="49"/>
      <c r="I327" s="49"/>
      <c r="J327" s="49"/>
      <c r="K327" s="49"/>
      <c r="L327" s="49"/>
      <c r="M327" s="49"/>
      <c r="N327" s="49"/>
      <c r="O327" s="48"/>
      <c r="P327" s="48"/>
      <c r="Q327" s="48"/>
      <c r="R327" s="48"/>
      <c r="S327" s="48"/>
      <c r="T327" s="48"/>
      <c r="U327" s="48"/>
      <c r="V327" s="48"/>
      <c r="W327" s="48"/>
      <c r="X327" s="48"/>
      <c r="Y327" s="48"/>
      <c r="Z327" s="48"/>
    </row>
    <row r="328" ht="15.75" customHeight="1">
      <c r="A328" s="49"/>
      <c r="B328" s="49"/>
      <c r="C328" s="49"/>
      <c r="D328" s="49"/>
      <c r="E328" s="49"/>
      <c r="F328" s="49"/>
      <c r="G328" s="49"/>
      <c r="H328" s="49"/>
      <c r="I328" s="49"/>
      <c r="J328" s="49"/>
      <c r="K328" s="49"/>
      <c r="L328" s="49"/>
      <c r="M328" s="49"/>
      <c r="N328" s="49"/>
      <c r="O328" s="48"/>
      <c r="P328" s="48"/>
      <c r="Q328" s="48"/>
      <c r="R328" s="48"/>
      <c r="S328" s="48"/>
      <c r="T328" s="48"/>
      <c r="U328" s="48"/>
      <c r="V328" s="48"/>
      <c r="W328" s="48"/>
      <c r="X328" s="48"/>
      <c r="Y328" s="48"/>
      <c r="Z328" s="48"/>
    </row>
    <row r="329" ht="15.75" customHeight="1">
      <c r="A329" s="49"/>
      <c r="B329" s="49"/>
      <c r="C329" s="49"/>
      <c r="D329" s="49"/>
      <c r="E329" s="49"/>
      <c r="F329" s="49"/>
      <c r="G329" s="49"/>
      <c r="H329" s="49"/>
      <c r="I329" s="49"/>
      <c r="J329" s="49"/>
      <c r="K329" s="49"/>
      <c r="L329" s="49"/>
      <c r="M329" s="49"/>
      <c r="N329" s="49"/>
      <c r="O329" s="48"/>
      <c r="P329" s="48"/>
      <c r="Q329" s="48"/>
      <c r="R329" s="48"/>
      <c r="S329" s="48"/>
      <c r="T329" s="48"/>
      <c r="U329" s="48"/>
      <c r="V329" s="48"/>
      <c r="W329" s="48"/>
      <c r="X329" s="48"/>
      <c r="Y329" s="48"/>
      <c r="Z329" s="48"/>
    </row>
    <row r="330" ht="15.75" customHeight="1">
      <c r="A330" s="49"/>
      <c r="B330" s="49"/>
      <c r="C330" s="49"/>
      <c r="D330" s="49"/>
      <c r="E330" s="49"/>
      <c r="F330" s="49"/>
      <c r="G330" s="49"/>
      <c r="H330" s="49"/>
      <c r="I330" s="49"/>
      <c r="J330" s="49"/>
      <c r="K330" s="49"/>
      <c r="L330" s="49"/>
      <c r="M330" s="49"/>
      <c r="N330" s="49"/>
      <c r="O330" s="48"/>
      <c r="P330" s="48"/>
      <c r="Q330" s="48"/>
      <c r="R330" s="48"/>
      <c r="S330" s="48"/>
      <c r="T330" s="48"/>
      <c r="U330" s="48"/>
      <c r="V330" s="48"/>
      <c r="W330" s="48"/>
      <c r="X330" s="48"/>
      <c r="Y330" s="48"/>
      <c r="Z330" s="48"/>
    </row>
    <row r="331" ht="15.75" customHeight="1">
      <c r="A331" s="49"/>
      <c r="B331" s="49"/>
      <c r="C331" s="49"/>
      <c r="D331" s="49"/>
      <c r="E331" s="49"/>
      <c r="F331" s="49"/>
      <c r="G331" s="49"/>
      <c r="H331" s="49"/>
      <c r="I331" s="49"/>
      <c r="J331" s="49"/>
      <c r="K331" s="49"/>
      <c r="L331" s="49"/>
      <c r="M331" s="49"/>
      <c r="N331" s="49"/>
      <c r="O331" s="48"/>
      <c r="P331" s="48"/>
      <c r="Q331" s="48"/>
      <c r="R331" s="48"/>
      <c r="S331" s="48"/>
      <c r="T331" s="48"/>
      <c r="U331" s="48"/>
      <c r="V331" s="48"/>
      <c r="W331" s="48"/>
      <c r="X331" s="48"/>
      <c r="Y331" s="48"/>
      <c r="Z331" s="48"/>
    </row>
    <row r="332" ht="15.75" customHeight="1">
      <c r="A332" s="49"/>
      <c r="B332" s="49"/>
      <c r="C332" s="49"/>
      <c r="D332" s="49"/>
      <c r="E332" s="49"/>
      <c r="F332" s="49"/>
      <c r="G332" s="49"/>
      <c r="H332" s="49"/>
      <c r="I332" s="49"/>
      <c r="J332" s="49"/>
      <c r="K332" s="49"/>
      <c r="L332" s="49"/>
      <c r="M332" s="49"/>
      <c r="N332" s="49"/>
      <c r="O332" s="48"/>
      <c r="P332" s="48"/>
      <c r="Q332" s="48"/>
      <c r="R332" s="48"/>
      <c r="S332" s="48"/>
      <c r="T332" s="48"/>
      <c r="U332" s="48"/>
      <c r="V332" s="48"/>
      <c r="W332" s="48"/>
      <c r="X332" s="48"/>
      <c r="Y332" s="48"/>
      <c r="Z332" s="48"/>
    </row>
    <row r="333" ht="15.75" customHeight="1">
      <c r="A333" s="49"/>
      <c r="B333" s="49"/>
      <c r="C333" s="49"/>
      <c r="D333" s="49"/>
      <c r="E333" s="49"/>
      <c r="F333" s="49"/>
      <c r="G333" s="49"/>
      <c r="H333" s="49"/>
      <c r="I333" s="49"/>
      <c r="J333" s="49"/>
      <c r="K333" s="49"/>
      <c r="L333" s="49"/>
      <c r="M333" s="49"/>
      <c r="N333" s="49"/>
      <c r="O333" s="48"/>
      <c r="P333" s="48"/>
      <c r="Q333" s="48"/>
      <c r="R333" s="48"/>
      <c r="S333" s="48"/>
      <c r="T333" s="48"/>
      <c r="U333" s="48"/>
      <c r="V333" s="48"/>
      <c r="W333" s="48"/>
      <c r="X333" s="48"/>
      <c r="Y333" s="48"/>
      <c r="Z333" s="48"/>
    </row>
    <row r="334" ht="15.75" customHeight="1">
      <c r="A334" s="49"/>
      <c r="B334" s="49"/>
      <c r="C334" s="49"/>
      <c r="D334" s="49"/>
      <c r="E334" s="49"/>
      <c r="F334" s="49"/>
      <c r="G334" s="49"/>
      <c r="H334" s="49"/>
      <c r="I334" s="49"/>
      <c r="J334" s="49"/>
      <c r="K334" s="49"/>
      <c r="L334" s="49"/>
      <c r="M334" s="49"/>
      <c r="N334" s="49"/>
      <c r="O334" s="48"/>
      <c r="P334" s="48"/>
      <c r="Q334" s="48"/>
      <c r="R334" s="48"/>
      <c r="S334" s="48"/>
      <c r="T334" s="48"/>
      <c r="U334" s="48"/>
      <c r="V334" s="48"/>
      <c r="W334" s="48"/>
      <c r="X334" s="48"/>
      <c r="Y334" s="48"/>
      <c r="Z334" s="48"/>
    </row>
    <row r="335" ht="15.75" customHeight="1">
      <c r="A335" s="49"/>
      <c r="B335" s="49"/>
      <c r="C335" s="49"/>
      <c r="D335" s="49"/>
      <c r="E335" s="49"/>
      <c r="F335" s="49"/>
      <c r="G335" s="49"/>
      <c r="H335" s="49"/>
      <c r="I335" s="49"/>
      <c r="J335" s="49"/>
      <c r="K335" s="49"/>
      <c r="L335" s="49"/>
      <c r="M335" s="49"/>
      <c r="N335" s="49"/>
      <c r="O335" s="48"/>
      <c r="P335" s="48"/>
      <c r="Q335" s="48"/>
      <c r="R335" s="48"/>
      <c r="S335" s="48"/>
      <c r="T335" s="48"/>
      <c r="U335" s="48"/>
      <c r="V335" s="48"/>
      <c r="W335" s="48"/>
      <c r="X335" s="48"/>
      <c r="Y335" s="48"/>
      <c r="Z335" s="48"/>
    </row>
    <row r="336" ht="15.75" customHeight="1">
      <c r="A336" s="49"/>
      <c r="B336" s="49"/>
      <c r="C336" s="49"/>
      <c r="D336" s="49"/>
      <c r="E336" s="49"/>
      <c r="F336" s="49"/>
      <c r="G336" s="49"/>
      <c r="H336" s="49"/>
      <c r="I336" s="49"/>
      <c r="J336" s="49"/>
      <c r="K336" s="49"/>
      <c r="L336" s="49"/>
      <c r="M336" s="49"/>
      <c r="N336" s="49"/>
      <c r="O336" s="48"/>
      <c r="P336" s="48"/>
      <c r="Q336" s="48"/>
      <c r="R336" s="48"/>
      <c r="S336" s="48"/>
      <c r="T336" s="48"/>
      <c r="U336" s="48"/>
      <c r="V336" s="48"/>
      <c r="W336" s="48"/>
      <c r="X336" s="48"/>
      <c r="Y336" s="48"/>
      <c r="Z336" s="48"/>
    </row>
    <row r="337" ht="15.75" customHeight="1">
      <c r="A337" s="49"/>
      <c r="B337" s="49"/>
      <c r="C337" s="49"/>
      <c r="D337" s="49"/>
      <c r="E337" s="49"/>
      <c r="F337" s="49"/>
      <c r="G337" s="49"/>
      <c r="H337" s="49"/>
      <c r="I337" s="49"/>
      <c r="J337" s="49"/>
      <c r="K337" s="49"/>
      <c r="L337" s="49"/>
      <c r="M337" s="49"/>
      <c r="N337" s="49"/>
      <c r="O337" s="48"/>
      <c r="P337" s="48"/>
      <c r="Q337" s="48"/>
      <c r="R337" s="48"/>
      <c r="S337" s="48"/>
      <c r="T337" s="48"/>
      <c r="U337" s="48"/>
      <c r="V337" s="48"/>
      <c r="W337" s="48"/>
      <c r="X337" s="48"/>
      <c r="Y337" s="48"/>
      <c r="Z337" s="48"/>
    </row>
    <row r="338" ht="15.75" customHeight="1">
      <c r="A338" s="49"/>
      <c r="B338" s="49"/>
      <c r="C338" s="49"/>
      <c r="D338" s="49"/>
      <c r="E338" s="49"/>
      <c r="F338" s="49"/>
      <c r="G338" s="49"/>
      <c r="H338" s="49"/>
      <c r="I338" s="49"/>
      <c r="J338" s="49"/>
      <c r="K338" s="49"/>
      <c r="L338" s="49"/>
      <c r="M338" s="49"/>
      <c r="N338" s="49"/>
      <c r="O338" s="48"/>
      <c r="P338" s="48"/>
      <c r="Q338" s="48"/>
      <c r="R338" s="48"/>
      <c r="S338" s="48"/>
      <c r="T338" s="48"/>
      <c r="U338" s="48"/>
      <c r="V338" s="48"/>
      <c r="W338" s="48"/>
      <c r="X338" s="48"/>
      <c r="Y338" s="48"/>
      <c r="Z338" s="48"/>
    </row>
    <row r="339" ht="15.75" customHeight="1">
      <c r="A339" s="49"/>
      <c r="B339" s="49"/>
      <c r="C339" s="49"/>
      <c r="D339" s="49"/>
      <c r="E339" s="49"/>
      <c r="F339" s="49"/>
      <c r="G339" s="49"/>
      <c r="H339" s="49"/>
      <c r="I339" s="49"/>
      <c r="J339" s="49"/>
      <c r="K339" s="49"/>
      <c r="L339" s="49"/>
      <c r="M339" s="49"/>
      <c r="N339" s="49"/>
      <c r="O339" s="48"/>
      <c r="P339" s="48"/>
      <c r="Q339" s="48"/>
      <c r="R339" s="48"/>
      <c r="S339" s="48"/>
      <c r="T339" s="48"/>
      <c r="U339" s="48"/>
      <c r="V339" s="48"/>
      <c r="W339" s="48"/>
      <c r="X339" s="48"/>
      <c r="Y339" s="48"/>
      <c r="Z339" s="48"/>
    </row>
    <row r="340" ht="15.75" customHeight="1">
      <c r="A340" s="49"/>
      <c r="B340" s="49"/>
      <c r="C340" s="49"/>
      <c r="D340" s="49"/>
      <c r="E340" s="49"/>
      <c r="F340" s="49"/>
      <c r="G340" s="49"/>
      <c r="H340" s="49"/>
      <c r="I340" s="49"/>
      <c r="J340" s="49"/>
      <c r="K340" s="49"/>
      <c r="L340" s="49"/>
      <c r="M340" s="49"/>
      <c r="N340" s="49"/>
      <c r="O340" s="48"/>
      <c r="P340" s="48"/>
      <c r="Q340" s="48"/>
      <c r="R340" s="48"/>
      <c r="S340" s="48"/>
      <c r="T340" s="48"/>
      <c r="U340" s="48"/>
      <c r="V340" s="48"/>
      <c r="W340" s="48"/>
      <c r="X340" s="48"/>
      <c r="Y340" s="48"/>
      <c r="Z340" s="48"/>
    </row>
    <row r="341" ht="15.75" customHeight="1">
      <c r="A341" s="49"/>
      <c r="B341" s="49"/>
      <c r="C341" s="49"/>
      <c r="D341" s="49"/>
      <c r="E341" s="49"/>
      <c r="F341" s="49"/>
      <c r="G341" s="49"/>
      <c r="H341" s="49"/>
      <c r="I341" s="49"/>
      <c r="J341" s="49"/>
      <c r="K341" s="49"/>
      <c r="L341" s="49"/>
      <c r="M341" s="49"/>
      <c r="N341" s="49"/>
      <c r="O341" s="48"/>
      <c r="P341" s="48"/>
      <c r="Q341" s="48"/>
      <c r="R341" s="48"/>
      <c r="S341" s="48"/>
      <c r="T341" s="48"/>
      <c r="U341" s="48"/>
      <c r="V341" s="48"/>
      <c r="W341" s="48"/>
      <c r="X341" s="48"/>
      <c r="Y341" s="48"/>
      <c r="Z341" s="48"/>
    </row>
    <row r="342" ht="15.75" customHeight="1">
      <c r="A342" s="49"/>
      <c r="B342" s="49"/>
      <c r="C342" s="49"/>
      <c r="D342" s="49"/>
      <c r="E342" s="49"/>
      <c r="F342" s="49"/>
      <c r="G342" s="49"/>
      <c r="H342" s="49"/>
      <c r="I342" s="49"/>
      <c r="J342" s="49"/>
      <c r="K342" s="49"/>
      <c r="L342" s="49"/>
      <c r="M342" s="49"/>
      <c r="N342" s="49"/>
      <c r="O342" s="48"/>
      <c r="P342" s="48"/>
      <c r="Q342" s="48"/>
      <c r="R342" s="48"/>
      <c r="S342" s="48"/>
      <c r="T342" s="48"/>
      <c r="U342" s="48"/>
      <c r="V342" s="48"/>
      <c r="W342" s="48"/>
      <c r="X342" s="48"/>
      <c r="Y342" s="48"/>
      <c r="Z342" s="48"/>
    </row>
    <row r="343" ht="15.75" customHeight="1">
      <c r="A343" s="49"/>
      <c r="B343" s="49"/>
      <c r="C343" s="49"/>
      <c r="D343" s="49"/>
      <c r="E343" s="49"/>
      <c r="F343" s="49"/>
      <c r="G343" s="49"/>
      <c r="H343" s="49"/>
      <c r="I343" s="49"/>
      <c r="J343" s="49"/>
      <c r="K343" s="49"/>
      <c r="L343" s="49"/>
      <c r="M343" s="49"/>
      <c r="N343" s="49"/>
      <c r="O343" s="48"/>
      <c r="P343" s="48"/>
      <c r="Q343" s="48"/>
      <c r="R343" s="48"/>
      <c r="S343" s="48"/>
      <c r="T343" s="48"/>
      <c r="U343" s="48"/>
      <c r="V343" s="48"/>
      <c r="W343" s="48"/>
      <c r="X343" s="48"/>
      <c r="Y343" s="48"/>
      <c r="Z343" s="48"/>
    </row>
    <row r="344" ht="15.75" customHeight="1">
      <c r="A344" s="49"/>
      <c r="B344" s="49"/>
      <c r="C344" s="49"/>
      <c r="D344" s="49"/>
      <c r="E344" s="49"/>
      <c r="F344" s="49"/>
      <c r="G344" s="49"/>
      <c r="H344" s="49"/>
      <c r="I344" s="49"/>
      <c r="J344" s="49"/>
      <c r="K344" s="49"/>
      <c r="L344" s="49"/>
      <c r="M344" s="49"/>
      <c r="N344" s="49"/>
      <c r="O344" s="48"/>
      <c r="P344" s="48"/>
      <c r="Q344" s="48"/>
      <c r="R344" s="48"/>
      <c r="S344" s="48"/>
      <c r="T344" s="48"/>
      <c r="U344" s="48"/>
      <c r="V344" s="48"/>
      <c r="W344" s="48"/>
      <c r="X344" s="48"/>
      <c r="Y344" s="48"/>
      <c r="Z344" s="48"/>
    </row>
    <row r="345" ht="15.75" customHeight="1">
      <c r="A345" s="49"/>
      <c r="B345" s="49"/>
      <c r="C345" s="49"/>
      <c r="D345" s="49"/>
      <c r="E345" s="49"/>
      <c r="F345" s="49"/>
      <c r="G345" s="49"/>
      <c r="H345" s="49"/>
      <c r="I345" s="49"/>
      <c r="J345" s="49"/>
      <c r="K345" s="49"/>
      <c r="L345" s="49"/>
      <c r="M345" s="49"/>
      <c r="N345" s="49"/>
      <c r="O345" s="48"/>
      <c r="P345" s="48"/>
      <c r="Q345" s="48"/>
      <c r="R345" s="48"/>
      <c r="S345" s="48"/>
      <c r="T345" s="48"/>
      <c r="U345" s="48"/>
      <c r="V345" s="48"/>
      <c r="W345" s="48"/>
      <c r="X345" s="48"/>
      <c r="Y345" s="48"/>
      <c r="Z345" s="48"/>
    </row>
    <row r="346" ht="15.75" customHeight="1">
      <c r="A346" s="49"/>
      <c r="B346" s="49"/>
      <c r="C346" s="49"/>
      <c r="D346" s="49"/>
      <c r="E346" s="49"/>
      <c r="F346" s="49"/>
      <c r="G346" s="49"/>
      <c r="H346" s="49"/>
      <c r="I346" s="49"/>
      <c r="J346" s="49"/>
      <c r="K346" s="49"/>
      <c r="L346" s="49"/>
      <c r="M346" s="49"/>
      <c r="N346" s="49"/>
      <c r="O346" s="48"/>
      <c r="P346" s="48"/>
      <c r="Q346" s="48"/>
      <c r="R346" s="48"/>
      <c r="S346" s="48"/>
      <c r="T346" s="48"/>
      <c r="U346" s="48"/>
      <c r="V346" s="48"/>
      <c r="W346" s="48"/>
      <c r="X346" s="48"/>
      <c r="Y346" s="48"/>
      <c r="Z346" s="48"/>
    </row>
    <row r="347" ht="15.75" customHeight="1">
      <c r="A347" s="49"/>
      <c r="B347" s="49"/>
      <c r="C347" s="49"/>
      <c r="D347" s="49"/>
      <c r="E347" s="49"/>
      <c r="F347" s="49"/>
      <c r="G347" s="49"/>
      <c r="H347" s="49"/>
      <c r="I347" s="49"/>
      <c r="J347" s="49"/>
      <c r="K347" s="49"/>
      <c r="L347" s="49"/>
      <c r="M347" s="49"/>
      <c r="N347" s="49"/>
      <c r="O347" s="48"/>
      <c r="P347" s="48"/>
      <c r="Q347" s="48"/>
      <c r="R347" s="48"/>
      <c r="S347" s="48"/>
      <c r="T347" s="48"/>
      <c r="U347" s="48"/>
      <c r="V347" s="48"/>
      <c r="W347" s="48"/>
      <c r="X347" s="48"/>
      <c r="Y347" s="48"/>
      <c r="Z347" s="48"/>
    </row>
    <row r="348" ht="15.75" customHeight="1">
      <c r="A348" s="49"/>
      <c r="B348" s="49"/>
      <c r="C348" s="49"/>
      <c r="D348" s="49"/>
      <c r="E348" s="49"/>
      <c r="F348" s="49"/>
      <c r="G348" s="49"/>
      <c r="H348" s="49"/>
      <c r="I348" s="49"/>
      <c r="J348" s="49"/>
      <c r="K348" s="49"/>
      <c r="L348" s="49"/>
      <c r="M348" s="49"/>
      <c r="N348" s="49"/>
      <c r="O348" s="48"/>
      <c r="P348" s="48"/>
      <c r="Q348" s="48"/>
      <c r="R348" s="48"/>
      <c r="S348" s="48"/>
      <c r="T348" s="48"/>
      <c r="U348" s="48"/>
      <c r="V348" s="48"/>
      <c r="W348" s="48"/>
      <c r="X348" s="48"/>
      <c r="Y348" s="48"/>
      <c r="Z348" s="48"/>
    </row>
    <row r="349" ht="15.75" customHeight="1">
      <c r="A349" s="49"/>
      <c r="B349" s="49"/>
      <c r="C349" s="49"/>
      <c r="D349" s="49"/>
      <c r="E349" s="49"/>
      <c r="F349" s="49"/>
      <c r="G349" s="49"/>
      <c r="H349" s="49"/>
      <c r="I349" s="49"/>
      <c r="J349" s="49"/>
      <c r="K349" s="49"/>
      <c r="L349" s="49"/>
      <c r="M349" s="49"/>
      <c r="N349" s="49"/>
      <c r="O349" s="48"/>
      <c r="P349" s="48"/>
      <c r="Q349" s="48"/>
      <c r="R349" s="48"/>
      <c r="S349" s="48"/>
      <c r="T349" s="48"/>
      <c r="U349" s="48"/>
      <c r="V349" s="48"/>
      <c r="W349" s="48"/>
      <c r="X349" s="48"/>
      <c r="Y349" s="48"/>
      <c r="Z349" s="48"/>
    </row>
    <row r="350" ht="15.75" customHeight="1">
      <c r="A350" s="49"/>
      <c r="B350" s="49"/>
      <c r="C350" s="49"/>
      <c r="D350" s="49"/>
      <c r="E350" s="49"/>
      <c r="F350" s="49"/>
      <c r="G350" s="49"/>
      <c r="H350" s="49"/>
      <c r="I350" s="49"/>
      <c r="J350" s="49"/>
      <c r="K350" s="49"/>
      <c r="L350" s="49"/>
      <c r="M350" s="49"/>
      <c r="N350" s="49"/>
      <c r="O350" s="48"/>
      <c r="P350" s="48"/>
      <c r="Q350" s="48"/>
      <c r="R350" s="48"/>
      <c r="S350" s="48"/>
      <c r="T350" s="48"/>
      <c r="U350" s="48"/>
      <c r="V350" s="48"/>
      <c r="W350" s="48"/>
      <c r="X350" s="48"/>
      <c r="Y350" s="48"/>
      <c r="Z350" s="48"/>
    </row>
    <row r="351" ht="15.75" customHeight="1">
      <c r="A351" s="49"/>
      <c r="B351" s="49"/>
      <c r="C351" s="49"/>
      <c r="D351" s="49"/>
      <c r="E351" s="49"/>
      <c r="F351" s="49"/>
      <c r="G351" s="49"/>
      <c r="H351" s="49"/>
      <c r="I351" s="49"/>
      <c r="J351" s="49"/>
      <c r="K351" s="49"/>
      <c r="L351" s="49"/>
      <c r="M351" s="49"/>
      <c r="N351" s="49"/>
      <c r="O351" s="48"/>
      <c r="P351" s="48"/>
      <c r="Q351" s="48"/>
      <c r="R351" s="48"/>
      <c r="S351" s="48"/>
      <c r="T351" s="48"/>
      <c r="U351" s="48"/>
      <c r="V351" s="48"/>
      <c r="W351" s="48"/>
      <c r="X351" s="48"/>
      <c r="Y351" s="48"/>
      <c r="Z351" s="48"/>
    </row>
    <row r="352" ht="15.75" customHeight="1">
      <c r="A352" s="49"/>
      <c r="B352" s="49"/>
      <c r="C352" s="49"/>
      <c r="D352" s="49"/>
      <c r="E352" s="49"/>
      <c r="F352" s="49"/>
      <c r="G352" s="49"/>
      <c r="H352" s="49"/>
      <c r="I352" s="49"/>
      <c r="J352" s="49"/>
      <c r="K352" s="49"/>
      <c r="L352" s="49"/>
      <c r="M352" s="49"/>
      <c r="N352" s="49"/>
      <c r="O352" s="48"/>
      <c r="P352" s="48"/>
      <c r="Q352" s="48"/>
      <c r="R352" s="48"/>
      <c r="S352" s="48"/>
      <c r="T352" s="48"/>
      <c r="U352" s="48"/>
      <c r="V352" s="48"/>
      <c r="W352" s="48"/>
      <c r="X352" s="48"/>
      <c r="Y352" s="48"/>
      <c r="Z352" s="48"/>
    </row>
    <row r="353" ht="15.75" customHeight="1">
      <c r="A353" s="49"/>
      <c r="B353" s="49"/>
      <c r="C353" s="49"/>
      <c r="D353" s="49"/>
      <c r="E353" s="49"/>
      <c r="F353" s="49"/>
      <c r="G353" s="49"/>
      <c r="H353" s="49"/>
      <c r="I353" s="49"/>
      <c r="J353" s="49"/>
      <c r="K353" s="49"/>
      <c r="L353" s="49"/>
      <c r="M353" s="49"/>
      <c r="N353" s="49"/>
      <c r="O353" s="48"/>
      <c r="P353" s="48"/>
      <c r="Q353" s="48"/>
      <c r="R353" s="48"/>
      <c r="S353" s="48"/>
      <c r="T353" s="48"/>
      <c r="U353" s="48"/>
      <c r="V353" s="48"/>
      <c r="W353" s="48"/>
      <c r="X353" s="48"/>
      <c r="Y353" s="48"/>
      <c r="Z353" s="48"/>
    </row>
    <row r="354" ht="15.75" customHeight="1">
      <c r="A354" s="49"/>
      <c r="B354" s="49"/>
      <c r="C354" s="49"/>
      <c r="D354" s="49"/>
      <c r="E354" s="49"/>
      <c r="F354" s="49"/>
      <c r="G354" s="49"/>
      <c r="H354" s="49"/>
      <c r="I354" s="49"/>
      <c r="J354" s="49"/>
      <c r="K354" s="49"/>
      <c r="L354" s="49"/>
      <c r="M354" s="49"/>
      <c r="N354" s="49"/>
      <c r="O354" s="48"/>
      <c r="P354" s="48"/>
      <c r="Q354" s="48"/>
      <c r="R354" s="48"/>
      <c r="S354" s="48"/>
      <c r="T354" s="48"/>
      <c r="U354" s="48"/>
      <c r="V354" s="48"/>
      <c r="W354" s="48"/>
      <c r="X354" s="48"/>
      <c r="Y354" s="48"/>
      <c r="Z354" s="48"/>
    </row>
    <row r="355" ht="15.75" customHeight="1">
      <c r="A355" s="49"/>
      <c r="B355" s="49"/>
      <c r="C355" s="49"/>
      <c r="D355" s="49"/>
      <c r="E355" s="49"/>
      <c r="F355" s="49"/>
      <c r="G355" s="49"/>
      <c r="H355" s="49"/>
      <c r="I355" s="49"/>
      <c r="J355" s="49"/>
      <c r="K355" s="49"/>
      <c r="L355" s="49"/>
      <c r="M355" s="49"/>
      <c r="N355" s="49"/>
      <c r="O355" s="48"/>
      <c r="P355" s="48"/>
      <c r="Q355" s="48"/>
      <c r="R355" s="48"/>
      <c r="S355" s="48"/>
      <c r="T355" s="48"/>
      <c r="U355" s="48"/>
      <c r="V355" s="48"/>
      <c r="W355" s="48"/>
      <c r="X355" s="48"/>
      <c r="Y355" s="48"/>
      <c r="Z355" s="48"/>
    </row>
    <row r="356" ht="15.75" customHeight="1">
      <c r="A356" s="49"/>
      <c r="B356" s="49"/>
      <c r="C356" s="49"/>
      <c r="D356" s="49"/>
      <c r="E356" s="49"/>
      <c r="F356" s="49"/>
      <c r="G356" s="49"/>
      <c r="H356" s="49"/>
      <c r="I356" s="49"/>
      <c r="J356" s="49"/>
      <c r="K356" s="49"/>
      <c r="L356" s="49"/>
      <c r="M356" s="49"/>
      <c r="N356" s="49"/>
      <c r="O356" s="48"/>
      <c r="P356" s="48"/>
      <c r="Q356" s="48"/>
      <c r="R356" s="48"/>
      <c r="S356" s="48"/>
      <c r="T356" s="48"/>
      <c r="U356" s="48"/>
      <c r="V356" s="48"/>
      <c r="W356" s="48"/>
      <c r="X356" s="48"/>
      <c r="Y356" s="48"/>
      <c r="Z356" s="48"/>
    </row>
    <row r="357" ht="15.75" customHeight="1">
      <c r="A357" s="49"/>
      <c r="B357" s="49"/>
      <c r="C357" s="49"/>
      <c r="D357" s="49"/>
      <c r="E357" s="49"/>
      <c r="F357" s="49"/>
      <c r="G357" s="49"/>
      <c r="H357" s="49"/>
      <c r="I357" s="49"/>
      <c r="J357" s="49"/>
      <c r="K357" s="49"/>
      <c r="L357" s="49"/>
      <c r="M357" s="49"/>
      <c r="N357" s="49"/>
      <c r="O357" s="48"/>
      <c r="P357" s="48"/>
      <c r="Q357" s="48"/>
      <c r="R357" s="48"/>
      <c r="S357" s="48"/>
      <c r="T357" s="48"/>
      <c r="U357" s="48"/>
      <c r="V357" s="48"/>
      <c r="W357" s="48"/>
      <c r="X357" s="48"/>
      <c r="Y357" s="48"/>
      <c r="Z357" s="48"/>
    </row>
    <row r="358" ht="15.75" customHeight="1">
      <c r="A358" s="49"/>
      <c r="B358" s="49"/>
      <c r="C358" s="49"/>
      <c r="D358" s="49"/>
      <c r="E358" s="49"/>
      <c r="F358" s="49"/>
      <c r="G358" s="49"/>
      <c r="H358" s="49"/>
      <c r="I358" s="49"/>
      <c r="J358" s="49"/>
      <c r="K358" s="49"/>
      <c r="L358" s="49"/>
      <c r="M358" s="49"/>
      <c r="N358" s="49"/>
      <c r="O358" s="48"/>
      <c r="P358" s="48"/>
      <c r="Q358" s="48"/>
      <c r="R358" s="48"/>
      <c r="S358" s="48"/>
      <c r="T358" s="48"/>
      <c r="U358" s="48"/>
      <c r="V358" s="48"/>
      <c r="W358" s="48"/>
      <c r="X358" s="48"/>
      <c r="Y358" s="48"/>
      <c r="Z358" s="48"/>
    </row>
    <row r="359" ht="15.75" customHeight="1">
      <c r="A359" s="49"/>
      <c r="B359" s="49"/>
      <c r="C359" s="49"/>
      <c r="D359" s="49"/>
      <c r="E359" s="49"/>
      <c r="F359" s="49"/>
      <c r="G359" s="49"/>
      <c r="H359" s="49"/>
      <c r="I359" s="49"/>
      <c r="J359" s="49"/>
      <c r="K359" s="49"/>
      <c r="L359" s="49"/>
      <c r="M359" s="49"/>
      <c r="N359" s="49"/>
      <c r="O359" s="48"/>
      <c r="P359" s="48"/>
      <c r="Q359" s="48"/>
      <c r="R359" s="48"/>
      <c r="S359" s="48"/>
      <c r="T359" s="48"/>
      <c r="U359" s="48"/>
      <c r="V359" s="48"/>
      <c r="W359" s="48"/>
      <c r="X359" s="48"/>
      <c r="Y359" s="48"/>
      <c r="Z359" s="48"/>
    </row>
    <row r="360" ht="15.75" customHeight="1">
      <c r="A360" s="49"/>
      <c r="B360" s="49"/>
      <c r="C360" s="49"/>
      <c r="D360" s="49"/>
      <c r="E360" s="49"/>
      <c r="F360" s="49"/>
      <c r="G360" s="49"/>
      <c r="H360" s="49"/>
      <c r="I360" s="49"/>
      <c r="J360" s="49"/>
      <c r="K360" s="49"/>
      <c r="L360" s="49"/>
      <c r="M360" s="49"/>
      <c r="N360" s="49"/>
      <c r="O360" s="48"/>
      <c r="P360" s="48"/>
      <c r="Q360" s="48"/>
      <c r="R360" s="48"/>
      <c r="S360" s="48"/>
      <c r="T360" s="48"/>
      <c r="U360" s="48"/>
      <c r="V360" s="48"/>
      <c r="W360" s="48"/>
      <c r="X360" s="48"/>
      <c r="Y360" s="48"/>
      <c r="Z360" s="48"/>
    </row>
    <row r="361" ht="15.75" customHeight="1">
      <c r="A361" s="49"/>
      <c r="B361" s="49"/>
      <c r="C361" s="49"/>
      <c r="D361" s="49"/>
      <c r="E361" s="49"/>
      <c r="F361" s="49"/>
      <c r="G361" s="49"/>
      <c r="H361" s="49"/>
      <c r="I361" s="49"/>
      <c r="J361" s="49"/>
      <c r="K361" s="49"/>
      <c r="L361" s="49"/>
      <c r="M361" s="49"/>
      <c r="N361" s="49"/>
      <c r="O361" s="48"/>
      <c r="P361" s="48"/>
      <c r="Q361" s="48"/>
      <c r="R361" s="48"/>
      <c r="S361" s="48"/>
      <c r="T361" s="48"/>
      <c r="U361" s="48"/>
      <c r="V361" s="48"/>
      <c r="W361" s="48"/>
      <c r="X361" s="48"/>
      <c r="Y361" s="48"/>
      <c r="Z361" s="48"/>
    </row>
    <row r="362" ht="15.75" customHeight="1">
      <c r="A362" s="49"/>
      <c r="B362" s="49"/>
      <c r="C362" s="49"/>
      <c r="D362" s="49"/>
      <c r="E362" s="49"/>
      <c r="F362" s="49"/>
      <c r="G362" s="49"/>
      <c r="H362" s="49"/>
      <c r="I362" s="49"/>
      <c r="J362" s="49"/>
      <c r="K362" s="49"/>
      <c r="L362" s="49"/>
      <c r="M362" s="49"/>
      <c r="N362" s="49"/>
      <c r="O362" s="48"/>
      <c r="P362" s="48"/>
      <c r="Q362" s="48"/>
      <c r="R362" s="48"/>
      <c r="S362" s="48"/>
      <c r="T362" s="48"/>
      <c r="U362" s="48"/>
      <c r="V362" s="48"/>
      <c r="W362" s="48"/>
      <c r="X362" s="48"/>
      <c r="Y362" s="48"/>
      <c r="Z362" s="48"/>
    </row>
    <row r="363" ht="15.75" customHeight="1">
      <c r="A363" s="49"/>
      <c r="B363" s="49"/>
      <c r="C363" s="49"/>
      <c r="D363" s="49"/>
      <c r="E363" s="49"/>
      <c r="F363" s="49"/>
      <c r="G363" s="49"/>
      <c r="H363" s="49"/>
      <c r="I363" s="49"/>
      <c r="J363" s="49"/>
      <c r="K363" s="49"/>
      <c r="L363" s="49"/>
      <c r="M363" s="49"/>
      <c r="N363" s="49"/>
      <c r="O363" s="48"/>
      <c r="P363" s="48"/>
      <c r="Q363" s="48"/>
      <c r="R363" s="48"/>
      <c r="S363" s="48"/>
      <c r="T363" s="48"/>
      <c r="U363" s="48"/>
      <c r="V363" s="48"/>
      <c r="W363" s="48"/>
      <c r="X363" s="48"/>
      <c r="Y363" s="48"/>
      <c r="Z363" s="48"/>
    </row>
    <row r="364" ht="15.75" customHeight="1">
      <c r="A364" s="49"/>
      <c r="B364" s="49"/>
      <c r="C364" s="49"/>
      <c r="D364" s="49"/>
      <c r="E364" s="49"/>
      <c r="F364" s="49"/>
      <c r="G364" s="49"/>
      <c r="H364" s="49"/>
      <c r="I364" s="49"/>
      <c r="J364" s="49"/>
      <c r="K364" s="49"/>
      <c r="L364" s="49"/>
      <c r="M364" s="49"/>
      <c r="N364" s="49"/>
      <c r="O364" s="48"/>
      <c r="P364" s="48"/>
      <c r="Q364" s="48"/>
      <c r="R364" s="48"/>
      <c r="S364" s="48"/>
      <c r="T364" s="48"/>
      <c r="U364" s="48"/>
      <c r="V364" s="48"/>
      <c r="W364" s="48"/>
      <c r="X364" s="48"/>
      <c r="Y364" s="48"/>
      <c r="Z364" s="48"/>
    </row>
    <row r="365" ht="15.75" customHeight="1">
      <c r="A365" s="49"/>
      <c r="B365" s="49"/>
      <c r="C365" s="49"/>
      <c r="D365" s="49"/>
      <c r="E365" s="49"/>
      <c r="F365" s="49"/>
      <c r="G365" s="49"/>
      <c r="H365" s="49"/>
      <c r="I365" s="49"/>
      <c r="J365" s="49"/>
      <c r="K365" s="49"/>
      <c r="L365" s="49"/>
      <c r="M365" s="49"/>
      <c r="N365" s="49"/>
      <c r="O365" s="48"/>
      <c r="P365" s="48"/>
      <c r="Q365" s="48"/>
      <c r="R365" s="48"/>
      <c r="S365" s="48"/>
      <c r="T365" s="48"/>
      <c r="U365" s="48"/>
      <c r="V365" s="48"/>
      <c r="W365" s="48"/>
      <c r="X365" s="48"/>
      <c r="Y365" s="48"/>
      <c r="Z365" s="48"/>
    </row>
    <row r="366" ht="15.75" customHeight="1">
      <c r="A366" s="49"/>
      <c r="B366" s="49"/>
      <c r="C366" s="49"/>
      <c r="D366" s="49"/>
      <c r="E366" s="49"/>
      <c r="F366" s="49"/>
      <c r="G366" s="49"/>
      <c r="H366" s="49"/>
      <c r="I366" s="49"/>
      <c r="J366" s="49"/>
      <c r="K366" s="49"/>
      <c r="L366" s="49"/>
      <c r="M366" s="49"/>
      <c r="N366" s="49"/>
      <c r="O366" s="48"/>
      <c r="P366" s="48"/>
      <c r="Q366" s="48"/>
      <c r="R366" s="48"/>
      <c r="S366" s="48"/>
      <c r="T366" s="48"/>
      <c r="U366" s="48"/>
      <c r="V366" s="48"/>
      <c r="W366" s="48"/>
      <c r="X366" s="48"/>
      <c r="Y366" s="48"/>
      <c r="Z366" s="48"/>
    </row>
    <row r="367" ht="15.75" customHeight="1">
      <c r="A367" s="49"/>
      <c r="B367" s="49"/>
      <c r="C367" s="49"/>
      <c r="D367" s="49"/>
      <c r="E367" s="49"/>
      <c r="F367" s="49"/>
      <c r="G367" s="49"/>
      <c r="H367" s="49"/>
      <c r="I367" s="49"/>
      <c r="J367" s="49"/>
      <c r="K367" s="49"/>
      <c r="L367" s="49"/>
      <c r="M367" s="49"/>
      <c r="N367" s="49"/>
      <c r="O367" s="48"/>
      <c r="P367" s="48"/>
      <c r="Q367" s="48"/>
      <c r="R367" s="48"/>
      <c r="S367" s="48"/>
      <c r="T367" s="48"/>
      <c r="U367" s="48"/>
      <c r="V367" s="48"/>
      <c r="W367" s="48"/>
      <c r="X367" s="48"/>
      <c r="Y367" s="48"/>
      <c r="Z367" s="48"/>
    </row>
    <row r="368" ht="15.75" customHeight="1">
      <c r="A368" s="49"/>
      <c r="B368" s="49"/>
      <c r="C368" s="49"/>
      <c r="D368" s="49"/>
      <c r="E368" s="49"/>
      <c r="F368" s="49"/>
      <c r="G368" s="49"/>
      <c r="H368" s="49"/>
      <c r="I368" s="49"/>
      <c r="J368" s="49"/>
      <c r="K368" s="49"/>
      <c r="L368" s="49"/>
      <c r="M368" s="49"/>
      <c r="N368" s="49"/>
      <c r="O368" s="48"/>
      <c r="P368" s="48"/>
      <c r="Q368" s="48"/>
      <c r="R368" s="48"/>
      <c r="S368" s="48"/>
      <c r="T368" s="48"/>
      <c r="U368" s="48"/>
      <c r="V368" s="48"/>
      <c r="W368" s="48"/>
      <c r="X368" s="48"/>
      <c r="Y368" s="48"/>
      <c r="Z368" s="48"/>
    </row>
    <row r="369" ht="15.75" customHeight="1">
      <c r="A369" s="49"/>
      <c r="B369" s="49"/>
      <c r="C369" s="49"/>
      <c r="D369" s="49"/>
      <c r="E369" s="49"/>
      <c r="F369" s="49"/>
      <c r="G369" s="49"/>
      <c r="H369" s="49"/>
      <c r="I369" s="49"/>
      <c r="J369" s="49"/>
      <c r="K369" s="49"/>
      <c r="L369" s="49"/>
      <c r="M369" s="49"/>
      <c r="N369" s="49"/>
      <c r="O369" s="48"/>
      <c r="P369" s="48"/>
      <c r="Q369" s="48"/>
      <c r="R369" s="48"/>
      <c r="S369" s="48"/>
      <c r="T369" s="48"/>
      <c r="U369" s="48"/>
      <c r="V369" s="48"/>
      <c r="W369" s="48"/>
      <c r="X369" s="48"/>
      <c r="Y369" s="48"/>
      <c r="Z369" s="48"/>
    </row>
    <row r="370" ht="15.75" customHeight="1">
      <c r="A370" s="49"/>
      <c r="B370" s="49"/>
      <c r="C370" s="49"/>
      <c r="D370" s="49"/>
      <c r="E370" s="49"/>
      <c r="F370" s="49"/>
      <c r="G370" s="49"/>
      <c r="H370" s="49"/>
      <c r="I370" s="49"/>
      <c r="J370" s="49"/>
      <c r="K370" s="49"/>
      <c r="L370" s="49"/>
      <c r="M370" s="49"/>
      <c r="N370" s="49"/>
      <c r="O370" s="48"/>
      <c r="P370" s="48"/>
      <c r="Q370" s="48"/>
      <c r="R370" s="48"/>
      <c r="S370" s="48"/>
      <c r="T370" s="48"/>
      <c r="U370" s="48"/>
      <c r="V370" s="48"/>
      <c r="W370" s="48"/>
      <c r="X370" s="48"/>
      <c r="Y370" s="48"/>
      <c r="Z370" s="48"/>
    </row>
    <row r="371" ht="15.75" customHeight="1">
      <c r="A371" s="49"/>
      <c r="B371" s="49"/>
      <c r="C371" s="49"/>
      <c r="D371" s="49"/>
      <c r="E371" s="49"/>
      <c r="F371" s="49"/>
      <c r="G371" s="49"/>
      <c r="H371" s="49"/>
      <c r="I371" s="49"/>
      <c r="J371" s="49"/>
      <c r="K371" s="49"/>
      <c r="L371" s="49"/>
      <c r="M371" s="49"/>
      <c r="N371" s="49"/>
      <c r="O371" s="48"/>
      <c r="P371" s="48"/>
      <c r="Q371" s="48"/>
      <c r="R371" s="48"/>
      <c r="S371" s="48"/>
      <c r="T371" s="48"/>
      <c r="U371" s="48"/>
      <c r="V371" s="48"/>
      <c r="W371" s="48"/>
      <c r="X371" s="48"/>
      <c r="Y371" s="48"/>
      <c r="Z371" s="48"/>
    </row>
    <row r="372" ht="15.75" customHeight="1">
      <c r="A372" s="49"/>
      <c r="B372" s="49"/>
      <c r="C372" s="49"/>
      <c r="D372" s="49"/>
      <c r="E372" s="49"/>
      <c r="F372" s="49"/>
      <c r="G372" s="49"/>
      <c r="H372" s="49"/>
      <c r="I372" s="49"/>
      <c r="J372" s="49"/>
      <c r="K372" s="49"/>
      <c r="L372" s="49"/>
      <c r="M372" s="49"/>
      <c r="N372" s="49"/>
      <c r="O372" s="48"/>
      <c r="P372" s="48"/>
      <c r="Q372" s="48"/>
      <c r="R372" s="48"/>
      <c r="S372" s="48"/>
      <c r="T372" s="48"/>
      <c r="U372" s="48"/>
      <c r="V372" s="48"/>
      <c r="W372" s="48"/>
      <c r="X372" s="48"/>
      <c r="Y372" s="48"/>
      <c r="Z372" s="48"/>
    </row>
    <row r="373" ht="15.75" customHeight="1">
      <c r="A373" s="49"/>
      <c r="B373" s="49"/>
      <c r="C373" s="49"/>
      <c r="D373" s="49"/>
      <c r="E373" s="49"/>
      <c r="F373" s="49"/>
      <c r="G373" s="49"/>
      <c r="H373" s="49"/>
      <c r="I373" s="49"/>
      <c r="J373" s="49"/>
      <c r="K373" s="49"/>
      <c r="L373" s="49"/>
      <c r="M373" s="49"/>
      <c r="N373" s="49"/>
      <c r="O373" s="48"/>
      <c r="P373" s="48"/>
      <c r="Q373" s="48"/>
      <c r="R373" s="48"/>
      <c r="S373" s="48"/>
      <c r="T373" s="48"/>
      <c r="U373" s="48"/>
      <c r="V373" s="48"/>
      <c r="W373" s="48"/>
      <c r="X373" s="48"/>
      <c r="Y373" s="48"/>
      <c r="Z373" s="48"/>
    </row>
    <row r="374" ht="15.75" customHeight="1">
      <c r="A374" s="49"/>
      <c r="B374" s="49"/>
      <c r="C374" s="49"/>
      <c r="D374" s="49"/>
      <c r="E374" s="49"/>
      <c r="F374" s="49"/>
      <c r="G374" s="49"/>
      <c r="H374" s="49"/>
      <c r="I374" s="49"/>
      <c r="J374" s="49"/>
      <c r="K374" s="49"/>
      <c r="L374" s="49"/>
      <c r="M374" s="49"/>
      <c r="N374" s="49"/>
      <c r="O374" s="48"/>
      <c r="P374" s="48"/>
      <c r="Q374" s="48"/>
      <c r="R374" s="48"/>
      <c r="S374" s="48"/>
      <c r="T374" s="48"/>
      <c r="U374" s="48"/>
      <c r="V374" s="48"/>
      <c r="W374" s="48"/>
      <c r="X374" s="48"/>
      <c r="Y374" s="48"/>
      <c r="Z374" s="48"/>
    </row>
    <row r="375" ht="15.75" customHeight="1">
      <c r="A375" s="49"/>
      <c r="B375" s="49"/>
      <c r="C375" s="49"/>
      <c r="D375" s="49"/>
      <c r="E375" s="49"/>
      <c r="F375" s="49"/>
      <c r="G375" s="49"/>
      <c r="H375" s="49"/>
      <c r="I375" s="49"/>
      <c r="J375" s="49"/>
      <c r="K375" s="49"/>
      <c r="L375" s="49"/>
      <c r="M375" s="49"/>
      <c r="N375" s="49"/>
      <c r="O375" s="48"/>
      <c r="P375" s="48"/>
      <c r="Q375" s="48"/>
      <c r="R375" s="48"/>
      <c r="S375" s="48"/>
      <c r="T375" s="48"/>
      <c r="U375" s="48"/>
      <c r="V375" s="48"/>
      <c r="W375" s="48"/>
      <c r="X375" s="48"/>
      <c r="Y375" s="48"/>
      <c r="Z375" s="48"/>
    </row>
    <row r="376" ht="15.75" customHeight="1">
      <c r="A376" s="49"/>
      <c r="B376" s="49"/>
      <c r="C376" s="49"/>
      <c r="D376" s="49"/>
      <c r="E376" s="49"/>
      <c r="F376" s="49"/>
      <c r="G376" s="49"/>
      <c r="H376" s="49"/>
      <c r="I376" s="49"/>
      <c r="J376" s="49"/>
      <c r="K376" s="49"/>
      <c r="L376" s="49"/>
      <c r="M376" s="49"/>
      <c r="N376" s="49"/>
      <c r="O376" s="48"/>
      <c r="P376" s="48"/>
      <c r="Q376" s="48"/>
      <c r="R376" s="48"/>
      <c r="S376" s="48"/>
      <c r="T376" s="48"/>
      <c r="U376" s="48"/>
      <c r="V376" s="48"/>
      <c r="W376" s="48"/>
      <c r="X376" s="48"/>
      <c r="Y376" s="48"/>
      <c r="Z376" s="48"/>
    </row>
    <row r="377" ht="15.75" customHeight="1">
      <c r="A377" s="49"/>
      <c r="B377" s="49"/>
      <c r="C377" s="49"/>
      <c r="D377" s="49"/>
      <c r="E377" s="49"/>
      <c r="F377" s="49"/>
      <c r="G377" s="49"/>
      <c r="H377" s="49"/>
      <c r="I377" s="49"/>
      <c r="J377" s="49"/>
      <c r="K377" s="49"/>
      <c r="L377" s="49"/>
      <c r="M377" s="49"/>
      <c r="N377" s="49"/>
      <c r="O377" s="48"/>
      <c r="P377" s="48"/>
      <c r="Q377" s="48"/>
      <c r="R377" s="48"/>
      <c r="S377" s="48"/>
      <c r="T377" s="48"/>
      <c r="U377" s="48"/>
      <c r="V377" s="48"/>
      <c r="W377" s="48"/>
      <c r="X377" s="48"/>
      <c r="Y377" s="48"/>
      <c r="Z377" s="48"/>
    </row>
    <row r="378" ht="15.75" customHeight="1">
      <c r="A378" s="49"/>
      <c r="B378" s="49"/>
      <c r="C378" s="49"/>
      <c r="D378" s="49"/>
      <c r="E378" s="49"/>
      <c r="F378" s="49"/>
      <c r="G378" s="49"/>
      <c r="H378" s="49"/>
      <c r="I378" s="49"/>
      <c r="J378" s="49"/>
      <c r="K378" s="49"/>
      <c r="L378" s="49"/>
      <c r="M378" s="49"/>
      <c r="N378" s="49"/>
      <c r="O378" s="48"/>
      <c r="P378" s="48"/>
      <c r="Q378" s="48"/>
      <c r="R378" s="48"/>
      <c r="S378" s="48"/>
      <c r="T378" s="48"/>
      <c r="U378" s="48"/>
      <c r="V378" s="48"/>
      <c r="W378" s="48"/>
      <c r="X378" s="48"/>
      <c r="Y378" s="48"/>
      <c r="Z378" s="48"/>
    </row>
    <row r="379" ht="15.75" customHeight="1">
      <c r="A379" s="49"/>
      <c r="B379" s="49"/>
      <c r="C379" s="49"/>
      <c r="D379" s="49"/>
      <c r="E379" s="49"/>
      <c r="F379" s="49"/>
      <c r="G379" s="49"/>
      <c r="H379" s="49"/>
      <c r="I379" s="49"/>
      <c r="J379" s="49"/>
      <c r="K379" s="49"/>
      <c r="L379" s="49"/>
      <c r="M379" s="49"/>
      <c r="N379" s="49"/>
      <c r="O379" s="48"/>
      <c r="P379" s="48"/>
      <c r="Q379" s="48"/>
      <c r="R379" s="48"/>
      <c r="S379" s="48"/>
      <c r="T379" s="48"/>
      <c r="U379" s="48"/>
      <c r="V379" s="48"/>
      <c r="W379" s="48"/>
      <c r="X379" s="48"/>
      <c r="Y379" s="48"/>
      <c r="Z379" s="48"/>
    </row>
    <row r="380" ht="15.75" customHeight="1">
      <c r="A380" s="49"/>
      <c r="B380" s="49"/>
      <c r="C380" s="49"/>
      <c r="D380" s="49"/>
      <c r="E380" s="49"/>
      <c r="F380" s="49"/>
      <c r="G380" s="49"/>
      <c r="H380" s="49"/>
      <c r="I380" s="49"/>
      <c r="J380" s="49"/>
      <c r="K380" s="49"/>
      <c r="L380" s="49"/>
      <c r="M380" s="49"/>
      <c r="N380" s="49"/>
      <c r="O380" s="48"/>
      <c r="P380" s="48"/>
      <c r="Q380" s="48"/>
      <c r="R380" s="48"/>
      <c r="S380" s="48"/>
      <c r="T380" s="48"/>
      <c r="U380" s="48"/>
      <c r="V380" s="48"/>
      <c r="W380" s="48"/>
      <c r="X380" s="48"/>
      <c r="Y380" s="48"/>
      <c r="Z380" s="48"/>
    </row>
    <row r="381" ht="15.75" customHeight="1">
      <c r="A381" s="49"/>
      <c r="B381" s="49"/>
      <c r="C381" s="49"/>
      <c r="D381" s="49"/>
      <c r="E381" s="49"/>
      <c r="F381" s="49"/>
      <c r="G381" s="49"/>
      <c r="H381" s="49"/>
      <c r="I381" s="49"/>
      <c r="J381" s="49"/>
      <c r="K381" s="49"/>
      <c r="L381" s="49"/>
      <c r="M381" s="49"/>
      <c r="N381" s="49"/>
      <c r="O381" s="48"/>
      <c r="P381" s="48"/>
      <c r="Q381" s="48"/>
      <c r="R381" s="48"/>
      <c r="S381" s="48"/>
      <c r="T381" s="48"/>
      <c r="U381" s="48"/>
      <c r="V381" s="48"/>
      <c r="W381" s="48"/>
      <c r="X381" s="48"/>
      <c r="Y381" s="48"/>
      <c r="Z381" s="48"/>
    </row>
    <row r="382" ht="15.75" customHeight="1">
      <c r="A382" s="49"/>
      <c r="B382" s="49"/>
      <c r="C382" s="49"/>
      <c r="D382" s="49"/>
      <c r="E382" s="49"/>
      <c r="F382" s="49"/>
      <c r="G382" s="49"/>
      <c r="H382" s="49"/>
      <c r="I382" s="49"/>
      <c r="J382" s="49"/>
      <c r="K382" s="49"/>
      <c r="L382" s="49"/>
      <c r="M382" s="49"/>
      <c r="N382" s="49"/>
      <c r="O382" s="48"/>
      <c r="P382" s="48"/>
      <c r="Q382" s="48"/>
      <c r="R382" s="48"/>
      <c r="S382" s="48"/>
      <c r="T382" s="48"/>
      <c r="U382" s="48"/>
      <c r="V382" s="48"/>
      <c r="W382" s="48"/>
      <c r="X382" s="48"/>
      <c r="Y382" s="48"/>
      <c r="Z382" s="48"/>
    </row>
    <row r="383" ht="15.75" customHeight="1">
      <c r="A383" s="49"/>
      <c r="B383" s="49"/>
      <c r="C383" s="49"/>
      <c r="D383" s="49"/>
      <c r="E383" s="49"/>
      <c r="F383" s="49"/>
      <c r="G383" s="49"/>
      <c r="H383" s="49"/>
      <c r="I383" s="49"/>
      <c r="J383" s="49"/>
      <c r="K383" s="49"/>
      <c r="L383" s="49"/>
      <c r="M383" s="49"/>
      <c r="N383" s="49"/>
      <c r="O383" s="48"/>
      <c r="P383" s="48"/>
      <c r="Q383" s="48"/>
      <c r="R383" s="48"/>
      <c r="S383" s="48"/>
      <c r="T383" s="48"/>
      <c r="U383" s="48"/>
      <c r="V383" s="48"/>
      <c r="W383" s="48"/>
      <c r="X383" s="48"/>
      <c r="Y383" s="48"/>
      <c r="Z383" s="48"/>
    </row>
    <row r="384" ht="15.75" customHeight="1">
      <c r="A384" s="49"/>
      <c r="B384" s="49"/>
      <c r="C384" s="49"/>
      <c r="D384" s="49"/>
      <c r="E384" s="49"/>
      <c r="F384" s="49"/>
      <c r="G384" s="49"/>
      <c r="H384" s="49"/>
      <c r="I384" s="49"/>
      <c r="J384" s="49"/>
      <c r="K384" s="49"/>
      <c r="L384" s="49"/>
      <c r="M384" s="49"/>
      <c r="N384" s="49"/>
      <c r="O384" s="48"/>
      <c r="P384" s="48"/>
      <c r="Q384" s="48"/>
      <c r="R384" s="48"/>
      <c r="S384" s="48"/>
      <c r="T384" s="48"/>
      <c r="U384" s="48"/>
      <c r="V384" s="48"/>
      <c r="W384" s="48"/>
      <c r="X384" s="48"/>
      <c r="Y384" s="48"/>
      <c r="Z384" s="48"/>
    </row>
    <row r="385" ht="15.75" customHeight="1">
      <c r="A385" s="49"/>
      <c r="B385" s="49"/>
      <c r="C385" s="49"/>
      <c r="D385" s="49"/>
      <c r="E385" s="49"/>
      <c r="F385" s="49"/>
      <c r="G385" s="49"/>
      <c r="H385" s="49"/>
      <c r="I385" s="49"/>
      <c r="J385" s="49"/>
      <c r="K385" s="49"/>
      <c r="L385" s="49"/>
      <c r="M385" s="49"/>
      <c r="N385" s="49"/>
      <c r="O385" s="48"/>
      <c r="P385" s="48"/>
      <c r="Q385" s="48"/>
      <c r="R385" s="48"/>
      <c r="S385" s="48"/>
      <c r="T385" s="48"/>
      <c r="U385" s="48"/>
      <c r="V385" s="48"/>
      <c r="W385" s="48"/>
      <c r="X385" s="48"/>
      <c r="Y385" s="48"/>
      <c r="Z385" s="48"/>
    </row>
    <row r="386" ht="15.75" customHeight="1">
      <c r="A386" s="49"/>
      <c r="B386" s="49"/>
      <c r="C386" s="49"/>
      <c r="D386" s="49"/>
      <c r="E386" s="49"/>
      <c r="F386" s="49"/>
      <c r="G386" s="49"/>
      <c r="H386" s="49"/>
      <c r="I386" s="49"/>
      <c r="J386" s="49"/>
      <c r="K386" s="49"/>
      <c r="L386" s="49"/>
      <c r="M386" s="49"/>
      <c r="N386" s="49"/>
      <c r="O386" s="48"/>
      <c r="P386" s="48"/>
      <c r="Q386" s="48"/>
      <c r="R386" s="48"/>
      <c r="S386" s="48"/>
      <c r="T386" s="48"/>
      <c r="U386" s="48"/>
      <c r="V386" s="48"/>
      <c r="W386" s="48"/>
      <c r="X386" s="48"/>
      <c r="Y386" s="48"/>
      <c r="Z386" s="48"/>
    </row>
    <row r="387" ht="15.75" customHeight="1">
      <c r="A387" s="49"/>
      <c r="B387" s="49"/>
      <c r="C387" s="49"/>
      <c r="D387" s="49"/>
      <c r="E387" s="49"/>
      <c r="F387" s="49"/>
      <c r="G387" s="49"/>
      <c r="H387" s="49"/>
      <c r="I387" s="49"/>
      <c r="J387" s="49"/>
      <c r="K387" s="49"/>
      <c r="L387" s="49"/>
      <c r="M387" s="49"/>
      <c r="N387" s="49"/>
      <c r="O387" s="48"/>
      <c r="P387" s="48"/>
      <c r="Q387" s="48"/>
      <c r="R387" s="48"/>
      <c r="S387" s="48"/>
      <c r="T387" s="48"/>
      <c r="U387" s="48"/>
      <c r="V387" s="48"/>
      <c r="W387" s="48"/>
      <c r="X387" s="48"/>
      <c r="Y387" s="48"/>
      <c r="Z387" s="48"/>
    </row>
    <row r="388" ht="15.75" customHeight="1">
      <c r="A388" s="49"/>
      <c r="B388" s="49"/>
      <c r="C388" s="49"/>
      <c r="D388" s="49"/>
      <c r="E388" s="49"/>
      <c r="F388" s="49"/>
      <c r="G388" s="49"/>
      <c r="H388" s="49"/>
      <c r="I388" s="49"/>
      <c r="J388" s="49"/>
      <c r="K388" s="49"/>
      <c r="L388" s="49"/>
      <c r="M388" s="49"/>
      <c r="N388" s="49"/>
      <c r="O388" s="48"/>
      <c r="P388" s="48"/>
      <c r="Q388" s="48"/>
      <c r="R388" s="48"/>
      <c r="S388" s="48"/>
      <c r="T388" s="48"/>
      <c r="U388" s="48"/>
      <c r="V388" s="48"/>
      <c r="W388" s="48"/>
      <c r="X388" s="48"/>
      <c r="Y388" s="48"/>
      <c r="Z388" s="48"/>
    </row>
    <row r="389" ht="15.75" customHeight="1">
      <c r="A389" s="49"/>
      <c r="B389" s="49"/>
      <c r="C389" s="49"/>
      <c r="D389" s="49"/>
      <c r="E389" s="49"/>
      <c r="F389" s="49"/>
      <c r="G389" s="49"/>
      <c r="H389" s="49"/>
      <c r="I389" s="49"/>
      <c r="J389" s="49"/>
      <c r="K389" s="49"/>
      <c r="L389" s="49"/>
      <c r="M389" s="49"/>
      <c r="N389" s="49"/>
      <c r="O389" s="48"/>
      <c r="P389" s="48"/>
      <c r="Q389" s="48"/>
      <c r="R389" s="48"/>
      <c r="S389" s="48"/>
      <c r="T389" s="48"/>
      <c r="U389" s="48"/>
      <c r="V389" s="48"/>
      <c r="W389" s="48"/>
      <c r="X389" s="48"/>
      <c r="Y389" s="48"/>
      <c r="Z389" s="48"/>
    </row>
    <row r="390" ht="15.75" customHeight="1">
      <c r="A390" s="49"/>
      <c r="B390" s="49"/>
      <c r="C390" s="49"/>
      <c r="D390" s="49"/>
      <c r="E390" s="49"/>
      <c r="F390" s="49"/>
      <c r="G390" s="49"/>
      <c r="H390" s="49"/>
      <c r="I390" s="49"/>
      <c r="J390" s="49"/>
      <c r="K390" s="49"/>
      <c r="L390" s="49"/>
      <c r="M390" s="49"/>
      <c r="N390" s="49"/>
      <c r="O390" s="48"/>
      <c r="P390" s="48"/>
      <c r="Q390" s="48"/>
      <c r="R390" s="48"/>
      <c r="S390" s="48"/>
      <c r="T390" s="48"/>
      <c r="U390" s="48"/>
      <c r="V390" s="48"/>
      <c r="W390" s="48"/>
      <c r="X390" s="48"/>
      <c r="Y390" s="48"/>
      <c r="Z390" s="48"/>
    </row>
    <row r="391" ht="15.75" customHeight="1">
      <c r="A391" s="49"/>
      <c r="B391" s="49"/>
      <c r="C391" s="49"/>
      <c r="D391" s="49"/>
      <c r="E391" s="49"/>
      <c r="F391" s="49"/>
      <c r="G391" s="49"/>
      <c r="H391" s="49"/>
      <c r="I391" s="49"/>
      <c r="J391" s="49"/>
      <c r="K391" s="49"/>
      <c r="L391" s="49"/>
      <c r="M391" s="49"/>
      <c r="N391" s="49"/>
      <c r="O391" s="48"/>
      <c r="P391" s="48"/>
      <c r="Q391" s="48"/>
      <c r="R391" s="48"/>
      <c r="S391" s="48"/>
      <c r="T391" s="48"/>
      <c r="U391" s="48"/>
      <c r="V391" s="48"/>
      <c r="W391" s="48"/>
      <c r="X391" s="48"/>
      <c r="Y391" s="48"/>
      <c r="Z391" s="48"/>
    </row>
    <row r="392" ht="15.75" customHeight="1">
      <c r="A392" s="49"/>
      <c r="B392" s="49"/>
      <c r="C392" s="49"/>
      <c r="D392" s="49"/>
      <c r="E392" s="49"/>
      <c r="F392" s="49"/>
      <c r="G392" s="49"/>
      <c r="H392" s="49"/>
      <c r="I392" s="49"/>
      <c r="J392" s="49"/>
      <c r="K392" s="49"/>
      <c r="L392" s="49"/>
      <c r="M392" s="49"/>
      <c r="N392" s="49"/>
      <c r="O392" s="48"/>
      <c r="P392" s="48"/>
      <c r="Q392" s="48"/>
      <c r="R392" s="48"/>
      <c r="S392" s="48"/>
      <c r="T392" s="48"/>
      <c r="U392" s="48"/>
      <c r="V392" s="48"/>
      <c r="W392" s="48"/>
      <c r="X392" s="48"/>
      <c r="Y392" s="48"/>
      <c r="Z392" s="48"/>
    </row>
    <row r="393" ht="15.75" customHeight="1">
      <c r="A393" s="49"/>
      <c r="B393" s="49"/>
      <c r="C393" s="49"/>
      <c r="D393" s="49"/>
      <c r="E393" s="49"/>
      <c r="F393" s="49"/>
      <c r="G393" s="49"/>
      <c r="H393" s="49"/>
      <c r="I393" s="49"/>
      <c r="J393" s="49"/>
      <c r="K393" s="49"/>
      <c r="L393" s="49"/>
      <c r="M393" s="49"/>
      <c r="N393" s="49"/>
      <c r="O393" s="48"/>
      <c r="P393" s="48"/>
      <c r="Q393" s="48"/>
      <c r="R393" s="48"/>
      <c r="S393" s="48"/>
      <c r="T393" s="48"/>
      <c r="U393" s="48"/>
      <c r="V393" s="48"/>
      <c r="W393" s="48"/>
      <c r="X393" s="48"/>
      <c r="Y393" s="48"/>
      <c r="Z393" s="48"/>
    </row>
    <row r="394" ht="15.75" customHeight="1">
      <c r="A394" s="49"/>
      <c r="B394" s="49"/>
      <c r="C394" s="49"/>
      <c r="D394" s="49"/>
      <c r="E394" s="49"/>
      <c r="F394" s="49"/>
      <c r="G394" s="49"/>
      <c r="H394" s="49"/>
      <c r="I394" s="49"/>
      <c r="J394" s="49"/>
      <c r="K394" s="49"/>
      <c r="L394" s="49"/>
      <c r="M394" s="49"/>
      <c r="N394" s="49"/>
      <c r="O394" s="48"/>
      <c r="P394" s="48"/>
      <c r="Q394" s="48"/>
      <c r="R394" s="48"/>
      <c r="S394" s="48"/>
      <c r="T394" s="48"/>
      <c r="U394" s="48"/>
      <c r="V394" s="48"/>
      <c r="W394" s="48"/>
      <c r="X394" s="48"/>
      <c r="Y394" s="48"/>
      <c r="Z394" s="48"/>
    </row>
    <row r="395" ht="15.75" customHeight="1">
      <c r="A395" s="49"/>
      <c r="B395" s="49"/>
      <c r="C395" s="49"/>
      <c r="D395" s="49"/>
      <c r="E395" s="49"/>
      <c r="F395" s="49"/>
      <c r="G395" s="49"/>
      <c r="H395" s="49"/>
      <c r="I395" s="49"/>
      <c r="J395" s="49"/>
      <c r="K395" s="49"/>
      <c r="L395" s="49"/>
      <c r="M395" s="49"/>
      <c r="N395" s="49"/>
      <c r="O395" s="48"/>
      <c r="P395" s="48"/>
      <c r="Q395" s="48"/>
      <c r="R395" s="48"/>
      <c r="S395" s="48"/>
      <c r="T395" s="48"/>
      <c r="U395" s="48"/>
      <c r="V395" s="48"/>
      <c r="W395" s="48"/>
      <c r="X395" s="48"/>
      <c r="Y395" s="48"/>
      <c r="Z395" s="48"/>
    </row>
    <row r="396" ht="15.75" customHeight="1">
      <c r="A396" s="49"/>
      <c r="B396" s="49"/>
      <c r="C396" s="49"/>
      <c r="D396" s="49"/>
      <c r="E396" s="49"/>
      <c r="F396" s="49"/>
      <c r="G396" s="49"/>
      <c r="H396" s="49"/>
      <c r="I396" s="49"/>
      <c r="J396" s="49"/>
      <c r="K396" s="49"/>
      <c r="L396" s="49"/>
      <c r="M396" s="49"/>
      <c r="N396" s="49"/>
      <c r="O396" s="48"/>
      <c r="P396" s="48"/>
      <c r="Q396" s="48"/>
      <c r="R396" s="48"/>
      <c r="S396" s="48"/>
      <c r="T396" s="48"/>
      <c r="U396" s="48"/>
      <c r="V396" s="48"/>
      <c r="W396" s="48"/>
      <c r="X396" s="48"/>
      <c r="Y396" s="48"/>
      <c r="Z396" s="48"/>
    </row>
    <row r="397" ht="15.75" customHeight="1">
      <c r="A397" s="49"/>
      <c r="B397" s="49"/>
      <c r="C397" s="49"/>
      <c r="D397" s="49"/>
      <c r="E397" s="49"/>
      <c r="F397" s="49"/>
      <c r="G397" s="49"/>
      <c r="H397" s="49"/>
      <c r="I397" s="49"/>
      <c r="J397" s="49"/>
      <c r="K397" s="49"/>
      <c r="L397" s="49"/>
      <c r="M397" s="49"/>
      <c r="N397" s="49"/>
      <c r="O397" s="48"/>
      <c r="P397" s="48"/>
      <c r="Q397" s="48"/>
      <c r="R397" s="48"/>
      <c r="S397" s="48"/>
      <c r="T397" s="48"/>
      <c r="U397" s="48"/>
      <c r="V397" s="48"/>
      <c r="W397" s="48"/>
      <c r="X397" s="48"/>
      <c r="Y397" s="48"/>
      <c r="Z397" s="48"/>
    </row>
    <row r="398" ht="15.75" customHeight="1">
      <c r="A398" s="49"/>
      <c r="B398" s="49"/>
      <c r="C398" s="49"/>
      <c r="D398" s="49"/>
      <c r="E398" s="49"/>
      <c r="F398" s="49"/>
      <c r="G398" s="49"/>
      <c r="H398" s="49"/>
      <c r="I398" s="49"/>
      <c r="J398" s="49"/>
      <c r="K398" s="49"/>
      <c r="L398" s="49"/>
      <c r="M398" s="49"/>
      <c r="N398" s="49"/>
      <c r="O398" s="48"/>
      <c r="P398" s="48"/>
      <c r="Q398" s="48"/>
      <c r="R398" s="48"/>
      <c r="S398" s="48"/>
      <c r="T398" s="48"/>
      <c r="U398" s="48"/>
      <c r="V398" s="48"/>
      <c r="W398" s="48"/>
      <c r="X398" s="48"/>
      <c r="Y398" s="48"/>
      <c r="Z398" s="48"/>
    </row>
    <row r="399" ht="15.75" customHeight="1">
      <c r="A399" s="49"/>
      <c r="B399" s="49"/>
      <c r="C399" s="49"/>
      <c r="D399" s="49"/>
      <c r="E399" s="49"/>
      <c r="F399" s="49"/>
      <c r="G399" s="49"/>
      <c r="H399" s="49"/>
      <c r="I399" s="49"/>
      <c r="J399" s="49"/>
      <c r="K399" s="49"/>
      <c r="L399" s="49"/>
      <c r="M399" s="49"/>
      <c r="N399" s="49"/>
      <c r="O399" s="48"/>
      <c r="P399" s="48"/>
      <c r="Q399" s="48"/>
      <c r="R399" s="48"/>
      <c r="S399" s="48"/>
      <c r="T399" s="48"/>
      <c r="U399" s="48"/>
      <c r="V399" s="48"/>
      <c r="W399" s="48"/>
      <c r="X399" s="48"/>
      <c r="Y399" s="48"/>
      <c r="Z399" s="48"/>
    </row>
    <row r="400" ht="15.75" customHeight="1">
      <c r="A400" s="49"/>
      <c r="B400" s="49"/>
      <c r="C400" s="49"/>
      <c r="D400" s="49"/>
      <c r="E400" s="49"/>
      <c r="F400" s="49"/>
      <c r="G400" s="49"/>
      <c r="H400" s="49"/>
      <c r="I400" s="49"/>
      <c r="J400" s="49"/>
      <c r="K400" s="49"/>
      <c r="L400" s="49"/>
      <c r="M400" s="49"/>
      <c r="N400" s="49"/>
      <c r="O400" s="48"/>
      <c r="P400" s="48"/>
      <c r="Q400" s="48"/>
      <c r="R400" s="48"/>
      <c r="S400" s="48"/>
      <c r="T400" s="48"/>
      <c r="U400" s="48"/>
      <c r="V400" s="48"/>
      <c r="W400" s="48"/>
      <c r="X400" s="48"/>
      <c r="Y400" s="48"/>
      <c r="Z400" s="48"/>
    </row>
    <row r="401" ht="15.75" customHeight="1">
      <c r="A401" s="49"/>
      <c r="B401" s="49"/>
      <c r="C401" s="49"/>
      <c r="D401" s="49"/>
      <c r="E401" s="49"/>
      <c r="F401" s="49"/>
      <c r="G401" s="49"/>
      <c r="H401" s="49"/>
      <c r="I401" s="49"/>
      <c r="J401" s="49"/>
      <c r="K401" s="49"/>
      <c r="L401" s="49"/>
      <c r="M401" s="49"/>
      <c r="N401" s="49"/>
      <c r="O401" s="48"/>
      <c r="P401" s="48"/>
      <c r="Q401" s="48"/>
      <c r="R401" s="48"/>
      <c r="S401" s="48"/>
      <c r="T401" s="48"/>
      <c r="U401" s="48"/>
      <c r="V401" s="48"/>
      <c r="W401" s="48"/>
      <c r="X401" s="48"/>
      <c r="Y401" s="48"/>
      <c r="Z401" s="48"/>
    </row>
    <row r="402" ht="15.75" customHeight="1">
      <c r="A402" s="49"/>
      <c r="B402" s="49"/>
      <c r="C402" s="49"/>
      <c r="D402" s="49"/>
      <c r="E402" s="49"/>
      <c r="F402" s="49"/>
      <c r="G402" s="49"/>
      <c r="H402" s="49"/>
      <c r="I402" s="49"/>
      <c r="J402" s="49"/>
      <c r="K402" s="49"/>
      <c r="L402" s="49"/>
      <c r="M402" s="49"/>
      <c r="N402" s="49"/>
      <c r="O402" s="48"/>
      <c r="P402" s="48"/>
      <c r="Q402" s="48"/>
      <c r="R402" s="48"/>
      <c r="S402" s="48"/>
      <c r="T402" s="48"/>
      <c r="U402" s="48"/>
      <c r="V402" s="48"/>
      <c r="W402" s="48"/>
      <c r="X402" s="48"/>
      <c r="Y402" s="48"/>
      <c r="Z402" s="48"/>
    </row>
    <row r="403" ht="15.75" customHeight="1">
      <c r="A403" s="49"/>
      <c r="B403" s="49"/>
      <c r="C403" s="49"/>
      <c r="D403" s="49"/>
      <c r="E403" s="49"/>
      <c r="F403" s="49"/>
      <c r="G403" s="49"/>
      <c r="H403" s="49"/>
      <c r="I403" s="49"/>
      <c r="J403" s="49"/>
      <c r="K403" s="49"/>
      <c r="L403" s="49"/>
      <c r="M403" s="49"/>
      <c r="N403" s="49"/>
      <c r="O403" s="48"/>
      <c r="P403" s="48"/>
      <c r="Q403" s="48"/>
      <c r="R403" s="48"/>
      <c r="S403" s="48"/>
      <c r="T403" s="48"/>
      <c r="U403" s="48"/>
      <c r="V403" s="48"/>
      <c r="W403" s="48"/>
      <c r="X403" s="48"/>
      <c r="Y403" s="48"/>
      <c r="Z403" s="48"/>
    </row>
    <row r="404" ht="15.75" customHeight="1">
      <c r="A404" s="49"/>
      <c r="B404" s="49"/>
      <c r="C404" s="49"/>
      <c r="D404" s="49"/>
      <c r="E404" s="49"/>
      <c r="F404" s="49"/>
      <c r="G404" s="49"/>
      <c r="H404" s="49"/>
      <c r="I404" s="49"/>
      <c r="J404" s="49"/>
      <c r="K404" s="49"/>
      <c r="L404" s="49"/>
      <c r="M404" s="49"/>
      <c r="N404" s="49"/>
      <c r="O404" s="48"/>
      <c r="P404" s="48"/>
      <c r="Q404" s="48"/>
      <c r="R404" s="48"/>
      <c r="S404" s="48"/>
      <c r="T404" s="48"/>
      <c r="U404" s="48"/>
      <c r="V404" s="48"/>
      <c r="W404" s="48"/>
      <c r="X404" s="48"/>
      <c r="Y404" s="48"/>
      <c r="Z404" s="48"/>
    </row>
    <row r="405" ht="15.75" customHeight="1">
      <c r="A405" s="49"/>
      <c r="B405" s="49"/>
      <c r="C405" s="49"/>
      <c r="D405" s="49"/>
      <c r="E405" s="49"/>
      <c r="F405" s="49"/>
      <c r="G405" s="49"/>
      <c r="H405" s="49"/>
      <c r="I405" s="49"/>
      <c r="J405" s="49"/>
      <c r="K405" s="49"/>
      <c r="L405" s="49"/>
      <c r="M405" s="49"/>
      <c r="N405" s="49"/>
      <c r="O405" s="48"/>
      <c r="P405" s="48"/>
      <c r="Q405" s="48"/>
      <c r="R405" s="48"/>
      <c r="S405" s="48"/>
      <c r="T405" s="48"/>
      <c r="U405" s="48"/>
      <c r="V405" s="48"/>
      <c r="W405" s="48"/>
      <c r="X405" s="48"/>
      <c r="Y405" s="48"/>
      <c r="Z405" s="48"/>
    </row>
    <row r="406" ht="15.75" customHeight="1">
      <c r="A406" s="49"/>
      <c r="B406" s="49"/>
      <c r="C406" s="49"/>
      <c r="D406" s="49"/>
      <c r="E406" s="49"/>
      <c r="F406" s="49"/>
      <c r="G406" s="49"/>
      <c r="H406" s="49"/>
      <c r="I406" s="49"/>
      <c r="J406" s="49"/>
      <c r="K406" s="49"/>
      <c r="L406" s="49"/>
      <c r="M406" s="49"/>
      <c r="N406" s="49"/>
      <c r="O406" s="48"/>
      <c r="P406" s="48"/>
      <c r="Q406" s="48"/>
      <c r="R406" s="48"/>
      <c r="S406" s="48"/>
      <c r="T406" s="48"/>
      <c r="U406" s="48"/>
      <c r="V406" s="48"/>
      <c r="W406" s="48"/>
      <c r="X406" s="48"/>
      <c r="Y406" s="48"/>
      <c r="Z406" s="48"/>
    </row>
    <row r="407" ht="15.75" customHeight="1">
      <c r="A407" s="49"/>
      <c r="B407" s="49"/>
      <c r="C407" s="49"/>
      <c r="D407" s="49"/>
      <c r="E407" s="49"/>
      <c r="F407" s="49"/>
      <c r="G407" s="49"/>
      <c r="H407" s="49"/>
      <c r="I407" s="49"/>
      <c r="J407" s="49"/>
      <c r="K407" s="49"/>
      <c r="L407" s="49"/>
      <c r="M407" s="49"/>
      <c r="N407" s="49"/>
      <c r="O407" s="48"/>
      <c r="P407" s="48"/>
      <c r="Q407" s="48"/>
      <c r="R407" s="48"/>
      <c r="S407" s="48"/>
      <c r="T407" s="48"/>
      <c r="U407" s="48"/>
      <c r="V407" s="48"/>
      <c r="W407" s="48"/>
      <c r="X407" s="48"/>
      <c r="Y407" s="48"/>
      <c r="Z407" s="48"/>
    </row>
    <row r="408" ht="15.75" customHeight="1">
      <c r="A408" s="49"/>
      <c r="B408" s="49"/>
      <c r="C408" s="49"/>
      <c r="D408" s="49"/>
      <c r="E408" s="49"/>
      <c r="F408" s="49"/>
      <c r="G408" s="49"/>
      <c r="H408" s="49"/>
      <c r="I408" s="49"/>
      <c r="J408" s="49"/>
      <c r="K408" s="49"/>
      <c r="L408" s="49"/>
      <c r="M408" s="49"/>
      <c r="N408" s="49"/>
      <c r="O408" s="48"/>
      <c r="P408" s="48"/>
      <c r="Q408" s="48"/>
      <c r="R408" s="48"/>
      <c r="S408" s="48"/>
      <c r="T408" s="48"/>
      <c r="U408" s="48"/>
      <c r="V408" s="48"/>
      <c r="W408" s="48"/>
      <c r="X408" s="48"/>
      <c r="Y408" s="48"/>
      <c r="Z408" s="48"/>
    </row>
    <row r="409" ht="15.75" customHeight="1">
      <c r="A409" s="49"/>
      <c r="B409" s="49"/>
      <c r="C409" s="49"/>
      <c r="D409" s="49"/>
      <c r="E409" s="49"/>
      <c r="F409" s="49"/>
      <c r="G409" s="49"/>
      <c r="H409" s="49"/>
      <c r="I409" s="49"/>
      <c r="J409" s="49"/>
      <c r="K409" s="49"/>
      <c r="L409" s="49"/>
      <c r="M409" s="49"/>
      <c r="N409" s="49"/>
      <c r="O409" s="48"/>
      <c r="P409" s="48"/>
      <c r="Q409" s="48"/>
      <c r="R409" s="48"/>
      <c r="S409" s="48"/>
      <c r="T409" s="48"/>
      <c r="U409" s="48"/>
      <c r="V409" s="48"/>
      <c r="W409" s="48"/>
      <c r="X409" s="48"/>
      <c r="Y409" s="48"/>
      <c r="Z409" s="48"/>
    </row>
    <row r="410" ht="15.75" customHeight="1">
      <c r="A410" s="49"/>
      <c r="B410" s="49"/>
      <c r="C410" s="49"/>
      <c r="D410" s="49"/>
      <c r="E410" s="49"/>
      <c r="F410" s="49"/>
      <c r="G410" s="49"/>
      <c r="H410" s="49"/>
      <c r="I410" s="49"/>
      <c r="J410" s="49"/>
      <c r="K410" s="49"/>
      <c r="L410" s="49"/>
      <c r="M410" s="49"/>
      <c r="N410" s="49"/>
      <c r="O410" s="48"/>
      <c r="P410" s="48"/>
      <c r="Q410" s="48"/>
      <c r="R410" s="48"/>
      <c r="S410" s="48"/>
      <c r="T410" s="48"/>
      <c r="U410" s="48"/>
      <c r="V410" s="48"/>
      <c r="W410" s="48"/>
      <c r="X410" s="48"/>
      <c r="Y410" s="48"/>
      <c r="Z410" s="48"/>
    </row>
    <row r="411" ht="15.75" customHeight="1">
      <c r="A411" s="49"/>
      <c r="B411" s="49"/>
      <c r="C411" s="49"/>
      <c r="D411" s="49"/>
      <c r="E411" s="49"/>
      <c r="F411" s="49"/>
      <c r="G411" s="49"/>
      <c r="H411" s="49"/>
      <c r="I411" s="49"/>
      <c r="J411" s="49"/>
      <c r="K411" s="49"/>
      <c r="L411" s="49"/>
      <c r="M411" s="49"/>
      <c r="N411" s="49"/>
      <c r="O411" s="48"/>
      <c r="P411" s="48"/>
      <c r="Q411" s="48"/>
      <c r="R411" s="48"/>
      <c r="S411" s="48"/>
      <c r="T411" s="48"/>
      <c r="U411" s="48"/>
      <c r="V411" s="48"/>
      <c r="W411" s="48"/>
      <c r="X411" s="48"/>
      <c r="Y411" s="48"/>
      <c r="Z411" s="48"/>
    </row>
    <row r="412" ht="15.75" customHeight="1">
      <c r="A412" s="49"/>
      <c r="B412" s="49"/>
      <c r="C412" s="49"/>
      <c r="D412" s="49"/>
      <c r="E412" s="49"/>
      <c r="F412" s="49"/>
      <c r="G412" s="49"/>
      <c r="H412" s="49"/>
      <c r="I412" s="49"/>
      <c r="J412" s="49"/>
      <c r="K412" s="49"/>
      <c r="L412" s="49"/>
      <c r="M412" s="49"/>
      <c r="N412" s="49"/>
      <c r="O412" s="48"/>
      <c r="P412" s="48"/>
      <c r="Q412" s="48"/>
      <c r="R412" s="48"/>
      <c r="S412" s="48"/>
      <c r="T412" s="48"/>
      <c r="U412" s="48"/>
      <c r="V412" s="48"/>
      <c r="W412" s="48"/>
      <c r="X412" s="48"/>
      <c r="Y412" s="48"/>
      <c r="Z412" s="48"/>
    </row>
    <row r="413" ht="15.75" customHeight="1">
      <c r="A413" s="49"/>
      <c r="B413" s="49"/>
      <c r="C413" s="49"/>
      <c r="D413" s="49"/>
      <c r="E413" s="49"/>
      <c r="F413" s="49"/>
      <c r="G413" s="49"/>
      <c r="H413" s="49"/>
      <c r="I413" s="49"/>
      <c r="J413" s="49"/>
      <c r="K413" s="49"/>
      <c r="L413" s="49"/>
      <c r="M413" s="49"/>
      <c r="N413" s="49"/>
      <c r="O413" s="48"/>
      <c r="P413" s="48"/>
      <c r="Q413" s="48"/>
      <c r="R413" s="48"/>
      <c r="S413" s="48"/>
      <c r="T413" s="48"/>
      <c r="U413" s="48"/>
      <c r="V413" s="48"/>
      <c r="W413" s="48"/>
      <c r="X413" s="48"/>
      <c r="Y413" s="48"/>
      <c r="Z413" s="48"/>
    </row>
    <row r="414" ht="15.75" customHeight="1">
      <c r="A414" s="49"/>
      <c r="B414" s="49"/>
      <c r="C414" s="49"/>
      <c r="D414" s="49"/>
      <c r="E414" s="49"/>
      <c r="F414" s="49"/>
      <c r="G414" s="49"/>
      <c r="H414" s="49"/>
      <c r="I414" s="49"/>
      <c r="J414" s="49"/>
      <c r="K414" s="49"/>
      <c r="L414" s="49"/>
      <c r="M414" s="49"/>
      <c r="N414" s="49"/>
      <c r="O414" s="48"/>
      <c r="P414" s="48"/>
      <c r="Q414" s="48"/>
      <c r="R414" s="48"/>
      <c r="S414" s="48"/>
      <c r="T414" s="48"/>
      <c r="U414" s="48"/>
      <c r="V414" s="48"/>
      <c r="W414" s="48"/>
      <c r="X414" s="48"/>
      <c r="Y414" s="48"/>
      <c r="Z414" s="48"/>
    </row>
    <row r="415" ht="15.75" customHeight="1">
      <c r="A415" s="49"/>
      <c r="B415" s="49"/>
      <c r="C415" s="49"/>
      <c r="D415" s="49"/>
      <c r="E415" s="49"/>
      <c r="F415" s="49"/>
      <c r="G415" s="49"/>
      <c r="H415" s="49"/>
      <c r="I415" s="49"/>
      <c r="J415" s="49"/>
      <c r="K415" s="49"/>
      <c r="L415" s="49"/>
      <c r="M415" s="49"/>
      <c r="N415" s="49"/>
      <c r="O415" s="48"/>
      <c r="P415" s="48"/>
      <c r="Q415" s="48"/>
      <c r="R415" s="48"/>
      <c r="S415" s="48"/>
      <c r="T415" s="48"/>
      <c r="U415" s="48"/>
      <c r="V415" s="48"/>
      <c r="W415" s="48"/>
      <c r="X415" s="48"/>
      <c r="Y415" s="48"/>
      <c r="Z415" s="48"/>
    </row>
    <row r="416" ht="15.75" customHeight="1">
      <c r="A416" s="49"/>
      <c r="B416" s="49"/>
      <c r="C416" s="49"/>
      <c r="D416" s="49"/>
      <c r="E416" s="49"/>
      <c r="F416" s="49"/>
      <c r="G416" s="49"/>
      <c r="H416" s="49"/>
      <c r="I416" s="49"/>
      <c r="J416" s="49"/>
      <c r="K416" s="49"/>
      <c r="L416" s="49"/>
      <c r="M416" s="49"/>
      <c r="N416" s="49"/>
      <c r="O416" s="48"/>
      <c r="P416" s="48"/>
      <c r="Q416" s="48"/>
      <c r="R416" s="48"/>
      <c r="S416" s="48"/>
      <c r="T416" s="48"/>
      <c r="U416" s="48"/>
      <c r="V416" s="48"/>
      <c r="W416" s="48"/>
      <c r="X416" s="48"/>
      <c r="Y416" s="48"/>
      <c r="Z416" s="48"/>
    </row>
    <row r="417" ht="15.75" customHeight="1">
      <c r="A417" s="49"/>
      <c r="B417" s="49"/>
      <c r="C417" s="49"/>
      <c r="D417" s="49"/>
      <c r="E417" s="49"/>
      <c r="F417" s="49"/>
      <c r="G417" s="49"/>
      <c r="H417" s="49"/>
      <c r="I417" s="49"/>
      <c r="J417" s="49"/>
      <c r="K417" s="49"/>
      <c r="L417" s="49"/>
      <c r="M417" s="49"/>
      <c r="N417" s="49"/>
      <c r="O417" s="48"/>
      <c r="P417" s="48"/>
      <c r="Q417" s="48"/>
      <c r="R417" s="48"/>
      <c r="S417" s="48"/>
      <c r="T417" s="48"/>
      <c r="U417" s="48"/>
      <c r="V417" s="48"/>
      <c r="W417" s="48"/>
      <c r="X417" s="48"/>
      <c r="Y417" s="48"/>
      <c r="Z417" s="48"/>
    </row>
    <row r="418" ht="15.75" customHeight="1">
      <c r="A418" s="49"/>
      <c r="B418" s="49"/>
      <c r="C418" s="49"/>
      <c r="D418" s="49"/>
      <c r="E418" s="49"/>
      <c r="F418" s="49"/>
      <c r="G418" s="49"/>
      <c r="H418" s="49"/>
      <c r="I418" s="49"/>
      <c r="J418" s="49"/>
      <c r="K418" s="49"/>
      <c r="L418" s="49"/>
      <c r="M418" s="49"/>
      <c r="N418" s="49"/>
      <c r="O418" s="48"/>
      <c r="P418" s="48"/>
      <c r="Q418" s="48"/>
      <c r="R418" s="48"/>
      <c r="S418" s="48"/>
      <c r="T418" s="48"/>
      <c r="U418" s="48"/>
      <c r="V418" s="48"/>
      <c r="W418" s="48"/>
      <c r="X418" s="48"/>
      <c r="Y418" s="48"/>
      <c r="Z418" s="48"/>
    </row>
    <row r="419" ht="15.75" customHeight="1">
      <c r="A419" s="49"/>
      <c r="B419" s="49"/>
      <c r="C419" s="49"/>
      <c r="D419" s="49"/>
      <c r="E419" s="49"/>
      <c r="F419" s="49"/>
      <c r="G419" s="49"/>
      <c r="H419" s="49"/>
      <c r="I419" s="49"/>
      <c r="J419" s="49"/>
      <c r="K419" s="49"/>
      <c r="L419" s="49"/>
      <c r="M419" s="49"/>
      <c r="N419" s="49"/>
      <c r="O419" s="48"/>
      <c r="P419" s="48"/>
      <c r="Q419" s="48"/>
      <c r="R419" s="48"/>
      <c r="S419" s="48"/>
      <c r="T419" s="48"/>
      <c r="U419" s="48"/>
      <c r="V419" s="48"/>
      <c r="W419" s="48"/>
      <c r="X419" s="48"/>
      <c r="Y419" s="48"/>
      <c r="Z419" s="48"/>
    </row>
    <row r="420" ht="15.75" customHeight="1">
      <c r="A420" s="49"/>
      <c r="B420" s="49"/>
      <c r="C420" s="49"/>
      <c r="D420" s="49"/>
      <c r="E420" s="49"/>
      <c r="F420" s="49"/>
      <c r="G420" s="49"/>
      <c r="H420" s="49"/>
      <c r="I420" s="49"/>
      <c r="J420" s="49"/>
      <c r="K420" s="49"/>
      <c r="L420" s="49"/>
      <c r="M420" s="49"/>
      <c r="N420" s="49"/>
      <c r="O420" s="48"/>
      <c r="P420" s="48"/>
      <c r="Q420" s="48"/>
      <c r="R420" s="48"/>
      <c r="S420" s="48"/>
      <c r="T420" s="48"/>
      <c r="U420" s="48"/>
      <c r="V420" s="48"/>
      <c r="W420" s="48"/>
      <c r="X420" s="48"/>
      <c r="Y420" s="48"/>
      <c r="Z420" s="48"/>
    </row>
    <row r="421" ht="15.75" customHeight="1">
      <c r="A421" s="49"/>
      <c r="B421" s="49"/>
      <c r="C421" s="49"/>
      <c r="D421" s="49"/>
      <c r="E421" s="49"/>
      <c r="F421" s="49"/>
      <c r="G421" s="49"/>
      <c r="H421" s="49"/>
      <c r="I421" s="49"/>
      <c r="J421" s="49"/>
      <c r="K421" s="49"/>
      <c r="L421" s="49"/>
      <c r="M421" s="49"/>
      <c r="N421" s="49"/>
      <c r="O421" s="48"/>
      <c r="P421" s="48"/>
      <c r="Q421" s="48"/>
      <c r="R421" s="48"/>
      <c r="S421" s="48"/>
      <c r="T421" s="48"/>
      <c r="U421" s="48"/>
      <c r="V421" s="48"/>
      <c r="W421" s="48"/>
      <c r="X421" s="48"/>
      <c r="Y421" s="48"/>
      <c r="Z421" s="48"/>
    </row>
    <row r="422" ht="15.75" customHeight="1">
      <c r="A422" s="49"/>
      <c r="B422" s="49"/>
      <c r="C422" s="49"/>
      <c r="D422" s="49"/>
      <c r="E422" s="49"/>
      <c r="F422" s="49"/>
      <c r="G422" s="49"/>
      <c r="H422" s="49"/>
      <c r="I422" s="49"/>
      <c r="J422" s="49"/>
      <c r="K422" s="49"/>
      <c r="L422" s="49"/>
      <c r="M422" s="49"/>
      <c r="N422" s="49"/>
      <c r="O422" s="48"/>
      <c r="P422" s="48"/>
      <c r="Q422" s="48"/>
      <c r="R422" s="48"/>
      <c r="S422" s="48"/>
      <c r="T422" s="48"/>
      <c r="U422" s="48"/>
      <c r="V422" s="48"/>
      <c r="W422" s="48"/>
      <c r="X422" s="48"/>
      <c r="Y422" s="48"/>
      <c r="Z422" s="48"/>
    </row>
    <row r="423" ht="15.75" customHeight="1">
      <c r="A423" s="49"/>
      <c r="B423" s="49"/>
      <c r="C423" s="49"/>
      <c r="D423" s="49"/>
      <c r="E423" s="49"/>
      <c r="F423" s="49"/>
      <c r="G423" s="49"/>
      <c r="H423" s="49"/>
      <c r="I423" s="49"/>
      <c r="J423" s="49"/>
      <c r="K423" s="49"/>
      <c r="L423" s="49"/>
      <c r="M423" s="49"/>
      <c r="N423" s="49"/>
      <c r="O423" s="48"/>
      <c r="P423" s="48"/>
      <c r="Q423" s="48"/>
      <c r="R423" s="48"/>
      <c r="S423" s="48"/>
      <c r="T423" s="48"/>
      <c r="U423" s="48"/>
      <c r="V423" s="48"/>
      <c r="W423" s="48"/>
      <c r="X423" s="48"/>
      <c r="Y423" s="48"/>
      <c r="Z423" s="48"/>
    </row>
    <row r="424" ht="15.75" customHeight="1">
      <c r="A424" s="49"/>
      <c r="B424" s="49"/>
      <c r="C424" s="49"/>
      <c r="D424" s="49"/>
      <c r="E424" s="49"/>
      <c r="F424" s="49"/>
      <c r="G424" s="49"/>
      <c r="H424" s="49"/>
      <c r="I424" s="49"/>
      <c r="J424" s="49"/>
      <c r="K424" s="49"/>
      <c r="L424" s="49"/>
      <c r="M424" s="49"/>
      <c r="N424" s="49"/>
      <c r="O424" s="48"/>
      <c r="P424" s="48"/>
      <c r="Q424" s="48"/>
      <c r="R424" s="48"/>
      <c r="S424" s="48"/>
      <c r="T424" s="48"/>
      <c r="U424" s="48"/>
      <c r="V424" s="48"/>
      <c r="W424" s="48"/>
      <c r="X424" s="48"/>
      <c r="Y424" s="48"/>
      <c r="Z424" s="48"/>
    </row>
    <row r="425" ht="15.75" customHeight="1">
      <c r="A425" s="49"/>
      <c r="B425" s="49"/>
      <c r="C425" s="49"/>
      <c r="D425" s="49"/>
      <c r="E425" s="49"/>
      <c r="F425" s="49"/>
      <c r="G425" s="49"/>
      <c r="H425" s="49"/>
      <c r="I425" s="49"/>
      <c r="J425" s="49"/>
      <c r="K425" s="49"/>
      <c r="L425" s="49"/>
      <c r="M425" s="49"/>
      <c r="N425" s="49"/>
      <c r="O425" s="48"/>
      <c r="P425" s="48"/>
      <c r="Q425" s="48"/>
      <c r="R425" s="48"/>
      <c r="S425" s="48"/>
      <c r="T425" s="48"/>
      <c r="U425" s="48"/>
      <c r="V425" s="48"/>
      <c r="W425" s="48"/>
      <c r="X425" s="48"/>
      <c r="Y425" s="48"/>
      <c r="Z425" s="48"/>
    </row>
    <row r="426" ht="15.75" customHeight="1">
      <c r="A426" s="49"/>
      <c r="B426" s="49"/>
      <c r="C426" s="49"/>
      <c r="D426" s="49"/>
      <c r="E426" s="49"/>
      <c r="F426" s="49"/>
      <c r="G426" s="49"/>
      <c r="H426" s="49"/>
      <c r="I426" s="49"/>
      <c r="J426" s="49"/>
      <c r="K426" s="49"/>
      <c r="L426" s="49"/>
      <c r="M426" s="49"/>
      <c r="N426" s="49"/>
      <c r="O426" s="48"/>
      <c r="P426" s="48"/>
      <c r="Q426" s="48"/>
      <c r="R426" s="48"/>
      <c r="S426" s="48"/>
      <c r="T426" s="48"/>
      <c r="U426" s="48"/>
      <c r="V426" s="48"/>
      <c r="W426" s="48"/>
      <c r="X426" s="48"/>
      <c r="Y426" s="48"/>
      <c r="Z426" s="48"/>
    </row>
    <row r="427" ht="15.75" customHeight="1">
      <c r="A427" s="49"/>
      <c r="B427" s="49"/>
      <c r="C427" s="49"/>
      <c r="D427" s="49"/>
      <c r="E427" s="49"/>
      <c r="F427" s="49"/>
      <c r="G427" s="49"/>
      <c r="H427" s="49"/>
      <c r="I427" s="49"/>
      <c r="J427" s="49"/>
      <c r="K427" s="49"/>
      <c r="L427" s="49"/>
      <c r="M427" s="49"/>
      <c r="N427" s="49"/>
      <c r="O427" s="48"/>
      <c r="P427" s="48"/>
      <c r="Q427" s="48"/>
      <c r="R427" s="48"/>
      <c r="S427" s="48"/>
      <c r="T427" s="48"/>
      <c r="U427" s="48"/>
      <c r="V427" s="48"/>
      <c r="W427" s="48"/>
      <c r="X427" s="48"/>
      <c r="Y427" s="48"/>
      <c r="Z427" s="48"/>
    </row>
    <row r="428" ht="15.75" customHeight="1">
      <c r="A428" s="49"/>
      <c r="B428" s="49"/>
      <c r="C428" s="49"/>
      <c r="D428" s="49"/>
      <c r="E428" s="49"/>
      <c r="F428" s="49"/>
      <c r="G428" s="49"/>
      <c r="H428" s="49"/>
      <c r="I428" s="49"/>
      <c r="J428" s="49"/>
      <c r="K428" s="49"/>
      <c r="L428" s="49"/>
      <c r="M428" s="49"/>
      <c r="N428" s="49"/>
      <c r="O428" s="48"/>
      <c r="P428" s="48"/>
      <c r="Q428" s="48"/>
      <c r="R428" s="48"/>
      <c r="S428" s="48"/>
      <c r="T428" s="48"/>
      <c r="U428" s="48"/>
      <c r="V428" s="48"/>
      <c r="W428" s="48"/>
      <c r="X428" s="48"/>
      <c r="Y428" s="48"/>
      <c r="Z428" s="48"/>
    </row>
    <row r="429" ht="15.75" customHeight="1">
      <c r="A429" s="49"/>
      <c r="B429" s="49"/>
      <c r="C429" s="49"/>
      <c r="D429" s="49"/>
      <c r="E429" s="49"/>
      <c r="F429" s="49"/>
      <c r="G429" s="49"/>
      <c r="H429" s="49"/>
      <c r="I429" s="49"/>
      <c r="J429" s="49"/>
      <c r="K429" s="49"/>
      <c r="L429" s="49"/>
      <c r="M429" s="49"/>
      <c r="N429" s="49"/>
      <c r="O429" s="48"/>
      <c r="P429" s="48"/>
      <c r="Q429" s="48"/>
      <c r="R429" s="48"/>
      <c r="S429" s="48"/>
      <c r="T429" s="48"/>
      <c r="U429" s="48"/>
      <c r="V429" s="48"/>
      <c r="W429" s="48"/>
      <c r="X429" s="48"/>
      <c r="Y429" s="48"/>
      <c r="Z429" s="48"/>
    </row>
    <row r="430" ht="15.75" customHeight="1">
      <c r="A430" s="49"/>
      <c r="B430" s="49"/>
      <c r="C430" s="49"/>
      <c r="D430" s="49"/>
      <c r="E430" s="49"/>
      <c r="F430" s="49"/>
      <c r="G430" s="49"/>
      <c r="H430" s="49"/>
      <c r="I430" s="49"/>
      <c r="J430" s="49"/>
      <c r="K430" s="49"/>
      <c r="L430" s="49"/>
      <c r="M430" s="49"/>
      <c r="N430" s="49"/>
      <c r="O430" s="48"/>
      <c r="P430" s="48"/>
      <c r="Q430" s="48"/>
      <c r="R430" s="48"/>
      <c r="S430" s="48"/>
      <c r="T430" s="48"/>
      <c r="U430" s="48"/>
      <c r="V430" s="48"/>
      <c r="W430" s="48"/>
      <c r="X430" s="48"/>
      <c r="Y430" s="48"/>
      <c r="Z430" s="48"/>
    </row>
    <row r="431" ht="15.75" customHeight="1">
      <c r="A431" s="49"/>
      <c r="B431" s="49"/>
      <c r="C431" s="49"/>
      <c r="D431" s="49"/>
      <c r="E431" s="49"/>
      <c r="F431" s="49"/>
      <c r="G431" s="49"/>
      <c r="H431" s="49"/>
      <c r="I431" s="49"/>
      <c r="J431" s="49"/>
      <c r="K431" s="49"/>
      <c r="L431" s="49"/>
      <c r="M431" s="49"/>
      <c r="N431" s="49"/>
      <c r="O431" s="48"/>
      <c r="P431" s="48"/>
      <c r="Q431" s="48"/>
      <c r="R431" s="48"/>
      <c r="S431" s="48"/>
      <c r="T431" s="48"/>
      <c r="U431" s="48"/>
      <c r="V431" s="48"/>
      <c r="W431" s="48"/>
      <c r="X431" s="48"/>
      <c r="Y431" s="48"/>
      <c r="Z431" s="48"/>
    </row>
    <row r="432" ht="15.75" customHeight="1">
      <c r="A432" s="49"/>
      <c r="B432" s="49"/>
      <c r="C432" s="49"/>
      <c r="D432" s="49"/>
      <c r="E432" s="49"/>
      <c r="F432" s="49"/>
      <c r="G432" s="49"/>
      <c r="H432" s="49"/>
      <c r="I432" s="49"/>
      <c r="J432" s="49"/>
      <c r="K432" s="49"/>
      <c r="L432" s="49"/>
      <c r="M432" s="49"/>
      <c r="N432" s="49"/>
      <c r="O432" s="48"/>
      <c r="P432" s="48"/>
      <c r="Q432" s="48"/>
      <c r="R432" s="48"/>
      <c r="S432" s="48"/>
      <c r="T432" s="48"/>
      <c r="U432" s="48"/>
      <c r="V432" s="48"/>
      <c r="W432" s="48"/>
      <c r="X432" s="48"/>
      <c r="Y432" s="48"/>
      <c r="Z432" s="48"/>
    </row>
    <row r="433" ht="15.75" customHeight="1">
      <c r="A433" s="49"/>
      <c r="B433" s="49"/>
      <c r="C433" s="49"/>
      <c r="D433" s="49"/>
      <c r="E433" s="49"/>
      <c r="F433" s="49"/>
      <c r="G433" s="49"/>
      <c r="H433" s="49"/>
      <c r="I433" s="49"/>
      <c r="J433" s="49"/>
      <c r="K433" s="49"/>
      <c r="L433" s="49"/>
      <c r="M433" s="49"/>
      <c r="N433" s="49"/>
      <c r="O433" s="48"/>
      <c r="P433" s="48"/>
      <c r="Q433" s="48"/>
      <c r="R433" s="48"/>
      <c r="S433" s="48"/>
      <c r="T433" s="48"/>
      <c r="U433" s="48"/>
      <c r="V433" s="48"/>
      <c r="W433" s="48"/>
      <c r="X433" s="48"/>
      <c r="Y433" s="48"/>
      <c r="Z433" s="48"/>
    </row>
    <row r="434" ht="15.75" customHeight="1">
      <c r="A434" s="49"/>
      <c r="B434" s="49"/>
      <c r="C434" s="49"/>
      <c r="D434" s="49"/>
      <c r="E434" s="49"/>
      <c r="F434" s="49"/>
      <c r="G434" s="49"/>
      <c r="H434" s="49"/>
      <c r="I434" s="49"/>
      <c r="J434" s="49"/>
      <c r="K434" s="49"/>
      <c r="L434" s="49"/>
      <c r="M434" s="49"/>
      <c r="N434" s="49"/>
      <c r="O434" s="48"/>
      <c r="P434" s="48"/>
      <c r="Q434" s="48"/>
      <c r="R434" s="48"/>
      <c r="S434" s="48"/>
      <c r="T434" s="48"/>
      <c r="U434" s="48"/>
      <c r="V434" s="48"/>
      <c r="W434" s="48"/>
      <c r="X434" s="48"/>
      <c r="Y434" s="48"/>
      <c r="Z434" s="48"/>
    </row>
    <row r="435" ht="15.75" customHeight="1">
      <c r="A435" s="49"/>
      <c r="B435" s="49"/>
      <c r="C435" s="49"/>
      <c r="D435" s="49"/>
      <c r="E435" s="49"/>
      <c r="F435" s="49"/>
      <c r="G435" s="49"/>
      <c r="H435" s="49"/>
      <c r="I435" s="49"/>
      <c r="J435" s="49"/>
      <c r="K435" s="49"/>
      <c r="L435" s="49"/>
      <c r="M435" s="49"/>
      <c r="N435" s="49"/>
      <c r="O435" s="48"/>
      <c r="P435" s="48"/>
      <c r="Q435" s="48"/>
      <c r="R435" s="48"/>
      <c r="S435" s="48"/>
      <c r="T435" s="48"/>
      <c r="U435" s="48"/>
      <c r="V435" s="48"/>
      <c r="W435" s="48"/>
      <c r="X435" s="48"/>
      <c r="Y435" s="48"/>
      <c r="Z435" s="48"/>
    </row>
    <row r="436" ht="15.75" customHeight="1">
      <c r="A436" s="49"/>
      <c r="B436" s="49"/>
      <c r="C436" s="49"/>
      <c r="D436" s="49"/>
      <c r="E436" s="49"/>
      <c r="F436" s="49"/>
      <c r="G436" s="49"/>
      <c r="H436" s="49"/>
      <c r="I436" s="49"/>
      <c r="J436" s="49"/>
      <c r="K436" s="49"/>
      <c r="L436" s="49"/>
      <c r="M436" s="49"/>
      <c r="N436" s="49"/>
      <c r="O436" s="48"/>
      <c r="P436" s="48"/>
      <c r="Q436" s="48"/>
      <c r="R436" s="48"/>
      <c r="S436" s="48"/>
      <c r="T436" s="48"/>
      <c r="U436" s="48"/>
      <c r="V436" s="48"/>
      <c r="W436" s="48"/>
      <c r="X436" s="48"/>
      <c r="Y436" s="48"/>
      <c r="Z436" s="48"/>
    </row>
    <row r="437" ht="15.75" customHeight="1">
      <c r="A437" s="49"/>
      <c r="B437" s="49"/>
      <c r="C437" s="49"/>
      <c r="D437" s="49"/>
      <c r="E437" s="49"/>
      <c r="F437" s="49"/>
      <c r="G437" s="49"/>
      <c r="H437" s="49"/>
      <c r="I437" s="49"/>
      <c r="J437" s="49"/>
      <c r="K437" s="49"/>
      <c r="L437" s="49"/>
      <c r="M437" s="49"/>
      <c r="N437" s="49"/>
      <c r="O437" s="48"/>
      <c r="P437" s="48"/>
      <c r="Q437" s="48"/>
      <c r="R437" s="48"/>
      <c r="S437" s="48"/>
      <c r="T437" s="48"/>
      <c r="U437" s="48"/>
      <c r="V437" s="48"/>
      <c r="W437" s="48"/>
      <c r="X437" s="48"/>
      <c r="Y437" s="48"/>
      <c r="Z437" s="48"/>
    </row>
    <row r="438" ht="15.75" customHeight="1">
      <c r="A438" s="49"/>
      <c r="B438" s="49"/>
      <c r="C438" s="49"/>
      <c r="D438" s="49"/>
      <c r="E438" s="49"/>
      <c r="F438" s="49"/>
      <c r="G438" s="49"/>
      <c r="H438" s="49"/>
      <c r="I438" s="49"/>
      <c r="J438" s="49"/>
      <c r="K438" s="49"/>
      <c r="L438" s="49"/>
      <c r="M438" s="49"/>
      <c r="N438" s="49"/>
      <c r="O438" s="48"/>
      <c r="P438" s="48"/>
      <c r="Q438" s="48"/>
      <c r="R438" s="48"/>
      <c r="S438" s="48"/>
      <c r="T438" s="48"/>
      <c r="U438" s="48"/>
      <c r="V438" s="48"/>
      <c r="W438" s="48"/>
      <c r="X438" s="48"/>
      <c r="Y438" s="48"/>
      <c r="Z438" s="48"/>
    </row>
    <row r="439" ht="15.75" customHeight="1">
      <c r="A439" s="49"/>
      <c r="B439" s="49"/>
      <c r="C439" s="49"/>
      <c r="D439" s="49"/>
      <c r="E439" s="49"/>
      <c r="F439" s="49"/>
      <c r="G439" s="49"/>
      <c r="H439" s="49"/>
      <c r="I439" s="49"/>
      <c r="J439" s="49"/>
      <c r="K439" s="49"/>
      <c r="L439" s="49"/>
      <c r="M439" s="49"/>
      <c r="N439" s="49"/>
      <c r="O439" s="48"/>
      <c r="P439" s="48"/>
      <c r="Q439" s="48"/>
      <c r="R439" s="48"/>
      <c r="S439" s="48"/>
      <c r="T439" s="48"/>
      <c r="U439" s="48"/>
      <c r="V439" s="48"/>
      <c r="W439" s="48"/>
      <c r="X439" s="48"/>
      <c r="Y439" s="48"/>
      <c r="Z439" s="48"/>
    </row>
    <row r="440" ht="15.75" customHeight="1">
      <c r="A440" s="49"/>
      <c r="B440" s="49"/>
      <c r="C440" s="49"/>
      <c r="D440" s="49"/>
      <c r="E440" s="49"/>
      <c r="F440" s="49"/>
      <c r="G440" s="49"/>
      <c r="H440" s="49"/>
      <c r="I440" s="49"/>
      <c r="J440" s="49"/>
      <c r="K440" s="49"/>
      <c r="L440" s="49"/>
      <c r="M440" s="49"/>
      <c r="N440" s="49"/>
      <c r="O440" s="48"/>
      <c r="P440" s="48"/>
      <c r="Q440" s="48"/>
      <c r="R440" s="48"/>
      <c r="S440" s="48"/>
      <c r="T440" s="48"/>
      <c r="U440" s="48"/>
      <c r="V440" s="48"/>
      <c r="W440" s="48"/>
      <c r="X440" s="48"/>
      <c r="Y440" s="48"/>
      <c r="Z440" s="48"/>
    </row>
    <row r="441" ht="15.75" customHeight="1">
      <c r="A441" s="49"/>
      <c r="B441" s="49"/>
      <c r="C441" s="49"/>
      <c r="D441" s="49"/>
      <c r="E441" s="49"/>
      <c r="F441" s="49"/>
      <c r="G441" s="49"/>
      <c r="H441" s="49"/>
      <c r="I441" s="49"/>
      <c r="J441" s="49"/>
      <c r="K441" s="49"/>
      <c r="L441" s="49"/>
      <c r="M441" s="49"/>
      <c r="N441" s="49"/>
      <c r="O441" s="48"/>
      <c r="P441" s="48"/>
      <c r="Q441" s="48"/>
      <c r="R441" s="48"/>
      <c r="S441" s="48"/>
      <c r="T441" s="48"/>
      <c r="U441" s="48"/>
      <c r="V441" s="48"/>
      <c r="W441" s="48"/>
      <c r="X441" s="48"/>
      <c r="Y441" s="48"/>
      <c r="Z441" s="48"/>
    </row>
    <row r="442" ht="15.75" customHeight="1">
      <c r="A442" s="49"/>
      <c r="B442" s="49"/>
      <c r="C442" s="49"/>
      <c r="D442" s="49"/>
      <c r="E442" s="49"/>
      <c r="F442" s="49"/>
      <c r="G442" s="49"/>
      <c r="H442" s="49"/>
      <c r="I442" s="49"/>
      <c r="J442" s="49"/>
      <c r="K442" s="49"/>
      <c r="L442" s="49"/>
      <c r="M442" s="49"/>
      <c r="N442" s="49"/>
      <c r="O442" s="48"/>
      <c r="P442" s="48"/>
      <c r="Q442" s="48"/>
      <c r="R442" s="48"/>
      <c r="S442" s="48"/>
      <c r="T442" s="48"/>
      <c r="U442" s="48"/>
      <c r="V442" s="48"/>
      <c r="W442" s="48"/>
      <c r="X442" s="48"/>
      <c r="Y442" s="48"/>
      <c r="Z442" s="48"/>
    </row>
    <row r="443" ht="15.75" customHeight="1">
      <c r="A443" s="49"/>
      <c r="B443" s="49"/>
      <c r="C443" s="49"/>
      <c r="D443" s="49"/>
      <c r="E443" s="49"/>
      <c r="F443" s="49"/>
      <c r="G443" s="49"/>
      <c r="H443" s="49"/>
      <c r="I443" s="49"/>
      <c r="J443" s="49"/>
      <c r="K443" s="49"/>
      <c r="L443" s="49"/>
      <c r="M443" s="49"/>
      <c r="N443" s="49"/>
      <c r="O443" s="48"/>
      <c r="P443" s="48"/>
      <c r="Q443" s="48"/>
      <c r="R443" s="48"/>
      <c r="S443" s="48"/>
      <c r="T443" s="48"/>
      <c r="U443" s="48"/>
      <c r="V443" s="48"/>
      <c r="W443" s="48"/>
      <c r="X443" s="48"/>
      <c r="Y443" s="48"/>
      <c r="Z443" s="48"/>
    </row>
    <row r="444" ht="15.75" customHeight="1">
      <c r="A444" s="49"/>
      <c r="B444" s="49"/>
      <c r="C444" s="49"/>
      <c r="D444" s="49"/>
      <c r="E444" s="49"/>
      <c r="F444" s="49"/>
      <c r="G444" s="49"/>
      <c r="H444" s="49"/>
      <c r="I444" s="49"/>
      <c r="J444" s="49"/>
      <c r="K444" s="49"/>
      <c r="L444" s="49"/>
      <c r="M444" s="49"/>
      <c r="N444" s="49"/>
      <c r="O444" s="48"/>
      <c r="P444" s="48"/>
      <c r="Q444" s="48"/>
      <c r="R444" s="48"/>
      <c r="S444" s="48"/>
      <c r="T444" s="48"/>
      <c r="U444" s="48"/>
      <c r="V444" s="48"/>
      <c r="W444" s="48"/>
      <c r="X444" s="48"/>
      <c r="Y444" s="48"/>
      <c r="Z444" s="48"/>
    </row>
    <row r="445" ht="15.75" customHeight="1">
      <c r="A445" s="49"/>
      <c r="B445" s="49"/>
      <c r="C445" s="49"/>
      <c r="D445" s="49"/>
      <c r="E445" s="49"/>
      <c r="F445" s="49"/>
      <c r="G445" s="49"/>
      <c r="H445" s="49"/>
      <c r="I445" s="49"/>
      <c r="J445" s="49"/>
      <c r="K445" s="49"/>
      <c r="L445" s="49"/>
      <c r="M445" s="49"/>
      <c r="N445" s="49"/>
      <c r="O445" s="48"/>
      <c r="P445" s="48"/>
      <c r="Q445" s="48"/>
      <c r="R445" s="48"/>
      <c r="S445" s="48"/>
      <c r="T445" s="48"/>
      <c r="U445" s="48"/>
      <c r="V445" s="48"/>
      <c r="W445" s="48"/>
      <c r="X445" s="48"/>
      <c r="Y445" s="48"/>
      <c r="Z445" s="48"/>
    </row>
    <row r="446" ht="15.75" customHeight="1">
      <c r="A446" s="49"/>
      <c r="B446" s="49"/>
      <c r="C446" s="49"/>
      <c r="D446" s="49"/>
      <c r="E446" s="49"/>
      <c r="F446" s="49"/>
      <c r="G446" s="49"/>
      <c r="H446" s="49"/>
      <c r="I446" s="49"/>
      <c r="J446" s="49"/>
      <c r="K446" s="49"/>
      <c r="L446" s="49"/>
      <c r="M446" s="49"/>
      <c r="N446" s="49"/>
      <c r="O446" s="48"/>
      <c r="P446" s="48"/>
      <c r="Q446" s="48"/>
      <c r="R446" s="48"/>
      <c r="S446" s="48"/>
      <c r="T446" s="48"/>
      <c r="U446" s="48"/>
      <c r="V446" s="48"/>
      <c r="W446" s="48"/>
      <c r="X446" s="48"/>
      <c r="Y446" s="48"/>
      <c r="Z446" s="48"/>
    </row>
    <row r="447" ht="15.75" customHeight="1">
      <c r="A447" s="49"/>
      <c r="B447" s="49"/>
      <c r="C447" s="49"/>
      <c r="D447" s="49"/>
      <c r="E447" s="49"/>
      <c r="F447" s="49"/>
      <c r="G447" s="49"/>
      <c r="H447" s="49"/>
      <c r="I447" s="49"/>
      <c r="J447" s="49"/>
      <c r="K447" s="49"/>
      <c r="L447" s="49"/>
      <c r="M447" s="49"/>
      <c r="N447" s="49"/>
      <c r="O447" s="48"/>
      <c r="P447" s="48"/>
      <c r="Q447" s="48"/>
      <c r="R447" s="48"/>
      <c r="S447" s="48"/>
      <c r="T447" s="48"/>
      <c r="U447" s="48"/>
      <c r="V447" s="48"/>
      <c r="W447" s="48"/>
      <c r="X447" s="48"/>
      <c r="Y447" s="48"/>
      <c r="Z447" s="48"/>
    </row>
    <row r="448" ht="15.75" customHeight="1">
      <c r="A448" s="49"/>
      <c r="B448" s="49"/>
      <c r="C448" s="49"/>
      <c r="D448" s="49"/>
      <c r="E448" s="49"/>
      <c r="F448" s="49"/>
      <c r="G448" s="49"/>
      <c r="H448" s="49"/>
      <c r="I448" s="49"/>
      <c r="J448" s="49"/>
      <c r="K448" s="49"/>
      <c r="L448" s="49"/>
      <c r="M448" s="49"/>
      <c r="N448" s="49"/>
      <c r="O448" s="48"/>
      <c r="P448" s="48"/>
      <c r="Q448" s="48"/>
      <c r="R448" s="48"/>
      <c r="S448" s="48"/>
      <c r="T448" s="48"/>
      <c r="U448" s="48"/>
      <c r="V448" s="48"/>
      <c r="W448" s="48"/>
      <c r="X448" s="48"/>
      <c r="Y448" s="48"/>
      <c r="Z448" s="48"/>
    </row>
    <row r="449" ht="15.75" customHeight="1">
      <c r="A449" s="49"/>
      <c r="B449" s="49"/>
      <c r="C449" s="49"/>
      <c r="D449" s="49"/>
      <c r="E449" s="49"/>
      <c r="F449" s="49"/>
      <c r="G449" s="49"/>
      <c r="H449" s="49"/>
      <c r="I449" s="49"/>
      <c r="J449" s="49"/>
      <c r="K449" s="49"/>
      <c r="L449" s="49"/>
      <c r="M449" s="49"/>
      <c r="N449" s="49"/>
      <c r="O449" s="48"/>
      <c r="P449" s="48"/>
      <c r="Q449" s="48"/>
      <c r="R449" s="48"/>
      <c r="S449" s="48"/>
      <c r="T449" s="48"/>
      <c r="U449" s="48"/>
      <c r="V449" s="48"/>
      <c r="W449" s="48"/>
      <c r="X449" s="48"/>
      <c r="Y449" s="48"/>
      <c r="Z449" s="48"/>
    </row>
    <row r="450" ht="15.75" customHeight="1">
      <c r="A450" s="49"/>
      <c r="B450" s="49"/>
      <c r="C450" s="49"/>
      <c r="D450" s="49"/>
      <c r="E450" s="49"/>
      <c r="F450" s="49"/>
      <c r="G450" s="49"/>
      <c r="H450" s="49"/>
      <c r="I450" s="49"/>
      <c r="J450" s="49"/>
      <c r="K450" s="49"/>
      <c r="L450" s="49"/>
      <c r="M450" s="49"/>
      <c r="N450" s="49"/>
      <c r="O450" s="48"/>
      <c r="P450" s="48"/>
      <c r="Q450" s="48"/>
      <c r="R450" s="48"/>
      <c r="S450" s="48"/>
      <c r="T450" s="48"/>
      <c r="U450" s="48"/>
      <c r="V450" s="48"/>
      <c r="W450" s="48"/>
      <c r="X450" s="48"/>
      <c r="Y450" s="48"/>
      <c r="Z450" s="48"/>
    </row>
    <row r="451" ht="15.75" customHeight="1">
      <c r="A451" s="49"/>
      <c r="B451" s="49"/>
      <c r="C451" s="49"/>
      <c r="D451" s="49"/>
      <c r="E451" s="49"/>
      <c r="F451" s="49"/>
      <c r="G451" s="49"/>
      <c r="H451" s="49"/>
      <c r="I451" s="49"/>
      <c r="J451" s="49"/>
      <c r="K451" s="49"/>
      <c r="L451" s="49"/>
      <c r="M451" s="49"/>
      <c r="N451" s="49"/>
      <c r="O451" s="48"/>
      <c r="P451" s="48"/>
      <c r="Q451" s="48"/>
      <c r="R451" s="48"/>
      <c r="S451" s="48"/>
      <c r="T451" s="48"/>
      <c r="U451" s="48"/>
      <c r="V451" s="48"/>
      <c r="W451" s="48"/>
      <c r="X451" s="48"/>
      <c r="Y451" s="48"/>
      <c r="Z451" s="48"/>
    </row>
    <row r="452" ht="15.75" customHeight="1">
      <c r="A452" s="49"/>
      <c r="B452" s="49"/>
      <c r="C452" s="49"/>
      <c r="D452" s="49"/>
      <c r="E452" s="49"/>
      <c r="F452" s="49"/>
      <c r="G452" s="49"/>
      <c r="H452" s="49"/>
      <c r="I452" s="49"/>
      <c r="J452" s="49"/>
      <c r="K452" s="49"/>
      <c r="L452" s="49"/>
      <c r="M452" s="49"/>
      <c r="N452" s="49"/>
      <c r="O452" s="48"/>
      <c r="P452" s="48"/>
      <c r="Q452" s="48"/>
      <c r="R452" s="48"/>
      <c r="S452" s="48"/>
      <c r="T452" s="48"/>
      <c r="U452" s="48"/>
      <c r="V452" s="48"/>
      <c r="W452" s="48"/>
      <c r="X452" s="48"/>
      <c r="Y452" s="48"/>
      <c r="Z452" s="48"/>
    </row>
    <row r="453" ht="15.75" customHeight="1">
      <c r="A453" s="49"/>
      <c r="B453" s="49"/>
      <c r="C453" s="49"/>
      <c r="D453" s="49"/>
      <c r="E453" s="49"/>
      <c r="F453" s="49"/>
      <c r="G453" s="49"/>
      <c r="H453" s="49"/>
      <c r="I453" s="49"/>
      <c r="J453" s="49"/>
      <c r="K453" s="49"/>
      <c r="L453" s="49"/>
      <c r="M453" s="49"/>
      <c r="N453" s="49"/>
      <c r="O453" s="48"/>
      <c r="P453" s="48"/>
      <c r="Q453" s="48"/>
      <c r="R453" s="48"/>
      <c r="S453" s="48"/>
      <c r="T453" s="48"/>
      <c r="U453" s="48"/>
      <c r="V453" s="48"/>
      <c r="W453" s="48"/>
      <c r="X453" s="48"/>
      <c r="Y453" s="48"/>
      <c r="Z453" s="48"/>
    </row>
    <row r="454" ht="15.75" customHeight="1">
      <c r="A454" s="49"/>
      <c r="B454" s="49"/>
      <c r="C454" s="49"/>
      <c r="D454" s="49"/>
      <c r="E454" s="49"/>
      <c r="F454" s="49"/>
      <c r="G454" s="49"/>
      <c r="H454" s="49"/>
      <c r="I454" s="49"/>
      <c r="J454" s="49"/>
      <c r="K454" s="49"/>
      <c r="L454" s="49"/>
      <c r="M454" s="49"/>
      <c r="N454" s="49"/>
      <c r="O454" s="48"/>
      <c r="P454" s="48"/>
      <c r="Q454" s="48"/>
      <c r="R454" s="48"/>
      <c r="S454" s="48"/>
      <c r="T454" s="48"/>
      <c r="U454" s="48"/>
      <c r="V454" s="48"/>
      <c r="W454" s="48"/>
      <c r="X454" s="48"/>
      <c r="Y454" s="48"/>
      <c r="Z454" s="48"/>
    </row>
    <row r="455" ht="15.75" customHeight="1">
      <c r="A455" s="49"/>
      <c r="B455" s="49"/>
      <c r="C455" s="49"/>
      <c r="D455" s="49"/>
      <c r="E455" s="49"/>
      <c r="F455" s="49"/>
      <c r="G455" s="49"/>
      <c r="H455" s="49"/>
      <c r="I455" s="49"/>
      <c r="J455" s="49"/>
      <c r="K455" s="49"/>
      <c r="L455" s="49"/>
      <c r="M455" s="49"/>
      <c r="N455" s="49"/>
      <c r="O455" s="48"/>
      <c r="P455" s="48"/>
      <c r="Q455" s="48"/>
      <c r="R455" s="48"/>
      <c r="S455" s="48"/>
      <c r="T455" s="48"/>
      <c r="U455" s="48"/>
      <c r="V455" s="48"/>
      <c r="W455" s="48"/>
      <c r="X455" s="48"/>
      <c r="Y455" s="48"/>
      <c r="Z455" s="48"/>
    </row>
    <row r="456" ht="15.75" customHeight="1">
      <c r="A456" s="49"/>
      <c r="B456" s="49"/>
      <c r="C456" s="49"/>
      <c r="D456" s="49"/>
      <c r="E456" s="49"/>
      <c r="F456" s="49"/>
      <c r="G456" s="49"/>
      <c r="H456" s="49"/>
      <c r="I456" s="49"/>
      <c r="J456" s="49"/>
      <c r="K456" s="49"/>
      <c r="L456" s="49"/>
      <c r="M456" s="49"/>
      <c r="N456" s="49"/>
      <c r="O456" s="48"/>
      <c r="P456" s="48"/>
      <c r="Q456" s="48"/>
      <c r="R456" s="48"/>
      <c r="S456" s="48"/>
      <c r="T456" s="48"/>
      <c r="U456" s="48"/>
      <c r="V456" s="48"/>
      <c r="W456" s="48"/>
      <c r="X456" s="48"/>
      <c r="Y456" s="48"/>
      <c r="Z456" s="48"/>
    </row>
    <row r="457" ht="15.75" customHeight="1">
      <c r="A457" s="49"/>
      <c r="B457" s="49"/>
      <c r="C457" s="49"/>
      <c r="D457" s="49"/>
      <c r="E457" s="49"/>
      <c r="F457" s="49"/>
      <c r="G457" s="49"/>
      <c r="H457" s="49"/>
      <c r="I457" s="49"/>
      <c r="J457" s="49"/>
      <c r="K457" s="49"/>
      <c r="L457" s="49"/>
      <c r="M457" s="49"/>
      <c r="N457" s="49"/>
      <c r="O457" s="48"/>
      <c r="P457" s="48"/>
      <c r="Q457" s="48"/>
      <c r="R457" s="48"/>
      <c r="S457" s="48"/>
      <c r="T457" s="48"/>
      <c r="U457" s="48"/>
      <c r="V457" s="48"/>
      <c r="W457" s="48"/>
      <c r="X457" s="48"/>
      <c r="Y457" s="48"/>
      <c r="Z457" s="48"/>
    </row>
    <row r="458" ht="15.75" customHeight="1">
      <c r="A458" s="49"/>
      <c r="B458" s="49"/>
      <c r="C458" s="49"/>
      <c r="D458" s="49"/>
      <c r="E458" s="49"/>
      <c r="F458" s="49"/>
      <c r="G458" s="49"/>
      <c r="H458" s="49"/>
      <c r="I458" s="49"/>
      <c r="J458" s="49"/>
      <c r="K458" s="49"/>
      <c r="L458" s="49"/>
      <c r="M458" s="49"/>
      <c r="N458" s="49"/>
      <c r="O458" s="48"/>
      <c r="P458" s="48"/>
      <c r="Q458" s="48"/>
      <c r="R458" s="48"/>
      <c r="S458" s="48"/>
      <c r="T458" s="48"/>
      <c r="U458" s="48"/>
      <c r="V458" s="48"/>
      <c r="W458" s="48"/>
      <c r="X458" s="48"/>
      <c r="Y458" s="48"/>
      <c r="Z458" s="48"/>
    </row>
    <row r="459" ht="15.75" customHeight="1">
      <c r="A459" s="49"/>
      <c r="B459" s="49"/>
      <c r="C459" s="49"/>
      <c r="D459" s="49"/>
      <c r="E459" s="49"/>
      <c r="F459" s="49"/>
      <c r="G459" s="49"/>
      <c r="H459" s="49"/>
      <c r="I459" s="49"/>
      <c r="J459" s="49"/>
      <c r="K459" s="49"/>
      <c r="L459" s="49"/>
      <c r="M459" s="49"/>
      <c r="N459" s="49"/>
      <c r="O459" s="48"/>
      <c r="P459" s="48"/>
      <c r="Q459" s="48"/>
      <c r="R459" s="48"/>
      <c r="S459" s="48"/>
      <c r="T459" s="48"/>
      <c r="U459" s="48"/>
      <c r="V459" s="48"/>
      <c r="W459" s="48"/>
      <c r="X459" s="48"/>
      <c r="Y459" s="48"/>
      <c r="Z459" s="48"/>
    </row>
    <row r="460" ht="15.75" customHeight="1">
      <c r="A460" s="49"/>
      <c r="B460" s="49"/>
      <c r="C460" s="49"/>
      <c r="D460" s="49"/>
      <c r="E460" s="49"/>
      <c r="F460" s="49"/>
      <c r="G460" s="49"/>
      <c r="H460" s="49"/>
      <c r="I460" s="49"/>
      <c r="J460" s="49"/>
      <c r="K460" s="49"/>
      <c r="L460" s="49"/>
      <c r="M460" s="49"/>
      <c r="N460" s="49"/>
      <c r="O460" s="48"/>
      <c r="P460" s="48"/>
      <c r="Q460" s="48"/>
      <c r="R460" s="48"/>
      <c r="S460" s="48"/>
      <c r="T460" s="48"/>
      <c r="U460" s="48"/>
      <c r="V460" s="48"/>
      <c r="W460" s="48"/>
      <c r="X460" s="48"/>
      <c r="Y460" s="48"/>
      <c r="Z460" s="48"/>
    </row>
    <row r="461" ht="15.75" customHeight="1">
      <c r="A461" s="49"/>
      <c r="B461" s="49"/>
      <c r="C461" s="49"/>
      <c r="D461" s="49"/>
      <c r="E461" s="49"/>
      <c r="F461" s="49"/>
      <c r="G461" s="49"/>
      <c r="H461" s="49"/>
      <c r="I461" s="49"/>
      <c r="J461" s="49"/>
      <c r="K461" s="49"/>
      <c r="L461" s="49"/>
      <c r="M461" s="49"/>
      <c r="N461" s="49"/>
      <c r="O461" s="48"/>
      <c r="P461" s="48"/>
      <c r="Q461" s="48"/>
      <c r="R461" s="48"/>
      <c r="S461" s="48"/>
      <c r="T461" s="48"/>
      <c r="U461" s="48"/>
      <c r="V461" s="48"/>
      <c r="W461" s="48"/>
      <c r="X461" s="48"/>
      <c r="Y461" s="48"/>
      <c r="Z461" s="48"/>
    </row>
    <row r="462" ht="15.75" customHeight="1">
      <c r="A462" s="49"/>
      <c r="B462" s="49"/>
      <c r="C462" s="49"/>
      <c r="D462" s="49"/>
      <c r="E462" s="49"/>
      <c r="F462" s="49"/>
      <c r="G462" s="49"/>
      <c r="H462" s="49"/>
      <c r="I462" s="49"/>
      <c r="J462" s="49"/>
      <c r="K462" s="49"/>
      <c r="L462" s="49"/>
      <c r="M462" s="49"/>
      <c r="N462" s="49"/>
      <c r="O462" s="48"/>
      <c r="P462" s="48"/>
      <c r="Q462" s="48"/>
      <c r="R462" s="48"/>
      <c r="S462" s="48"/>
      <c r="T462" s="48"/>
      <c r="U462" s="48"/>
      <c r="V462" s="48"/>
      <c r="W462" s="48"/>
      <c r="X462" s="48"/>
      <c r="Y462" s="48"/>
      <c r="Z462" s="48"/>
    </row>
    <row r="463" ht="15.75" customHeight="1">
      <c r="A463" s="49"/>
      <c r="B463" s="49"/>
      <c r="C463" s="49"/>
      <c r="D463" s="49"/>
      <c r="E463" s="49"/>
      <c r="F463" s="49"/>
      <c r="G463" s="49"/>
      <c r="H463" s="49"/>
      <c r="I463" s="49"/>
      <c r="J463" s="49"/>
      <c r="K463" s="49"/>
      <c r="L463" s="49"/>
      <c r="M463" s="49"/>
      <c r="N463" s="49"/>
      <c r="O463" s="48"/>
      <c r="P463" s="48"/>
      <c r="Q463" s="48"/>
      <c r="R463" s="48"/>
      <c r="S463" s="48"/>
      <c r="T463" s="48"/>
      <c r="U463" s="48"/>
      <c r="V463" s="48"/>
      <c r="W463" s="48"/>
      <c r="X463" s="48"/>
      <c r="Y463" s="48"/>
      <c r="Z463" s="48"/>
    </row>
    <row r="464" ht="15.75" customHeight="1">
      <c r="A464" s="49"/>
      <c r="B464" s="49"/>
      <c r="C464" s="49"/>
      <c r="D464" s="49"/>
      <c r="E464" s="49"/>
      <c r="F464" s="49"/>
      <c r="G464" s="49"/>
      <c r="H464" s="49"/>
      <c r="I464" s="49"/>
      <c r="J464" s="49"/>
      <c r="K464" s="49"/>
      <c r="L464" s="49"/>
      <c r="M464" s="49"/>
      <c r="N464" s="49"/>
      <c r="O464" s="48"/>
      <c r="P464" s="48"/>
      <c r="Q464" s="48"/>
      <c r="R464" s="48"/>
      <c r="S464" s="48"/>
      <c r="T464" s="48"/>
      <c r="U464" s="48"/>
      <c r="V464" s="48"/>
      <c r="W464" s="48"/>
      <c r="X464" s="48"/>
      <c r="Y464" s="48"/>
      <c r="Z464" s="48"/>
    </row>
    <row r="465" ht="15.75" customHeight="1">
      <c r="A465" s="49"/>
      <c r="B465" s="49"/>
      <c r="C465" s="49"/>
      <c r="D465" s="49"/>
      <c r="E465" s="49"/>
      <c r="F465" s="49"/>
      <c r="G465" s="49"/>
      <c r="H465" s="49"/>
      <c r="I465" s="49"/>
      <c r="J465" s="49"/>
      <c r="K465" s="49"/>
      <c r="L465" s="49"/>
      <c r="M465" s="49"/>
      <c r="N465" s="49"/>
      <c r="O465" s="48"/>
      <c r="P465" s="48"/>
      <c r="Q465" s="48"/>
      <c r="R465" s="48"/>
      <c r="S465" s="48"/>
      <c r="T465" s="48"/>
      <c r="U465" s="48"/>
      <c r="V465" s="48"/>
      <c r="W465" s="48"/>
      <c r="X465" s="48"/>
      <c r="Y465" s="48"/>
      <c r="Z465" s="48"/>
    </row>
    <row r="466" ht="15.75" customHeight="1">
      <c r="A466" s="49"/>
      <c r="B466" s="49"/>
      <c r="C466" s="49"/>
      <c r="D466" s="49"/>
      <c r="E466" s="49"/>
      <c r="F466" s="49"/>
      <c r="G466" s="49"/>
      <c r="H466" s="49"/>
      <c r="I466" s="49"/>
      <c r="J466" s="49"/>
      <c r="K466" s="49"/>
      <c r="L466" s="49"/>
      <c r="M466" s="49"/>
      <c r="N466" s="49"/>
      <c r="O466" s="48"/>
      <c r="P466" s="48"/>
      <c r="Q466" s="48"/>
      <c r="R466" s="48"/>
      <c r="S466" s="48"/>
      <c r="T466" s="48"/>
      <c r="U466" s="48"/>
      <c r="V466" s="48"/>
      <c r="W466" s="48"/>
      <c r="X466" s="48"/>
      <c r="Y466" s="48"/>
      <c r="Z466" s="48"/>
    </row>
    <row r="467" ht="15.75" customHeight="1">
      <c r="A467" s="49"/>
      <c r="B467" s="49"/>
      <c r="C467" s="49"/>
      <c r="D467" s="49"/>
      <c r="E467" s="49"/>
      <c r="F467" s="49"/>
      <c r="G467" s="49"/>
      <c r="H467" s="49"/>
      <c r="I467" s="49"/>
      <c r="J467" s="49"/>
      <c r="K467" s="49"/>
      <c r="L467" s="49"/>
      <c r="M467" s="49"/>
      <c r="N467" s="49"/>
      <c r="O467" s="48"/>
      <c r="P467" s="48"/>
      <c r="Q467" s="48"/>
      <c r="R467" s="48"/>
      <c r="S467" s="48"/>
      <c r="T467" s="48"/>
      <c r="U467" s="48"/>
      <c r="V467" s="48"/>
      <c r="W467" s="48"/>
      <c r="X467" s="48"/>
      <c r="Y467" s="48"/>
      <c r="Z467" s="48"/>
    </row>
    <row r="468" ht="15.75" customHeight="1">
      <c r="A468" s="49"/>
      <c r="B468" s="49"/>
      <c r="C468" s="49"/>
      <c r="D468" s="49"/>
      <c r="E468" s="49"/>
      <c r="F468" s="49"/>
      <c r="G468" s="49"/>
      <c r="H468" s="49"/>
      <c r="I468" s="49"/>
      <c r="J468" s="49"/>
      <c r="K468" s="49"/>
      <c r="L468" s="49"/>
      <c r="M468" s="49"/>
      <c r="N468" s="49"/>
      <c r="O468" s="48"/>
      <c r="P468" s="48"/>
      <c r="Q468" s="48"/>
      <c r="R468" s="48"/>
      <c r="S468" s="48"/>
      <c r="T468" s="48"/>
      <c r="U468" s="48"/>
      <c r="V468" s="48"/>
      <c r="W468" s="48"/>
      <c r="X468" s="48"/>
      <c r="Y468" s="48"/>
      <c r="Z468" s="48"/>
    </row>
    <row r="469" ht="15.75" customHeight="1">
      <c r="A469" s="49"/>
      <c r="B469" s="49"/>
      <c r="C469" s="49"/>
      <c r="D469" s="49"/>
      <c r="E469" s="49"/>
      <c r="F469" s="49"/>
      <c r="G469" s="49"/>
      <c r="H469" s="49"/>
      <c r="I469" s="49"/>
      <c r="J469" s="49"/>
      <c r="K469" s="49"/>
      <c r="L469" s="49"/>
      <c r="M469" s="49"/>
      <c r="N469" s="49"/>
      <c r="O469" s="48"/>
      <c r="P469" s="48"/>
      <c r="Q469" s="48"/>
      <c r="R469" s="48"/>
      <c r="S469" s="48"/>
      <c r="T469" s="48"/>
      <c r="U469" s="48"/>
      <c r="V469" s="48"/>
      <c r="W469" s="48"/>
      <c r="X469" s="48"/>
      <c r="Y469" s="48"/>
      <c r="Z469" s="48"/>
    </row>
    <row r="470" ht="15.75" customHeight="1">
      <c r="A470" s="49"/>
      <c r="B470" s="49"/>
      <c r="C470" s="49"/>
      <c r="D470" s="49"/>
      <c r="E470" s="49"/>
      <c r="F470" s="49"/>
      <c r="G470" s="49"/>
      <c r="H470" s="49"/>
      <c r="I470" s="49"/>
      <c r="J470" s="49"/>
      <c r="K470" s="49"/>
      <c r="L470" s="49"/>
      <c r="M470" s="49"/>
      <c r="N470" s="49"/>
      <c r="O470" s="48"/>
      <c r="P470" s="48"/>
      <c r="Q470" s="48"/>
      <c r="R470" s="48"/>
      <c r="S470" s="48"/>
      <c r="T470" s="48"/>
      <c r="U470" s="48"/>
      <c r="V470" s="48"/>
      <c r="W470" s="48"/>
      <c r="X470" s="48"/>
      <c r="Y470" s="48"/>
      <c r="Z470" s="48"/>
    </row>
    <row r="471" ht="15.75" customHeight="1">
      <c r="A471" s="49"/>
      <c r="B471" s="49"/>
      <c r="C471" s="49"/>
      <c r="D471" s="49"/>
      <c r="E471" s="49"/>
      <c r="F471" s="49"/>
      <c r="G471" s="49"/>
      <c r="H471" s="49"/>
      <c r="I471" s="49"/>
      <c r="J471" s="49"/>
      <c r="K471" s="49"/>
      <c r="L471" s="49"/>
      <c r="M471" s="49"/>
      <c r="N471" s="49"/>
      <c r="O471" s="48"/>
      <c r="P471" s="48"/>
      <c r="Q471" s="48"/>
      <c r="R471" s="48"/>
      <c r="S471" s="48"/>
      <c r="T471" s="48"/>
      <c r="U471" s="48"/>
      <c r="V471" s="48"/>
      <c r="W471" s="48"/>
      <c r="X471" s="48"/>
      <c r="Y471" s="48"/>
      <c r="Z471" s="48"/>
    </row>
    <row r="472" ht="15.75" customHeight="1">
      <c r="A472" s="49"/>
      <c r="B472" s="49"/>
      <c r="C472" s="49"/>
      <c r="D472" s="49"/>
      <c r="E472" s="49"/>
      <c r="F472" s="49"/>
      <c r="G472" s="49"/>
      <c r="H472" s="49"/>
      <c r="I472" s="49"/>
      <c r="J472" s="49"/>
      <c r="K472" s="49"/>
      <c r="L472" s="49"/>
      <c r="M472" s="49"/>
      <c r="N472" s="49"/>
      <c r="O472" s="48"/>
      <c r="P472" s="48"/>
      <c r="Q472" s="48"/>
      <c r="R472" s="48"/>
      <c r="S472" s="48"/>
      <c r="T472" s="48"/>
      <c r="U472" s="48"/>
      <c r="V472" s="48"/>
      <c r="W472" s="48"/>
      <c r="X472" s="48"/>
      <c r="Y472" s="48"/>
      <c r="Z472" s="48"/>
    </row>
    <row r="473" ht="15.75" customHeight="1">
      <c r="A473" s="49"/>
      <c r="B473" s="49"/>
      <c r="C473" s="49"/>
      <c r="D473" s="49"/>
      <c r="E473" s="49"/>
      <c r="F473" s="49"/>
      <c r="G473" s="49"/>
      <c r="H473" s="49"/>
      <c r="I473" s="49"/>
      <c r="J473" s="49"/>
      <c r="K473" s="49"/>
      <c r="L473" s="49"/>
      <c r="M473" s="49"/>
      <c r="N473" s="49"/>
      <c r="O473" s="48"/>
      <c r="P473" s="48"/>
      <c r="Q473" s="48"/>
      <c r="R473" s="48"/>
      <c r="S473" s="48"/>
      <c r="T473" s="48"/>
      <c r="U473" s="48"/>
      <c r="V473" s="48"/>
      <c r="W473" s="48"/>
      <c r="X473" s="48"/>
      <c r="Y473" s="48"/>
      <c r="Z473" s="48"/>
    </row>
    <row r="474" ht="15.75" customHeight="1">
      <c r="A474" s="49"/>
      <c r="B474" s="49"/>
      <c r="C474" s="49"/>
      <c r="D474" s="49"/>
      <c r="E474" s="49"/>
      <c r="F474" s="49"/>
      <c r="G474" s="49"/>
      <c r="H474" s="49"/>
      <c r="I474" s="49"/>
      <c r="J474" s="49"/>
      <c r="K474" s="49"/>
      <c r="L474" s="49"/>
      <c r="M474" s="49"/>
      <c r="N474" s="49"/>
      <c r="O474" s="48"/>
      <c r="P474" s="48"/>
      <c r="Q474" s="48"/>
      <c r="R474" s="48"/>
      <c r="S474" s="48"/>
      <c r="T474" s="48"/>
      <c r="U474" s="48"/>
      <c r="V474" s="48"/>
      <c r="W474" s="48"/>
      <c r="X474" s="48"/>
      <c r="Y474" s="48"/>
      <c r="Z474" s="48"/>
    </row>
    <row r="475" ht="15.75" customHeight="1">
      <c r="A475" s="49"/>
      <c r="B475" s="49"/>
      <c r="C475" s="49"/>
      <c r="D475" s="49"/>
      <c r="E475" s="49"/>
      <c r="F475" s="49"/>
      <c r="G475" s="49"/>
      <c r="H475" s="49"/>
      <c r="I475" s="49"/>
      <c r="J475" s="49"/>
      <c r="K475" s="49"/>
      <c r="L475" s="49"/>
      <c r="M475" s="49"/>
      <c r="N475" s="49"/>
      <c r="O475" s="48"/>
      <c r="P475" s="48"/>
      <c r="Q475" s="48"/>
      <c r="R475" s="48"/>
      <c r="S475" s="48"/>
      <c r="T475" s="48"/>
      <c r="U475" s="48"/>
      <c r="V475" s="48"/>
      <c r="W475" s="48"/>
      <c r="X475" s="48"/>
      <c r="Y475" s="48"/>
      <c r="Z475" s="48"/>
    </row>
    <row r="476" ht="15.75" customHeight="1">
      <c r="A476" s="49"/>
      <c r="B476" s="49"/>
      <c r="C476" s="49"/>
      <c r="D476" s="49"/>
      <c r="E476" s="49"/>
      <c r="F476" s="49"/>
      <c r="G476" s="49"/>
      <c r="H476" s="49"/>
      <c r="I476" s="49"/>
      <c r="J476" s="49"/>
      <c r="K476" s="49"/>
      <c r="L476" s="49"/>
      <c r="M476" s="49"/>
      <c r="N476" s="49"/>
      <c r="O476" s="48"/>
      <c r="P476" s="48"/>
      <c r="Q476" s="48"/>
      <c r="R476" s="48"/>
      <c r="S476" s="48"/>
      <c r="T476" s="48"/>
      <c r="U476" s="48"/>
      <c r="V476" s="48"/>
      <c r="W476" s="48"/>
      <c r="X476" s="48"/>
      <c r="Y476" s="48"/>
      <c r="Z476" s="48"/>
    </row>
    <row r="477" ht="15.75" customHeight="1">
      <c r="A477" s="49"/>
      <c r="B477" s="49"/>
      <c r="C477" s="49"/>
      <c r="D477" s="49"/>
      <c r="E477" s="49"/>
      <c r="F477" s="49"/>
      <c r="G477" s="49"/>
      <c r="H477" s="49"/>
      <c r="I477" s="49"/>
      <c r="J477" s="49"/>
      <c r="K477" s="49"/>
      <c r="L477" s="49"/>
      <c r="M477" s="49"/>
      <c r="N477" s="49"/>
      <c r="O477" s="48"/>
      <c r="P477" s="48"/>
      <c r="Q477" s="48"/>
      <c r="R477" s="48"/>
      <c r="S477" s="48"/>
      <c r="T477" s="48"/>
      <c r="U477" s="48"/>
      <c r="V477" s="48"/>
      <c r="W477" s="48"/>
      <c r="X477" s="48"/>
      <c r="Y477" s="48"/>
      <c r="Z477" s="48"/>
    </row>
    <row r="478" ht="15.75" customHeight="1">
      <c r="A478" s="49"/>
      <c r="B478" s="49"/>
      <c r="C478" s="49"/>
      <c r="D478" s="49"/>
      <c r="E478" s="49"/>
      <c r="F478" s="49"/>
      <c r="G478" s="49"/>
      <c r="H478" s="49"/>
      <c r="I478" s="49"/>
      <c r="J478" s="49"/>
      <c r="K478" s="49"/>
      <c r="L478" s="49"/>
      <c r="M478" s="49"/>
      <c r="N478" s="49"/>
      <c r="O478" s="48"/>
      <c r="P478" s="48"/>
      <c r="Q478" s="48"/>
      <c r="R478" s="48"/>
      <c r="S478" s="48"/>
      <c r="T478" s="48"/>
      <c r="U478" s="48"/>
      <c r="V478" s="48"/>
      <c r="W478" s="48"/>
      <c r="X478" s="48"/>
      <c r="Y478" s="48"/>
      <c r="Z478" s="48"/>
    </row>
    <row r="479" ht="15.75" customHeight="1">
      <c r="A479" s="49"/>
      <c r="B479" s="49"/>
      <c r="C479" s="49"/>
      <c r="D479" s="49"/>
      <c r="E479" s="49"/>
      <c r="F479" s="49"/>
      <c r="G479" s="49"/>
      <c r="H479" s="49"/>
      <c r="I479" s="49"/>
      <c r="J479" s="49"/>
      <c r="K479" s="49"/>
      <c r="L479" s="49"/>
      <c r="M479" s="49"/>
      <c r="N479" s="49"/>
      <c r="O479" s="48"/>
      <c r="P479" s="48"/>
      <c r="Q479" s="48"/>
      <c r="R479" s="48"/>
      <c r="S479" s="48"/>
      <c r="T479" s="48"/>
      <c r="U479" s="48"/>
      <c r="V479" s="48"/>
      <c r="W479" s="48"/>
      <c r="X479" s="48"/>
      <c r="Y479" s="48"/>
      <c r="Z479" s="48"/>
    </row>
    <row r="480" ht="15.75" customHeight="1">
      <c r="A480" s="49"/>
      <c r="B480" s="49"/>
      <c r="C480" s="49"/>
      <c r="D480" s="49"/>
      <c r="E480" s="49"/>
      <c r="F480" s="49"/>
      <c r="G480" s="49"/>
      <c r="H480" s="49"/>
      <c r="I480" s="49"/>
      <c r="J480" s="49"/>
      <c r="K480" s="49"/>
      <c r="L480" s="49"/>
      <c r="M480" s="49"/>
      <c r="N480" s="49"/>
      <c r="O480" s="48"/>
      <c r="P480" s="48"/>
      <c r="Q480" s="48"/>
      <c r="R480" s="48"/>
      <c r="S480" s="48"/>
      <c r="T480" s="48"/>
      <c r="U480" s="48"/>
      <c r="V480" s="48"/>
      <c r="W480" s="48"/>
      <c r="X480" s="48"/>
      <c r="Y480" s="48"/>
      <c r="Z480" s="48"/>
    </row>
    <row r="481" ht="15.75" customHeight="1">
      <c r="A481" s="49"/>
      <c r="B481" s="49"/>
      <c r="C481" s="49"/>
      <c r="D481" s="49"/>
      <c r="E481" s="49"/>
      <c r="F481" s="49"/>
      <c r="G481" s="49"/>
      <c r="H481" s="49"/>
      <c r="I481" s="49"/>
      <c r="J481" s="49"/>
      <c r="K481" s="49"/>
      <c r="L481" s="49"/>
      <c r="M481" s="49"/>
      <c r="N481" s="49"/>
      <c r="O481" s="48"/>
      <c r="P481" s="48"/>
      <c r="Q481" s="48"/>
      <c r="R481" s="48"/>
      <c r="S481" s="48"/>
      <c r="T481" s="48"/>
      <c r="U481" s="48"/>
      <c r="V481" s="48"/>
      <c r="W481" s="48"/>
      <c r="X481" s="48"/>
      <c r="Y481" s="48"/>
      <c r="Z481" s="48"/>
    </row>
    <row r="482" ht="15.75" customHeight="1">
      <c r="A482" s="49"/>
      <c r="B482" s="49"/>
      <c r="C482" s="49"/>
      <c r="D482" s="49"/>
      <c r="E482" s="49"/>
      <c r="F482" s="49"/>
      <c r="G482" s="49"/>
      <c r="H482" s="49"/>
      <c r="I482" s="49"/>
      <c r="J482" s="49"/>
      <c r="K482" s="49"/>
      <c r="L482" s="49"/>
      <c r="M482" s="49"/>
      <c r="N482" s="49"/>
      <c r="O482" s="48"/>
      <c r="P482" s="48"/>
      <c r="Q482" s="48"/>
      <c r="R482" s="48"/>
      <c r="S482" s="48"/>
      <c r="T482" s="48"/>
      <c r="U482" s="48"/>
      <c r="V482" s="48"/>
      <c r="W482" s="48"/>
      <c r="X482" s="48"/>
      <c r="Y482" s="48"/>
      <c r="Z482" s="48"/>
    </row>
    <row r="483" ht="15.75" customHeight="1">
      <c r="A483" s="49"/>
      <c r="B483" s="49"/>
      <c r="C483" s="49"/>
      <c r="D483" s="49"/>
      <c r="E483" s="49"/>
      <c r="F483" s="49"/>
      <c r="G483" s="49"/>
      <c r="H483" s="49"/>
      <c r="I483" s="49"/>
      <c r="J483" s="49"/>
      <c r="K483" s="49"/>
      <c r="L483" s="49"/>
      <c r="M483" s="49"/>
      <c r="N483" s="49"/>
      <c r="O483" s="48"/>
      <c r="P483" s="48"/>
      <c r="Q483" s="48"/>
      <c r="R483" s="48"/>
      <c r="S483" s="48"/>
      <c r="T483" s="48"/>
      <c r="U483" s="48"/>
      <c r="V483" s="48"/>
      <c r="W483" s="48"/>
      <c r="X483" s="48"/>
      <c r="Y483" s="48"/>
      <c r="Z483" s="48"/>
    </row>
    <row r="484" ht="15.75" customHeight="1">
      <c r="A484" s="49"/>
      <c r="B484" s="49"/>
      <c r="C484" s="49"/>
      <c r="D484" s="49"/>
      <c r="E484" s="49"/>
      <c r="F484" s="49"/>
      <c r="G484" s="49"/>
      <c r="H484" s="49"/>
      <c r="I484" s="49"/>
      <c r="J484" s="49"/>
      <c r="K484" s="49"/>
      <c r="L484" s="49"/>
      <c r="M484" s="49"/>
      <c r="N484" s="49"/>
      <c r="O484" s="48"/>
      <c r="P484" s="48"/>
      <c r="Q484" s="48"/>
      <c r="R484" s="48"/>
      <c r="S484" s="48"/>
      <c r="T484" s="48"/>
      <c r="U484" s="48"/>
      <c r="V484" s="48"/>
      <c r="W484" s="48"/>
      <c r="X484" s="48"/>
      <c r="Y484" s="48"/>
      <c r="Z484" s="48"/>
    </row>
    <row r="485" ht="15.75" customHeight="1">
      <c r="A485" s="49"/>
      <c r="B485" s="49"/>
      <c r="C485" s="49"/>
      <c r="D485" s="49"/>
      <c r="E485" s="49"/>
      <c r="F485" s="49"/>
      <c r="G485" s="49"/>
      <c r="H485" s="49"/>
      <c r="I485" s="49"/>
      <c r="J485" s="49"/>
      <c r="K485" s="49"/>
      <c r="L485" s="49"/>
      <c r="M485" s="49"/>
      <c r="N485" s="49"/>
      <c r="O485" s="48"/>
      <c r="P485" s="48"/>
      <c r="Q485" s="48"/>
      <c r="R485" s="48"/>
      <c r="S485" s="48"/>
      <c r="T485" s="48"/>
      <c r="U485" s="48"/>
      <c r="V485" s="48"/>
      <c r="W485" s="48"/>
      <c r="X485" s="48"/>
      <c r="Y485" s="48"/>
      <c r="Z485" s="48"/>
    </row>
    <row r="486" ht="15.75" customHeight="1">
      <c r="A486" s="49"/>
      <c r="B486" s="49"/>
      <c r="C486" s="49"/>
      <c r="D486" s="49"/>
      <c r="E486" s="49"/>
      <c r="F486" s="49"/>
      <c r="G486" s="49"/>
      <c r="H486" s="49"/>
      <c r="I486" s="49"/>
      <c r="J486" s="49"/>
      <c r="K486" s="49"/>
      <c r="L486" s="49"/>
      <c r="M486" s="49"/>
      <c r="N486" s="49"/>
      <c r="O486" s="48"/>
      <c r="P486" s="48"/>
      <c r="Q486" s="48"/>
      <c r="R486" s="48"/>
      <c r="S486" s="48"/>
      <c r="T486" s="48"/>
      <c r="U486" s="48"/>
      <c r="V486" s="48"/>
      <c r="W486" s="48"/>
      <c r="X486" s="48"/>
      <c r="Y486" s="48"/>
      <c r="Z486" s="48"/>
    </row>
    <row r="487" ht="15.75" customHeight="1">
      <c r="A487" s="49"/>
      <c r="B487" s="49"/>
      <c r="C487" s="49"/>
      <c r="D487" s="49"/>
      <c r="E487" s="49"/>
      <c r="F487" s="49"/>
      <c r="G487" s="49"/>
      <c r="H487" s="49"/>
      <c r="I487" s="49"/>
      <c r="J487" s="49"/>
      <c r="K487" s="49"/>
      <c r="L487" s="49"/>
      <c r="M487" s="49"/>
      <c r="N487" s="49"/>
      <c r="O487" s="48"/>
      <c r="P487" s="48"/>
      <c r="Q487" s="48"/>
      <c r="R487" s="48"/>
      <c r="S487" s="48"/>
      <c r="T487" s="48"/>
      <c r="U487" s="48"/>
      <c r="V487" s="48"/>
      <c r="W487" s="48"/>
      <c r="X487" s="48"/>
      <c r="Y487" s="48"/>
      <c r="Z487" s="48"/>
    </row>
    <row r="488" ht="15.75" customHeight="1">
      <c r="A488" s="49"/>
      <c r="B488" s="49"/>
      <c r="C488" s="49"/>
      <c r="D488" s="49"/>
      <c r="E488" s="49"/>
      <c r="F488" s="49"/>
      <c r="G488" s="49"/>
      <c r="H488" s="49"/>
      <c r="I488" s="49"/>
      <c r="J488" s="49"/>
      <c r="K488" s="49"/>
      <c r="L488" s="49"/>
      <c r="M488" s="49"/>
      <c r="N488" s="49"/>
      <c r="O488" s="48"/>
      <c r="P488" s="48"/>
      <c r="Q488" s="48"/>
      <c r="R488" s="48"/>
      <c r="S488" s="48"/>
      <c r="T488" s="48"/>
      <c r="U488" s="48"/>
      <c r="V488" s="48"/>
      <c r="W488" s="48"/>
      <c r="X488" s="48"/>
      <c r="Y488" s="48"/>
      <c r="Z488" s="48"/>
    </row>
    <row r="489" ht="15.75" customHeight="1">
      <c r="A489" s="49"/>
      <c r="B489" s="49"/>
      <c r="C489" s="49"/>
      <c r="D489" s="49"/>
      <c r="E489" s="49"/>
      <c r="F489" s="49"/>
      <c r="G489" s="49"/>
      <c r="H489" s="49"/>
      <c r="I489" s="49"/>
      <c r="J489" s="49"/>
      <c r="K489" s="49"/>
      <c r="L489" s="49"/>
      <c r="M489" s="49"/>
      <c r="N489" s="49"/>
      <c r="O489" s="48"/>
      <c r="P489" s="48"/>
      <c r="Q489" s="48"/>
      <c r="R489" s="48"/>
      <c r="S489" s="48"/>
      <c r="T489" s="48"/>
      <c r="U489" s="48"/>
      <c r="V489" s="48"/>
      <c r="W489" s="48"/>
      <c r="X489" s="48"/>
      <c r="Y489" s="48"/>
      <c r="Z489" s="48"/>
    </row>
    <row r="490" ht="15.75" customHeight="1">
      <c r="A490" s="49"/>
      <c r="B490" s="49"/>
      <c r="C490" s="49"/>
      <c r="D490" s="49"/>
      <c r="E490" s="49"/>
      <c r="F490" s="49"/>
      <c r="G490" s="49"/>
      <c r="H490" s="49"/>
      <c r="I490" s="49"/>
      <c r="J490" s="49"/>
      <c r="K490" s="49"/>
      <c r="L490" s="49"/>
      <c r="M490" s="49"/>
      <c r="N490" s="49"/>
      <c r="O490" s="48"/>
      <c r="P490" s="48"/>
      <c r="Q490" s="48"/>
      <c r="R490" s="48"/>
      <c r="S490" s="48"/>
      <c r="T490" s="48"/>
      <c r="U490" s="48"/>
      <c r="V490" s="48"/>
      <c r="W490" s="48"/>
      <c r="X490" s="48"/>
      <c r="Y490" s="48"/>
      <c r="Z490" s="48"/>
    </row>
    <row r="491" ht="15.75" customHeight="1">
      <c r="A491" s="49"/>
      <c r="B491" s="49"/>
      <c r="C491" s="49"/>
      <c r="D491" s="49"/>
      <c r="E491" s="49"/>
      <c r="F491" s="49"/>
      <c r="G491" s="49"/>
      <c r="H491" s="49"/>
      <c r="I491" s="49"/>
      <c r="J491" s="49"/>
      <c r="K491" s="49"/>
      <c r="L491" s="49"/>
      <c r="M491" s="49"/>
      <c r="N491" s="49"/>
      <c r="O491" s="48"/>
      <c r="P491" s="48"/>
      <c r="Q491" s="48"/>
      <c r="R491" s="48"/>
      <c r="S491" s="48"/>
      <c r="T491" s="48"/>
      <c r="U491" s="48"/>
      <c r="V491" s="48"/>
      <c r="W491" s="48"/>
      <c r="X491" s="48"/>
      <c r="Y491" s="48"/>
      <c r="Z491" s="48"/>
    </row>
    <row r="492" ht="15.75" customHeight="1">
      <c r="A492" s="49"/>
      <c r="B492" s="49"/>
      <c r="C492" s="49"/>
      <c r="D492" s="49"/>
      <c r="E492" s="49"/>
      <c r="F492" s="49"/>
      <c r="G492" s="49"/>
      <c r="H492" s="49"/>
      <c r="I492" s="49"/>
      <c r="J492" s="49"/>
      <c r="K492" s="49"/>
      <c r="L492" s="49"/>
      <c r="M492" s="49"/>
      <c r="N492" s="49"/>
      <c r="O492" s="48"/>
      <c r="P492" s="48"/>
      <c r="Q492" s="48"/>
      <c r="R492" s="48"/>
      <c r="S492" s="48"/>
      <c r="T492" s="48"/>
      <c r="U492" s="48"/>
      <c r="V492" s="48"/>
      <c r="W492" s="48"/>
      <c r="X492" s="48"/>
      <c r="Y492" s="48"/>
      <c r="Z492" s="48"/>
    </row>
    <row r="493" ht="15.75" customHeight="1">
      <c r="A493" s="49"/>
      <c r="B493" s="49"/>
      <c r="C493" s="49"/>
      <c r="D493" s="49"/>
      <c r="E493" s="49"/>
      <c r="F493" s="49"/>
      <c r="G493" s="49"/>
      <c r="H493" s="49"/>
      <c r="I493" s="49"/>
      <c r="J493" s="49"/>
      <c r="K493" s="49"/>
      <c r="L493" s="49"/>
      <c r="M493" s="49"/>
      <c r="N493" s="49"/>
      <c r="O493" s="48"/>
      <c r="P493" s="48"/>
      <c r="Q493" s="48"/>
      <c r="R493" s="48"/>
      <c r="S493" s="48"/>
      <c r="T493" s="48"/>
      <c r="U493" s="48"/>
      <c r="V493" s="48"/>
      <c r="W493" s="48"/>
      <c r="X493" s="48"/>
      <c r="Y493" s="48"/>
      <c r="Z493" s="48"/>
    </row>
    <row r="494" ht="15.75" customHeight="1">
      <c r="A494" s="49"/>
      <c r="B494" s="49"/>
      <c r="C494" s="49"/>
      <c r="D494" s="49"/>
      <c r="E494" s="49"/>
      <c r="F494" s="49"/>
      <c r="G494" s="49"/>
      <c r="H494" s="49"/>
      <c r="I494" s="49"/>
      <c r="J494" s="49"/>
      <c r="K494" s="49"/>
      <c r="L494" s="49"/>
      <c r="M494" s="49"/>
      <c r="N494" s="49"/>
      <c r="O494" s="48"/>
      <c r="P494" s="48"/>
      <c r="Q494" s="48"/>
      <c r="R494" s="48"/>
      <c r="S494" s="48"/>
      <c r="T494" s="48"/>
      <c r="U494" s="48"/>
      <c r="V494" s="48"/>
      <c r="W494" s="48"/>
      <c r="X494" s="48"/>
      <c r="Y494" s="48"/>
      <c r="Z494" s="48"/>
    </row>
    <row r="495" ht="15.75" customHeight="1">
      <c r="A495" s="49"/>
      <c r="B495" s="49"/>
      <c r="C495" s="49"/>
      <c r="D495" s="49"/>
      <c r="E495" s="49"/>
      <c r="F495" s="49"/>
      <c r="G495" s="49"/>
      <c r="H495" s="49"/>
      <c r="I495" s="49"/>
      <c r="J495" s="49"/>
      <c r="K495" s="49"/>
      <c r="L495" s="49"/>
      <c r="M495" s="49"/>
      <c r="N495" s="49"/>
      <c r="O495" s="48"/>
      <c r="P495" s="48"/>
      <c r="Q495" s="48"/>
      <c r="R495" s="48"/>
      <c r="S495" s="48"/>
      <c r="T495" s="48"/>
      <c r="U495" s="48"/>
      <c r="V495" s="48"/>
      <c r="W495" s="48"/>
      <c r="X495" s="48"/>
      <c r="Y495" s="48"/>
      <c r="Z495" s="48"/>
    </row>
    <row r="496" ht="15.75" customHeight="1">
      <c r="A496" s="49"/>
      <c r="B496" s="49"/>
      <c r="C496" s="49"/>
      <c r="D496" s="49"/>
      <c r="E496" s="49"/>
      <c r="F496" s="49"/>
      <c r="G496" s="49"/>
      <c r="H496" s="49"/>
      <c r="I496" s="49"/>
      <c r="J496" s="49"/>
      <c r="K496" s="49"/>
      <c r="L496" s="49"/>
      <c r="M496" s="49"/>
      <c r="N496" s="49"/>
      <c r="O496" s="48"/>
      <c r="P496" s="48"/>
      <c r="Q496" s="48"/>
      <c r="R496" s="48"/>
      <c r="S496" s="48"/>
      <c r="T496" s="48"/>
      <c r="U496" s="48"/>
      <c r="V496" s="48"/>
      <c r="W496" s="48"/>
      <c r="X496" s="48"/>
      <c r="Y496" s="48"/>
      <c r="Z496" s="48"/>
    </row>
    <row r="497" ht="15.75" customHeight="1">
      <c r="A497" s="49"/>
      <c r="B497" s="49"/>
      <c r="C497" s="49"/>
      <c r="D497" s="49"/>
      <c r="E497" s="49"/>
      <c r="F497" s="49"/>
      <c r="G497" s="49"/>
      <c r="H497" s="49"/>
      <c r="I497" s="49"/>
      <c r="J497" s="49"/>
      <c r="K497" s="49"/>
      <c r="L497" s="49"/>
      <c r="M497" s="49"/>
      <c r="N497" s="49"/>
      <c r="O497" s="48"/>
      <c r="P497" s="48"/>
      <c r="Q497" s="48"/>
      <c r="R497" s="48"/>
      <c r="S497" s="48"/>
      <c r="T497" s="48"/>
      <c r="U497" s="48"/>
      <c r="V497" s="48"/>
      <c r="W497" s="48"/>
      <c r="X497" s="48"/>
      <c r="Y497" s="48"/>
      <c r="Z497" s="48"/>
    </row>
    <row r="498" ht="15.75" customHeight="1">
      <c r="A498" s="49"/>
      <c r="B498" s="49"/>
      <c r="C498" s="49"/>
      <c r="D498" s="49"/>
      <c r="E498" s="49"/>
      <c r="F498" s="49"/>
      <c r="G498" s="49"/>
      <c r="H498" s="49"/>
      <c r="I498" s="49"/>
      <c r="J498" s="49"/>
      <c r="K498" s="49"/>
      <c r="L498" s="49"/>
      <c r="M498" s="49"/>
      <c r="N498" s="49"/>
      <c r="O498" s="48"/>
      <c r="P498" s="48"/>
      <c r="Q498" s="48"/>
      <c r="R498" s="48"/>
      <c r="S498" s="48"/>
      <c r="T498" s="48"/>
      <c r="U498" s="48"/>
      <c r="V498" s="48"/>
      <c r="W498" s="48"/>
      <c r="X498" s="48"/>
      <c r="Y498" s="48"/>
      <c r="Z498" s="48"/>
    </row>
    <row r="499" ht="15.75" customHeight="1">
      <c r="A499" s="49"/>
      <c r="B499" s="49"/>
      <c r="C499" s="49"/>
      <c r="D499" s="49"/>
      <c r="E499" s="49"/>
      <c r="F499" s="49"/>
      <c r="G499" s="49"/>
      <c r="H499" s="49"/>
      <c r="I499" s="49"/>
      <c r="J499" s="49"/>
      <c r="K499" s="49"/>
      <c r="L499" s="49"/>
      <c r="M499" s="49"/>
      <c r="N499" s="49"/>
      <c r="O499" s="48"/>
      <c r="P499" s="48"/>
      <c r="Q499" s="48"/>
      <c r="R499" s="48"/>
      <c r="S499" s="48"/>
      <c r="T499" s="48"/>
      <c r="U499" s="48"/>
      <c r="V499" s="48"/>
      <c r="W499" s="48"/>
      <c r="X499" s="48"/>
      <c r="Y499" s="48"/>
      <c r="Z499" s="48"/>
    </row>
    <row r="500" ht="15.75" customHeight="1">
      <c r="A500" s="49"/>
      <c r="B500" s="49"/>
      <c r="C500" s="49"/>
      <c r="D500" s="49"/>
      <c r="E500" s="49"/>
      <c r="F500" s="49"/>
      <c r="G500" s="49"/>
      <c r="H500" s="49"/>
      <c r="I500" s="49"/>
      <c r="J500" s="49"/>
      <c r="K500" s="49"/>
      <c r="L500" s="49"/>
      <c r="M500" s="49"/>
      <c r="N500" s="49"/>
      <c r="O500" s="48"/>
      <c r="P500" s="48"/>
      <c r="Q500" s="48"/>
      <c r="R500" s="48"/>
      <c r="S500" s="48"/>
      <c r="T500" s="48"/>
      <c r="U500" s="48"/>
      <c r="V500" s="48"/>
      <c r="W500" s="48"/>
      <c r="X500" s="48"/>
      <c r="Y500" s="48"/>
      <c r="Z500" s="48"/>
    </row>
    <row r="501" ht="15.75" customHeight="1">
      <c r="A501" s="49"/>
      <c r="B501" s="49"/>
      <c r="C501" s="49"/>
      <c r="D501" s="49"/>
      <c r="E501" s="49"/>
      <c r="F501" s="49"/>
      <c r="G501" s="49"/>
      <c r="H501" s="49"/>
      <c r="I501" s="49"/>
      <c r="J501" s="49"/>
      <c r="K501" s="49"/>
      <c r="L501" s="49"/>
      <c r="M501" s="49"/>
      <c r="N501" s="49"/>
      <c r="O501" s="48"/>
      <c r="P501" s="48"/>
      <c r="Q501" s="48"/>
      <c r="R501" s="48"/>
      <c r="S501" s="48"/>
      <c r="T501" s="48"/>
      <c r="U501" s="48"/>
      <c r="V501" s="48"/>
      <c r="W501" s="48"/>
      <c r="X501" s="48"/>
      <c r="Y501" s="48"/>
      <c r="Z501" s="48"/>
    </row>
    <row r="502" ht="15.75" customHeight="1">
      <c r="A502" s="49"/>
      <c r="B502" s="49"/>
      <c r="C502" s="49"/>
      <c r="D502" s="49"/>
      <c r="E502" s="49"/>
      <c r="F502" s="49"/>
      <c r="G502" s="49"/>
      <c r="H502" s="49"/>
      <c r="I502" s="49"/>
      <c r="J502" s="49"/>
      <c r="K502" s="49"/>
      <c r="L502" s="49"/>
      <c r="M502" s="49"/>
      <c r="N502" s="49"/>
      <c r="O502" s="48"/>
      <c r="P502" s="48"/>
      <c r="Q502" s="48"/>
      <c r="R502" s="48"/>
      <c r="S502" s="48"/>
      <c r="T502" s="48"/>
      <c r="U502" s="48"/>
      <c r="V502" s="48"/>
      <c r="W502" s="48"/>
      <c r="X502" s="48"/>
      <c r="Y502" s="48"/>
      <c r="Z502" s="48"/>
    </row>
    <row r="503" ht="15.75" customHeight="1">
      <c r="A503" s="49"/>
      <c r="B503" s="49"/>
      <c r="C503" s="49"/>
      <c r="D503" s="49"/>
      <c r="E503" s="49"/>
      <c r="F503" s="49"/>
      <c r="G503" s="49"/>
      <c r="H503" s="49"/>
      <c r="I503" s="49"/>
      <c r="J503" s="49"/>
      <c r="K503" s="49"/>
      <c r="L503" s="49"/>
      <c r="M503" s="49"/>
      <c r="N503" s="49"/>
      <c r="O503" s="48"/>
      <c r="P503" s="48"/>
      <c r="Q503" s="48"/>
      <c r="R503" s="48"/>
      <c r="S503" s="48"/>
      <c r="T503" s="48"/>
      <c r="U503" s="48"/>
      <c r="V503" s="48"/>
      <c r="W503" s="48"/>
      <c r="X503" s="48"/>
      <c r="Y503" s="48"/>
      <c r="Z503" s="48"/>
    </row>
    <row r="504" ht="15.75" customHeight="1">
      <c r="A504" s="49"/>
      <c r="B504" s="49"/>
      <c r="C504" s="49"/>
      <c r="D504" s="49"/>
      <c r="E504" s="49"/>
      <c r="F504" s="49"/>
      <c r="G504" s="49"/>
      <c r="H504" s="49"/>
      <c r="I504" s="49"/>
      <c r="J504" s="49"/>
      <c r="K504" s="49"/>
      <c r="L504" s="49"/>
      <c r="M504" s="49"/>
      <c r="N504" s="49"/>
      <c r="O504" s="48"/>
      <c r="P504" s="48"/>
      <c r="Q504" s="48"/>
      <c r="R504" s="48"/>
      <c r="S504" s="48"/>
      <c r="T504" s="48"/>
      <c r="U504" s="48"/>
      <c r="V504" s="48"/>
      <c r="W504" s="48"/>
      <c r="X504" s="48"/>
      <c r="Y504" s="48"/>
      <c r="Z504" s="48"/>
    </row>
    <row r="505" ht="15.75" customHeight="1">
      <c r="A505" s="49"/>
      <c r="B505" s="49"/>
      <c r="C505" s="49"/>
      <c r="D505" s="49"/>
      <c r="E505" s="49"/>
      <c r="F505" s="49"/>
      <c r="G505" s="49"/>
      <c r="H505" s="49"/>
      <c r="I505" s="49"/>
      <c r="J505" s="49"/>
      <c r="K505" s="49"/>
      <c r="L505" s="49"/>
      <c r="M505" s="49"/>
      <c r="N505" s="49"/>
      <c r="O505" s="48"/>
      <c r="P505" s="48"/>
      <c r="Q505" s="48"/>
      <c r="R505" s="48"/>
      <c r="S505" s="48"/>
      <c r="T505" s="48"/>
      <c r="U505" s="48"/>
      <c r="V505" s="48"/>
      <c r="W505" s="48"/>
      <c r="X505" s="48"/>
      <c r="Y505" s="48"/>
      <c r="Z505" s="48"/>
    </row>
    <row r="506" ht="15.75" customHeight="1">
      <c r="A506" s="49"/>
      <c r="B506" s="49"/>
      <c r="C506" s="49"/>
      <c r="D506" s="49"/>
      <c r="E506" s="49"/>
      <c r="F506" s="49"/>
      <c r="G506" s="49"/>
      <c r="H506" s="49"/>
      <c r="I506" s="49"/>
      <c r="J506" s="49"/>
      <c r="K506" s="49"/>
      <c r="L506" s="49"/>
      <c r="M506" s="49"/>
      <c r="N506" s="49"/>
      <c r="O506" s="48"/>
      <c r="P506" s="48"/>
      <c r="Q506" s="48"/>
      <c r="R506" s="48"/>
      <c r="S506" s="48"/>
      <c r="T506" s="48"/>
      <c r="U506" s="48"/>
      <c r="V506" s="48"/>
      <c r="W506" s="48"/>
      <c r="X506" s="48"/>
      <c r="Y506" s="48"/>
      <c r="Z506" s="48"/>
    </row>
    <row r="507" ht="15.75" customHeight="1">
      <c r="A507" s="49"/>
      <c r="B507" s="49"/>
      <c r="C507" s="49"/>
      <c r="D507" s="49"/>
      <c r="E507" s="49"/>
      <c r="F507" s="49"/>
      <c r="G507" s="49"/>
      <c r="H507" s="49"/>
      <c r="I507" s="49"/>
      <c r="J507" s="49"/>
      <c r="K507" s="49"/>
      <c r="L507" s="49"/>
      <c r="M507" s="49"/>
      <c r="N507" s="49"/>
      <c r="O507" s="48"/>
      <c r="P507" s="48"/>
      <c r="Q507" s="48"/>
      <c r="R507" s="48"/>
      <c r="S507" s="48"/>
      <c r="T507" s="48"/>
      <c r="U507" s="48"/>
      <c r="V507" s="48"/>
      <c r="W507" s="48"/>
      <c r="X507" s="48"/>
      <c r="Y507" s="48"/>
      <c r="Z507" s="48"/>
    </row>
    <row r="508" ht="15.75" customHeight="1">
      <c r="A508" s="49"/>
      <c r="B508" s="49"/>
      <c r="C508" s="49"/>
      <c r="D508" s="49"/>
      <c r="E508" s="49"/>
      <c r="F508" s="49"/>
      <c r="G508" s="49"/>
      <c r="H508" s="49"/>
      <c r="I508" s="49"/>
      <c r="J508" s="49"/>
      <c r="K508" s="49"/>
      <c r="L508" s="49"/>
      <c r="M508" s="49"/>
      <c r="N508" s="49"/>
      <c r="O508" s="48"/>
      <c r="P508" s="48"/>
      <c r="Q508" s="48"/>
      <c r="R508" s="48"/>
      <c r="S508" s="48"/>
      <c r="T508" s="48"/>
      <c r="U508" s="48"/>
      <c r="V508" s="48"/>
      <c r="W508" s="48"/>
      <c r="X508" s="48"/>
      <c r="Y508" s="48"/>
      <c r="Z508" s="48"/>
    </row>
    <row r="509" ht="15.75" customHeight="1">
      <c r="A509" s="49"/>
      <c r="B509" s="49"/>
      <c r="C509" s="49"/>
      <c r="D509" s="49"/>
      <c r="E509" s="49"/>
      <c r="F509" s="49"/>
      <c r="G509" s="49"/>
      <c r="H509" s="49"/>
      <c r="I509" s="49"/>
      <c r="J509" s="49"/>
      <c r="K509" s="49"/>
      <c r="L509" s="49"/>
      <c r="M509" s="49"/>
      <c r="N509" s="49"/>
      <c r="O509" s="48"/>
      <c r="P509" s="48"/>
      <c r="Q509" s="48"/>
      <c r="R509" s="48"/>
      <c r="S509" s="48"/>
      <c r="T509" s="48"/>
      <c r="U509" s="48"/>
      <c r="V509" s="48"/>
      <c r="W509" s="48"/>
      <c r="X509" s="48"/>
      <c r="Y509" s="48"/>
      <c r="Z509" s="48"/>
    </row>
    <row r="510" ht="15.75" customHeight="1">
      <c r="A510" s="49"/>
      <c r="B510" s="49"/>
      <c r="C510" s="49"/>
      <c r="D510" s="49"/>
      <c r="E510" s="49"/>
      <c r="F510" s="49"/>
      <c r="G510" s="49"/>
      <c r="H510" s="49"/>
      <c r="I510" s="49"/>
      <c r="J510" s="49"/>
      <c r="K510" s="49"/>
      <c r="L510" s="49"/>
      <c r="M510" s="49"/>
      <c r="N510" s="49"/>
      <c r="O510" s="48"/>
      <c r="P510" s="48"/>
      <c r="Q510" s="48"/>
      <c r="R510" s="48"/>
      <c r="S510" s="48"/>
      <c r="T510" s="48"/>
      <c r="U510" s="48"/>
      <c r="V510" s="48"/>
      <c r="W510" s="48"/>
      <c r="X510" s="48"/>
      <c r="Y510" s="48"/>
      <c r="Z510" s="48"/>
    </row>
    <row r="511" ht="15.75" customHeight="1">
      <c r="A511" s="49"/>
      <c r="B511" s="49"/>
      <c r="C511" s="49"/>
      <c r="D511" s="49"/>
      <c r="E511" s="49"/>
      <c r="F511" s="49"/>
      <c r="G511" s="49"/>
      <c r="H511" s="49"/>
      <c r="I511" s="49"/>
      <c r="J511" s="49"/>
      <c r="K511" s="49"/>
      <c r="L511" s="49"/>
      <c r="M511" s="49"/>
      <c r="N511" s="49"/>
      <c r="O511" s="48"/>
      <c r="P511" s="48"/>
      <c r="Q511" s="48"/>
      <c r="R511" s="48"/>
      <c r="S511" s="48"/>
      <c r="T511" s="48"/>
      <c r="U511" s="48"/>
      <c r="V511" s="48"/>
      <c r="W511" s="48"/>
      <c r="X511" s="48"/>
      <c r="Y511" s="48"/>
      <c r="Z511" s="48"/>
    </row>
    <row r="512" ht="15.75" customHeight="1">
      <c r="A512" s="49"/>
      <c r="B512" s="49"/>
      <c r="C512" s="49"/>
      <c r="D512" s="49"/>
      <c r="E512" s="49"/>
      <c r="F512" s="49"/>
      <c r="G512" s="49"/>
      <c r="H512" s="49"/>
      <c r="I512" s="49"/>
      <c r="J512" s="49"/>
      <c r="K512" s="49"/>
      <c r="L512" s="49"/>
      <c r="M512" s="49"/>
      <c r="N512" s="49"/>
      <c r="O512" s="48"/>
      <c r="P512" s="48"/>
      <c r="Q512" s="48"/>
      <c r="R512" s="48"/>
      <c r="S512" s="48"/>
      <c r="T512" s="48"/>
      <c r="U512" s="48"/>
      <c r="V512" s="48"/>
      <c r="W512" s="48"/>
      <c r="X512" s="48"/>
      <c r="Y512" s="48"/>
      <c r="Z512" s="48"/>
    </row>
    <row r="513" ht="15.75" customHeight="1">
      <c r="A513" s="49"/>
      <c r="B513" s="49"/>
      <c r="C513" s="49"/>
      <c r="D513" s="49"/>
      <c r="E513" s="49"/>
      <c r="F513" s="49"/>
      <c r="G513" s="49"/>
      <c r="H513" s="49"/>
      <c r="I513" s="49"/>
      <c r="J513" s="49"/>
      <c r="K513" s="49"/>
      <c r="L513" s="49"/>
      <c r="M513" s="49"/>
      <c r="N513" s="49"/>
      <c r="O513" s="48"/>
      <c r="P513" s="48"/>
      <c r="Q513" s="48"/>
      <c r="R513" s="48"/>
      <c r="S513" s="48"/>
      <c r="T513" s="48"/>
      <c r="U513" s="48"/>
      <c r="V513" s="48"/>
      <c r="W513" s="48"/>
      <c r="X513" s="48"/>
      <c r="Y513" s="48"/>
      <c r="Z513" s="48"/>
    </row>
    <row r="514" ht="15.75" customHeight="1">
      <c r="A514" s="49"/>
      <c r="B514" s="49"/>
      <c r="C514" s="49"/>
      <c r="D514" s="49"/>
      <c r="E514" s="49"/>
      <c r="F514" s="49"/>
      <c r="G514" s="49"/>
      <c r="H514" s="49"/>
      <c r="I514" s="49"/>
      <c r="J514" s="49"/>
      <c r="K514" s="49"/>
      <c r="L514" s="49"/>
      <c r="M514" s="49"/>
      <c r="N514" s="49"/>
      <c r="O514" s="48"/>
      <c r="P514" s="48"/>
      <c r="Q514" s="48"/>
      <c r="R514" s="48"/>
      <c r="S514" s="48"/>
      <c r="T514" s="48"/>
      <c r="U514" s="48"/>
      <c r="V514" s="48"/>
      <c r="W514" s="48"/>
      <c r="X514" s="48"/>
      <c r="Y514" s="48"/>
      <c r="Z514" s="48"/>
    </row>
    <row r="515" ht="15.75" customHeight="1">
      <c r="A515" s="49"/>
      <c r="B515" s="49"/>
      <c r="C515" s="49"/>
      <c r="D515" s="49"/>
      <c r="E515" s="49"/>
      <c r="F515" s="49"/>
      <c r="G515" s="49"/>
      <c r="H515" s="49"/>
      <c r="I515" s="49"/>
      <c r="J515" s="49"/>
      <c r="K515" s="49"/>
      <c r="L515" s="49"/>
      <c r="M515" s="49"/>
      <c r="N515" s="49"/>
      <c r="O515" s="48"/>
      <c r="P515" s="48"/>
      <c r="Q515" s="48"/>
      <c r="R515" s="48"/>
      <c r="S515" s="48"/>
      <c r="T515" s="48"/>
      <c r="U515" s="48"/>
      <c r="V515" s="48"/>
      <c r="W515" s="48"/>
      <c r="X515" s="48"/>
      <c r="Y515" s="48"/>
      <c r="Z515" s="48"/>
    </row>
    <row r="516" ht="15.75" customHeight="1">
      <c r="A516" s="49"/>
      <c r="B516" s="49"/>
      <c r="C516" s="49"/>
      <c r="D516" s="49"/>
      <c r="E516" s="49"/>
      <c r="F516" s="49"/>
      <c r="G516" s="49"/>
      <c r="H516" s="49"/>
      <c r="I516" s="49"/>
      <c r="J516" s="49"/>
      <c r="K516" s="49"/>
      <c r="L516" s="49"/>
      <c r="M516" s="49"/>
      <c r="N516" s="49"/>
      <c r="O516" s="48"/>
      <c r="P516" s="48"/>
      <c r="Q516" s="48"/>
      <c r="R516" s="48"/>
      <c r="S516" s="48"/>
      <c r="T516" s="48"/>
      <c r="U516" s="48"/>
      <c r="V516" s="48"/>
      <c r="W516" s="48"/>
      <c r="X516" s="48"/>
      <c r="Y516" s="48"/>
      <c r="Z516" s="48"/>
    </row>
    <row r="517" ht="15.75" customHeight="1">
      <c r="A517" s="49"/>
      <c r="B517" s="49"/>
      <c r="C517" s="49"/>
      <c r="D517" s="49"/>
      <c r="E517" s="49"/>
      <c r="F517" s="49"/>
      <c r="G517" s="49"/>
      <c r="H517" s="49"/>
      <c r="I517" s="49"/>
      <c r="J517" s="49"/>
      <c r="K517" s="49"/>
      <c r="L517" s="49"/>
      <c r="M517" s="49"/>
      <c r="N517" s="49"/>
      <c r="O517" s="48"/>
      <c r="P517" s="48"/>
      <c r="Q517" s="48"/>
      <c r="R517" s="48"/>
      <c r="S517" s="48"/>
      <c r="T517" s="48"/>
      <c r="U517" s="48"/>
      <c r="V517" s="48"/>
      <c r="W517" s="48"/>
      <c r="X517" s="48"/>
      <c r="Y517" s="48"/>
      <c r="Z517" s="48"/>
    </row>
    <row r="518" ht="15.75" customHeight="1">
      <c r="A518" s="49"/>
      <c r="B518" s="49"/>
      <c r="C518" s="49"/>
      <c r="D518" s="49"/>
      <c r="E518" s="49"/>
      <c r="F518" s="49"/>
      <c r="G518" s="49"/>
      <c r="H518" s="49"/>
      <c r="I518" s="49"/>
      <c r="J518" s="49"/>
      <c r="K518" s="49"/>
      <c r="L518" s="49"/>
      <c r="M518" s="49"/>
      <c r="N518" s="49"/>
      <c r="O518" s="48"/>
      <c r="P518" s="48"/>
      <c r="Q518" s="48"/>
      <c r="R518" s="48"/>
      <c r="S518" s="48"/>
      <c r="T518" s="48"/>
      <c r="U518" s="48"/>
      <c r="V518" s="48"/>
      <c r="W518" s="48"/>
      <c r="X518" s="48"/>
      <c r="Y518" s="48"/>
      <c r="Z518" s="48"/>
    </row>
    <row r="519" ht="15.75" customHeight="1">
      <c r="A519" s="49"/>
      <c r="B519" s="49"/>
      <c r="C519" s="49"/>
      <c r="D519" s="49"/>
      <c r="E519" s="49"/>
      <c r="F519" s="49"/>
      <c r="G519" s="49"/>
      <c r="H519" s="49"/>
      <c r="I519" s="49"/>
      <c r="J519" s="49"/>
      <c r="K519" s="49"/>
      <c r="L519" s="49"/>
      <c r="M519" s="49"/>
      <c r="N519" s="49"/>
      <c r="O519" s="48"/>
      <c r="P519" s="48"/>
      <c r="Q519" s="48"/>
      <c r="R519" s="48"/>
      <c r="S519" s="48"/>
      <c r="T519" s="48"/>
      <c r="U519" s="48"/>
      <c r="V519" s="48"/>
      <c r="W519" s="48"/>
      <c r="X519" s="48"/>
      <c r="Y519" s="48"/>
      <c r="Z519" s="48"/>
    </row>
    <row r="520" ht="15.75" customHeight="1">
      <c r="A520" s="49"/>
      <c r="B520" s="49"/>
      <c r="C520" s="49"/>
      <c r="D520" s="49"/>
      <c r="E520" s="49"/>
      <c r="F520" s="49"/>
      <c r="G520" s="49"/>
      <c r="H520" s="49"/>
      <c r="I520" s="49"/>
      <c r="J520" s="49"/>
      <c r="K520" s="49"/>
      <c r="L520" s="49"/>
      <c r="M520" s="49"/>
      <c r="N520" s="49"/>
      <c r="O520" s="48"/>
      <c r="P520" s="48"/>
      <c r="Q520" s="48"/>
      <c r="R520" s="48"/>
      <c r="S520" s="48"/>
      <c r="T520" s="48"/>
      <c r="U520" s="48"/>
      <c r="V520" s="48"/>
      <c r="W520" s="48"/>
      <c r="X520" s="48"/>
      <c r="Y520" s="48"/>
      <c r="Z520" s="48"/>
    </row>
    <row r="521" ht="15.75" customHeight="1">
      <c r="A521" s="49"/>
      <c r="B521" s="49"/>
      <c r="C521" s="49"/>
      <c r="D521" s="49"/>
      <c r="E521" s="49"/>
      <c r="F521" s="49"/>
      <c r="G521" s="49"/>
      <c r="H521" s="49"/>
      <c r="I521" s="49"/>
      <c r="J521" s="49"/>
      <c r="K521" s="49"/>
      <c r="L521" s="49"/>
      <c r="M521" s="49"/>
      <c r="N521" s="49"/>
      <c r="O521" s="48"/>
      <c r="P521" s="48"/>
      <c r="Q521" s="48"/>
      <c r="R521" s="48"/>
      <c r="S521" s="48"/>
      <c r="T521" s="48"/>
      <c r="U521" s="48"/>
      <c r="V521" s="48"/>
      <c r="W521" s="48"/>
      <c r="X521" s="48"/>
      <c r="Y521" s="48"/>
      <c r="Z521" s="48"/>
    </row>
    <row r="522" ht="15.75" customHeight="1">
      <c r="A522" s="49"/>
      <c r="B522" s="49"/>
      <c r="C522" s="49"/>
      <c r="D522" s="49"/>
      <c r="E522" s="49"/>
      <c r="F522" s="49"/>
      <c r="G522" s="49"/>
      <c r="H522" s="49"/>
      <c r="I522" s="49"/>
      <c r="J522" s="49"/>
      <c r="K522" s="49"/>
      <c r="L522" s="49"/>
      <c r="M522" s="49"/>
      <c r="N522" s="49"/>
      <c r="O522" s="48"/>
      <c r="P522" s="48"/>
      <c r="Q522" s="48"/>
      <c r="R522" s="48"/>
      <c r="S522" s="48"/>
      <c r="T522" s="48"/>
      <c r="U522" s="48"/>
      <c r="V522" s="48"/>
      <c r="W522" s="48"/>
      <c r="X522" s="48"/>
      <c r="Y522" s="48"/>
      <c r="Z522" s="48"/>
    </row>
    <row r="523" ht="15.75" customHeight="1">
      <c r="A523" s="49"/>
      <c r="B523" s="49"/>
      <c r="C523" s="49"/>
      <c r="D523" s="49"/>
      <c r="E523" s="49"/>
      <c r="F523" s="49"/>
      <c r="G523" s="49"/>
      <c r="H523" s="49"/>
      <c r="I523" s="49"/>
      <c r="J523" s="49"/>
      <c r="K523" s="49"/>
      <c r="L523" s="49"/>
      <c r="M523" s="49"/>
      <c r="N523" s="49"/>
      <c r="O523" s="48"/>
      <c r="P523" s="48"/>
      <c r="Q523" s="48"/>
      <c r="R523" s="48"/>
      <c r="S523" s="48"/>
      <c r="T523" s="48"/>
      <c r="U523" s="48"/>
      <c r="V523" s="48"/>
      <c r="W523" s="48"/>
      <c r="X523" s="48"/>
      <c r="Y523" s="48"/>
      <c r="Z523" s="48"/>
    </row>
    <row r="524" ht="15.75" customHeight="1">
      <c r="A524" s="49"/>
      <c r="B524" s="49"/>
      <c r="C524" s="49"/>
      <c r="D524" s="49"/>
      <c r="E524" s="49"/>
      <c r="F524" s="49"/>
      <c r="G524" s="49"/>
      <c r="H524" s="49"/>
      <c r="I524" s="49"/>
      <c r="J524" s="49"/>
      <c r="K524" s="49"/>
      <c r="L524" s="49"/>
      <c r="M524" s="49"/>
      <c r="N524" s="49"/>
      <c r="O524" s="48"/>
      <c r="P524" s="48"/>
      <c r="Q524" s="48"/>
      <c r="R524" s="48"/>
      <c r="S524" s="48"/>
      <c r="T524" s="48"/>
      <c r="U524" s="48"/>
      <c r="V524" s="48"/>
      <c r="W524" s="48"/>
      <c r="X524" s="48"/>
      <c r="Y524" s="48"/>
      <c r="Z524" s="48"/>
    </row>
    <row r="525" ht="15.75" customHeight="1">
      <c r="A525" s="49"/>
      <c r="B525" s="49"/>
      <c r="C525" s="49"/>
      <c r="D525" s="49"/>
      <c r="E525" s="49"/>
      <c r="F525" s="49"/>
      <c r="G525" s="49"/>
      <c r="H525" s="49"/>
      <c r="I525" s="49"/>
      <c r="J525" s="49"/>
      <c r="K525" s="49"/>
      <c r="L525" s="49"/>
      <c r="M525" s="49"/>
      <c r="N525" s="49"/>
      <c r="O525" s="48"/>
      <c r="P525" s="48"/>
      <c r="Q525" s="48"/>
      <c r="R525" s="48"/>
      <c r="S525" s="48"/>
      <c r="T525" s="48"/>
      <c r="U525" s="48"/>
      <c r="V525" s="48"/>
      <c r="W525" s="48"/>
      <c r="X525" s="48"/>
      <c r="Y525" s="48"/>
      <c r="Z525" s="48"/>
    </row>
    <row r="526" ht="15.75" customHeight="1">
      <c r="A526" s="49"/>
      <c r="B526" s="49"/>
      <c r="C526" s="49"/>
      <c r="D526" s="49"/>
      <c r="E526" s="49"/>
      <c r="F526" s="49"/>
      <c r="G526" s="49"/>
      <c r="H526" s="49"/>
      <c r="I526" s="49"/>
      <c r="J526" s="49"/>
      <c r="K526" s="49"/>
      <c r="L526" s="49"/>
      <c r="M526" s="49"/>
      <c r="N526" s="49"/>
      <c r="O526" s="48"/>
      <c r="P526" s="48"/>
      <c r="Q526" s="48"/>
      <c r="R526" s="48"/>
      <c r="S526" s="48"/>
      <c r="T526" s="48"/>
      <c r="U526" s="48"/>
      <c r="V526" s="48"/>
      <c r="W526" s="48"/>
      <c r="X526" s="48"/>
      <c r="Y526" s="48"/>
      <c r="Z526" s="48"/>
    </row>
    <row r="527" ht="15.75" customHeight="1">
      <c r="A527" s="49"/>
      <c r="B527" s="49"/>
      <c r="C527" s="49"/>
      <c r="D527" s="49"/>
      <c r="E527" s="49"/>
      <c r="F527" s="49"/>
      <c r="G527" s="49"/>
      <c r="H527" s="49"/>
      <c r="I527" s="49"/>
      <c r="J527" s="49"/>
      <c r="K527" s="49"/>
      <c r="L527" s="49"/>
      <c r="M527" s="49"/>
      <c r="N527" s="49"/>
      <c r="O527" s="48"/>
      <c r="P527" s="48"/>
      <c r="Q527" s="48"/>
      <c r="R527" s="48"/>
      <c r="S527" s="48"/>
      <c r="T527" s="48"/>
      <c r="U527" s="48"/>
      <c r="V527" s="48"/>
      <c r="W527" s="48"/>
      <c r="X527" s="48"/>
      <c r="Y527" s="48"/>
      <c r="Z527" s="48"/>
    </row>
    <row r="528" ht="15.75" customHeight="1">
      <c r="A528" s="49"/>
      <c r="B528" s="49"/>
      <c r="C528" s="49"/>
      <c r="D528" s="49"/>
      <c r="E528" s="49"/>
      <c r="F528" s="49"/>
      <c r="G528" s="49"/>
      <c r="H528" s="49"/>
      <c r="I528" s="49"/>
      <c r="J528" s="49"/>
      <c r="K528" s="49"/>
      <c r="L528" s="49"/>
      <c r="M528" s="49"/>
      <c r="N528" s="49"/>
      <c r="O528" s="48"/>
      <c r="P528" s="48"/>
      <c r="Q528" s="48"/>
      <c r="R528" s="48"/>
      <c r="S528" s="48"/>
      <c r="T528" s="48"/>
      <c r="U528" s="48"/>
      <c r="V528" s="48"/>
      <c r="W528" s="48"/>
      <c r="X528" s="48"/>
      <c r="Y528" s="48"/>
      <c r="Z528" s="48"/>
    </row>
    <row r="529" ht="15.75" customHeight="1">
      <c r="A529" s="49"/>
      <c r="B529" s="49"/>
      <c r="C529" s="49"/>
      <c r="D529" s="49"/>
      <c r="E529" s="49"/>
      <c r="F529" s="49"/>
      <c r="G529" s="49"/>
      <c r="H529" s="49"/>
      <c r="I529" s="49"/>
      <c r="J529" s="49"/>
      <c r="K529" s="49"/>
      <c r="L529" s="49"/>
      <c r="M529" s="49"/>
      <c r="N529" s="49"/>
      <c r="O529" s="48"/>
      <c r="P529" s="48"/>
      <c r="Q529" s="48"/>
      <c r="R529" s="48"/>
      <c r="S529" s="48"/>
      <c r="T529" s="48"/>
      <c r="U529" s="48"/>
      <c r="V529" s="48"/>
      <c r="W529" s="48"/>
      <c r="X529" s="48"/>
      <c r="Y529" s="48"/>
      <c r="Z529" s="48"/>
    </row>
    <row r="530" ht="15.75" customHeight="1">
      <c r="A530" s="49"/>
      <c r="B530" s="49"/>
      <c r="C530" s="49"/>
      <c r="D530" s="49"/>
      <c r="E530" s="49"/>
      <c r="F530" s="49"/>
      <c r="G530" s="49"/>
      <c r="H530" s="49"/>
      <c r="I530" s="49"/>
      <c r="J530" s="49"/>
      <c r="K530" s="49"/>
      <c r="L530" s="49"/>
      <c r="M530" s="49"/>
      <c r="N530" s="49"/>
      <c r="O530" s="48"/>
      <c r="P530" s="48"/>
      <c r="Q530" s="48"/>
      <c r="R530" s="48"/>
      <c r="S530" s="48"/>
      <c r="T530" s="48"/>
      <c r="U530" s="48"/>
      <c r="V530" s="48"/>
      <c r="W530" s="48"/>
      <c r="X530" s="48"/>
      <c r="Y530" s="48"/>
      <c r="Z530" s="48"/>
    </row>
    <row r="531" ht="15.75" customHeight="1">
      <c r="A531" s="49"/>
      <c r="B531" s="49"/>
      <c r="C531" s="49"/>
      <c r="D531" s="49"/>
      <c r="E531" s="49"/>
      <c r="F531" s="49"/>
      <c r="G531" s="49"/>
      <c r="H531" s="49"/>
      <c r="I531" s="49"/>
      <c r="J531" s="49"/>
      <c r="K531" s="49"/>
      <c r="L531" s="49"/>
      <c r="M531" s="49"/>
      <c r="N531" s="49"/>
      <c r="O531" s="48"/>
      <c r="P531" s="48"/>
      <c r="Q531" s="48"/>
      <c r="R531" s="48"/>
      <c r="S531" s="48"/>
      <c r="T531" s="48"/>
      <c r="U531" s="48"/>
      <c r="V531" s="48"/>
      <c r="W531" s="48"/>
      <c r="X531" s="48"/>
      <c r="Y531" s="48"/>
      <c r="Z531" s="48"/>
    </row>
    <row r="532" ht="15.75" customHeight="1">
      <c r="A532" s="49"/>
      <c r="B532" s="49"/>
      <c r="C532" s="49"/>
      <c r="D532" s="49"/>
      <c r="E532" s="49"/>
      <c r="F532" s="49"/>
      <c r="G532" s="49"/>
      <c r="H532" s="49"/>
      <c r="I532" s="49"/>
      <c r="J532" s="49"/>
      <c r="K532" s="49"/>
      <c r="L532" s="49"/>
      <c r="M532" s="49"/>
      <c r="N532" s="49"/>
      <c r="O532" s="48"/>
      <c r="P532" s="48"/>
      <c r="Q532" s="48"/>
      <c r="R532" s="48"/>
      <c r="S532" s="48"/>
      <c r="T532" s="48"/>
      <c r="U532" s="48"/>
      <c r="V532" s="48"/>
      <c r="W532" s="48"/>
      <c r="X532" s="48"/>
      <c r="Y532" s="48"/>
      <c r="Z532" s="48"/>
    </row>
    <row r="533" ht="15.75" customHeight="1">
      <c r="A533" s="49"/>
      <c r="B533" s="49"/>
      <c r="C533" s="49"/>
      <c r="D533" s="49"/>
      <c r="E533" s="49"/>
      <c r="F533" s="49"/>
      <c r="G533" s="49"/>
      <c r="H533" s="49"/>
      <c r="I533" s="49"/>
      <c r="J533" s="49"/>
      <c r="K533" s="49"/>
      <c r="L533" s="49"/>
      <c r="M533" s="49"/>
      <c r="N533" s="49"/>
      <c r="O533" s="48"/>
      <c r="P533" s="48"/>
      <c r="Q533" s="48"/>
      <c r="R533" s="48"/>
      <c r="S533" s="48"/>
      <c r="T533" s="48"/>
      <c r="U533" s="48"/>
      <c r="V533" s="48"/>
      <c r="W533" s="48"/>
      <c r="X533" s="48"/>
      <c r="Y533" s="48"/>
      <c r="Z533" s="48"/>
    </row>
    <row r="534" ht="15.75" customHeight="1">
      <c r="A534" s="49"/>
      <c r="B534" s="49"/>
      <c r="C534" s="49"/>
      <c r="D534" s="49"/>
      <c r="E534" s="49"/>
      <c r="F534" s="49"/>
      <c r="G534" s="49"/>
      <c r="H534" s="49"/>
      <c r="I534" s="49"/>
      <c r="J534" s="49"/>
      <c r="K534" s="49"/>
      <c r="L534" s="49"/>
      <c r="M534" s="49"/>
      <c r="N534" s="49"/>
      <c r="O534" s="48"/>
      <c r="P534" s="48"/>
      <c r="Q534" s="48"/>
      <c r="R534" s="48"/>
      <c r="S534" s="48"/>
      <c r="T534" s="48"/>
      <c r="U534" s="48"/>
      <c r="V534" s="48"/>
      <c r="W534" s="48"/>
      <c r="X534" s="48"/>
      <c r="Y534" s="48"/>
      <c r="Z534" s="48"/>
    </row>
    <row r="535" ht="15.75" customHeight="1">
      <c r="A535" s="49"/>
      <c r="B535" s="49"/>
      <c r="C535" s="49"/>
      <c r="D535" s="49"/>
      <c r="E535" s="49"/>
      <c r="F535" s="49"/>
      <c r="G535" s="49"/>
      <c r="H535" s="49"/>
      <c r="I535" s="49"/>
      <c r="J535" s="49"/>
      <c r="K535" s="49"/>
      <c r="L535" s="49"/>
      <c r="M535" s="49"/>
      <c r="N535" s="49"/>
      <c r="O535" s="48"/>
      <c r="P535" s="48"/>
      <c r="Q535" s="48"/>
      <c r="R535" s="48"/>
      <c r="S535" s="48"/>
      <c r="T535" s="48"/>
      <c r="U535" s="48"/>
      <c r="V535" s="48"/>
      <c r="W535" s="48"/>
      <c r="X535" s="48"/>
      <c r="Y535" s="48"/>
      <c r="Z535" s="48"/>
    </row>
    <row r="536" ht="15.75" customHeight="1">
      <c r="A536" s="49"/>
      <c r="B536" s="49"/>
      <c r="C536" s="49"/>
      <c r="D536" s="49"/>
      <c r="E536" s="49"/>
      <c r="F536" s="49"/>
      <c r="G536" s="49"/>
      <c r="H536" s="49"/>
      <c r="I536" s="49"/>
      <c r="J536" s="49"/>
      <c r="K536" s="49"/>
      <c r="L536" s="49"/>
      <c r="M536" s="49"/>
      <c r="N536" s="49"/>
      <c r="O536" s="48"/>
      <c r="P536" s="48"/>
      <c r="Q536" s="48"/>
      <c r="R536" s="48"/>
      <c r="S536" s="48"/>
      <c r="T536" s="48"/>
      <c r="U536" s="48"/>
      <c r="V536" s="48"/>
      <c r="W536" s="48"/>
      <c r="X536" s="48"/>
      <c r="Y536" s="48"/>
      <c r="Z536" s="48"/>
    </row>
    <row r="537" ht="15.75" customHeight="1">
      <c r="A537" s="49"/>
      <c r="B537" s="49"/>
      <c r="C537" s="49"/>
      <c r="D537" s="49"/>
      <c r="E537" s="49"/>
      <c r="F537" s="49"/>
      <c r="G537" s="49"/>
      <c r="H537" s="49"/>
      <c r="I537" s="49"/>
      <c r="J537" s="49"/>
      <c r="K537" s="49"/>
      <c r="L537" s="49"/>
      <c r="M537" s="49"/>
      <c r="N537" s="49"/>
      <c r="O537" s="48"/>
      <c r="P537" s="48"/>
      <c r="Q537" s="48"/>
      <c r="R537" s="48"/>
      <c r="S537" s="48"/>
      <c r="T537" s="48"/>
      <c r="U537" s="48"/>
      <c r="V537" s="48"/>
      <c r="W537" s="48"/>
      <c r="X537" s="48"/>
      <c r="Y537" s="48"/>
      <c r="Z537" s="48"/>
    </row>
    <row r="538" ht="15.75" customHeight="1">
      <c r="A538" s="49"/>
      <c r="B538" s="49"/>
      <c r="C538" s="49"/>
      <c r="D538" s="49"/>
      <c r="E538" s="49"/>
      <c r="F538" s="49"/>
      <c r="G538" s="49"/>
      <c r="H538" s="49"/>
      <c r="I538" s="49"/>
      <c r="J538" s="49"/>
      <c r="K538" s="49"/>
      <c r="L538" s="49"/>
      <c r="M538" s="49"/>
      <c r="N538" s="49"/>
      <c r="O538" s="48"/>
      <c r="P538" s="48"/>
      <c r="Q538" s="48"/>
      <c r="R538" s="48"/>
      <c r="S538" s="48"/>
      <c r="T538" s="48"/>
      <c r="U538" s="48"/>
      <c r="V538" s="48"/>
      <c r="W538" s="48"/>
      <c r="X538" s="48"/>
      <c r="Y538" s="48"/>
      <c r="Z538" s="48"/>
    </row>
    <row r="539" ht="15.75" customHeight="1">
      <c r="A539" s="49"/>
      <c r="B539" s="49"/>
      <c r="C539" s="49"/>
      <c r="D539" s="49"/>
      <c r="E539" s="49"/>
      <c r="F539" s="49"/>
      <c r="G539" s="49"/>
      <c r="H539" s="49"/>
      <c r="I539" s="49"/>
      <c r="J539" s="49"/>
      <c r="K539" s="49"/>
      <c r="L539" s="49"/>
      <c r="M539" s="49"/>
      <c r="N539" s="49"/>
      <c r="O539" s="48"/>
      <c r="P539" s="48"/>
      <c r="Q539" s="48"/>
      <c r="R539" s="48"/>
      <c r="S539" s="48"/>
      <c r="T539" s="48"/>
      <c r="U539" s="48"/>
      <c r="V539" s="48"/>
      <c r="W539" s="48"/>
      <c r="X539" s="48"/>
      <c r="Y539" s="48"/>
      <c r="Z539" s="48"/>
    </row>
    <row r="540" ht="15.75" customHeight="1">
      <c r="A540" s="49"/>
      <c r="B540" s="49"/>
      <c r="C540" s="49"/>
      <c r="D540" s="49"/>
      <c r="E540" s="49"/>
      <c r="F540" s="49"/>
      <c r="G540" s="49"/>
      <c r="H540" s="49"/>
      <c r="I540" s="49"/>
      <c r="J540" s="49"/>
      <c r="K540" s="49"/>
      <c r="L540" s="49"/>
      <c r="M540" s="49"/>
      <c r="N540" s="49"/>
      <c r="O540" s="48"/>
      <c r="P540" s="48"/>
      <c r="Q540" s="48"/>
      <c r="R540" s="48"/>
      <c r="S540" s="48"/>
      <c r="T540" s="48"/>
      <c r="U540" s="48"/>
      <c r="V540" s="48"/>
      <c r="W540" s="48"/>
      <c r="X540" s="48"/>
      <c r="Y540" s="48"/>
      <c r="Z540" s="48"/>
    </row>
    <row r="541" ht="15.75" customHeight="1">
      <c r="A541" s="49"/>
      <c r="B541" s="49"/>
      <c r="C541" s="49"/>
      <c r="D541" s="49"/>
      <c r="E541" s="49"/>
      <c r="F541" s="49"/>
      <c r="G541" s="49"/>
      <c r="H541" s="49"/>
      <c r="I541" s="49"/>
      <c r="J541" s="49"/>
      <c r="K541" s="49"/>
      <c r="L541" s="49"/>
      <c r="M541" s="49"/>
      <c r="N541" s="49"/>
      <c r="O541" s="48"/>
      <c r="P541" s="48"/>
      <c r="Q541" s="48"/>
      <c r="R541" s="48"/>
      <c r="S541" s="48"/>
      <c r="T541" s="48"/>
      <c r="U541" s="48"/>
      <c r="V541" s="48"/>
      <c r="W541" s="48"/>
      <c r="X541" s="48"/>
      <c r="Y541" s="48"/>
      <c r="Z541" s="48"/>
    </row>
    <row r="542" ht="15.75" customHeight="1">
      <c r="A542" s="49"/>
      <c r="B542" s="49"/>
      <c r="C542" s="49"/>
      <c r="D542" s="49"/>
      <c r="E542" s="49"/>
      <c r="F542" s="49"/>
      <c r="G542" s="49"/>
      <c r="H542" s="49"/>
      <c r="I542" s="49"/>
      <c r="J542" s="49"/>
      <c r="K542" s="49"/>
      <c r="L542" s="49"/>
      <c r="M542" s="49"/>
      <c r="N542" s="49"/>
      <c r="O542" s="48"/>
      <c r="P542" s="48"/>
      <c r="Q542" s="48"/>
      <c r="R542" s="48"/>
      <c r="S542" s="48"/>
      <c r="T542" s="48"/>
      <c r="U542" s="48"/>
      <c r="V542" s="48"/>
      <c r="W542" s="48"/>
      <c r="X542" s="48"/>
      <c r="Y542" s="48"/>
      <c r="Z542" s="48"/>
    </row>
    <row r="543" ht="15.75" customHeight="1">
      <c r="A543" s="49"/>
      <c r="B543" s="49"/>
      <c r="C543" s="49"/>
      <c r="D543" s="49"/>
      <c r="E543" s="49"/>
      <c r="F543" s="49"/>
      <c r="G543" s="49"/>
      <c r="H543" s="49"/>
      <c r="I543" s="49"/>
      <c r="J543" s="49"/>
      <c r="K543" s="49"/>
      <c r="L543" s="49"/>
      <c r="M543" s="49"/>
      <c r="N543" s="49"/>
      <c r="O543" s="48"/>
      <c r="P543" s="48"/>
      <c r="Q543" s="48"/>
      <c r="R543" s="48"/>
      <c r="S543" s="48"/>
      <c r="T543" s="48"/>
      <c r="U543" s="48"/>
      <c r="V543" s="48"/>
      <c r="W543" s="48"/>
      <c r="X543" s="48"/>
      <c r="Y543" s="48"/>
      <c r="Z543" s="48"/>
    </row>
    <row r="544" ht="15.75" customHeight="1">
      <c r="A544" s="49"/>
      <c r="B544" s="49"/>
      <c r="C544" s="49"/>
      <c r="D544" s="49"/>
      <c r="E544" s="49"/>
      <c r="F544" s="49"/>
      <c r="G544" s="49"/>
      <c r="H544" s="49"/>
      <c r="I544" s="49"/>
      <c r="J544" s="49"/>
      <c r="K544" s="49"/>
      <c r="L544" s="49"/>
      <c r="M544" s="49"/>
      <c r="N544" s="49"/>
      <c r="O544" s="48"/>
      <c r="P544" s="48"/>
      <c r="Q544" s="48"/>
      <c r="R544" s="48"/>
      <c r="S544" s="48"/>
      <c r="T544" s="48"/>
      <c r="U544" s="48"/>
      <c r="V544" s="48"/>
      <c r="W544" s="48"/>
      <c r="X544" s="48"/>
      <c r="Y544" s="48"/>
      <c r="Z544" s="48"/>
    </row>
    <row r="545" ht="15.75" customHeight="1">
      <c r="A545" s="49"/>
      <c r="B545" s="49"/>
      <c r="C545" s="49"/>
      <c r="D545" s="49"/>
      <c r="E545" s="49"/>
      <c r="F545" s="49"/>
      <c r="G545" s="49"/>
      <c r="H545" s="49"/>
      <c r="I545" s="49"/>
      <c r="J545" s="49"/>
      <c r="K545" s="49"/>
      <c r="L545" s="49"/>
      <c r="M545" s="49"/>
      <c r="N545" s="49"/>
      <c r="O545" s="48"/>
      <c r="P545" s="48"/>
      <c r="Q545" s="48"/>
      <c r="R545" s="48"/>
      <c r="S545" s="48"/>
      <c r="T545" s="48"/>
      <c r="U545" s="48"/>
      <c r="V545" s="48"/>
      <c r="W545" s="48"/>
      <c r="X545" s="48"/>
      <c r="Y545" s="48"/>
      <c r="Z545" s="48"/>
    </row>
    <row r="546" ht="15.75" customHeight="1">
      <c r="A546" s="49"/>
      <c r="B546" s="49"/>
      <c r="C546" s="49"/>
      <c r="D546" s="49"/>
      <c r="E546" s="49"/>
      <c r="F546" s="49"/>
      <c r="G546" s="49"/>
      <c r="H546" s="49"/>
      <c r="I546" s="49"/>
      <c r="J546" s="49"/>
      <c r="K546" s="49"/>
      <c r="L546" s="49"/>
      <c r="M546" s="49"/>
      <c r="N546" s="49"/>
      <c r="O546" s="48"/>
      <c r="P546" s="48"/>
      <c r="Q546" s="48"/>
      <c r="R546" s="48"/>
      <c r="S546" s="48"/>
      <c r="T546" s="48"/>
      <c r="U546" s="48"/>
      <c r="V546" s="48"/>
      <c r="W546" s="48"/>
      <c r="X546" s="48"/>
      <c r="Y546" s="48"/>
      <c r="Z546" s="48"/>
    </row>
    <row r="547" ht="15.75" customHeight="1">
      <c r="A547" s="49"/>
      <c r="B547" s="49"/>
      <c r="C547" s="49"/>
      <c r="D547" s="49"/>
      <c r="E547" s="49"/>
      <c r="F547" s="49"/>
      <c r="G547" s="49"/>
      <c r="H547" s="49"/>
      <c r="I547" s="49"/>
      <c r="J547" s="49"/>
      <c r="K547" s="49"/>
      <c r="L547" s="49"/>
      <c r="M547" s="49"/>
      <c r="N547" s="49"/>
      <c r="O547" s="48"/>
      <c r="P547" s="48"/>
      <c r="Q547" s="48"/>
      <c r="R547" s="48"/>
      <c r="S547" s="48"/>
      <c r="T547" s="48"/>
      <c r="U547" s="48"/>
      <c r="V547" s="48"/>
      <c r="W547" s="48"/>
      <c r="X547" s="48"/>
      <c r="Y547" s="48"/>
      <c r="Z547" s="48"/>
    </row>
    <row r="548" ht="15.75" customHeight="1">
      <c r="A548" s="49"/>
      <c r="B548" s="49"/>
      <c r="C548" s="49"/>
      <c r="D548" s="49"/>
      <c r="E548" s="49"/>
      <c r="F548" s="49"/>
      <c r="G548" s="49"/>
      <c r="H548" s="49"/>
      <c r="I548" s="49"/>
      <c r="J548" s="49"/>
      <c r="K548" s="49"/>
      <c r="L548" s="49"/>
      <c r="M548" s="49"/>
      <c r="N548" s="49"/>
      <c r="O548" s="48"/>
      <c r="P548" s="48"/>
      <c r="Q548" s="48"/>
      <c r="R548" s="48"/>
      <c r="S548" s="48"/>
      <c r="T548" s="48"/>
      <c r="U548" s="48"/>
      <c r="V548" s="48"/>
      <c r="W548" s="48"/>
      <c r="X548" s="48"/>
      <c r="Y548" s="48"/>
      <c r="Z548" s="48"/>
    </row>
    <row r="549" ht="15.75" customHeight="1">
      <c r="A549" s="49"/>
      <c r="B549" s="49"/>
      <c r="C549" s="49"/>
      <c r="D549" s="49"/>
      <c r="E549" s="49"/>
      <c r="F549" s="49"/>
      <c r="G549" s="49"/>
      <c r="H549" s="49"/>
      <c r="I549" s="49"/>
      <c r="J549" s="49"/>
      <c r="K549" s="49"/>
      <c r="L549" s="49"/>
      <c r="M549" s="49"/>
      <c r="N549" s="49"/>
      <c r="O549" s="48"/>
      <c r="P549" s="48"/>
      <c r="Q549" s="48"/>
      <c r="R549" s="48"/>
      <c r="S549" s="48"/>
      <c r="T549" s="48"/>
      <c r="U549" s="48"/>
      <c r="V549" s="48"/>
      <c r="W549" s="48"/>
      <c r="X549" s="48"/>
      <c r="Y549" s="48"/>
      <c r="Z549" s="48"/>
    </row>
    <row r="550" ht="15.75" customHeight="1">
      <c r="A550" s="49"/>
      <c r="B550" s="49"/>
      <c r="C550" s="49"/>
      <c r="D550" s="49"/>
      <c r="E550" s="49"/>
      <c r="F550" s="49"/>
      <c r="G550" s="49"/>
      <c r="H550" s="49"/>
      <c r="I550" s="49"/>
      <c r="J550" s="49"/>
      <c r="K550" s="49"/>
      <c r="L550" s="49"/>
      <c r="M550" s="49"/>
      <c r="N550" s="49"/>
      <c r="O550" s="48"/>
      <c r="P550" s="48"/>
      <c r="Q550" s="48"/>
      <c r="R550" s="48"/>
      <c r="S550" s="48"/>
      <c r="T550" s="48"/>
      <c r="U550" s="48"/>
      <c r="V550" s="48"/>
      <c r="W550" s="48"/>
      <c r="X550" s="48"/>
      <c r="Y550" s="48"/>
      <c r="Z550" s="48"/>
    </row>
    <row r="551" ht="15.75" customHeight="1">
      <c r="A551" s="49"/>
      <c r="B551" s="49"/>
      <c r="C551" s="49"/>
      <c r="D551" s="49"/>
      <c r="E551" s="49"/>
      <c r="F551" s="49"/>
      <c r="G551" s="49"/>
      <c r="H551" s="49"/>
      <c r="I551" s="49"/>
      <c r="J551" s="49"/>
      <c r="K551" s="49"/>
      <c r="L551" s="49"/>
      <c r="M551" s="49"/>
      <c r="N551" s="49"/>
      <c r="O551" s="48"/>
      <c r="P551" s="48"/>
      <c r="Q551" s="48"/>
      <c r="R551" s="48"/>
      <c r="S551" s="48"/>
      <c r="T551" s="48"/>
      <c r="U551" s="48"/>
      <c r="V551" s="48"/>
      <c r="W551" s="48"/>
      <c r="X551" s="48"/>
      <c r="Y551" s="48"/>
      <c r="Z551" s="48"/>
    </row>
    <row r="552" ht="15.75" customHeight="1">
      <c r="A552" s="49"/>
      <c r="B552" s="49"/>
      <c r="C552" s="49"/>
      <c r="D552" s="49"/>
      <c r="E552" s="49"/>
      <c r="F552" s="49"/>
      <c r="G552" s="49"/>
      <c r="H552" s="49"/>
      <c r="I552" s="49"/>
      <c r="J552" s="49"/>
      <c r="K552" s="49"/>
      <c r="L552" s="49"/>
      <c r="M552" s="49"/>
      <c r="N552" s="49"/>
      <c r="O552" s="48"/>
      <c r="P552" s="48"/>
      <c r="Q552" s="48"/>
      <c r="R552" s="48"/>
      <c r="S552" s="48"/>
      <c r="T552" s="48"/>
      <c r="U552" s="48"/>
      <c r="V552" s="48"/>
      <c r="W552" s="48"/>
      <c r="X552" s="48"/>
      <c r="Y552" s="48"/>
      <c r="Z552" s="48"/>
    </row>
    <row r="553" ht="15.75" customHeight="1">
      <c r="A553" s="49"/>
      <c r="B553" s="49"/>
      <c r="C553" s="49"/>
      <c r="D553" s="49"/>
      <c r="E553" s="49"/>
      <c r="F553" s="49"/>
      <c r="G553" s="49"/>
      <c r="H553" s="49"/>
      <c r="I553" s="49"/>
      <c r="J553" s="49"/>
      <c r="K553" s="49"/>
      <c r="L553" s="49"/>
      <c r="M553" s="49"/>
      <c r="N553" s="49"/>
      <c r="O553" s="48"/>
      <c r="P553" s="48"/>
      <c r="Q553" s="48"/>
      <c r="R553" s="48"/>
      <c r="S553" s="48"/>
      <c r="T553" s="48"/>
      <c r="U553" s="48"/>
      <c r="V553" s="48"/>
      <c r="W553" s="48"/>
      <c r="X553" s="48"/>
      <c r="Y553" s="48"/>
      <c r="Z553" s="48"/>
    </row>
    <row r="554" ht="15.75" customHeight="1">
      <c r="A554" s="49"/>
      <c r="B554" s="49"/>
      <c r="C554" s="49"/>
      <c r="D554" s="49"/>
      <c r="E554" s="49"/>
      <c r="F554" s="49"/>
      <c r="G554" s="49"/>
      <c r="H554" s="49"/>
      <c r="I554" s="49"/>
      <c r="J554" s="49"/>
      <c r="K554" s="49"/>
      <c r="L554" s="49"/>
      <c r="M554" s="49"/>
      <c r="N554" s="49"/>
      <c r="O554" s="48"/>
      <c r="P554" s="48"/>
      <c r="Q554" s="48"/>
      <c r="R554" s="48"/>
      <c r="S554" s="48"/>
      <c r="T554" s="48"/>
      <c r="U554" s="48"/>
      <c r="V554" s="48"/>
      <c r="W554" s="48"/>
      <c r="X554" s="48"/>
      <c r="Y554" s="48"/>
      <c r="Z554" s="48"/>
    </row>
    <row r="555" ht="15.75" customHeight="1">
      <c r="A555" s="49"/>
      <c r="B555" s="49"/>
      <c r="C555" s="49"/>
      <c r="D555" s="49"/>
      <c r="E555" s="49"/>
      <c r="F555" s="49"/>
      <c r="G555" s="49"/>
      <c r="H555" s="49"/>
      <c r="I555" s="49"/>
      <c r="J555" s="49"/>
      <c r="K555" s="49"/>
      <c r="L555" s="49"/>
      <c r="M555" s="49"/>
      <c r="N555" s="49"/>
      <c r="O555" s="48"/>
      <c r="P555" s="48"/>
      <c r="Q555" s="48"/>
      <c r="R555" s="48"/>
      <c r="S555" s="48"/>
      <c r="T555" s="48"/>
      <c r="U555" s="48"/>
      <c r="V555" s="48"/>
      <c r="W555" s="48"/>
      <c r="X555" s="48"/>
      <c r="Y555" s="48"/>
      <c r="Z555" s="48"/>
    </row>
    <row r="556" ht="15.75" customHeight="1">
      <c r="A556" s="49"/>
      <c r="B556" s="49"/>
      <c r="C556" s="49"/>
      <c r="D556" s="49"/>
      <c r="E556" s="49"/>
      <c r="F556" s="49"/>
      <c r="G556" s="49"/>
      <c r="H556" s="49"/>
      <c r="I556" s="49"/>
      <c r="J556" s="49"/>
      <c r="K556" s="49"/>
      <c r="L556" s="49"/>
      <c r="M556" s="49"/>
      <c r="N556" s="49"/>
      <c r="O556" s="48"/>
      <c r="P556" s="48"/>
      <c r="Q556" s="48"/>
      <c r="R556" s="48"/>
      <c r="S556" s="48"/>
      <c r="T556" s="48"/>
      <c r="U556" s="48"/>
      <c r="V556" s="48"/>
      <c r="W556" s="48"/>
      <c r="X556" s="48"/>
      <c r="Y556" s="48"/>
      <c r="Z556" s="48"/>
    </row>
    <row r="557" ht="15.75" customHeight="1">
      <c r="A557" s="49"/>
      <c r="B557" s="49"/>
      <c r="C557" s="49"/>
      <c r="D557" s="49"/>
      <c r="E557" s="49"/>
      <c r="F557" s="49"/>
      <c r="G557" s="49"/>
      <c r="H557" s="49"/>
      <c r="I557" s="49"/>
      <c r="J557" s="49"/>
      <c r="K557" s="49"/>
      <c r="L557" s="49"/>
      <c r="M557" s="49"/>
      <c r="N557" s="49"/>
      <c r="O557" s="48"/>
      <c r="P557" s="48"/>
      <c r="Q557" s="48"/>
      <c r="R557" s="48"/>
      <c r="S557" s="48"/>
      <c r="T557" s="48"/>
      <c r="U557" s="48"/>
      <c r="V557" s="48"/>
      <c r="W557" s="48"/>
      <c r="X557" s="48"/>
      <c r="Y557" s="48"/>
      <c r="Z557" s="48"/>
    </row>
    <row r="558" ht="15.75" customHeight="1">
      <c r="A558" s="49"/>
      <c r="B558" s="49"/>
      <c r="C558" s="49"/>
      <c r="D558" s="49"/>
      <c r="E558" s="49"/>
      <c r="F558" s="49"/>
      <c r="G558" s="49"/>
      <c r="H558" s="49"/>
      <c r="I558" s="49"/>
      <c r="J558" s="49"/>
      <c r="K558" s="49"/>
      <c r="L558" s="49"/>
      <c r="M558" s="49"/>
      <c r="N558" s="49"/>
      <c r="O558" s="48"/>
      <c r="P558" s="48"/>
      <c r="Q558" s="48"/>
      <c r="R558" s="48"/>
      <c r="S558" s="48"/>
      <c r="T558" s="48"/>
      <c r="U558" s="48"/>
      <c r="V558" s="48"/>
      <c r="W558" s="48"/>
      <c r="X558" s="48"/>
      <c r="Y558" s="48"/>
      <c r="Z558" s="48"/>
    </row>
    <row r="559" ht="15.75" customHeight="1">
      <c r="A559" s="49"/>
      <c r="B559" s="49"/>
      <c r="C559" s="49"/>
      <c r="D559" s="49"/>
      <c r="E559" s="49"/>
      <c r="F559" s="49"/>
      <c r="G559" s="49"/>
      <c r="H559" s="49"/>
      <c r="I559" s="49"/>
      <c r="J559" s="49"/>
      <c r="K559" s="49"/>
      <c r="L559" s="49"/>
      <c r="M559" s="49"/>
      <c r="N559" s="49"/>
      <c r="O559" s="48"/>
      <c r="P559" s="48"/>
      <c r="Q559" s="48"/>
      <c r="R559" s="48"/>
      <c r="S559" s="48"/>
      <c r="T559" s="48"/>
      <c r="U559" s="48"/>
      <c r="V559" s="48"/>
      <c r="W559" s="48"/>
      <c r="X559" s="48"/>
      <c r="Y559" s="48"/>
      <c r="Z559" s="48"/>
    </row>
    <row r="560" ht="15.75" customHeight="1">
      <c r="A560" s="49"/>
      <c r="B560" s="49"/>
      <c r="C560" s="49"/>
      <c r="D560" s="49"/>
      <c r="E560" s="49"/>
      <c r="F560" s="49"/>
      <c r="G560" s="49"/>
      <c r="H560" s="49"/>
      <c r="I560" s="49"/>
      <c r="J560" s="49"/>
      <c r="K560" s="49"/>
      <c r="L560" s="49"/>
      <c r="M560" s="49"/>
      <c r="N560" s="49"/>
      <c r="O560" s="48"/>
      <c r="P560" s="48"/>
      <c r="Q560" s="48"/>
      <c r="R560" s="48"/>
      <c r="S560" s="48"/>
      <c r="T560" s="48"/>
      <c r="U560" s="48"/>
      <c r="V560" s="48"/>
      <c r="W560" s="48"/>
      <c r="X560" s="48"/>
      <c r="Y560" s="48"/>
      <c r="Z560" s="48"/>
    </row>
    <row r="561" ht="15.75" customHeight="1">
      <c r="A561" s="49"/>
      <c r="B561" s="49"/>
      <c r="C561" s="49"/>
      <c r="D561" s="49"/>
      <c r="E561" s="49"/>
      <c r="F561" s="49"/>
      <c r="G561" s="49"/>
      <c r="H561" s="49"/>
      <c r="I561" s="49"/>
      <c r="J561" s="49"/>
      <c r="K561" s="49"/>
      <c r="L561" s="49"/>
      <c r="M561" s="49"/>
      <c r="N561" s="49"/>
      <c r="O561" s="48"/>
      <c r="P561" s="48"/>
      <c r="Q561" s="48"/>
      <c r="R561" s="48"/>
      <c r="S561" s="48"/>
      <c r="T561" s="48"/>
      <c r="U561" s="48"/>
      <c r="V561" s="48"/>
      <c r="W561" s="48"/>
      <c r="X561" s="48"/>
      <c r="Y561" s="48"/>
      <c r="Z561" s="48"/>
    </row>
    <row r="562" ht="15.75" customHeight="1">
      <c r="A562" s="49"/>
      <c r="B562" s="49"/>
      <c r="C562" s="49"/>
      <c r="D562" s="49"/>
      <c r="E562" s="49"/>
      <c r="F562" s="49"/>
      <c r="G562" s="49"/>
      <c r="H562" s="49"/>
      <c r="I562" s="49"/>
      <c r="J562" s="49"/>
      <c r="K562" s="49"/>
      <c r="L562" s="49"/>
      <c r="M562" s="49"/>
      <c r="N562" s="49"/>
      <c r="O562" s="48"/>
      <c r="P562" s="48"/>
      <c r="Q562" s="48"/>
      <c r="R562" s="48"/>
      <c r="S562" s="48"/>
      <c r="T562" s="48"/>
      <c r="U562" s="48"/>
      <c r="V562" s="48"/>
      <c r="W562" s="48"/>
      <c r="X562" s="48"/>
      <c r="Y562" s="48"/>
      <c r="Z562" s="48"/>
    </row>
    <row r="563" ht="15.75" customHeight="1">
      <c r="A563" s="49"/>
      <c r="B563" s="49"/>
      <c r="C563" s="49"/>
      <c r="D563" s="49"/>
      <c r="E563" s="49"/>
      <c r="F563" s="49"/>
      <c r="G563" s="49"/>
      <c r="H563" s="49"/>
      <c r="I563" s="49"/>
      <c r="J563" s="49"/>
      <c r="K563" s="49"/>
      <c r="L563" s="49"/>
      <c r="M563" s="49"/>
      <c r="N563" s="49"/>
      <c r="O563" s="48"/>
      <c r="P563" s="48"/>
      <c r="Q563" s="48"/>
      <c r="R563" s="48"/>
      <c r="S563" s="48"/>
      <c r="T563" s="48"/>
      <c r="U563" s="48"/>
      <c r="V563" s="48"/>
      <c r="W563" s="48"/>
      <c r="X563" s="48"/>
      <c r="Y563" s="48"/>
      <c r="Z563" s="48"/>
    </row>
    <row r="564" ht="15.75" customHeight="1">
      <c r="A564" s="49"/>
      <c r="B564" s="49"/>
      <c r="C564" s="49"/>
      <c r="D564" s="49"/>
      <c r="E564" s="49"/>
      <c r="F564" s="49"/>
      <c r="G564" s="49"/>
      <c r="H564" s="49"/>
      <c r="I564" s="49"/>
      <c r="J564" s="49"/>
      <c r="K564" s="49"/>
      <c r="L564" s="49"/>
      <c r="M564" s="49"/>
      <c r="N564" s="49"/>
      <c r="O564" s="48"/>
      <c r="P564" s="48"/>
      <c r="Q564" s="48"/>
      <c r="R564" s="48"/>
      <c r="S564" s="48"/>
      <c r="T564" s="48"/>
      <c r="U564" s="48"/>
      <c r="V564" s="48"/>
      <c r="W564" s="48"/>
      <c r="X564" s="48"/>
      <c r="Y564" s="48"/>
      <c r="Z564" s="48"/>
    </row>
    <row r="565" ht="15.75" customHeight="1">
      <c r="A565" s="49"/>
      <c r="B565" s="49"/>
      <c r="C565" s="49"/>
      <c r="D565" s="49"/>
      <c r="E565" s="49"/>
      <c r="F565" s="49"/>
      <c r="G565" s="49"/>
      <c r="H565" s="49"/>
      <c r="I565" s="49"/>
      <c r="J565" s="49"/>
      <c r="K565" s="49"/>
      <c r="L565" s="49"/>
      <c r="M565" s="49"/>
      <c r="N565" s="49"/>
      <c r="O565" s="48"/>
      <c r="P565" s="48"/>
      <c r="Q565" s="48"/>
      <c r="R565" s="48"/>
      <c r="S565" s="48"/>
      <c r="T565" s="48"/>
      <c r="U565" s="48"/>
      <c r="V565" s="48"/>
      <c r="W565" s="48"/>
      <c r="X565" s="48"/>
      <c r="Y565" s="48"/>
      <c r="Z565" s="48"/>
    </row>
    <row r="566" ht="15.75" customHeight="1">
      <c r="A566" s="49"/>
      <c r="B566" s="49"/>
      <c r="C566" s="49"/>
      <c r="D566" s="49"/>
      <c r="E566" s="49"/>
      <c r="F566" s="49"/>
      <c r="G566" s="49"/>
      <c r="H566" s="49"/>
      <c r="I566" s="49"/>
      <c r="J566" s="49"/>
      <c r="K566" s="49"/>
      <c r="L566" s="49"/>
      <c r="M566" s="49"/>
      <c r="N566" s="49"/>
      <c r="O566" s="48"/>
      <c r="P566" s="48"/>
      <c r="Q566" s="48"/>
      <c r="R566" s="48"/>
      <c r="S566" s="48"/>
      <c r="T566" s="48"/>
      <c r="U566" s="48"/>
      <c r="V566" s="48"/>
      <c r="W566" s="48"/>
      <c r="X566" s="48"/>
      <c r="Y566" s="48"/>
      <c r="Z566" s="48"/>
    </row>
    <row r="567" ht="15.75" customHeight="1">
      <c r="A567" s="49"/>
      <c r="B567" s="49"/>
      <c r="C567" s="49"/>
      <c r="D567" s="49"/>
      <c r="E567" s="49"/>
      <c r="F567" s="49"/>
      <c r="G567" s="49"/>
      <c r="H567" s="49"/>
      <c r="I567" s="49"/>
      <c r="J567" s="49"/>
      <c r="K567" s="49"/>
      <c r="L567" s="49"/>
      <c r="M567" s="49"/>
      <c r="N567" s="49"/>
      <c r="O567" s="48"/>
      <c r="P567" s="48"/>
      <c r="Q567" s="48"/>
      <c r="R567" s="48"/>
      <c r="S567" s="48"/>
      <c r="T567" s="48"/>
      <c r="U567" s="48"/>
      <c r="V567" s="48"/>
      <c r="W567" s="48"/>
      <c r="X567" s="48"/>
      <c r="Y567" s="48"/>
      <c r="Z567" s="48"/>
    </row>
    <row r="568" ht="15.75" customHeight="1">
      <c r="A568" s="49"/>
      <c r="B568" s="49"/>
      <c r="C568" s="49"/>
      <c r="D568" s="49"/>
      <c r="E568" s="49"/>
      <c r="F568" s="49"/>
      <c r="G568" s="49"/>
      <c r="H568" s="49"/>
      <c r="I568" s="49"/>
      <c r="J568" s="49"/>
      <c r="K568" s="49"/>
      <c r="L568" s="49"/>
      <c r="M568" s="49"/>
      <c r="N568" s="49"/>
      <c r="O568" s="48"/>
      <c r="P568" s="48"/>
      <c r="Q568" s="48"/>
      <c r="R568" s="48"/>
      <c r="S568" s="48"/>
      <c r="T568" s="48"/>
      <c r="U568" s="48"/>
      <c r="V568" s="48"/>
      <c r="W568" s="48"/>
      <c r="X568" s="48"/>
      <c r="Y568" s="48"/>
      <c r="Z568" s="48"/>
    </row>
    <row r="569" ht="15.75" customHeight="1">
      <c r="A569" s="49"/>
      <c r="B569" s="49"/>
      <c r="C569" s="49"/>
      <c r="D569" s="49"/>
      <c r="E569" s="49"/>
      <c r="F569" s="49"/>
      <c r="G569" s="49"/>
      <c r="H569" s="49"/>
      <c r="I569" s="49"/>
      <c r="J569" s="49"/>
      <c r="K569" s="49"/>
      <c r="L569" s="49"/>
      <c r="M569" s="49"/>
      <c r="N569" s="49"/>
      <c r="O569" s="48"/>
      <c r="P569" s="48"/>
      <c r="Q569" s="48"/>
      <c r="R569" s="48"/>
      <c r="S569" s="48"/>
      <c r="T569" s="48"/>
      <c r="U569" s="48"/>
      <c r="V569" s="48"/>
      <c r="W569" s="48"/>
      <c r="X569" s="48"/>
      <c r="Y569" s="48"/>
      <c r="Z569" s="48"/>
    </row>
    <row r="570" ht="15.75" customHeight="1">
      <c r="A570" s="49"/>
      <c r="B570" s="49"/>
      <c r="C570" s="49"/>
      <c r="D570" s="49"/>
      <c r="E570" s="49"/>
      <c r="F570" s="49"/>
      <c r="G570" s="49"/>
      <c r="H570" s="49"/>
      <c r="I570" s="49"/>
      <c r="J570" s="49"/>
      <c r="K570" s="49"/>
      <c r="L570" s="49"/>
      <c r="M570" s="49"/>
      <c r="N570" s="49"/>
      <c r="O570" s="48"/>
      <c r="P570" s="48"/>
      <c r="Q570" s="48"/>
      <c r="R570" s="48"/>
      <c r="S570" s="48"/>
      <c r="T570" s="48"/>
      <c r="U570" s="48"/>
      <c r="V570" s="48"/>
      <c r="W570" s="48"/>
      <c r="X570" s="48"/>
      <c r="Y570" s="48"/>
      <c r="Z570" s="48"/>
    </row>
    <row r="571" ht="15.75" customHeight="1">
      <c r="A571" s="49"/>
      <c r="B571" s="49"/>
      <c r="C571" s="49"/>
      <c r="D571" s="49"/>
      <c r="E571" s="49"/>
      <c r="F571" s="49"/>
      <c r="G571" s="49"/>
      <c r="H571" s="49"/>
      <c r="I571" s="49"/>
      <c r="J571" s="49"/>
      <c r="K571" s="49"/>
      <c r="L571" s="49"/>
      <c r="M571" s="49"/>
      <c r="N571" s="49"/>
      <c r="O571" s="48"/>
      <c r="P571" s="48"/>
      <c r="Q571" s="48"/>
      <c r="R571" s="48"/>
      <c r="S571" s="48"/>
      <c r="T571" s="48"/>
      <c r="U571" s="48"/>
      <c r="V571" s="48"/>
      <c r="W571" s="48"/>
      <c r="X571" s="48"/>
      <c r="Y571" s="48"/>
      <c r="Z571" s="48"/>
    </row>
    <row r="572" ht="15.75" customHeight="1">
      <c r="A572" s="49"/>
      <c r="B572" s="49"/>
      <c r="C572" s="49"/>
      <c r="D572" s="49"/>
      <c r="E572" s="49"/>
      <c r="F572" s="49"/>
      <c r="G572" s="49"/>
      <c r="H572" s="49"/>
      <c r="I572" s="49"/>
      <c r="J572" s="49"/>
      <c r="K572" s="49"/>
      <c r="L572" s="49"/>
      <c r="M572" s="49"/>
      <c r="N572" s="49"/>
      <c r="O572" s="48"/>
      <c r="P572" s="48"/>
      <c r="Q572" s="48"/>
      <c r="R572" s="48"/>
      <c r="S572" s="48"/>
      <c r="T572" s="48"/>
      <c r="U572" s="48"/>
      <c r="V572" s="48"/>
      <c r="W572" s="48"/>
      <c r="X572" s="48"/>
      <c r="Y572" s="48"/>
      <c r="Z572" s="48"/>
    </row>
    <row r="573" ht="15.75" customHeight="1">
      <c r="A573" s="49"/>
      <c r="B573" s="49"/>
      <c r="C573" s="49"/>
      <c r="D573" s="49"/>
      <c r="E573" s="49"/>
      <c r="F573" s="49"/>
      <c r="G573" s="49"/>
      <c r="H573" s="49"/>
      <c r="I573" s="49"/>
      <c r="J573" s="49"/>
      <c r="K573" s="49"/>
      <c r="L573" s="49"/>
      <c r="M573" s="49"/>
      <c r="N573" s="49"/>
      <c r="O573" s="48"/>
      <c r="P573" s="48"/>
      <c r="Q573" s="48"/>
      <c r="R573" s="48"/>
      <c r="S573" s="48"/>
      <c r="T573" s="48"/>
      <c r="U573" s="48"/>
      <c r="V573" s="48"/>
      <c r="W573" s="48"/>
      <c r="X573" s="48"/>
      <c r="Y573" s="48"/>
      <c r="Z573" s="48"/>
    </row>
    <row r="574" ht="15.75" customHeight="1">
      <c r="A574" s="49"/>
      <c r="B574" s="49"/>
      <c r="C574" s="49"/>
      <c r="D574" s="49"/>
      <c r="E574" s="49"/>
      <c r="F574" s="49"/>
      <c r="G574" s="49"/>
      <c r="H574" s="49"/>
      <c r="I574" s="49"/>
      <c r="J574" s="49"/>
      <c r="K574" s="49"/>
      <c r="L574" s="49"/>
      <c r="M574" s="49"/>
      <c r="N574" s="49"/>
      <c r="O574" s="48"/>
      <c r="P574" s="48"/>
      <c r="Q574" s="48"/>
      <c r="R574" s="48"/>
      <c r="S574" s="48"/>
      <c r="T574" s="48"/>
      <c r="U574" s="48"/>
      <c r="V574" s="48"/>
      <c r="W574" s="48"/>
      <c r="X574" s="48"/>
      <c r="Y574" s="48"/>
      <c r="Z574" s="48"/>
    </row>
    <row r="575" ht="15.75" customHeight="1">
      <c r="A575" s="49"/>
      <c r="B575" s="49"/>
      <c r="C575" s="49"/>
      <c r="D575" s="49"/>
      <c r="E575" s="49"/>
      <c r="F575" s="49"/>
      <c r="G575" s="49"/>
      <c r="H575" s="49"/>
      <c r="I575" s="49"/>
      <c r="J575" s="49"/>
      <c r="K575" s="49"/>
      <c r="L575" s="49"/>
      <c r="M575" s="49"/>
      <c r="N575" s="49"/>
      <c r="O575" s="48"/>
      <c r="P575" s="48"/>
      <c r="Q575" s="48"/>
      <c r="R575" s="48"/>
      <c r="S575" s="48"/>
      <c r="T575" s="48"/>
      <c r="U575" s="48"/>
      <c r="V575" s="48"/>
      <c r="W575" s="48"/>
      <c r="X575" s="48"/>
      <c r="Y575" s="48"/>
      <c r="Z575" s="48"/>
    </row>
    <row r="576" ht="15.75" customHeight="1">
      <c r="A576" s="49"/>
      <c r="B576" s="49"/>
      <c r="C576" s="49"/>
      <c r="D576" s="49"/>
      <c r="E576" s="49"/>
      <c r="F576" s="49"/>
      <c r="G576" s="49"/>
      <c r="H576" s="49"/>
      <c r="I576" s="49"/>
      <c r="J576" s="49"/>
      <c r="K576" s="49"/>
      <c r="L576" s="49"/>
      <c r="M576" s="49"/>
      <c r="N576" s="49"/>
      <c r="O576" s="48"/>
      <c r="P576" s="48"/>
      <c r="Q576" s="48"/>
      <c r="R576" s="48"/>
      <c r="S576" s="48"/>
      <c r="T576" s="48"/>
      <c r="U576" s="48"/>
      <c r="V576" s="48"/>
      <c r="W576" s="48"/>
      <c r="X576" s="48"/>
      <c r="Y576" s="48"/>
      <c r="Z576" s="48"/>
    </row>
    <row r="577" ht="15.75" customHeight="1">
      <c r="A577" s="49"/>
      <c r="B577" s="49"/>
      <c r="C577" s="49"/>
      <c r="D577" s="49"/>
      <c r="E577" s="49"/>
      <c r="F577" s="49"/>
      <c r="G577" s="49"/>
      <c r="H577" s="49"/>
      <c r="I577" s="49"/>
      <c r="J577" s="49"/>
      <c r="K577" s="49"/>
      <c r="L577" s="49"/>
      <c r="M577" s="49"/>
      <c r="N577" s="49"/>
      <c r="O577" s="48"/>
      <c r="P577" s="48"/>
      <c r="Q577" s="48"/>
      <c r="R577" s="48"/>
      <c r="S577" s="48"/>
      <c r="T577" s="48"/>
      <c r="U577" s="48"/>
      <c r="V577" s="48"/>
      <c r="W577" s="48"/>
      <c r="X577" s="48"/>
      <c r="Y577" s="48"/>
      <c r="Z577" s="48"/>
    </row>
    <row r="578" ht="15.75" customHeight="1">
      <c r="A578" s="49"/>
      <c r="B578" s="49"/>
      <c r="C578" s="49"/>
      <c r="D578" s="49"/>
      <c r="E578" s="49"/>
      <c r="F578" s="49"/>
      <c r="G578" s="49"/>
      <c r="H578" s="49"/>
      <c r="I578" s="49"/>
      <c r="J578" s="49"/>
      <c r="K578" s="49"/>
      <c r="L578" s="49"/>
      <c r="M578" s="49"/>
      <c r="N578" s="49"/>
      <c r="O578" s="48"/>
      <c r="P578" s="48"/>
      <c r="Q578" s="48"/>
      <c r="R578" s="48"/>
      <c r="S578" s="48"/>
      <c r="T578" s="48"/>
      <c r="U578" s="48"/>
      <c r="V578" s="48"/>
      <c r="W578" s="48"/>
      <c r="X578" s="48"/>
      <c r="Y578" s="48"/>
      <c r="Z578" s="48"/>
    </row>
    <row r="579" ht="15.75" customHeight="1">
      <c r="A579" s="49"/>
      <c r="B579" s="49"/>
      <c r="C579" s="49"/>
      <c r="D579" s="49"/>
      <c r="E579" s="49"/>
      <c r="F579" s="49"/>
      <c r="G579" s="49"/>
      <c r="H579" s="49"/>
      <c r="I579" s="49"/>
      <c r="J579" s="49"/>
      <c r="K579" s="49"/>
      <c r="L579" s="49"/>
      <c r="M579" s="49"/>
      <c r="N579" s="49"/>
      <c r="O579" s="48"/>
      <c r="P579" s="48"/>
      <c r="Q579" s="48"/>
      <c r="R579" s="48"/>
      <c r="S579" s="48"/>
      <c r="T579" s="48"/>
      <c r="U579" s="48"/>
      <c r="V579" s="48"/>
      <c r="W579" s="48"/>
      <c r="X579" s="48"/>
      <c r="Y579" s="48"/>
      <c r="Z579" s="48"/>
    </row>
    <row r="580" ht="15.75" customHeight="1">
      <c r="A580" s="49"/>
      <c r="B580" s="49"/>
      <c r="C580" s="49"/>
      <c r="D580" s="49"/>
      <c r="E580" s="49"/>
      <c r="F580" s="49"/>
      <c r="G580" s="49"/>
      <c r="H580" s="49"/>
      <c r="I580" s="49"/>
      <c r="J580" s="49"/>
      <c r="K580" s="49"/>
      <c r="L580" s="49"/>
      <c r="M580" s="49"/>
      <c r="N580" s="49"/>
      <c r="O580" s="48"/>
      <c r="P580" s="48"/>
      <c r="Q580" s="48"/>
      <c r="R580" s="48"/>
      <c r="S580" s="48"/>
      <c r="T580" s="48"/>
      <c r="U580" s="48"/>
      <c r="V580" s="48"/>
      <c r="W580" s="48"/>
      <c r="X580" s="48"/>
      <c r="Y580" s="48"/>
      <c r="Z580" s="48"/>
    </row>
    <row r="581" ht="15.75" customHeight="1">
      <c r="A581" s="49"/>
      <c r="B581" s="49"/>
      <c r="C581" s="49"/>
      <c r="D581" s="49"/>
      <c r="E581" s="49"/>
      <c r="F581" s="49"/>
      <c r="G581" s="49"/>
      <c r="H581" s="49"/>
      <c r="I581" s="49"/>
      <c r="J581" s="49"/>
      <c r="K581" s="49"/>
      <c r="L581" s="49"/>
      <c r="M581" s="49"/>
      <c r="N581" s="49"/>
      <c r="O581" s="48"/>
      <c r="P581" s="48"/>
      <c r="Q581" s="48"/>
      <c r="R581" s="48"/>
      <c r="S581" s="48"/>
      <c r="T581" s="48"/>
      <c r="U581" s="48"/>
      <c r="V581" s="48"/>
      <c r="W581" s="48"/>
      <c r="X581" s="48"/>
      <c r="Y581" s="48"/>
      <c r="Z581" s="48"/>
    </row>
    <row r="582" ht="15.75" customHeight="1">
      <c r="A582" s="49"/>
      <c r="B582" s="49"/>
      <c r="C582" s="49"/>
      <c r="D582" s="49"/>
      <c r="E582" s="49"/>
      <c r="F582" s="49"/>
      <c r="G582" s="49"/>
      <c r="H582" s="49"/>
      <c r="I582" s="49"/>
      <c r="J582" s="49"/>
      <c r="K582" s="49"/>
      <c r="L582" s="49"/>
      <c r="M582" s="49"/>
      <c r="N582" s="49"/>
      <c r="O582" s="48"/>
      <c r="P582" s="48"/>
      <c r="Q582" s="48"/>
      <c r="R582" s="48"/>
      <c r="S582" s="48"/>
      <c r="T582" s="48"/>
      <c r="U582" s="48"/>
      <c r="V582" s="48"/>
      <c r="W582" s="48"/>
      <c r="X582" s="48"/>
      <c r="Y582" s="48"/>
      <c r="Z582" s="48"/>
    </row>
    <row r="583" ht="15.75" customHeight="1">
      <c r="A583" s="49"/>
      <c r="B583" s="49"/>
      <c r="C583" s="49"/>
      <c r="D583" s="49"/>
      <c r="E583" s="49"/>
      <c r="F583" s="49"/>
      <c r="G583" s="49"/>
      <c r="H583" s="49"/>
      <c r="I583" s="49"/>
      <c r="J583" s="49"/>
      <c r="K583" s="49"/>
      <c r="L583" s="49"/>
      <c r="M583" s="49"/>
      <c r="N583" s="49"/>
      <c r="O583" s="48"/>
      <c r="P583" s="48"/>
      <c r="Q583" s="48"/>
      <c r="R583" s="48"/>
      <c r="S583" s="48"/>
      <c r="T583" s="48"/>
      <c r="U583" s="48"/>
      <c r="V583" s="48"/>
      <c r="W583" s="48"/>
      <c r="X583" s="48"/>
      <c r="Y583" s="48"/>
      <c r="Z583" s="48"/>
    </row>
    <row r="584" ht="15.75" customHeight="1">
      <c r="A584" s="49"/>
      <c r="B584" s="49"/>
      <c r="C584" s="49"/>
      <c r="D584" s="49"/>
      <c r="E584" s="49"/>
      <c r="F584" s="49"/>
      <c r="G584" s="49"/>
      <c r="H584" s="49"/>
      <c r="I584" s="49"/>
      <c r="J584" s="49"/>
      <c r="K584" s="49"/>
      <c r="L584" s="49"/>
      <c r="M584" s="49"/>
      <c r="N584" s="49"/>
      <c r="O584" s="48"/>
      <c r="P584" s="48"/>
      <c r="Q584" s="48"/>
      <c r="R584" s="48"/>
      <c r="S584" s="48"/>
      <c r="T584" s="48"/>
      <c r="U584" s="48"/>
      <c r="V584" s="48"/>
      <c r="W584" s="48"/>
      <c r="X584" s="48"/>
      <c r="Y584" s="48"/>
      <c r="Z584" s="48"/>
    </row>
    <row r="585" ht="15.75" customHeight="1">
      <c r="A585" s="49"/>
      <c r="B585" s="49"/>
      <c r="C585" s="49"/>
      <c r="D585" s="49"/>
      <c r="E585" s="49"/>
      <c r="F585" s="49"/>
      <c r="G585" s="49"/>
      <c r="H585" s="49"/>
      <c r="I585" s="49"/>
      <c r="J585" s="49"/>
      <c r="K585" s="49"/>
      <c r="L585" s="49"/>
      <c r="M585" s="49"/>
      <c r="N585" s="49"/>
      <c r="O585" s="48"/>
      <c r="P585" s="48"/>
      <c r="Q585" s="48"/>
      <c r="R585" s="48"/>
      <c r="S585" s="48"/>
      <c r="T585" s="48"/>
      <c r="U585" s="48"/>
      <c r="V585" s="48"/>
      <c r="W585" s="48"/>
      <c r="X585" s="48"/>
      <c r="Y585" s="48"/>
      <c r="Z585" s="48"/>
    </row>
    <row r="586" ht="15.75" customHeight="1">
      <c r="A586" s="49"/>
      <c r="B586" s="49"/>
      <c r="C586" s="49"/>
      <c r="D586" s="49"/>
      <c r="E586" s="49"/>
      <c r="F586" s="49"/>
      <c r="G586" s="49"/>
      <c r="H586" s="49"/>
      <c r="I586" s="49"/>
      <c r="J586" s="49"/>
      <c r="K586" s="49"/>
      <c r="L586" s="49"/>
      <c r="M586" s="49"/>
      <c r="N586" s="49"/>
      <c r="O586" s="48"/>
      <c r="P586" s="48"/>
      <c r="Q586" s="48"/>
      <c r="R586" s="48"/>
      <c r="S586" s="48"/>
      <c r="T586" s="48"/>
      <c r="U586" s="48"/>
      <c r="V586" s="48"/>
      <c r="W586" s="48"/>
      <c r="X586" s="48"/>
      <c r="Y586" s="48"/>
      <c r="Z586" s="48"/>
    </row>
    <row r="587" ht="15.75" customHeight="1">
      <c r="A587" s="49"/>
      <c r="B587" s="49"/>
      <c r="C587" s="49"/>
      <c r="D587" s="49"/>
      <c r="E587" s="49"/>
      <c r="F587" s="49"/>
      <c r="G587" s="49"/>
      <c r="H587" s="49"/>
      <c r="I587" s="49"/>
      <c r="J587" s="49"/>
      <c r="K587" s="49"/>
      <c r="L587" s="49"/>
      <c r="M587" s="49"/>
      <c r="N587" s="49"/>
      <c r="O587" s="48"/>
      <c r="P587" s="48"/>
      <c r="Q587" s="48"/>
      <c r="R587" s="48"/>
      <c r="S587" s="48"/>
      <c r="T587" s="48"/>
      <c r="U587" s="48"/>
      <c r="V587" s="48"/>
      <c r="W587" s="48"/>
      <c r="X587" s="48"/>
      <c r="Y587" s="48"/>
      <c r="Z587" s="48"/>
    </row>
    <row r="588" ht="15.75" customHeight="1">
      <c r="A588" s="49"/>
      <c r="B588" s="49"/>
      <c r="C588" s="49"/>
      <c r="D588" s="49"/>
      <c r="E588" s="49"/>
      <c r="F588" s="49"/>
      <c r="G588" s="49"/>
      <c r="H588" s="49"/>
      <c r="I588" s="49"/>
      <c r="J588" s="49"/>
      <c r="K588" s="49"/>
      <c r="L588" s="49"/>
      <c r="M588" s="49"/>
      <c r="N588" s="49"/>
      <c r="O588" s="48"/>
      <c r="P588" s="48"/>
      <c r="Q588" s="48"/>
      <c r="R588" s="48"/>
      <c r="S588" s="48"/>
      <c r="T588" s="48"/>
      <c r="U588" s="48"/>
      <c r="V588" s="48"/>
      <c r="W588" s="48"/>
      <c r="X588" s="48"/>
      <c r="Y588" s="48"/>
      <c r="Z588" s="48"/>
    </row>
    <row r="589" ht="15.75" customHeight="1">
      <c r="A589" s="49"/>
      <c r="B589" s="49"/>
      <c r="C589" s="49"/>
      <c r="D589" s="49"/>
      <c r="E589" s="49"/>
      <c r="F589" s="49"/>
      <c r="G589" s="49"/>
      <c r="H589" s="49"/>
      <c r="I589" s="49"/>
      <c r="J589" s="49"/>
      <c r="K589" s="49"/>
      <c r="L589" s="49"/>
      <c r="M589" s="49"/>
      <c r="N589" s="49"/>
      <c r="O589" s="48"/>
      <c r="P589" s="48"/>
      <c r="Q589" s="48"/>
      <c r="R589" s="48"/>
      <c r="S589" s="48"/>
      <c r="T589" s="48"/>
      <c r="U589" s="48"/>
      <c r="V589" s="48"/>
      <c r="W589" s="48"/>
      <c r="X589" s="48"/>
      <c r="Y589" s="48"/>
      <c r="Z589" s="48"/>
    </row>
    <row r="590" ht="15.75" customHeight="1">
      <c r="A590" s="49"/>
      <c r="B590" s="49"/>
      <c r="C590" s="49"/>
      <c r="D590" s="49"/>
      <c r="E590" s="49"/>
      <c r="F590" s="49"/>
      <c r="G590" s="49"/>
      <c r="H590" s="49"/>
      <c r="I590" s="49"/>
      <c r="J590" s="49"/>
      <c r="K590" s="49"/>
      <c r="L590" s="49"/>
      <c r="M590" s="49"/>
      <c r="N590" s="49"/>
      <c r="O590" s="48"/>
      <c r="P590" s="48"/>
      <c r="Q590" s="48"/>
      <c r="R590" s="48"/>
      <c r="S590" s="48"/>
      <c r="T590" s="48"/>
      <c r="U590" s="48"/>
      <c r="V590" s="48"/>
      <c r="W590" s="48"/>
      <c r="X590" s="48"/>
      <c r="Y590" s="48"/>
      <c r="Z590" s="48"/>
    </row>
    <row r="591" ht="15.75" customHeight="1">
      <c r="A591" s="49"/>
      <c r="B591" s="49"/>
      <c r="C591" s="49"/>
      <c r="D591" s="49"/>
      <c r="E591" s="49"/>
      <c r="F591" s="49"/>
      <c r="G591" s="49"/>
      <c r="H591" s="49"/>
      <c r="I591" s="49"/>
      <c r="J591" s="49"/>
      <c r="K591" s="49"/>
      <c r="L591" s="49"/>
      <c r="M591" s="49"/>
      <c r="N591" s="49"/>
      <c r="O591" s="48"/>
      <c r="P591" s="48"/>
      <c r="Q591" s="48"/>
      <c r="R591" s="48"/>
      <c r="S591" s="48"/>
      <c r="T591" s="48"/>
      <c r="U591" s="48"/>
      <c r="V591" s="48"/>
      <c r="W591" s="48"/>
      <c r="X591" s="48"/>
      <c r="Y591" s="48"/>
      <c r="Z591" s="48"/>
    </row>
    <row r="592" ht="15.75" customHeight="1">
      <c r="A592" s="49"/>
      <c r="B592" s="49"/>
      <c r="C592" s="49"/>
      <c r="D592" s="49"/>
      <c r="E592" s="49"/>
      <c r="F592" s="49"/>
      <c r="G592" s="49"/>
      <c r="H592" s="49"/>
      <c r="I592" s="49"/>
      <c r="J592" s="49"/>
      <c r="K592" s="49"/>
      <c r="L592" s="49"/>
      <c r="M592" s="49"/>
      <c r="N592" s="49"/>
      <c r="O592" s="48"/>
      <c r="P592" s="48"/>
      <c r="Q592" s="48"/>
      <c r="R592" s="48"/>
      <c r="S592" s="48"/>
      <c r="T592" s="48"/>
      <c r="U592" s="48"/>
      <c r="V592" s="48"/>
      <c r="W592" s="48"/>
      <c r="X592" s="48"/>
      <c r="Y592" s="48"/>
      <c r="Z592" s="48"/>
    </row>
    <row r="593" ht="15.75" customHeight="1">
      <c r="A593" s="49"/>
      <c r="B593" s="49"/>
      <c r="C593" s="49"/>
      <c r="D593" s="49"/>
      <c r="E593" s="49"/>
      <c r="F593" s="49"/>
      <c r="G593" s="49"/>
      <c r="H593" s="49"/>
      <c r="I593" s="49"/>
      <c r="J593" s="49"/>
      <c r="K593" s="49"/>
      <c r="L593" s="49"/>
      <c r="M593" s="49"/>
      <c r="N593" s="49"/>
      <c r="O593" s="48"/>
      <c r="P593" s="48"/>
      <c r="Q593" s="48"/>
      <c r="R593" s="48"/>
      <c r="S593" s="48"/>
      <c r="T593" s="48"/>
      <c r="U593" s="48"/>
      <c r="V593" s="48"/>
      <c r="W593" s="48"/>
      <c r="X593" s="48"/>
      <c r="Y593" s="48"/>
      <c r="Z593" s="48"/>
    </row>
    <row r="594" ht="15.75" customHeight="1">
      <c r="A594" s="49"/>
      <c r="B594" s="49"/>
      <c r="C594" s="49"/>
      <c r="D594" s="49"/>
      <c r="E594" s="49"/>
      <c r="F594" s="49"/>
      <c r="G594" s="49"/>
      <c r="H594" s="49"/>
      <c r="I594" s="49"/>
      <c r="J594" s="49"/>
      <c r="K594" s="49"/>
      <c r="L594" s="49"/>
      <c r="M594" s="49"/>
      <c r="N594" s="49"/>
      <c r="O594" s="48"/>
      <c r="P594" s="48"/>
      <c r="Q594" s="48"/>
      <c r="R594" s="48"/>
      <c r="S594" s="48"/>
      <c r="T594" s="48"/>
      <c r="U594" s="48"/>
      <c r="V594" s="48"/>
      <c r="W594" s="48"/>
      <c r="X594" s="48"/>
      <c r="Y594" s="48"/>
      <c r="Z594" s="48"/>
    </row>
    <row r="595" ht="15.75" customHeight="1">
      <c r="A595" s="49"/>
      <c r="B595" s="49"/>
      <c r="C595" s="49"/>
      <c r="D595" s="49"/>
      <c r="E595" s="49"/>
      <c r="F595" s="49"/>
      <c r="G595" s="49"/>
      <c r="H595" s="49"/>
      <c r="I595" s="49"/>
      <c r="J595" s="49"/>
      <c r="K595" s="49"/>
      <c r="L595" s="49"/>
      <c r="M595" s="49"/>
      <c r="N595" s="49"/>
      <c r="O595" s="48"/>
      <c r="P595" s="48"/>
      <c r="Q595" s="48"/>
      <c r="R595" s="48"/>
      <c r="S595" s="48"/>
      <c r="T595" s="48"/>
      <c r="U595" s="48"/>
      <c r="V595" s="48"/>
      <c r="W595" s="48"/>
      <c r="X595" s="48"/>
      <c r="Y595" s="48"/>
      <c r="Z595" s="48"/>
    </row>
    <row r="596" ht="15.75" customHeight="1">
      <c r="A596" s="49"/>
      <c r="B596" s="49"/>
      <c r="C596" s="49"/>
      <c r="D596" s="49"/>
      <c r="E596" s="49"/>
      <c r="F596" s="49"/>
      <c r="G596" s="49"/>
      <c r="H596" s="49"/>
      <c r="I596" s="49"/>
      <c r="J596" s="49"/>
      <c r="K596" s="49"/>
      <c r="L596" s="49"/>
      <c r="M596" s="49"/>
      <c r="N596" s="49"/>
      <c r="O596" s="48"/>
      <c r="P596" s="48"/>
      <c r="Q596" s="48"/>
      <c r="R596" s="48"/>
      <c r="S596" s="48"/>
      <c r="T596" s="48"/>
      <c r="U596" s="48"/>
      <c r="V596" s="48"/>
      <c r="W596" s="48"/>
      <c r="X596" s="48"/>
      <c r="Y596" s="48"/>
      <c r="Z596" s="48"/>
    </row>
    <row r="597" ht="15.75" customHeight="1">
      <c r="A597" s="49"/>
      <c r="B597" s="49"/>
      <c r="C597" s="49"/>
      <c r="D597" s="49"/>
      <c r="E597" s="49"/>
      <c r="F597" s="49"/>
      <c r="G597" s="49"/>
      <c r="H597" s="49"/>
      <c r="I597" s="49"/>
      <c r="J597" s="49"/>
      <c r="K597" s="49"/>
      <c r="L597" s="49"/>
      <c r="M597" s="49"/>
      <c r="N597" s="49"/>
      <c r="O597" s="48"/>
      <c r="P597" s="48"/>
      <c r="Q597" s="48"/>
      <c r="R597" s="48"/>
      <c r="S597" s="48"/>
      <c r="T597" s="48"/>
      <c r="U597" s="48"/>
      <c r="V597" s="48"/>
      <c r="W597" s="48"/>
      <c r="X597" s="48"/>
      <c r="Y597" s="48"/>
      <c r="Z597" s="48"/>
    </row>
    <row r="598" ht="15.75" customHeight="1">
      <c r="A598" s="49"/>
      <c r="B598" s="49"/>
      <c r="C598" s="49"/>
      <c r="D598" s="49"/>
      <c r="E598" s="49"/>
      <c r="F598" s="49"/>
      <c r="G598" s="49"/>
      <c r="H598" s="49"/>
      <c r="I598" s="49"/>
      <c r="J598" s="49"/>
      <c r="K598" s="49"/>
      <c r="L598" s="49"/>
      <c r="M598" s="49"/>
      <c r="N598" s="49"/>
      <c r="O598" s="48"/>
      <c r="P598" s="48"/>
      <c r="Q598" s="48"/>
      <c r="R598" s="48"/>
      <c r="S598" s="48"/>
      <c r="T598" s="48"/>
      <c r="U598" s="48"/>
      <c r="V598" s="48"/>
      <c r="W598" s="48"/>
      <c r="X598" s="48"/>
      <c r="Y598" s="48"/>
      <c r="Z598" s="48"/>
    </row>
    <row r="599" ht="15.75" customHeight="1">
      <c r="A599" s="49"/>
      <c r="B599" s="49"/>
      <c r="C599" s="49"/>
      <c r="D599" s="49"/>
      <c r="E599" s="49"/>
      <c r="F599" s="49"/>
      <c r="G599" s="49"/>
      <c r="H599" s="49"/>
      <c r="I599" s="49"/>
      <c r="J599" s="49"/>
      <c r="K599" s="49"/>
      <c r="L599" s="49"/>
      <c r="M599" s="49"/>
      <c r="N599" s="49"/>
      <c r="O599" s="48"/>
      <c r="P599" s="48"/>
      <c r="Q599" s="48"/>
      <c r="R599" s="48"/>
      <c r="S599" s="48"/>
      <c r="T599" s="48"/>
      <c r="U599" s="48"/>
      <c r="V599" s="48"/>
      <c r="W599" s="48"/>
      <c r="X599" s="48"/>
      <c r="Y599" s="48"/>
      <c r="Z599" s="48"/>
    </row>
    <row r="600" ht="15.75" customHeight="1">
      <c r="A600" s="49"/>
      <c r="B600" s="49"/>
      <c r="C600" s="49"/>
      <c r="D600" s="49"/>
      <c r="E600" s="49"/>
      <c r="F600" s="49"/>
      <c r="G600" s="49"/>
      <c r="H600" s="49"/>
      <c r="I600" s="49"/>
      <c r="J600" s="49"/>
      <c r="K600" s="49"/>
      <c r="L600" s="49"/>
      <c r="M600" s="49"/>
      <c r="N600" s="49"/>
      <c r="O600" s="48"/>
      <c r="P600" s="48"/>
      <c r="Q600" s="48"/>
      <c r="R600" s="48"/>
      <c r="S600" s="48"/>
      <c r="T600" s="48"/>
      <c r="U600" s="48"/>
      <c r="V600" s="48"/>
      <c r="W600" s="48"/>
      <c r="X600" s="48"/>
      <c r="Y600" s="48"/>
      <c r="Z600" s="48"/>
    </row>
    <row r="601" ht="15.75" customHeight="1">
      <c r="A601" s="49"/>
      <c r="B601" s="49"/>
      <c r="C601" s="49"/>
      <c r="D601" s="49"/>
      <c r="E601" s="49"/>
      <c r="F601" s="49"/>
      <c r="G601" s="49"/>
      <c r="H601" s="49"/>
      <c r="I601" s="49"/>
      <c r="J601" s="49"/>
      <c r="K601" s="49"/>
      <c r="L601" s="49"/>
      <c r="M601" s="49"/>
      <c r="N601" s="49"/>
      <c r="O601" s="48"/>
      <c r="P601" s="48"/>
      <c r="Q601" s="48"/>
      <c r="R601" s="48"/>
      <c r="S601" s="48"/>
      <c r="T601" s="48"/>
      <c r="U601" s="48"/>
      <c r="V601" s="48"/>
      <c r="W601" s="48"/>
      <c r="X601" s="48"/>
      <c r="Y601" s="48"/>
      <c r="Z601" s="48"/>
    </row>
    <row r="602" ht="15.75" customHeight="1">
      <c r="A602" s="49"/>
      <c r="B602" s="49"/>
      <c r="C602" s="49"/>
      <c r="D602" s="49"/>
      <c r="E602" s="49"/>
      <c r="F602" s="49"/>
      <c r="G602" s="49"/>
      <c r="H602" s="49"/>
      <c r="I602" s="49"/>
      <c r="J602" s="49"/>
      <c r="K602" s="49"/>
      <c r="L602" s="49"/>
      <c r="M602" s="49"/>
      <c r="N602" s="49"/>
      <c r="O602" s="48"/>
      <c r="P602" s="48"/>
      <c r="Q602" s="48"/>
      <c r="R602" s="48"/>
      <c r="S602" s="48"/>
      <c r="T602" s="48"/>
      <c r="U602" s="48"/>
      <c r="V602" s="48"/>
      <c r="W602" s="48"/>
      <c r="X602" s="48"/>
      <c r="Y602" s="48"/>
      <c r="Z602" s="48"/>
    </row>
    <row r="603" ht="15.75" customHeight="1">
      <c r="A603" s="49"/>
      <c r="B603" s="49"/>
      <c r="C603" s="49"/>
      <c r="D603" s="49"/>
      <c r="E603" s="49"/>
      <c r="F603" s="49"/>
      <c r="G603" s="49"/>
      <c r="H603" s="49"/>
      <c r="I603" s="49"/>
      <c r="J603" s="49"/>
      <c r="K603" s="49"/>
      <c r="L603" s="49"/>
      <c r="M603" s="49"/>
      <c r="N603" s="49"/>
      <c r="O603" s="48"/>
      <c r="P603" s="48"/>
      <c r="Q603" s="48"/>
      <c r="R603" s="48"/>
      <c r="S603" s="48"/>
      <c r="T603" s="48"/>
      <c r="U603" s="48"/>
      <c r="V603" s="48"/>
      <c r="W603" s="48"/>
      <c r="X603" s="48"/>
      <c r="Y603" s="48"/>
      <c r="Z603" s="48"/>
    </row>
    <row r="604" ht="15.75" customHeight="1">
      <c r="A604" s="49"/>
      <c r="B604" s="49"/>
      <c r="C604" s="49"/>
      <c r="D604" s="49"/>
      <c r="E604" s="49"/>
      <c r="F604" s="49"/>
      <c r="G604" s="49"/>
      <c r="H604" s="49"/>
      <c r="I604" s="49"/>
      <c r="J604" s="49"/>
      <c r="K604" s="49"/>
      <c r="L604" s="49"/>
      <c r="M604" s="49"/>
      <c r="N604" s="49"/>
      <c r="O604" s="48"/>
      <c r="P604" s="48"/>
      <c r="Q604" s="48"/>
      <c r="R604" s="48"/>
      <c r="S604" s="48"/>
      <c r="T604" s="48"/>
      <c r="U604" s="48"/>
      <c r="V604" s="48"/>
      <c r="W604" s="48"/>
      <c r="X604" s="48"/>
      <c r="Y604" s="48"/>
      <c r="Z604" s="48"/>
    </row>
    <row r="605" ht="15.75" customHeight="1">
      <c r="A605" s="49"/>
      <c r="B605" s="49"/>
      <c r="C605" s="49"/>
      <c r="D605" s="49"/>
      <c r="E605" s="49"/>
      <c r="F605" s="49"/>
      <c r="G605" s="49"/>
      <c r="H605" s="49"/>
      <c r="I605" s="49"/>
      <c r="J605" s="49"/>
      <c r="K605" s="49"/>
      <c r="L605" s="49"/>
      <c r="M605" s="49"/>
      <c r="N605" s="49"/>
      <c r="O605" s="48"/>
      <c r="P605" s="48"/>
      <c r="Q605" s="48"/>
      <c r="R605" s="48"/>
      <c r="S605" s="48"/>
      <c r="T605" s="48"/>
      <c r="U605" s="48"/>
      <c r="V605" s="48"/>
      <c r="W605" s="48"/>
      <c r="X605" s="48"/>
      <c r="Y605" s="48"/>
      <c r="Z605" s="48"/>
    </row>
    <row r="606" ht="15.75" customHeight="1">
      <c r="A606" s="49"/>
      <c r="B606" s="49"/>
      <c r="C606" s="49"/>
      <c r="D606" s="49"/>
      <c r="E606" s="49"/>
      <c r="F606" s="49"/>
      <c r="G606" s="49"/>
      <c r="H606" s="49"/>
      <c r="I606" s="49"/>
      <c r="J606" s="49"/>
      <c r="K606" s="49"/>
      <c r="L606" s="49"/>
      <c r="M606" s="49"/>
      <c r="N606" s="49"/>
      <c r="O606" s="48"/>
      <c r="P606" s="48"/>
      <c r="Q606" s="48"/>
      <c r="R606" s="48"/>
      <c r="S606" s="48"/>
      <c r="T606" s="48"/>
      <c r="U606" s="48"/>
      <c r="V606" s="48"/>
      <c r="W606" s="48"/>
      <c r="X606" s="48"/>
      <c r="Y606" s="48"/>
      <c r="Z606" s="48"/>
    </row>
    <row r="607" ht="15.75" customHeight="1">
      <c r="A607" s="49"/>
      <c r="B607" s="49"/>
      <c r="C607" s="49"/>
      <c r="D607" s="49"/>
      <c r="E607" s="49"/>
      <c r="F607" s="49"/>
      <c r="G607" s="49"/>
      <c r="H607" s="49"/>
      <c r="I607" s="49"/>
      <c r="J607" s="49"/>
      <c r="K607" s="49"/>
      <c r="L607" s="49"/>
      <c r="M607" s="49"/>
      <c r="N607" s="49"/>
      <c r="O607" s="48"/>
      <c r="P607" s="48"/>
      <c r="Q607" s="48"/>
      <c r="R607" s="48"/>
      <c r="S607" s="48"/>
      <c r="T607" s="48"/>
      <c r="U607" s="48"/>
      <c r="V607" s="48"/>
      <c r="W607" s="48"/>
      <c r="X607" s="48"/>
      <c r="Y607" s="48"/>
      <c r="Z607" s="48"/>
    </row>
    <row r="608" ht="15.75" customHeight="1">
      <c r="A608" s="49"/>
      <c r="B608" s="49"/>
      <c r="C608" s="49"/>
      <c r="D608" s="49"/>
      <c r="E608" s="49"/>
      <c r="F608" s="49"/>
      <c r="G608" s="49"/>
      <c r="H608" s="49"/>
      <c r="I608" s="49"/>
      <c r="J608" s="49"/>
      <c r="K608" s="49"/>
      <c r="L608" s="49"/>
      <c r="M608" s="49"/>
      <c r="N608" s="49"/>
      <c r="O608" s="48"/>
      <c r="P608" s="48"/>
      <c r="Q608" s="48"/>
      <c r="R608" s="48"/>
      <c r="S608" s="48"/>
      <c r="T608" s="48"/>
      <c r="U608" s="48"/>
      <c r="V608" s="48"/>
      <c r="W608" s="48"/>
      <c r="X608" s="48"/>
      <c r="Y608" s="48"/>
      <c r="Z608" s="48"/>
    </row>
    <row r="609" ht="15.75" customHeight="1">
      <c r="A609" s="49"/>
      <c r="B609" s="49"/>
      <c r="C609" s="49"/>
      <c r="D609" s="49"/>
      <c r="E609" s="49"/>
      <c r="F609" s="49"/>
      <c r="G609" s="49"/>
      <c r="H609" s="49"/>
      <c r="I609" s="49"/>
      <c r="J609" s="49"/>
      <c r="K609" s="49"/>
      <c r="L609" s="49"/>
      <c r="M609" s="49"/>
      <c r="N609" s="49"/>
      <c r="O609" s="48"/>
      <c r="P609" s="48"/>
      <c r="Q609" s="48"/>
      <c r="R609" s="48"/>
      <c r="S609" s="48"/>
      <c r="T609" s="48"/>
      <c r="U609" s="48"/>
      <c r="V609" s="48"/>
      <c r="W609" s="48"/>
      <c r="X609" s="48"/>
      <c r="Y609" s="48"/>
      <c r="Z609" s="48"/>
    </row>
    <row r="610" ht="15.75" customHeight="1">
      <c r="A610" s="49"/>
      <c r="B610" s="49"/>
      <c r="C610" s="49"/>
      <c r="D610" s="49"/>
      <c r="E610" s="49"/>
      <c r="F610" s="49"/>
      <c r="G610" s="49"/>
      <c r="H610" s="49"/>
      <c r="I610" s="49"/>
      <c r="J610" s="49"/>
      <c r="K610" s="49"/>
      <c r="L610" s="49"/>
      <c r="M610" s="49"/>
      <c r="N610" s="49"/>
      <c r="O610" s="48"/>
      <c r="P610" s="48"/>
      <c r="Q610" s="48"/>
      <c r="R610" s="48"/>
      <c r="S610" s="48"/>
      <c r="T610" s="48"/>
      <c r="U610" s="48"/>
      <c r="V610" s="48"/>
      <c r="W610" s="48"/>
      <c r="X610" s="48"/>
      <c r="Y610" s="48"/>
      <c r="Z610" s="48"/>
    </row>
    <row r="611" ht="15.75" customHeight="1">
      <c r="A611" s="49"/>
      <c r="B611" s="49"/>
      <c r="C611" s="49"/>
      <c r="D611" s="49"/>
      <c r="E611" s="49"/>
      <c r="F611" s="49"/>
      <c r="G611" s="49"/>
      <c r="H611" s="49"/>
      <c r="I611" s="49"/>
      <c r="J611" s="49"/>
      <c r="K611" s="49"/>
      <c r="L611" s="49"/>
      <c r="M611" s="49"/>
      <c r="N611" s="49"/>
      <c r="O611" s="48"/>
      <c r="P611" s="48"/>
      <c r="Q611" s="48"/>
      <c r="R611" s="48"/>
      <c r="S611" s="48"/>
      <c r="T611" s="48"/>
      <c r="U611" s="48"/>
      <c r="V611" s="48"/>
      <c r="W611" s="48"/>
      <c r="X611" s="48"/>
      <c r="Y611" s="48"/>
      <c r="Z611" s="48"/>
    </row>
    <row r="612" ht="15.75" customHeight="1">
      <c r="A612" s="49"/>
      <c r="B612" s="49"/>
      <c r="C612" s="49"/>
      <c r="D612" s="49"/>
      <c r="E612" s="49"/>
      <c r="F612" s="49"/>
      <c r="G612" s="49"/>
      <c r="H612" s="49"/>
      <c r="I612" s="49"/>
      <c r="J612" s="49"/>
      <c r="K612" s="49"/>
      <c r="L612" s="49"/>
      <c r="M612" s="49"/>
      <c r="N612" s="49"/>
      <c r="O612" s="48"/>
      <c r="P612" s="48"/>
      <c r="Q612" s="48"/>
      <c r="R612" s="48"/>
      <c r="S612" s="48"/>
      <c r="T612" s="48"/>
      <c r="U612" s="48"/>
      <c r="V612" s="48"/>
      <c r="W612" s="48"/>
      <c r="X612" s="48"/>
      <c r="Y612" s="48"/>
      <c r="Z612" s="48"/>
    </row>
    <row r="613" ht="15.75" customHeight="1">
      <c r="A613" s="49"/>
      <c r="B613" s="49"/>
      <c r="C613" s="49"/>
      <c r="D613" s="49"/>
      <c r="E613" s="49"/>
      <c r="F613" s="49"/>
      <c r="G613" s="49"/>
      <c r="H613" s="49"/>
      <c r="I613" s="49"/>
      <c r="J613" s="49"/>
      <c r="K613" s="49"/>
      <c r="L613" s="49"/>
      <c r="M613" s="49"/>
      <c r="N613" s="49"/>
      <c r="O613" s="48"/>
      <c r="P613" s="48"/>
      <c r="Q613" s="48"/>
      <c r="R613" s="48"/>
      <c r="S613" s="48"/>
      <c r="T613" s="48"/>
      <c r="U613" s="48"/>
      <c r="V613" s="48"/>
      <c r="W613" s="48"/>
      <c r="X613" s="48"/>
      <c r="Y613" s="48"/>
      <c r="Z613" s="48"/>
    </row>
    <row r="614" ht="15.75" customHeight="1">
      <c r="A614" s="49"/>
      <c r="B614" s="49"/>
      <c r="C614" s="49"/>
      <c r="D614" s="49"/>
      <c r="E614" s="49"/>
      <c r="F614" s="49"/>
      <c r="G614" s="49"/>
      <c r="H614" s="49"/>
      <c r="I614" s="49"/>
      <c r="J614" s="49"/>
      <c r="K614" s="49"/>
      <c r="L614" s="49"/>
      <c r="M614" s="49"/>
      <c r="N614" s="49"/>
      <c r="O614" s="48"/>
      <c r="P614" s="48"/>
      <c r="Q614" s="48"/>
      <c r="R614" s="48"/>
      <c r="S614" s="48"/>
      <c r="T614" s="48"/>
      <c r="U614" s="48"/>
      <c r="V614" s="48"/>
      <c r="W614" s="48"/>
      <c r="X614" s="48"/>
      <c r="Y614" s="48"/>
      <c r="Z614" s="48"/>
    </row>
    <row r="615" ht="15.75" customHeight="1">
      <c r="A615" s="49"/>
      <c r="B615" s="49"/>
      <c r="C615" s="49"/>
      <c r="D615" s="49"/>
      <c r="E615" s="49"/>
      <c r="F615" s="49"/>
      <c r="G615" s="49"/>
      <c r="H615" s="49"/>
      <c r="I615" s="49"/>
      <c r="J615" s="49"/>
      <c r="K615" s="49"/>
      <c r="L615" s="49"/>
      <c r="M615" s="49"/>
      <c r="N615" s="49"/>
      <c r="O615" s="48"/>
      <c r="P615" s="48"/>
      <c r="Q615" s="48"/>
      <c r="R615" s="48"/>
      <c r="S615" s="48"/>
      <c r="T615" s="48"/>
      <c r="U615" s="48"/>
      <c r="V615" s="48"/>
      <c r="W615" s="48"/>
      <c r="X615" s="48"/>
      <c r="Y615" s="48"/>
      <c r="Z615" s="48"/>
    </row>
    <row r="616" ht="15.75" customHeight="1">
      <c r="A616" s="49"/>
      <c r="B616" s="49"/>
      <c r="C616" s="49"/>
      <c r="D616" s="49"/>
      <c r="E616" s="49"/>
      <c r="F616" s="49"/>
      <c r="G616" s="49"/>
      <c r="H616" s="49"/>
      <c r="I616" s="49"/>
      <c r="J616" s="49"/>
      <c r="K616" s="49"/>
      <c r="L616" s="49"/>
      <c r="M616" s="49"/>
      <c r="N616" s="49"/>
      <c r="O616" s="48"/>
      <c r="P616" s="48"/>
      <c r="Q616" s="48"/>
      <c r="R616" s="48"/>
      <c r="S616" s="48"/>
      <c r="T616" s="48"/>
      <c r="U616" s="48"/>
      <c r="V616" s="48"/>
      <c r="W616" s="48"/>
      <c r="X616" s="48"/>
      <c r="Y616" s="48"/>
      <c r="Z616" s="48"/>
    </row>
    <row r="617" ht="15.75" customHeight="1">
      <c r="A617" s="49"/>
      <c r="B617" s="49"/>
      <c r="C617" s="49"/>
      <c r="D617" s="49"/>
      <c r="E617" s="49"/>
      <c r="F617" s="49"/>
      <c r="G617" s="49"/>
      <c r="H617" s="49"/>
      <c r="I617" s="49"/>
      <c r="J617" s="49"/>
      <c r="K617" s="49"/>
      <c r="L617" s="49"/>
      <c r="M617" s="49"/>
      <c r="N617" s="49"/>
      <c r="O617" s="48"/>
      <c r="P617" s="48"/>
      <c r="Q617" s="48"/>
      <c r="R617" s="48"/>
      <c r="S617" s="48"/>
      <c r="T617" s="48"/>
      <c r="U617" s="48"/>
      <c r="V617" s="48"/>
      <c r="W617" s="48"/>
      <c r="X617" s="48"/>
      <c r="Y617" s="48"/>
      <c r="Z617" s="48"/>
    </row>
    <row r="618" ht="15.75" customHeight="1">
      <c r="A618" s="49"/>
      <c r="B618" s="49"/>
      <c r="C618" s="49"/>
      <c r="D618" s="49"/>
      <c r="E618" s="49"/>
      <c r="F618" s="49"/>
      <c r="G618" s="49"/>
      <c r="H618" s="49"/>
      <c r="I618" s="49"/>
      <c r="J618" s="49"/>
      <c r="K618" s="49"/>
      <c r="L618" s="49"/>
      <c r="M618" s="49"/>
      <c r="N618" s="49"/>
      <c r="O618" s="48"/>
      <c r="P618" s="48"/>
      <c r="Q618" s="48"/>
      <c r="R618" s="48"/>
      <c r="S618" s="48"/>
      <c r="T618" s="48"/>
      <c r="U618" s="48"/>
      <c r="V618" s="48"/>
      <c r="W618" s="48"/>
      <c r="X618" s="48"/>
      <c r="Y618" s="48"/>
      <c r="Z618" s="48"/>
    </row>
    <row r="619" ht="15.75" customHeight="1">
      <c r="A619" s="49"/>
      <c r="B619" s="49"/>
      <c r="C619" s="49"/>
      <c r="D619" s="49"/>
      <c r="E619" s="49"/>
      <c r="F619" s="49"/>
      <c r="G619" s="49"/>
      <c r="H619" s="49"/>
      <c r="I619" s="49"/>
      <c r="J619" s="49"/>
      <c r="K619" s="49"/>
      <c r="L619" s="49"/>
      <c r="M619" s="49"/>
      <c r="N619" s="49"/>
      <c r="O619" s="48"/>
      <c r="P619" s="48"/>
      <c r="Q619" s="48"/>
      <c r="R619" s="48"/>
      <c r="S619" s="48"/>
      <c r="T619" s="48"/>
      <c r="U619" s="48"/>
      <c r="V619" s="48"/>
      <c r="W619" s="48"/>
      <c r="X619" s="48"/>
      <c r="Y619" s="48"/>
      <c r="Z619" s="48"/>
    </row>
    <row r="620" ht="15.75" customHeight="1">
      <c r="A620" s="49"/>
      <c r="B620" s="49"/>
      <c r="C620" s="49"/>
      <c r="D620" s="49"/>
      <c r="E620" s="49"/>
      <c r="F620" s="49"/>
      <c r="G620" s="49"/>
      <c r="H620" s="49"/>
      <c r="I620" s="49"/>
      <c r="J620" s="49"/>
      <c r="K620" s="49"/>
      <c r="L620" s="49"/>
      <c r="M620" s="49"/>
      <c r="N620" s="49"/>
      <c r="O620" s="48"/>
      <c r="P620" s="48"/>
      <c r="Q620" s="48"/>
      <c r="R620" s="48"/>
      <c r="S620" s="48"/>
      <c r="T620" s="48"/>
      <c r="U620" s="48"/>
      <c r="V620" s="48"/>
      <c r="W620" s="48"/>
      <c r="X620" s="48"/>
      <c r="Y620" s="48"/>
      <c r="Z620" s="48"/>
    </row>
    <row r="621" ht="15.75" customHeight="1">
      <c r="A621" s="49"/>
      <c r="B621" s="49"/>
      <c r="C621" s="49"/>
      <c r="D621" s="49"/>
      <c r="E621" s="49"/>
      <c r="F621" s="49"/>
      <c r="G621" s="49"/>
      <c r="H621" s="49"/>
      <c r="I621" s="49"/>
      <c r="J621" s="49"/>
      <c r="K621" s="49"/>
      <c r="L621" s="49"/>
      <c r="M621" s="49"/>
      <c r="N621" s="49"/>
      <c r="O621" s="48"/>
      <c r="P621" s="48"/>
      <c r="Q621" s="48"/>
      <c r="R621" s="48"/>
      <c r="S621" s="48"/>
      <c r="T621" s="48"/>
      <c r="U621" s="48"/>
      <c r="V621" s="48"/>
      <c r="W621" s="48"/>
      <c r="X621" s="48"/>
      <c r="Y621" s="48"/>
      <c r="Z621" s="48"/>
    </row>
    <row r="622" ht="15.75" customHeight="1">
      <c r="A622" s="49"/>
      <c r="B622" s="49"/>
      <c r="C622" s="49"/>
      <c r="D622" s="49"/>
      <c r="E622" s="49"/>
      <c r="F622" s="49"/>
      <c r="G622" s="49"/>
      <c r="H622" s="49"/>
      <c r="I622" s="49"/>
      <c r="J622" s="49"/>
      <c r="K622" s="49"/>
      <c r="L622" s="49"/>
      <c r="M622" s="49"/>
      <c r="N622" s="49"/>
      <c r="O622" s="48"/>
      <c r="P622" s="48"/>
      <c r="Q622" s="48"/>
      <c r="R622" s="48"/>
      <c r="S622" s="48"/>
      <c r="T622" s="48"/>
      <c r="U622" s="48"/>
      <c r="V622" s="48"/>
      <c r="W622" s="48"/>
      <c r="X622" s="48"/>
      <c r="Y622" s="48"/>
      <c r="Z622" s="48"/>
    </row>
    <row r="623" ht="15.75" customHeight="1">
      <c r="A623" s="49"/>
      <c r="B623" s="49"/>
      <c r="C623" s="49"/>
      <c r="D623" s="49"/>
      <c r="E623" s="49"/>
      <c r="F623" s="49"/>
      <c r="G623" s="49"/>
      <c r="H623" s="49"/>
      <c r="I623" s="49"/>
      <c r="J623" s="49"/>
      <c r="K623" s="49"/>
      <c r="L623" s="49"/>
      <c r="M623" s="49"/>
      <c r="N623" s="49"/>
      <c r="O623" s="48"/>
      <c r="P623" s="48"/>
      <c r="Q623" s="48"/>
      <c r="R623" s="48"/>
      <c r="S623" s="48"/>
      <c r="T623" s="48"/>
      <c r="U623" s="48"/>
      <c r="V623" s="48"/>
      <c r="W623" s="48"/>
      <c r="X623" s="48"/>
      <c r="Y623" s="48"/>
      <c r="Z623" s="48"/>
    </row>
    <row r="624" ht="15.75" customHeight="1">
      <c r="A624" s="49"/>
      <c r="B624" s="49"/>
      <c r="C624" s="49"/>
      <c r="D624" s="49"/>
      <c r="E624" s="49"/>
      <c r="F624" s="49"/>
      <c r="G624" s="49"/>
      <c r="H624" s="49"/>
      <c r="I624" s="49"/>
      <c r="J624" s="49"/>
      <c r="K624" s="49"/>
      <c r="L624" s="49"/>
      <c r="M624" s="49"/>
      <c r="N624" s="49"/>
      <c r="O624" s="48"/>
      <c r="P624" s="48"/>
      <c r="Q624" s="48"/>
      <c r="R624" s="48"/>
      <c r="S624" s="48"/>
      <c r="T624" s="48"/>
      <c r="U624" s="48"/>
      <c r="V624" s="48"/>
      <c r="W624" s="48"/>
      <c r="X624" s="48"/>
      <c r="Y624" s="48"/>
      <c r="Z624" s="48"/>
    </row>
    <row r="625" ht="15.75" customHeight="1">
      <c r="A625" s="49"/>
      <c r="B625" s="49"/>
      <c r="C625" s="49"/>
      <c r="D625" s="49"/>
      <c r="E625" s="49"/>
      <c r="F625" s="49"/>
      <c r="G625" s="49"/>
      <c r="H625" s="49"/>
      <c r="I625" s="49"/>
      <c r="J625" s="49"/>
      <c r="K625" s="49"/>
      <c r="L625" s="49"/>
      <c r="M625" s="49"/>
      <c r="N625" s="49"/>
      <c r="O625" s="48"/>
      <c r="P625" s="48"/>
      <c r="Q625" s="48"/>
      <c r="R625" s="48"/>
      <c r="S625" s="48"/>
      <c r="T625" s="48"/>
      <c r="U625" s="48"/>
      <c r="V625" s="48"/>
      <c r="W625" s="48"/>
      <c r="X625" s="48"/>
      <c r="Y625" s="48"/>
      <c r="Z625" s="48"/>
    </row>
    <row r="626" ht="15.75" customHeight="1">
      <c r="A626" s="49"/>
      <c r="B626" s="49"/>
      <c r="C626" s="49"/>
      <c r="D626" s="49"/>
      <c r="E626" s="49"/>
      <c r="F626" s="49"/>
      <c r="G626" s="49"/>
      <c r="H626" s="49"/>
      <c r="I626" s="49"/>
      <c r="J626" s="49"/>
      <c r="K626" s="49"/>
      <c r="L626" s="49"/>
      <c r="M626" s="49"/>
      <c r="N626" s="49"/>
      <c r="O626" s="48"/>
      <c r="P626" s="48"/>
      <c r="Q626" s="48"/>
      <c r="R626" s="48"/>
      <c r="S626" s="48"/>
      <c r="T626" s="48"/>
      <c r="U626" s="48"/>
      <c r="V626" s="48"/>
      <c r="W626" s="48"/>
      <c r="X626" s="48"/>
      <c r="Y626" s="48"/>
      <c r="Z626" s="48"/>
    </row>
    <row r="627" ht="15.75" customHeight="1">
      <c r="A627" s="49"/>
      <c r="B627" s="49"/>
      <c r="C627" s="49"/>
      <c r="D627" s="49"/>
      <c r="E627" s="49"/>
      <c r="F627" s="49"/>
      <c r="G627" s="49"/>
      <c r="H627" s="49"/>
      <c r="I627" s="49"/>
      <c r="J627" s="49"/>
      <c r="K627" s="49"/>
      <c r="L627" s="49"/>
      <c r="M627" s="49"/>
      <c r="N627" s="49"/>
      <c r="O627" s="48"/>
      <c r="P627" s="48"/>
      <c r="Q627" s="48"/>
      <c r="R627" s="48"/>
      <c r="S627" s="48"/>
      <c r="T627" s="48"/>
      <c r="U627" s="48"/>
      <c r="V627" s="48"/>
      <c r="W627" s="48"/>
      <c r="X627" s="48"/>
      <c r="Y627" s="48"/>
      <c r="Z627" s="48"/>
    </row>
    <row r="628" ht="15.75" customHeight="1">
      <c r="A628" s="49"/>
      <c r="B628" s="49"/>
      <c r="C628" s="49"/>
      <c r="D628" s="49"/>
      <c r="E628" s="49"/>
      <c r="F628" s="49"/>
      <c r="G628" s="49"/>
      <c r="H628" s="49"/>
      <c r="I628" s="49"/>
      <c r="J628" s="49"/>
      <c r="K628" s="49"/>
      <c r="L628" s="49"/>
      <c r="M628" s="49"/>
      <c r="N628" s="49"/>
      <c r="O628" s="48"/>
      <c r="P628" s="48"/>
      <c r="Q628" s="48"/>
      <c r="R628" s="48"/>
      <c r="S628" s="48"/>
      <c r="T628" s="48"/>
      <c r="U628" s="48"/>
      <c r="V628" s="48"/>
      <c r="W628" s="48"/>
      <c r="X628" s="48"/>
      <c r="Y628" s="48"/>
      <c r="Z628" s="48"/>
    </row>
    <row r="629" ht="15.75" customHeight="1">
      <c r="A629" s="49"/>
      <c r="B629" s="49"/>
      <c r="C629" s="49"/>
      <c r="D629" s="49"/>
      <c r="E629" s="49"/>
      <c r="F629" s="49"/>
      <c r="G629" s="49"/>
      <c r="H629" s="49"/>
      <c r="I629" s="49"/>
      <c r="J629" s="49"/>
      <c r="K629" s="49"/>
      <c r="L629" s="49"/>
      <c r="M629" s="49"/>
      <c r="N629" s="49"/>
      <c r="O629" s="48"/>
      <c r="P629" s="48"/>
      <c r="Q629" s="48"/>
      <c r="R629" s="48"/>
      <c r="S629" s="48"/>
      <c r="T629" s="48"/>
      <c r="U629" s="48"/>
      <c r="V629" s="48"/>
      <c r="W629" s="48"/>
      <c r="X629" s="48"/>
      <c r="Y629" s="48"/>
      <c r="Z629" s="48"/>
    </row>
    <row r="630" ht="15.75" customHeight="1">
      <c r="A630" s="49"/>
      <c r="B630" s="49"/>
      <c r="C630" s="49"/>
      <c r="D630" s="49"/>
      <c r="E630" s="49"/>
      <c r="F630" s="49"/>
      <c r="G630" s="49"/>
      <c r="H630" s="49"/>
      <c r="I630" s="49"/>
      <c r="J630" s="49"/>
      <c r="K630" s="49"/>
      <c r="L630" s="49"/>
      <c r="M630" s="49"/>
      <c r="N630" s="49"/>
      <c r="O630" s="48"/>
      <c r="P630" s="48"/>
      <c r="Q630" s="48"/>
      <c r="R630" s="48"/>
      <c r="S630" s="48"/>
      <c r="T630" s="48"/>
      <c r="U630" s="48"/>
      <c r="V630" s="48"/>
      <c r="W630" s="48"/>
      <c r="X630" s="48"/>
      <c r="Y630" s="48"/>
      <c r="Z630" s="48"/>
    </row>
    <row r="631" ht="15.75" customHeight="1">
      <c r="A631" s="49"/>
      <c r="B631" s="49"/>
      <c r="C631" s="49"/>
      <c r="D631" s="49"/>
      <c r="E631" s="49"/>
      <c r="F631" s="49"/>
      <c r="G631" s="49"/>
      <c r="H631" s="49"/>
      <c r="I631" s="49"/>
      <c r="J631" s="49"/>
      <c r="K631" s="49"/>
      <c r="L631" s="49"/>
      <c r="M631" s="49"/>
      <c r="N631" s="49"/>
      <c r="O631" s="48"/>
      <c r="P631" s="48"/>
      <c r="Q631" s="48"/>
      <c r="R631" s="48"/>
      <c r="S631" s="48"/>
      <c r="T631" s="48"/>
      <c r="U631" s="48"/>
      <c r="V631" s="48"/>
      <c r="W631" s="48"/>
      <c r="X631" s="48"/>
      <c r="Y631" s="48"/>
      <c r="Z631" s="48"/>
    </row>
    <row r="632" ht="15.75" customHeight="1">
      <c r="A632" s="49"/>
      <c r="B632" s="49"/>
      <c r="C632" s="49"/>
      <c r="D632" s="49"/>
      <c r="E632" s="49"/>
      <c r="F632" s="49"/>
      <c r="G632" s="49"/>
      <c r="H632" s="49"/>
      <c r="I632" s="49"/>
      <c r="J632" s="49"/>
      <c r="K632" s="49"/>
      <c r="L632" s="49"/>
      <c r="M632" s="49"/>
      <c r="N632" s="49"/>
      <c r="O632" s="48"/>
      <c r="P632" s="48"/>
      <c r="Q632" s="48"/>
      <c r="R632" s="48"/>
      <c r="S632" s="48"/>
      <c r="T632" s="48"/>
      <c r="U632" s="48"/>
      <c r="V632" s="48"/>
      <c r="W632" s="48"/>
      <c r="X632" s="48"/>
      <c r="Y632" s="48"/>
      <c r="Z632" s="48"/>
    </row>
    <row r="633" ht="15.75" customHeight="1">
      <c r="A633" s="49"/>
      <c r="B633" s="49"/>
      <c r="C633" s="49"/>
      <c r="D633" s="49"/>
      <c r="E633" s="49"/>
      <c r="F633" s="49"/>
      <c r="G633" s="49"/>
      <c r="H633" s="49"/>
      <c r="I633" s="49"/>
      <c r="J633" s="49"/>
      <c r="K633" s="49"/>
      <c r="L633" s="49"/>
      <c r="M633" s="49"/>
      <c r="N633" s="49"/>
      <c r="O633" s="48"/>
      <c r="P633" s="48"/>
      <c r="Q633" s="48"/>
      <c r="R633" s="48"/>
      <c r="S633" s="48"/>
      <c r="T633" s="48"/>
      <c r="U633" s="48"/>
      <c r="V633" s="48"/>
      <c r="W633" s="48"/>
      <c r="X633" s="48"/>
      <c r="Y633" s="48"/>
      <c r="Z633" s="48"/>
    </row>
    <row r="634" ht="15.75" customHeight="1">
      <c r="A634" s="49"/>
      <c r="B634" s="49"/>
      <c r="C634" s="49"/>
      <c r="D634" s="49"/>
      <c r="E634" s="49"/>
      <c r="F634" s="49"/>
      <c r="G634" s="49"/>
      <c r="H634" s="49"/>
      <c r="I634" s="49"/>
      <c r="J634" s="49"/>
      <c r="K634" s="49"/>
      <c r="L634" s="49"/>
      <c r="M634" s="49"/>
      <c r="N634" s="49"/>
      <c r="O634" s="48"/>
      <c r="P634" s="48"/>
      <c r="Q634" s="48"/>
      <c r="R634" s="48"/>
      <c r="S634" s="48"/>
      <c r="T634" s="48"/>
      <c r="U634" s="48"/>
      <c r="V634" s="48"/>
      <c r="W634" s="48"/>
      <c r="X634" s="48"/>
      <c r="Y634" s="48"/>
      <c r="Z634" s="48"/>
    </row>
    <row r="635" ht="15.75" customHeight="1">
      <c r="A635" s="49"/>
      <c r="B635" s="49"/>
      <c r="C635" s="49"/>
      <c r="D635" s="49"/>
      <c r="E635" s="49"/>
      <c r="F635" s="49"/>
      <c r="G635" s="49"/>
      <c r="H635" s="49"/>
      <c r="I635" s="49"/>
      <c r="J635" s="49"/>
      <c r="K635" s="49"/>
      <c r="L635" s="49"/>
      <c r="M635" s="49"/>
      <c r="N635" s="49"/>
      <c r="O635" s="48"/>
      <c r="P635" s="48"/>
      <c r="Q635" s="48"/>
      <c r="R635" s="48"/>
      <c r="S635" s="48"/>
      <c r="T635" s="48"/>
      <c r="U635" s="48"/>
      <c r="V635" s="48"/>
      <c r="W635" s="48"/>
      <c r="X635" s="48"/>
      <c r="Y635" s="48"/>
      <c r="Z635" s="48"/>
    </row>
    <row r="636" ht="15.75" customHeight="1">
      <c r="A636" s="49"/>
      <c r="B636" s="49"/>
      <c r="C636" s="49"/>
      <c r="D636" s="49"/>
      <c r="E636" s="49"/>
      <c r="F636" s="49"/>
      <c r="G636" s="49"/>
      <c r="H636" s="49"/>
      <c r="I636" s="49"/>
      <c r="J636" s="49"/>
      <c r="K636" s="49"/>
      <c r="L636" s="49"/>
      <c r="M636" s="49"/>
      <c r="N636" s="49"/>
      <c r="O636" s="48"/>
      <c r="P636" s="48"/>
      <c r="Q636" s="48"/>
      <c r="R636" s="48"/>
      <c r="S636" s="48"/>
      <c r="T636" s="48"/>
      <c r="U636" s="48"/>
      <c r="V636" s="48"/>
      <c r="W636" s="48"/>
      <c r="X636" s="48"/>
      <c r="Y636" s="48"/>
      <c r="Z636" s="48"/>
    </row>
    <row r="637" ht="15.75" customHeight="1">
      <c r="A637" s="49"/>
      <c r="B637" s="49"/>
      <c r="C637" s="49"/>
      <c r="D637" s="49"/>
      <c r="E637" s="49"/>
      <c r="F637" s="49"/>
      <c r="G637" s="49"/>
      <c r="H637" s="49"/>
      <c r="I637" s="49"/>
      <c r="J637" s="49"/>
      <c r="K637" s="49"/>
      <c r="L637" s="49"/>
      <c r="M637" s="49"/>
      <c r="N637" s="49"/>
      <c r="O637" s="48"/>
      <c r="P637" s="48"/>
      <c r="Q637" s="48"/>
      <c r="R637" s="48"/>
      <c r="S637" s="48"/>
      <c r="T637" s="48"/>
      <c r="U637" s="48"/>
      <c r="V637" s="48"/>
      <c r="W637" s="48"/>
      <c r="X637" s="48"/>
      <c r="Y637" s="48"/>
      <c r="Z637" s="48"/>
    </row>
    <row r="638" ht="15.75" customHeight="1">
      <c r="A638" s="49"/>
      <c r="B638" s="49"/>
      <c r="C638" s="49"/>
      <c r="D638" s="49"/>
      <c r="E638" s="49"/>
      <c r="F638" s="49"/>
      <c r="G638" s="49"/>
      <c r="H638" s="49"/>
      <c r="I638" s="49"/>
      <c r="J638" s="49"/>
      <c r="K638" s="49"/>
      <c r="L638" s="49"/>
      <c r="M638" s="49"/>
      <c r="N638" s="49"/>
      <c r="O638" s="48"/>
      <c r="P638" s="48"/>
      <c r="Q638" s="48"/>
      <c r="R638" s="48"/>
      <c r="S638" s="48"/>
      <c r="T638" s="48"/>
      <c r="U638" s="48"/>
      <c r="V638" s="48"/>
      <c r="W638" s="48"/>
      <c r="X638" s="48"/>
      <c r="Y638" s="48"/>
      <c r="Z638" s="48"/>
    </row>
    <row r="639" ht="15.75" customHeight="1">
      <c r="A639" s="49"/>
      <c r="B639" s="49"/>
      <c r="C639" s="49"/>
      <c r="D639" s="49"/>
      <c r="E639" s="49"/>
      <c r="F639" s="49"/>
      <c r="G639" s="49"/>
      <c r="H639" s="49"/>
      <c r="I639" s="49"/>
      <c r="J639" s="49"/>
      <c r="K639" s="49"/>
      <c r="L639" s="49"/>
      <c r="M639" s="49"/>
      <c r="N639" s="49"/>
      <c r="O639" s="48"/>
      <c r="P639" s="48"/>
      <c r="Q639" s="48"/>
      <c r="R639" s="48"/>
      <c r="S639" s="48"/>
      <c r="T639" s="48"/>
      <c r="U639" s="48"/>
      <c r="V639" s="48"/>
      <c r="W639" s="48"/>
      <c r="X639" s="48"/>
      <c r="Y639" s="48"/>
      <c r="Z639" s="48"/>
    </row>
    <row r="640" ht="15.75" customHeight="1">
      <c r="A640" s="49"/>
      <c r="B640" s="49"/>
      <c r="C640" s="49"/>
      <c r="D640" s="49"/>
      <c r="E640" s="49"/>
      <c r="F640" s="49"/>
      <c r="G640" s="49"/>
      <c r="H640" s="49"/>
      <c r="I640" s="49"/>
      <c r="J640" s="49"/>
      <c r="K640" s="49"/>
      <c r="L640" s="49"/>
      <c r="M640" s="49"/>
      <c r="N640" s="49"/>
      <c r="O640" s="48"/>
      <c r="P640" s="48"/>
      <c r="Q640" s="48"/>
      <c r="R640" s="48"/>
      <c r="S640" s="48"/>
      <c r="T640" s="48"/>
      <c r="U640" s="48"/>
      <c r="V640" s="48"/>
      <c r="W640" s="48"/>
      <c r="X640" s="48"/>
      <c r="Y640" s="48"/>
      <c r="Z640" s="48"/>
    </row>
    <row r="641" ht="15.75" customHeight="1">
      <c r="A641" s="49"/>
      <c r="B641" s="49"/>
      <c r="C641" s="49"/>
      <c r="D641" s="49"/>
      <c r="E641" s="49"/>
      <c r="F641" s="49"/>
      <c r="G641" s="49"/>
      <c r="H641" s="49"/>
      <c r="I641" s="49"/>
      <c r="J641" s="49"/>
      <c r="K641" s="49"/>
      <c r="L641" s="49"/>
      <c r="M641" s="49"/>
      <c r="N641" s="49"/>
      <c r="O641" s="48"/>
      <c r="P641" s="48"/>
      <c r="Q641" s="48"/>
      <c r="R641" s="48"/>
      <c r="S641" s="48"/>
      <c r="T641" s="48"/>
      <c r="U641" s="48"/>
      <c r="V641" s="48"/>
      <c r="W641" s="48"/>
      <c r="X641" s="48"/>
      <c r="Y641" s="48"/>
      <c r="Z641" s="48"/>
    </row>
    <row r="642" ht="15.75" customHeight="1">
      <c r="A642" s="49"/>
      <c r="B642" s="49"/>
      <c r="C642" s="49"/>
      <c r="D642" s="49"/>
      <c r="E642" s="49"/>
      <c r="F642" s="49"/>
      <c r="G642" s="49"/>
      <c r="H642" s="49"/>
      <c r="I642" s="49"/>
      <c r="J642" s="49"/>
      <c r="K642" s="49"/>
      <c r="L642" s="49"/>
      <c r="M642" s="49"/>
      <c r="N642" s="49"/>
      <c r="O642" s="48"/>
      <c r="P642" s="48"/>
      <c r="Q642" s="48"/>
      <c r="R642" s="48"/>
      <c r="S642" s="48"/>
      <c r="T642" s="48"/>
      <c r="U642" s="48"/>
      <c r="V642" s="48"/>
      <c r="W642" s="48"/>
      <c r="X642" s="48"/>
      <c r="Y642" s="48"/>
      <c r="Z642" s="48"/>
    </row>
    <row r="643" ht="15.75" customHeight="1">
      <c r="A643" s="49"/>
      <c r="B643" s="49"/>
      <c r="C643" s="49"/>
      <c r="D643" s="49"/>
      <c r="E643" s="49"/>
      <c r="F643" s="49"/>
      <c r="G643" s="49"/>
      <c r="H643" s="49"/>
      <c r="I643" s="49"/>
      <c r="J643" s="49"/>
      <c r="K643" s="49"/>
      <c r="L643" s="49"/>
      <c r="M643" s="49"/>
      <c r="N643" s="49"/>
      <c r="O643" s="48"/>
      <c r="P643" s="48"/>
      <c r="Q643" s="48"/>
      <c r="R643" s="48"/>
      <c r="S643" s="48"/>
      <c r="T643" s="48"/>
      <c r="U643" s="48"/>
      <c r="V643" s="48"/>
      <c r="W643" s="48"/>
      <c r="X643" s="48"/>
      <c r="Y643" s="48"/>
      <c r="Z643" s="48"/>
    </row>
    <row r="644" ht="15.75" customHeight="1">
      <c r="A644" s="49"/>
      <c r="B644" s="49"/>
      <c r="C644" s="49"/>
      <c r="D644" s="49"/>
      <c r="E644" s="49"/>
      <c r="F644" s="49"/>
      <c r="G644" s="49"/>
      <c r="H644" s="49"/>
      <c r="I644" s="49"/>
      <c r="J644" s="49"/>
      <c r="K644" s="49"/>
      <c r="L644" s="49"/>
      <c r="M644" s="49"/>
      <c r="N644" s="49"/>
      <c r="O644" s="48"/>
      <c r="P644" s="48"/>
      <c r="Q644" s="48"/>
      <c r="R644" s="48"/>
      <c r="S644" s="48"/>
      <c r="T644" s="48"/>
      <c r="U644" s="48"/>
      <c r="V644" s="48"/>
      <c r="W644" s="48"/>
      <c r="X644" s="48"/>
      <c r="Y644" s="48"/>
      <c r="Z644" s="48"/>
    </row>
    <row r="645" ht="15.75" customHeight="1">
      <c r="A645" s="49"/>
      <c r="B645" s="49"/>
      <c r="C645" s="49"/>
      <c r="D645" s="49"/>
      <c r="E645" s="49"/>
      <c r="F645" s="49"/>
      <c r="G645" s="49"/>
      <c r="H645" s="49"/>
      <c r="I645" s="49"/>
      <c r="J645" s="49"/>
      <c r="K645" s="49"/>
      <c r="L645" s="49"/>
      <c r="M645" s="49"/>
      <c r="N645" s="49"/>
      <c r="O645" s="48"/>
      <c r="P645" s="48"/>
      <c r="Q645" s="48"/>
      <c r="R645" s="48"/>
      <c r="S645" s="48"/>
      <c r="T645" s="48"/>
      <c r="U645" s="48"/>
      <c r="V645" s="48"/>
      <c r="W645" s="48"/>
      <c r="X645" s="48"/>
      <c r="Y645" s="48"/>
      <c r="Z645" s="48"/>
    </row>
    <row r="646" ht="15.75" customHeight="1">
      <c r="A646" s="49"/>
      <c r="B646" s="49"/>
      <c r="C646" s="49"/>
      <c r="D646" s="49"/>
      <c r="E646" s="49"/>
      <c r="F646" s="49"/>
      <c r="G646" s="49"/>
      <c r="H646" s="49"/>
      <c r="I646" s="49"/>
      <c r="J646" s="49"/>
      <c r="K646" s="49"/>
      <c r="L646" s="49"/>
      <c r="M646" s="49"/>
      <c r="N646" s="49"/>
      <c r="O646" s="48"/>
      <c r="P646" s="48"/>
      <c r="Q646" s="48"/>
      <c r="R646" s="48"/>
      <c r="S646" s="48"/>
      <c r="T646" s="48"/>
      <c r="U646" s="48"/>
      <c r="V646" s="48"/>
      <c r="W646" s="48"/>
      <c r="X646" s="48"/>
      <c r="Y646" s="48"/>
      <c r="Z646" s="48"/>
    </row>
    <row r="647" ht="15.75" customHeight="1">
      <c r="A647" s="49"/>
      <c r="B647" s="49"/>
      <c r="C647" s="49"/>
      <c r="D647" s="49"/>
      <c r="E647" s="49"/>
      <c r="F647" s="49"/>
      <c r="G647" s="49"/>
      <c r="H647" s="49"/>
      <c r="I647" s="49"/>
      <c r="J647" s="49"/>
      <c r="K647" s="49"/>
      <c r="L647" s="49"/>
      <c r="M647" s="49"/>
      <c r="N647" s="49"/>
      <c r="O647" s="48"/>
      <c r="P647" s="48"/>
      <c r="Q647" s="48"/>
      <c r="R647" s="48"/>
      <c r="S647" s="48"/>
      <c r="T647" s="48"/>
      <c r="U647" s="48"/>
      <c r="V647" s="48"/>
      <c r="W647" s="48"/>
      <c r="X647" s="48"/>
      <c r="Y647" s="48"/>
      <c r="Z647" s="48"/>
    </row>
    <row r="648" ht="15.75" customHeight="1">
      <c r="A648" s="49"/>
      <c r="B648" s="49"/>
      <c r="C648" s="49"/>
      <c r="D648" s="49"/>
      <c r="E648" s="49"/>
      <c r="F648" s="49"/>
      <c r="G648" s="49"/>
      <c r="H648" s="49"/>
      <c r="I648" s="49"/>
      <c r="J648" s="49"/>
      <c r="K648" s="49"/>
      <c r="L648" s="49"/>
      <c r="M648" s="49"/>
      <c r="N648" s="49"/>
      <c r="O648" s="48"/>
      <c r="P648" s="48"/>
      <c r="Q648" s="48"/>
      <c r="R648" s="48"/>
      <c r="S648" s="48"/>
      <c r="T648" s="48"/>
      <c r="U648" s="48"/>
      <c r="V648" s="48"/>
      <c r="W648" s="48"/>
      <c r="X648" s="48"/>
      <c r="Y648" s="48"/>
      <c r="Z648" s="48"/>
    </row>
    <row r="649" ht="15.75" customHeight="1">
      <c r="A649" s="49"/>
      <c r="B649" s="49"/>
      <c r="C649" s="49"/>
      <c r="D649" s="49"/>
      <c r="E649" s="49"/>
      <c r="F649" s="49"/>
      <c r="G649" s="49"/>
      <c r="H649" s="49"/>
      <c r="I649" s="49"/>
      <c r="J649" s="49"/>
      <c r="K649" s="49"/>
      <c r="L649" s="49"/>
      <c r="M649" s="49"/>
      <c r="N649" s="49"/>
      <c r="O649" s="48"/>
      <c r="P649" s="48"/>
      <c r="Q649" s="48"/>
      <c r="R649" s="48"/>
      <c r="S649" s="48"/>
      <c r="T649" s="48"/>
      <c r="U649" s="48"/>
      <c r="V649" s="48"/>
      <c r="W649" s="48"/>
      <c r="X649" s="48"/>
      <c r="Y649" s="48"/>
      <c r="Z649" s="48"/>
    </row>
    <row r="650" ht="15.75" customHeight="1">
      <c r="A650" s="49"/>
      <c r="B650" s="49"/>
      <c r="C650" s="49"/>
      <c r="D650" s="49"/>
      <c r="E650" s="49"/>
      <c r="F650" s="49"/>
      <c r="G650" s="49"/>
      <c r="H650" s="49"/>
      <c r="I650" s="49"/>
      <c r="J650" s="49"/>
      <c r="K650" s="49"/>
      <c r="L650" s="49"/>
      <c r="M650" s="49"/>
      <c r="N650" s="49"/>
      <c r="O650" s="48"/>
      <c r="P650" s="48"/>
      <c r="Q650" s="48"/>
      <c r="R650" s="48"/>
      <c r="S650" s="48"/>
      <c r="T650" s="48"/>
      <c r="U650" s="48"/>
      <c r="V650" s="48"/>
      <c r="W650" s="48"/>
      <c r="X650" s="48"/>
      <c r="Y650" s="48"/>
      <c r="Z650" s="48"/>
    </row>
    <row r="651" ht="15.75" customHeight="1">
      <c r="A651" s="49"/>
      <c r="B651" s="49"/>
      <c r="C651" s="49"/>
      <c r="D651" s="49"/>
      <c r="E651" s="49"/>
      <c r="F651" s="49"/>
      <c r="G651" s="49"/>
      <c r="H651" s="49"/>
      <c r="I651" s="49"/>
      <c r="J651" s="49"/>
      <c r="K651" s="49"/>
      <c r="L651" s="49"/>
      <c r="M651" s="49"/>
      <c r="N651" s="49"/>
      <c r="O651" s="48"/>
      <c r="P651" s="48"/>
      <c r="Q651" s="48"/>
      <c r="R651" s="48"/>
      <c r="S651" s="48"/>
      <c r="T651" s="48"/>
      <c r="U651" s="48"/>
      <c r="V651" s="48"/>
      <c r="W651" s="48"/>
      <c r="X651" s="48"/>
      <c r="Y651" s="48"/>
      <c r="Z651" s="48"/>
    </row>
    <row r="652" ht="15.75" customHeight="1">
      <c r="A652" s="49"/>
      <c r="B652" s="49"/>
      <c r="C652" s="49"/>
      <c r="D652" s="49"/>
      <c r="E652" s="49"/>
      <c r="F652" s="49"/>
      <c r="G652" s="49"/>
      <c r="H652" s="49"/>
      <c r="I652" s="49"/>
      <c r="J652" s="49"/>
      <c r="K652" s="49"/>
      <c r="L652" s="49"/>
      <c r="M652" s="49"/>
      <c r="N652" s="49"/>
      <c r="O652" s="48"/>
      <c r="P652" s="48"/>
      <c r="Q652" s="48"/>
      <c r="R652" s="48"/>
      <c r="S652" s="48"/>
      <c r="T652" s="48"/>
      <c r="U652" s="48"/>
      <c r="V652" s="48"/>
      <c r="W652" s="48"/>
      <c r="X652" s="48"/>
      <c r="Y652" s="48"/>
      <c r="Z652" s="48"/>
    </row>
    <row r="653" ht="15.75" customHeight="1">
      <c r="A653" s="49"/>
      <c r="B653" s="49"/>
      <c r="C653" s="49"/>
      <c r="D653" s="49"/>
      <c r="E653" s="49"/>
      <c r="F653" s="49"/>
      <c r="G653" s="49"/>
      <c r="H653" s="49"/>
      <c r="I653" s="49"/>
      <c r="J653" s="49"/>
      <c r="K653" s="49"/>
      <c r="L653" s="49"/>
      <c r="M653" s="49"/>
      <c r="N653" s="49"/>
      <c r="O653" s="48"/>
      <c r="P653" s="48"/>
      <c r="Q653" s="48"/>
      <c r="R653" s="48"/>
      <c r="S653" s="48"/>
      <c r="T653" s="48"/>
      <c r="U653" s="48"/>
      <c r="V653" s="48"/>
      <c r="W653" s="48"/>
      <c r="X653" s="48"/>
      <c r="Y653" s="48"/>
      <c r="Z653" s="48"/>
    </row>
    <row r="654" ht="15.75" customHeight="1">
      <c r="A654" s="49"/>
      <c r="B654" s="49"/>
      <c r="C654" s="49"/>
      <c r="D654" s="49"/>
      <c r="E654" s="49"/>
      <c r="F654" s="49"/>
      <c r="G654" s="49"/>
      <c r="H654" s="49"/>
      <c r="I654" s="49"/>
      <c r="J654" s="49"/>
      <c r="K654" s="49"/>
      <c r="L654" s="49"/>
      <c r="M654" s="49"/>
      <c r="N654" s="49"/>
      <c r="O654" s="48"/>
      <c r="P654" s="48"/>
      <c r="Q654" s="48"/>
      <c r="R654" s="48"/>
      <c r="S654" s="48"/>
      <c r="T654" s="48"/>
      <c r="U654" s="48"/>
      <c r="V654" s="48"/>
      <c r="W654" s="48"/>
      <c r="X654" s="48"/>
      <c r="Y654" s="48"/>
      <c r="Z654" s="48"/>
    </row>
    <row r="655" ht="15.75" customHeight="1">
      <c r="A655" s="49"/>
      <c r="B655" s="49"/>
      <c r="C655" s="49"/>
      <c r="D655" s="49"/>
      <c r="E655" s="49"/>
      <c r="F655" s="49"/>
      <c r="G655" s="49"/>
      <c r="H655" s="49"/>
      <c r="I655" s="49"/>
      <c r="J655" s="49"/>
      <c r="K655" s="49"/>
      <c r="L655" s="49"/>
      <c r="M655" s="49"/>
      <c r="N655" s="49"/>
      <c r="O655" s="48"/>
      <c r="P655" s="48"/>
      <c r="Q655" s="48"/>
      <c r="R655" s="48"/>
      <c r="S655" s="48"/>
      <c r="T655" s="48"/>
      <c r="U655" s="48"/>
      <c r="V655" s="48"/>
      <c r="W655" s="48"/>
      <c r="X655" s="48"/>
      <c r="Y655" s="48"/>
      <c r="Z655" s="48"/>
    </row>
    <row r="656" ht="15.75" customHeight="1">
      <c r="A656" s="49"/>
      <c r="B656" s="49"/>
      <c r="C656" s="49"/>
      <c r="D656" s="49"/>
      <c r="E656" s="49"/>
      <c r="F656" s="49"/>
      <c r="G656" s="49"/>
      <c r="H656" s="49"/>
      <c r="I656" s="49"/>
      <c r="J656" s="49"/>
      <c r="K656" s="49"/>
      <c r="L656" s="49"/>
      <c r="M656" s="49"/>
      <c r="N656" s="49"/>
      <c r="O656" s="48"/>
      <c r="P656" s="48"/>
      <c r="Q656" s="48"/>
      <c r="R656" s="48"/>
      <c r="S656" s="48"/>
      <c r="T656" s="48"/>
      <c r="U656" s="48"/>
      <c r="V656" s="48"/>
      <c r="W656" s="48"/>
      <c r="X656" s="48"/>
      <c r="Y656" s="48"/>
      <c r="Z656" s="48"/>
    </row>
    <row r="657" ht="15.75" customHeight="1">
      <c r="A657" s="49"/>
      <c r="B657" s="49"/>
      <c r="C657" s="49"/>
      <c r="D657" s="49"/>
      <c r="E657" s="49"/>
      <c r="F657" s="49"/>
      <c r="G657" s="49"/>
      <c r="H657" s="49"/>
      <c r="I657" s="49"/>
      <c r="J657" s="49"/>
      <c r="K657" s="49"/>
      <c r="L657" s="49"/>
      <c r="M657" s="49"/>
      <c r="N657" s="49"/>
      <c r="O657" s="48"/>
      <c r="P657" s="48"/>
      <c r="Q657" s="48"/>
      <c r="R657" s="48"/>
      <c r="S657" s="48"/>
      <c r="T657" s="48"/>
      <c r="U657" s="48"/>
      <c r="V657" s="48"/>
      <c r="W657" s="48"/>
      <c r="X657" s="48"/>
      <c r="Y657" s="48"/>
      <c r="Z657" s="48"/>
    </row>
    <row r="658" ht="15.75" customHeight="1">
      <c r="A658" s="49"/>
      <c r="B658" s="49"/>
      <c r="C658" s="49"/>
      <c r="D658" s="49"/>
      <c r="E658" s="49"/>
      <c r="F658" s="49"/>
      <c r="G658" s="49"/>
      <c r="H658" s="49"/>
      <c r="I658" s="49"/>
      <c r="J658" s="49"/>
      <c r="K658" s="49"/>
      <c r="L658" s="49"/>
      <c r="M658" s="49"/>
      <c r="N658" s="49"/>
      <c r="O658" s="48"/>
      <c r="P658" s="48"/>
      <c r="Q658" s="48"/>
      <c r="R658" s="48"/>
      <c r="S658" s="48"/>
      <c r="T658" s="48"/>
      <c r="U658" s="48"/>
      <c r="V658" s="48"/>
      <c r="W658" s="48"/>
      <c r="X658" s="48"/>
      <c r="Y658" s="48"/>
      <c r="Z658" s="48"/>
    </row>
    <row r="659" ht="15.75" customHeight="1">
      <c r="A659" s="49"/>
      <c r="B659" s="49"/>
      <c r="C659" s="49"/>
      <c r="D659" s="49"/>
      <c r="E659" s="49"/>
      <c r="F659" s="49"/>
      <c r="G659" s="49"/>
      <c r="H659" s="49"/>
      <c r="I659" s="49"/>
      <c r="J659" s="49"/>
      <c r="K659" s="49"/>
      <c r="L659" s="49"/>
      <c r="M659" s="49"/>
      <c r="N659" s="49"/>
      <c r="O659" s="48"/>
      <c r="P659" s="48"/>
      <c r="Q659" s="48"/>
      <c r="R659" s="48"/>
      <c r="S659" s="48"/>
      <c r="T659" s="48"/>
      <c r="U659" s="48"/>
      <c r="V659" s="48"/>
      <c r="W659" s="48"/>
      <c r="X659" s="48"/>
      <c r="Y659" s="48"/>
      <c r="Z659" s="48"/>
    </row>
    <row r="660" ht="15.75" customHeight="1">
      <c r="A660" s="49"/>
      <c r="B660" s="49"/>
      <c r="C660" s="49"/>
      <c r="D660" s="49"/>
      <c r="E660" s="49"/>
      <c r="F660" s="49"/>
      <c r="G660" s="49"/>
      <c r="H660" s="49"/>
      <c r="I660" s="49"/>
      <c r="J660" s="49"/>
      <c r="K660" s="49"/>
      <c r="L660" s="49"/>
      <c r="M660" s="49"/>
      <c r="N660" s="49"/>
      <c r="O660" s="48"/>
      <c r="P660" s="48"/>
      <c r="Q660" s="48"/>
      <c r="R660" s="48"/>
      <c r="S660" s="48"/>
      <c r="T660" s="48"/>
      <c r="U660" s="48"/>
      <c r="V660" s="48"/>
      <c r="W660" s="48"/>
      <c r="X660" s="48"/>
      <c r="Y660" s="48"/>
      <c r="Z660" s="48"/>
    </row>
    <row r="661" ht="15.75" customHeight="1">
      <c r="A661" s="49"/>
      <c r="B661" s="49"/>
      <c r="C661" s="49"/>
      <c r="D661" s="49"/>
      <c r="E661" s="49"/>
      <c r="F661" s="49"/>
      <c r="G661" s="49"/>
      <c r="H661" s="49"/>
      <c r="I661" s="49"/>
      <c r="J661" s="49"/>
      <c r="K661" s="49"/>
      <c r="L661" s="49"/>
      <c r="M661" s="49"/>
      <c r="N661" s="49"/>
      <c r="O661" s="48"/>
      <c r="P661" s="48"/>
      <c r="Q661" s="48"/>
      <c r="R661" s="48"/>
      <c r="S661" s="48"/>
      <c r="T661" s="48"/>
      <c r="U661" s="48"/>
      <c r="V661" s="48"/>
      <c r="W661" s="48"/>
      <c r="X661" s="48"/>
      <c r="Y661" s="48"/>
      <c r="Z661" s="48"/>
    </row>
    <row r="662" ht="15.75" customHeight="1">
      <c r="A662" s="49"/>
      <c r="B662" s="49"/>
      <c r="C662" s="49"/>
      <c r="D662" s="49"/>
      <c r="E662" s="49"/>
      <c r="F662" s="49"/>
      <c r="G662" s="49"/>
      <c r="H662" s="49"/>
      <c r="I662" s="49"/>
      <c r="J662" s="49"/>
      <c r="K662" s="49"/>
      <c r="L662" s="49"/>
      <c r="M662" s="49"/>
      <c r="N662" s="49"/>
      <c r="O662" s="48"/>
      <c r="P662" s="48"/>
      <c r="Q662" s="48"/>
      <c r="R662" s="48"/>
      <c r="S662" s="48"/>
      <c r="T662" s="48"/>
      <c r="U662" s="48"/>
      <c r="V662" s="48"/>
      <c r="W662" s="48"/>
      <c r="X662" s="48"/>
      <c r="Y662" s="48"/>
      <c r="Z662" s="48"/>
    </row>
    <row r="663" ht="15.75" customHeight="1">
      <c r="A663" s="49"/>
      <c r="B663" s="49"/>
      <c r="C663" s="49"/>
      <c r="D663" s="49"/>
      <c r="E663" s="49"/>
      <c r="F663" s="49"/>
      <c r="G663" s="49"/>
      <c r="H663" s="49"/>
      <c r="I663" s="49"/>
      <c r="J663" s="49"/>
      <c r="K663" s="49"/>
      <c r="L663" s="49"/>
      <c r="M663" s="49"/>
      <c r="N663" s="49"/>
      <c r="O663" s="48"/>
      <c r="P663" s="48"/>
      <c r="Q663" s="48"/>
      <c r="R663" s="48"/>
      <c r="S663" s="48"/>
      <c r="T663" s="48"/>
      <c r="U663" s="48"/>
      <c r="V663" s="48"/>
      <c r="W663" s="48"/>
      <c r="X663" s="48"/>
      <c r="Y663" s="48"/>
      <c r="Z663" s="48"/>
    </row>
    <row r="664" ht="15.75" customHeight="1">
      <c r="A664" s="49"/>
      <c r="B664" s="49"/>
      <c r="C664" s="49"/>
      <c r="D664" s="49"/>
      <c r="E664" s="49"/>
      <c r="F664" s="49"/>
      <c r="G664" s="49"/>
      <c r="H664" s="49"/>
      <c r="I664" s="49"/>
      <c r="J664" s="49"/>
      <c r="K664" s="49"/>
      <c r="L664" s="49"/>
      <c r="M664" s="49"/>
      <c r="N664" s="49"/>
      <c r="O664" s="48"/>
      <c r="P664" s="48"/>
      <c r="Q664" s="48"/>
      <c r="R664" s="48"/>
      <c r="S664" s="48"/>
      <c r="T664" s="48"/>
      <c r="U664" s="48"/>
      <c r="V664" s="48"/>
      <c r="W664" s="48"/>
      <c r="X664" s="48"/>
      <c r="Y664" s="48"/>
      <c r="Z664" s="48"/>
    </row>
    <row r="665" ht="15.75" customHeight="1">
      <c r="A665" s="49"/>
      <c r="B665" s="49"/>
      <c r="C665" s="49"/>
      <c r="D665" s="49"/>
      <c r="E665" s="49"/>
      <c r="F665" s="49"/>
      <c r="G665" s="49"/>
      <c r="H665" s="49"/>
      <c r="I665" s="49"/>
      <c r="J665" s="49"/>
      <c r="K665" s="49"/>
      <c r="L665" s="49"/>
      <c r="M665" s="49"/>
      <c r="N665" s="49"/>
      <c r="O665" s="48"/>
      <c r="P665" s="48"/>
      <c r="Q665" s="48"/>
      <c r="R665" s="48"/>
      <c r="S665" s="48"/>
      <c r="T665" s="48"/>
      <c r="U665" s="48"/>
      <c r="V665" s="48"/>
      <c r="W665" s="48"/>
      <c r="X665" s="48"/>
      <c r="Y665" s="48"/>
      <c r="Z665" s="48"/>
    </row>
    <row r="666" ht="15.75" customHeight="1">
      <c r="A666" s="49"/>
      <c r="B666" s="49"/>
      <c r="C666" s="49"/>
      <c r="D666" s="49"/>
      <c r="E666" s="49"/>
      <c r="F666" s="49"/>
      <c r="G666" s="49"/>
      <c r="H666" s="49"/>
      <c r="I666" s="49"/>
      <c r="J666" s="49"/>
      <c r="K666" s="49"/>
      <c r="L666" s="49"/>
      <c r="M666" s="49"/>
      <c r="N666" s="49"/>
      <c r="O666" s="48"/>
      <c r="P666" s="48"/>
      <c r="Q666" s="48"/>
      <c r="R666" s="48"/>
      <c r="S666" s="48"/>
      <c r="T666" s="48"/>
      <c r="U666" s="48"/>
      <c r="V666" s="48"/>
      <c r="W666" s="48"/>
      <c r="X666" s="48"/>
      <c r="Y666" s="48"/>
      <c r="Z666" s="48"/>
    </row>
    <row r="667" ht="15.75" customHeight="1">
      <c r="A667" s="49"/>
      <c r="B667" s="49"/>
      <c r="C667" s="49"/>
      <c r="D667" s="49"/>
      <c r="E667" s="49"/>
      <c r="F667" s="49"/>
      <c r="G667" s="49"/>
      <c r="H667" s="49"/>
      <c r="I667" s="49"/>
      <c r="J667" s="49"/>
      <c r="K667" s="49"/>
      <c r="L667" s="49"/>
      <c r="M667" s="49"/>
      <c r="N667" s="49"/>
      <c r="O667" s="48"/>
      <c r="P667" s="48"/>
      <c r="Q667" s="48"/>
      <c r="R667" s="48"/>
      <c r="S667" s="48"/>
      <c r="T667" s="48"/>
      <c r="U667" s="48"/>
      <c r="V667" s="48"/>
      <c r="W667" s="48"/>
      <c r="X667" s="48"/>
      <c r="Y667" s="48"/>
      <c r="Z667" s="48"/>
    </row>
    <row r="668" ht="15.75" customHeight="1">
      <c r="A668" s="49"/>
      <c r="B668" s="49"/>
      <c r="C668" s="49"/>
      <c r="D668" s="49"/>
      <c r="E668" s="49"/>
      <c r="F668" s="49"/>
      <c r="G668" s="49"/>
      <c r="H668" s="49"/>
      <c r="I668" s="49"/>
      <c r="J668" s="49"/>
      <c r="K668" s="49"/>
      <c r="L668" s="49"/>
      <c r="M668" s="49"/>
      <c r="N668" s="49"/>
      <c r="O668" s="48"/>
      <c r="P668" s="48"/>
      <c r="Q668" s="48"/>
      <c r="R668" s="48"/>
      <c r="S668" s="48"/>
      <c r="T668" s="48"/>
      <c r="U668" s="48"/>
      <c r="V668" s="48"/>
      <c r="W668" s="48"/>
      <c r="X668" s="48"/>
      <c r="Y668" s="48"/>
      <c r="Z668" s="48"/>
    </row>
    <row r="669" ht="15.75" customHeight="1">
      <c r="A669" s="49"/>
      <c r="B669" s="49"/>
      <c r="C669" s="49"/>
      <c r="D669" s="49"/>
      <c r="E669" s="49"/>
      <c r="F669" s="49"/>
      <c r="G669" s="49"/>
      <c r="H669" s="49"/>
      <c r="I669" s="49"/>
      <c r="J669" s="49"/>
      <c r="K669" s="49"/>
      <c r="L669" s="49"/>
      <c r="M669" s="49"/>
      <c r="N669" s="49"/>
      <c r="O669" s="48"/>
      <c r="P669" s="48"/>
      <c r="Q669" s="48"/>
      <c r="R669" s="48"/>
      <c r="S669" s="48"/>
      <c r="T669" s="48"/>
      <c r="U669" s="48"/>
      <c r="V669" s="48"/>
      <c r="W669" s="48"/>
      <c r="X669" s="48"/>
      <c r="Y669" s="48"/>
      <c r="Z669" s="48"/>
    </row>
    <row r="670" ht="15.75" customHeight="1">
      <c r="A670" s="49"/>
      <c r="B670" s="49"/>
      <c r="C670" s="49"/>
      <c r="D670" s="49"/>
      <c r="E670" s="49"/>
      <c r="F670" s="49"/>
      <c r="G670" s="49"/>
      <c r="H670" s="49"/>
      <c r="I670" s="49"/>
      <c r="J670" s="49"/>
      <c r="K670" s="49"/>
      <c r="L670" s="49"/>
      <c r="M670" s="49"/>
      <c r="N670" s="49"/>
      <c r="O670" s="48"/>
      <c r="P670" s="48"/>
      <c r="Q670" s="48"/>
      <c r="R670" s="48"/>
      <c r="S670" s="48"/>
      <c r="T670" s="48"/>
      <c r="U670" s="48"/>
      <c r="V670" s="48"/>
      <c r="W670" s="48"/>
      <c r="X670" s="48"/>
      <c r="Y670" s="48"/>
      <c r="Z670" s="48"/>
    </row>
    <row r="671" ht="15.75" customHeight="1">
      <c r="A671" s="49"/>
      <c r="B671" s="49"/>
      <c r="C671" s="49"/>
      <c r="D671" s="49"/>
      <c r="E671" s="49"/>
      <c r="F671" s="49"/>
      <c r="G671" s="49"/>
      <c r="H671" s="49"/>
      <c r="I671" s="49"/>
      <c r="J671" s="49"/>
      <c r="K671" s="49"/>
      <c r="L671" s="49"/>
      <c r="M671" s="49"/>
      <c r="N671" s="49"/>
      <c r="O671" s="48"/>
      <c r="P671" s="48"/>
      <c r="Q671" s="48"/>
      <c r="R671" s="48"/>
      <c r="S671" s="48"/>
      <c r="T671" s="48"/>
      <c r="U671" s="48"/>
      <c r="V671" s="48"/>
      <c r="W671" s="48"/>
      <c r="X671" s="48"/>
      <c r="Y671" s="48"/>
      <c r="Z671" s="48"/>
    </row>
    <row r="672" ht="15.75" customHeight="1">
      <c r="A672" s="49"/>
      <c r="B672" s="49"/>
      <c r="C672" s="49"/>
      <c r="D672" s="49"/>
      <c r="E672" s="49"/>
      <c r="F672" s="49"/>
      <c r="G672" s="49"/>
      <c r="H672" s="49"/>
      <c r="I672" s="49"/>
      <c r="J672" s="49"/>
      <c r="K672" s="49"/>
      <c r="L672" s="49"/>
      <c r="M672" s="49"/>
      <c r="N672" s="49"/>
      <c r="O672" s="48"/>
      <c r="P672" s="48"/>
      <c r="Q672" s="48"/>
      <c r="R672" s="48"/>
      <c r="S672" s="48"/>
      <c r="T672" s="48"/>
      <c r="U672" s="48"/>
      <c r="V672" s="48"/>
      <c r="W672" s="48"/>
      <c r="X672" s="48"/>
      <c r="Y672" s="48"/>
      <c r="Z672" s="48"/>
    </row>
    <row r="673" ht="15.75" customHeight="1">
      <c r="A673" s="49"/>
      <c r="B673" s="49"/>
      <c r="C673" s="49"/>
      <c r="D673" s="49"/>
      <c r="E673" s="49"/>
      <c r="F673" s="49"/>
      <c r="G673" s="49"/>
      <c r="H673" s="49"/>
      <c r="I673" s="49"/>
      <c r="J673" s="49"/>
      <c r="K673" s="49"/>
      <c r="L673" s="49"/>
      <c r="M673" s="49"/>
      <c r="N673" s="49"/>
      <c r="O673" s="48"/>
      <c r="P673" s="48"/>
      <c r="Q673" s="48"/>
      <c r="R673" s="48"/>
      <c r="S673" s="48"/>
      <c r="T673" s="48"/>
      <c r="U673" s="48"/>
      <c r="V673" s="48"/>
      <c r="W673" s="48"/>
      <c r="X673" s="48"/>
      <c r="Y673" s="48"/>
      <c r="Z673" s="48"/>
    </row>
    <row r="674" ht="15.75" customHeight="1">
      <c r="A674" s="49"/>
      <c r="B674" s="49"/>
      <c r="C674" s="49"/>
      <c r="D674" s="49"/>
      <c r="E674" s="49"/>
      <c r="F674" s="49"/>
      <c r="G674" s="49"/>
      <c r="H674" s="49"/>
      <c r="I674" s="49"/>
      <c r="J674" s="49"/>
      <c r="K674" s="49"/>
      <c r="L674" s="49"/>
      <c r="M674" s="49"/>
      <c r="N674" s="49"/>
      <c r="O674" s="48"/>
      <c r="P674" s="48"/>
      <c r="Q674" s="48"/>
      <c r="R674" s="48"/>
      <c r="S674" s="48"/>
      <c r="T674" s="48"/>
      <c r="U674" s="48"/>
      <c r="V674" s="48"/>
      <c r="W674" s="48"/>
      <c r="X674" s="48"/>
      <c r="Y674" s="48"/>
      <c r="Z674" s="48"/>
    </row>
    <row r="675" ht="15.75" customHeight="1">
      <c r="A675" s="49"/>
      <c r="B675" s="49"/>
      <c r="C675" s="49"/>
      <c r="D675" s="49"/>
      <c r="E675" s="49"/>
      <c r="F675" s="49"/>
      <c r="G675" s="49"/>
      <c r="H675" s="49"/>
      <c r="I675" s="49"/>
      <c r="J675" s="49"/>
      <c r="K675" s="49"/>
      <c r="L675" s="49"/>
      <c r="M675" s="49"/>
      <c r="N675" s="49"/>
      <c r="O675" s="48"/>
      <c r="P675" s="48"/>
      <c r="Q675" s="48"/>
      <c r="R675" s="48"/>
      <c r="S675" s="48"/>
      <c r="T675" s="48"/>
      <c r="U675" s="48"/>
      <c r="V675" s="48"/>
      <c r="W675" s="48"/>
      <c r="X675" s="48"/>
      <c r="Y675" s="48"/>
      <c r="Z675" s="48"/>
    </row>
    <row r="676" ht="15.75" customHeight="1">
      <c r="A676" s="49"/>
      <c r="B676" s="49"/>
      <c r="C676" s="49"/>
      <c r="D676" s="49"/>
      <c r="E676" s="49"/>
      <c r="F676" s="49"/>
      <c r="G676" s="49"/>
      <c r="H676" s="49"/>
      <c r="I676" s="49"/>
      <c r="J676" s="49"/>
      <c r="K676" s="49"/>
      <c r="L676" s="49"/>
      <c r="M676" s="49"/>
      <c r="N676" s="49"/>
      <c r="O676" s="48"/>
      <c r="P676" s="48"/>
      <c r="Q676" s="48"/>
      <c r="R676" s="48"/>
      <c r="S676" s="48"/>
      <c r="T676" s="48"/>
      <c r="U676" s="48"/>
      <c r="V676" s="48"/>
      <c r="W676" s="48"/>
      <c r="X676" s="48"/>
      <c r="Y676" s="48"/>
      <c r="Z676" s="48"/>
    </row>
    <row r="677" ht="15.75" customHeight="1">
      <c r="A677" s="49"/>
      <c r="B677" s="49"/>
      <c r="C677" s="49"/>
      <c r="D677" s="49"/>
      <c r="E677" s="49"/>
      <c r="F677" s="49"/>
      <c r="G677" s="49"/>
      <c r="H677" s="49"/>
      <c r="I677" s="49"/>
      <c r="J677" s="49"/>
      <c r="K677" s="49"/>
      <c r="L677" s="49"/>
      <c r="M677" s="49"/>
      <c r="N677" s="49"/>
      <c r="O677" s="48"/>
      <c r="P677" s="48"/>
      <c r="Q677" s="48"/>
      <c r="R677" s="48"/>
      <c r="S677" s="48"/>
      <c r="T677" s="48"/>
      <c r="U677" s="48"/>
      <c r="V677" s="48"/>
      <c r="W677" s="48"/>
      <c r="X677" s="48"/>
      <c r="Y677" s="48"/>
      <c r="Z677" s="48"/>
    </row>
    <row r="678" ht="15.75" customHeight="1">
      <c r="A678" s="49"/>
      <c r="B678" s="49"/>
      <c r="C678" s="49"/>
      <c r="D678" s="49"/>
      <c r="E678" s="49"/>
      <c r="F678" s="49"/>
      <c r="G678" s="49"/>
      <c r="H678" s="49"/>
      <c r="I678" s="49"/>
      <c r="J678" s="49"/>
      <c r="K678" s="49"/>
      <c r="L678" s="49"/>
      <c r="M678" s="49"/>
      <c r="N678" s="49"/>
      <c r="O678" s="48"/>
      <c r="P678" s="48"/>
      <c r="Q678" s="48"/>
      <c r="R678" s="48"/>
      <c r="S678" s="48"/>
      <c r="T678" s="48"/>
      <c r="U678" s="48"/>
      <c r="V678" s="48"/>
      <c r="W678" s="48"/>
      <c r="X678" s="48"/>
      <c r="Y678" s="48"/>
      <c r="Z678" s="48"/>
    </row>
    <row r="679" ht="15.75" customHeight="1">
      <c r="A679" s="49"/>
      <c r="B679" s="49"/>
      <c r="C679" s="49"/>
      <c r="D679" s="49"/>
      <c r="E679" s="49"/>
      <c r="F679" s="49"/>
      <c r="G679" s="49"/>
      <c r="H679" s="49"/>
      <c r="I679" s="49"/>
      <c r="J679" s="49"/>
      <c r="K679" s="49"/>
      <c r="L679" s="49"/>
      <c r="M679" s="49"/>
      <c r="N679" s="49"/>
      <c r="O679" s="48"/>
      <c r="P679" s="48"/>
      <c r="Q679" s="48"/>
      <c r="R679" s="48"/>
      <c r="S679" s="48"/>
      <c r="T679" s="48"/>
      <c r="U679" s="48"/>
      <c r="V679" s="48"/>
      <c r="W679" s="48"/>
      <c r="X679" s="48"/>
      <c r="Y679" s="48"/>
      <c r="Z679" s="48"/>
    </row>
    <row r="680" ht="15.75" customHeight="1">
      <c r="A680" s="49"/>
      <c r="B680" s="49"/>
      <c r="C680" s="49"/>
      <c r="D680" s="49"/>
      <c r="E680" s="49"/>
      <c r="F680" s="49"/>
      <c r="G680" s="49"/>
      <c r="H680" s="49"/>
      <c r="I680" s="49"/>
      <c r="J680" s="49"/>
      <c r="K680" s="49"/>
      <c r="L680" s="49"/>
      <c r="M680" s="49"/>
      <c r="N680" s="49"/>
      <c r="O680" s="48"/>
      <c r="P680" s="48"/>
      <c r="Q680" s="48"/>
      <c r="R680" s="48"/>
      <c r="S680" s="48"/>
      <c r="T680" s="48"/>
      <c r="U680" s="48"/>
      <c r="V680" s="48"/>
      <c r="W680" s="48"/>
      <c r="X680" s="48"/>
      <c r="Y680" s="48"/>
      <c r="Z680" s="48"/>
    </row>
    <row r="681" ht="15.75" customHeight="1">
      <c r="A681" s="49"/>
      <c r="B681" s="49"/>
      <c r="C681" s="49"/>
      <c r="D681" s="49"/>
      <c r="E681" s="49"/>
      <c r="F681" s="49"/>
      <c r="G681" s="49"/>
      <c r="H681" s="49"/>
      <c r="I681" s="49"/>
      <c r="J681" s="49"/>
      <c r="K681" s="49"/>
      <c r="L681" s="49"/>
      <c r="M681" s="49"/>
      <c r="N681" s="49"/>
      <c r="O681" s="48"/>
      <c r="P681" s="48"/>
      <c r="Q681" s="48"/>
      <c r="R681" s="48"/>
      <c r="S681" s="48"/>
      <c r="T681" s="48"/>
      <c r="U681" s="48"/>
      <c r="V681" s="48"/>
      <c r="W681" s="48"/>
      <c r="X681" s="48"/>
      <c r="Y681" s="48"/>
      <c r="Z681" s="48"/>
    </row>
    <row r="682" ht="15.75" customHeight="1">
      <c r="A682" s="49"/>
      <c r="B682" s="49"/>
      <c r="C682" s="49"/>
      <c r="D682" s="49"/>
      <c r="E682" s="49"/>
      <c r="F682" s="49"/>
      <c r="G682" s="49"/>
      <c r="H682" s="49"/>
      <c r="I682" s="49"/>
      <c r="J682" s="49"/>
      <c r="K682" s="49"/>
      <c r="L682" s="49"/>
      <c r="M682" s="49"/>
      <c r="N682" s="49"/>
      <c r="O682" s="48"/>
      <c r="P682" s="48"/>
      <c r="Q682" s="48"/>
      <c r="R682" s="48"/>
      <c r="S682" s="48"/>
      <c r="T682" s="48"/>
      <c r="U682" s="48"/>
      <c r="V682" s="48"/>
      <c r="W682" s="48"/>
      <c r="X682" s="48"/>
      <c r="Y682" s="48"/>
      <c r="Z682" s="48"/>
    </row>
    <row r="683" ht="15.75" customHeight="1">
      <c r="A683" s="49"/>
      <c r="B683" s="49"/>
      <c r="C683" s="49"/>
      <c r="D683" s="49"/>
      <c r="E683" s="49"/>
      <c r="F683" s="49"/>
      <c r="G683" s="49"/>
      <c r="H683" s="49"/>
      <c r="I683" s="49"/>
      <c r="J683" s="49"/>
      <c r="K683" s="49"/>
      <c r="L683" s="49"/>
      <c r="M683" s="49"/>
      <c r="N683" s="49"/>
      <c r="O683" s="48"/>
      <c r="P683" s="48"/>
      <c r="Q683" s="48"/>
      <c r="R683" s="48"/>
      <c r="S683" s="48"/>
      <c r="T683" s="48"/>
      <c r="U683" s="48"/>
      <c r="V683" s="48"/>
      <c r="W683" s="48"/>
      <c r="X683" s="48"/>
      <c r="Y683" s="48"/>
      <c r="Z683" s="48"/>
    </row>
    <row r="684" ht="15.75" customHeight="1">
      <c r="A684" s="49"/>
      <c r="B684" s="49"/>
      <c r="C684" s="49"/>
      <c r="D684" s="49"/>
      <c r="E684" s="49"/>
      <c r="F684" s="49"/>
      <c r="G684" s="49"/>
      <c r="H684" s="49"/>
      <c r="I684" s="49"/>
      <c r="J684" s="49"/>
      <c r="K684" s="49"/>
      <c r="L684" s="49"/>
      <c r="M684" s="49"/>
      <c r="N684" s="49"/>
      <c r="O684" s="48"/>
      <c r="P684" s="48"/>
      <c r="Q684" s="48"/>
      <c r="R684" s="48"/>
      <c r="S684" s="48"/>
      <c r="T684" s="48"/>
      <c r="U684" s="48"/>
      <c r="V684" s="48"/>
      <c r="W684" s="48"/>
      <c r="X684" s="48"/>
      <c r="Y684" s="48"/>
      <c r="Z684" s="48"/>
    </row>
    <row r="685" ht="15.75" customHeight="1">
      <c r="A685" s="49"/>
      <c r="B685" s="49"/>
      <c r="C685" s="49"/>
      <c r="D685" s="49"/>
      <c r="E685" s="49"/>
      <c r="F685" s="49"/>
      <c r="G685" s="49"/>
      <c r="H685" s="49"/>
      <c r="I685" s="49"/>
      <c r="J685" s="49"/>
      <c r="K685" s="49"/>
      <c r="L685" s="49"/>
      <c r="M685" s="49"/>
      <c r="N685" s="49"/>
      <c r="O685" s="48"/>
      <c r="P685" s="48"/>
      <c r="Q685" s="48"/>
      <c r="R685" s="48"/>
      <c r="S685" s="48"/>
      <c r="T685" s="48"/>
      <c r="U685" s="48"/>
      <c r="V685" s="48"/>
      <c r="W685" s="48"/>
      <c r="X685" s="48"/>
      <c r="Y685" s="48"/>
      <c r="Z685" s="48"/>
    </row>
    <row r="686" ht="15.75" customHeight="1">
      <c r="A686" s="49"/>
      <c r="B686" s="49"/>
      <c r="C686" s="49"/>
      <c r="D686" s="49"/>
      <c r="E686" s="49"/>
      <c r="F686" s="49"/>
      <c r="G686" s="49"/>
      <c r="H686" s="49"/>
      <c r="I686" s="49"/>
      <c r="J686" s="49"/>
      <c r="K686" s="49"/>
      <c r="L686" s="49"/>
      <c r="M686" s="49"/>
      <c r="N686" s="49"/>
      <c r="O686" s="48"/>
      <c r="P686" s="48"/>
      <c r="Q686" s="48"/>
      <c r="R686" s="48"/>
      <c r="S686" s="48"/>
      <c r="T686" s="48"/>
      <c r="U686" s="48"/>
      <c r="V686" s="48"/>
      <c r="W686" s="48"/>
      <c r="X686" s="48"/>
      <c r="Y686" s="48"/>
      <c r="Z686" s="48"/>
    </row>
    <row r="687" ht="15.75" customHeight="1">
      <c r="A687" s="49"/>
      <c r="B687" s="49"/>
      <c r="C687" s="49"/>
      <c r="D687" s="49"/>
      <c r="E687" s="49"/>
      <c r="F687" s="49"/>
      <c r="G687" s="49"/>
      <c r="H687" s="49"/>
      <c r="I687" s="49"/>
      <c r="J687" s="49"/>
      <c r="K687" s="49"/>
      <c r="L687" s="49"/>
      <c r="M687" s="49"/>
      <c r="N687" s="49"/>
      <c r="O687" s="48"/>
      <c r="P687" s="48"/>
      <c r="Q687" s="48"/>
      <c r="R687" s="48"/>
      <c r="S687" s="48"/>
      <c r="T687" s="48"/>
      <c r="U687" s="48"/>
      <c r="V687" s="48"/>
      <c r="W687" s="48"/>
      <c r="X687" s="48"/>
      <c r="Y687" s="48"/>
      <c r="Z687" s="48"/>
    </row>
    <row r="688" ht="15.75" customHeight="1">
      <c r="A688" s="49"/>
      <c r="B688" s="49"/>
      <c r="C688" s="49"/>
      <c r="D688" s="49"/>
      <c r="E688" s="49"/>
      <c r="F688" s="49"/>
      <c r="G688" s="49"/>
      <c r="H688" s="49"/>
      <c r="I688" s="49"/>
      <c r="J688" s="49"/>
      <c r="K688" s="49"/>
      <c r="L688" s="49"/>
      <c r="M688" s="49"/>
      <c r="N688" s="49"/>
      <c r="O688" s="48"/>
      <c r="P688" s="48"/>
      <c r="Q688" s="48"/>
      <c r="R688" s="48"/>
      <c r="S688" s="48"/>
      <c r="T688" s="48"/>
      <c r="U688" s="48"/>
      <c r="V688" s="48"/>
      <c r="W688" s="48"/>
      <c r="X688" s="48"/>
      <c r="Y688" s="48"/>
      <c r="Z688" s="48"/>
    </row>
    <row r="689" ht="15.75" customHeight="1">
      <c r="A689" s="49"/>
      <c r="B689" s="49"/>
      <c r="C689" s="49"/>
      <c r="D689" s="49"/>
      <c r="E689" s="49"/>
      <c r="F689" s="49"/>
      <c r="G689" s="49"/>
      <c r="H689" s="49"/>
      <c r="I689" s="49"/>
      <c r="J689" s="49"/>
      <c r="K689" s="49"/>
      <c r="L689" s="49"/>
      <c r="M689" s="49"/>
      <c r="N689" s="49"/>
      <c r="O689" s="48"/>
      <c r="P689" s="48"/>
      <c r="Q689" s="48"/>
      <c r="R689" s="48"/>
      <c r="S689" s="48"/>
      <c r="T689" s="48"/>
      <c r="U689" s="48"/>
      <c r="V689" s="48"/>
      <c r="W689" s="48"/>
      <c r="X689" s="48"/>
      <c r="Y689" s="48"/>
      <c r="Z689" s="48"/>
    </row>
    <row r="690" ht="15.75" customHeight="1">
      <c r="A690" s="49"/>
      <c r="B690" s="49"/>
      <c r="C690" s="49"/>
      <c r="D690" s="49"/>
      <c r="E690" s="49"/>
      <c r="F690" s="49"/>
      <c r="G690" s="49"/>
      <c r="H690" s="49"/>
      <c r="I690" s="49"/>
      <c r="J690" s="49"/>
      <c r="K690" s="49"/>
      <c r="L690" s="49"/>
      <c r="M690" s="49"/>
      <c r="N690" s="49"/>
      <c r="O690" s="48"/>
      <c r="P690" s="48"/>
      <c r="Q690" s="48"/>
      <c r="R690" s="48"/>
      <c r="S690" s="48"/>
      <c r="T690" s="48"/>
      <c r="U690" s="48"/>
      <c r="V690" s="48"/>
      <c r="W690" s="48"/>
      <c r="X690" s="48"/>
      <c r="Y690" s="48"/>
      <c r="Z690" s="48"/>
    </row>
    <row r="691" ht="15.75" customHeight="1">
      <c r="A691" s="49"/>
      <c r="B691" s="49"/>
      <c r="C691" s="49"/>
      <c r="D691" s="49"/>
      <c r="E691" s="49"/>
      <c r="F691" s="49"/>
      <c r="G691" s="49"/>
      <c r="H691" s="49"/>
      <c r="I691" s="49"/>
      <c r="J691" s="49"/>
      <c r="K691" s="49"/>
      <c r="L691" s="49"/>
      <c r="M691" s="49"/>
      <c r="N691" s="49"/>
      <c r="O691" s="48"/>
      <c r="P691" s="48"/>
      <c r="Q691" s="48"/>
      <c r="R691" s="48"/>
      <c r="S691" s="48"/>
      <c r="T691" s="48"/>
      <c r="U691" s="48"/>
      <c r="V691" s="48"/>
      <c r="W691" s="48"/>
      <c r="X691" s="48"/>
      <c r="Y691" s="48"/>
      <c r="Z691" s="48"/>
    </row>
    <row r="692" ht="15.75" customHeight="1">
      <c r="A692" s="49"/>
      <c r="B692" s="49"/>
      <c r="C692" s="49"/>
      <c r="D692" s="49"/>
      <c r="E692" s="49"/>
      <c r="F692" s="49"/>
      <c r="G692" s="49"/>
      <c r="H692" s="49"/>
      <c r="I692" s="49"/>
      <c r="J692" s="49"/>
      <c r="K692" s="49"/>
      <c r="L692" s="49"/>
      <c r="M692" s="49"/>
      <c r="N692" s="49"/>
      <c r="O692" s="48"/>
      <c r="P692" s="48"/>
      <c r="Q692" s="48"/>
      <c r="R692" s="48"/>
      <c r="S692" s="48"/>
      <c r="T692" s="48"/>
      <c r="U692" s="48"/>
      <c r="V692" s="48"/>
      <c r="W692" s="48"/>
      <c r="X692" s="48"/>
      <c r="Y692" s="48"/>
      <c r="Z692" s="48"/>
    </row>
    <row r="693" ht="15.75" customHeight="1">
      <c r="A693" s="49"/>
      <c r="B693" s="49"/>
      <c r="C693" s="49"/>
      <c r="D693" s="49"/>
      <c r="E693" s="49"/>
      <c r="F693" s="49"/>
      <c r="G693" s="49"/>
      <c r="H693" s="49"/>
      <c r="I693" s="49"/>
      <c r="J693" s="49"/>
      <c r="K693" s="49"/>
      <c r="L693" s="49"/>
      <c r="M693" s="49"/>
      <c r="N693" s="49"/>
      <c r="O693" s="48"/>
      <c r="P693" s="48"/>
      <c r="Q693" s="48"/>
      <c r="R693" s="48"/>
      <c r="S693" s="48"/>
      <c r="T693" s="48"/>
      <c r="U693" s="48"/>
      <c r="V693" s="48"/>
      <c r="W693" s="48"/>
      <c r="X693" s="48"/>
      <c r="Y693" s="48"/>
      <c r="Z693" s="48"/>
    </row>
    <row r="694" ht="15.75" customHeight="1">
      <c r="A694" s="49"/>
      <c r="B694" s="49"/>
      <c r="C694" s="49"/>
      <c r="D694" s="49"/>
      <c r="E694" s="49"/>
      <c r="F694" s="49"/>
      <c r="G694" s="49"/>
      <c r="H694" s="49"/>
      <c r="I694" s="49"/>
      <c r="J694" s="49"/>
      <c r="K694" s="49"/>
      <c r="L694" s="49"/>
      <c r="M694" s="49"/>
      <c r="N694" s="49"/>
      <c r="O694" s="48"/>
      <c r="P694" s="48"/>
      <c r="Q694" s="48"/>
      <c r="R694" s="48"/>
      <c r="S694" s="48"/>
      <c r="T694" s="48"/>
      <c r="U694" s="48"/>
      <c r="V694" s="48"/>
      <c r="W694" s="48"/>
      <c r="X694" s="48"/>
      <c r="Y694" s="48"/>
      <c r="Z694" s="48"/>
    </row>
    <row r="695" ht="15.75" customHeight="1">
      <c r="A695" s="49"/>
      <c r="B695" s="49"/>
      <c r="C695" s="49"/>
      <c r="D695" s="49"/>
      <c r="E695" s="49"/>
      <c r="F695" s="49"/>
      <c r="G695" s="49"/>
      <c r="H695" s="49"/>
      <c r="I695" s="49"/>
      <c r="J695" s="49"/>
      <c r="K695" s="49"/>
      <c r="L695" s="49"/>
      <c r="M695" s="49"/>
      <c r="N695" s="49"/>
      <c r="O695" s="48"/>
      <c r="P695" s="48"/>
      <c r="Q695" s="48"/>
      <c r="R695" s="48"/>
      <c r="S695" s="48"/>
      <c r="T695" s="48"/>
      <c r="U695" s="48"/>
      <c r="V695" s="48"/>
      <c r="W695" s="48"/>
      <c r="X695" s="48"/>
      <c r="Y695" s="48"/>
      <c r="Z695" s="48"/>
    </row>
    <row r="696" ht="15.75" customHeight="1">
      <c r="A696" s="49"/>
      <c r="B696" s="49"/>
      <c r="C696" s="49"/>
      <c r="D696" s="49"/>
      <c r="E696" s="49"/>
      <c r="F696" s="49"/>
      <c r="G696" s="49"/>
      <c r="H696" s="49"/>
      <c r="I696" s="49"/>
      <c r="J696" s="49"/>
      <c r="K696" s="49"/>
      <c r="L696" s="49"/>
      <c r="M696" s="49"/>
      <c r="N696" s="49"/>
      <c r="O696" s="48"/>
      <c r="P696" s="48"/>
      <c r="Q696" s="48"/>
      <c r="R696" s="48"/>
      <c r="S696" s="48"/>
      <c r="T696" s="48"/>
      <c r="U696" s="48"/>
      <c r="V696" s="48"/>
      <c r="W696" s="48"/>
      <c r="X696" s="48"/>
      <c r="Y696" s="48"/>
      <c r="Z696" s="48"/>
    </row>
    <row r="697" ht="15.75" customHeight="1">
      <c r="A697" s="49"/>
      <c r="B697" s="49"/>
      <c r="C697" s="49"/>
      <c r="D697" s="49"/>
      <c r="E697" s="49"/>
      <c r="F697" s="49"/>
      <c r="G697" s="49"/>
      <c r="H697" s="49"/>
      <c r="I697" s="49"/>
      <c r="J697" s="49"/>
      <c r="K697" s="49"/>
      <c r="L697" s="49"/>
      <c r="M697" s="49"/>
      <c r="N697" s="49"/>
      <c r="O697" s="48"/>
      <c r="P697" s="48"/>
      <c r="Q697" s="48"/>
      <c r="R697" s="48"/>
      <c r="S697" s="48"/>
      <c r="T697" s="48"/>
      <c r="U697" s="48"/>
      <c r="V697" s="48"/>
      <c r="W697" s="48"/>
      <c r="X697" s="48"/>
      <c r="Y697" s="48"/>
      <c r="Z697" s="48"/>
    </row>
    <row r="698" ht="15.75" customHeight="1">
      <c r="A698" s="49"/>
      <c r="B698" s="49"/>
      <c r="C698" s="49"/>
      <c r="D698" s="49"/>
      <c r="E698" s="49"/>
      <c r="F698" s="49"/>
      <c r="G698" s="49"/>
      <c r="H698" s="49"/>
      <c r="I698" s="49"/>
      <c r="J698" s="49"/>
      <c r="K698" s="49"/>
      <c r="L698" s="49"/>
      <c r="M698" s="49"/>
      <c r="N698" s="49"/>
      <c r="O698" s="48"/>
      <c r="P698" s="48"/>
      <c r="Q698" s="48"/>
      <c r="R698" s="48"/>
      <c r="S698" s="48"/>
      <c r="T698" s="48"/>
      <c r="U698" s="48"/>
      <c r="V698" s="48"/>
      <c r="W698" s="48"/>
      <c r="X698" s="48"/>
      <c r="Y698" s="48"/>
      <c r="Z698" s="48"/>
    </row>
    <row r="699" ht="15.75" customHeight="1">
      <c r="A699" s="49"/>
      <c r="B699" s="49"/>
      <c r="C699" s="49"/>
      <c r="D699" s="49"/>
      <c r="E699" s="49"/>
      <c r="F699" s="49"/>
      <c r="G699" s="49"/>
      <c r="H699" s="49"/>
      <c r="I699" s="49"/>
      <c r="J699" s="49"/>
      <c r="K699" s="49"/>
      <c r="L699" s="49"/>
      <c r="M699" s="49"/>
      <c r="N699" s="49"/>
      <c r="O699" s="48"/>
      <c r="P699" s="48"/>
      <c r="Q699" s="48"/>
      <c r="R699" s="48"/>
      <c r="S699" s="48"/>
      <c r="T699" s="48"/>
      <c r="U699" s="48"/>
      <c r="V699" s="48"/>
      <c r="W699" s="48"/>
      <c r="X699" s="48"/>
      <c r="Y699" s="48"/>
      <c r="Z699" s="48"/>
    </row>
    <row r="700" ht="15.75" customHeight="1">
      <c r="A700" s="49"/>
      <c r="B700" s="49"/>
      <c r="C700" s="49"/>
      <c r="D700" s="49"/>
      <c r="E700" s="49"/>
      <c r="F700" s="49"/>
      <c r="G700" s="49"/>
      <c r="H700" s="49"/>
      <c r="I700" s="49"/>
      <c r="J700" s="49"/>
      <c r="K700" s="49"/>
      <c r="L700" s="49"/>
      <c r="M700" s="49"/>
      <c r="N700" s="49"/>
      <c r="O700" s="48"/>
      <c r="P700" s="48"/>
      <c r="Q700" s="48"/>
      <c r="R700" s="48"/>
      <c r="S700" s="48"/>
      <c r="T700" s="48"/>
      <c r="U700" s="48"/>
      <c r="V700" s="48"/>
      <c r="W700" s="48"/>
      <c r="X700" s="48"/>
      <c r="Y700" s="48"/>
      <c r="Z700" s="48"/>
    </row>
    <row r="701" ht="15.75" customHeight="1">
      <c r="A701" s="49"/>
      <c r="B701" s="49"/>
      <c r="C701" s="49"/>
      <c r="D701" s="49"/>
      <c r="E701" s="49"/>
      <c r="F701" s="49"/>
      <c r="G701" s="49"/>
      <c r="H701" s="49"/>
      <c r="I701" s="49"/>
      <c r="J701" s="49"/>
      <c r="K701" s="49"/>
      <c r="L701" s="49"/>
      <c r="M701" s="49"/>
      <c r="N701" s="49"/>
      <c r="O701" s="48"/>
      <c r="P701" s="48"/>
      <c r="Q701" s="48"/>
      <c r="R701" s="48"/>
      <c r="S701" s="48"/>
      <c r="T701" s="48"/>
      <c r="U701" s="48"/>
      <c r="V701" s="48"/>
      <c r="W701" s="48"/>
      <c r="X701" s="48"/>
      <c r="Y701" s="48"/>
      <c r="Z701" s="48"/>
    </row>
    <row r="702" ht="15.75" customHeight="1">
      <c r="A702" s="49"/>
      <c r="B702" s="49"/>
      <c r="C702" s="49"/>
      <c r="D702" s="49"/>
      <c r="E702" s="49"/>
      <c r="F702" s="49"/>
      <c r="G702" s="49"/>
      <c r="H702" s="49"/>
      <c r="I702" s="49"/>
      <c r="J702" s="49"/>
      <c r="K702" s="49"/>
      <c r="L702" s="49"/>
      <c r="M702" s="49"/>
      <c r="N702" s="49"/>
      <c r="O702" s="48"/>
      <c r="P702" s="48"/>
      <c r="Q702" s="48"/>
      <c r="R702" s="48"/>
      <c r="S702" s="48"/>
      <c r="T702" s="48"/>
      <c r="U702" s="48"/>
      <c r="V702" s="48"/>
      <c r="W702" s="48"/>
      <c r="X702" s="48"/>
      <c r="Y702" s="48"/>
      <c r="Z702" s="48"/>
    </row>
    <row r="703" ht="15.75" customHeight="1">
      <c r="A703" s="49"/>
      <c r="B703" s="49"/>
      <c r="C703" s="49"/>
      <c r="D703" s="49"/>
      <c r="E703" s="49"/>
      <c r="F703" s="49"/>
      <c r="G703" s="49"/>
      <c r="H703" s="49"/>
      <c r="I703" s="49"/>
      <c r="J703" s="49"/>
      <c r="K703" s="49"/>
      <c r="L703" s="49"/>
      <c r="M703" s="49"/>
      <c r="N703" s="49"/>
      <c r="O703" s="48"/>
      <c r="P703" s="48"/>
      <c r="Q703" s="48"/>
      <c r="R703" s="48"/>
      <c r="S703" s="48"/>
      <c r="T703" s="48"/>
      <c r="U703" s="48"/>
      <c r="V703" s="48"/>
      <c r="W703" s="48"/>
      <c r="X703" s="48"/>
      <c r="Y703" s="48"/>
      <c r="Z703" s="48"/>
    </row>
    <row r="704" ht="15.75" customHeight="1">
      <c r="A704" s="49"/>
      <c r="B704" s="49"/>
      <c r="C704" s="49"/>
      <c r="D704" s="49"/>
      <c r="E704" s="49"/>
      <c r="F704" s="49"/>
      <c r="G704" s="49"/>
      <c r="H704" s="49"/>
      <c r="I704" s="49"/>
      <c r="J704" s="49"/>
      <c r="K704" s="49"/>
      <c r="L704" s="49"/>
      <c r="M704" s="49"/>
      <c r="N704" s="49"/>
      <c r="O704" s="48"/>
      <c r="P704" s="48"/>
      <c r="Q704" s="48"/>
      <c r="R704" s="48"/>
      <c r="S704" s="48"/>
      <c r="T704" s="48"/>
      <c r="U704" s="48"/>
      <c r="V704" s="48"/>
      <c r="W704" s="48"/>
      <c r="X704" s="48"/>
      <c r="Y704" s="48"/>
      <c r="Z704" s="48"/>
    </row>
    <row r="705" ht="15.75" customHeight="1">
      <c r="A705" s="49"/>
      <c r="B705" s="49"/>
      <c r="C705" s="49"/>
      <c r="D705" s="49"/>
      <c r="E705" s="49"/>
      <c r="F705" s="49"/>
      <c r="G705" s="49"/>
      <c r="H705" s="49"/>
      <c r="I705" s="49"/>
      <c r="J705" s="49"/>
      <c r="K705" s="49"/>
      <c r="L705" s="49"/>
      <c r="M705" s="49"/>
      <c r="N705" s="49"/>
      <c r="O705" s="48"/>
      <c r="P705" s="48"/>
      <c r="Q705" s="48"/>
      <c r="R705" s="48"/>
      <c r="S705" s="48"/>
      <c r="T705" s="48"/>
      <c r="U705" s="48"/>
      <c r="V705" s="48"/>
      <c r="W705" s="48"/>
      <c r="X705" s="48"/>
      <c r="Y705" s="48"/>
      <c r="Z705" s="48"/>
    </row>
    <row r="706" ht="15.75" customHeight="1">
      <c r="A706" s="49"/>
      <c r="B706" s="49"/>
      <c r="C706" s="49"/>
      <c r="D706" s="49"/>
      <c r="E706" s="49"/>
      <c r="F706" s="49"/>
      <c r="G706" s="49"/>
      <c r="H706" s="49"/>
      <c r="I706" s="49"/>
      <c r="J706" s="49"/>
      <c r="K706" s="49"/>
      <c r="L706" s="49"/>
      <c r="M706" s="49"/>
      <c r="N706" s="49"/>
      <c r="O706" s="48"/>
      <c r="P706" s="48"/>
      <c r="Q706" s="48"/>
      <c r="R706" s="48"/>
      <c r="S706" s="48"/>
      <c r="T706" s="48"/>
      <c r="U706" s="48"/>
      <c r="V706" s="48"/>
      <c r="W706" s="48"/>
      <c r="X706" s="48"/>
      <c r="Y706" s="48"/>
      <c r="Z706" s="48"/>
    </row>
    <row r="707" ht="15.75" customHeight="1">
      <c r="A707" s="49"/>
      <c r="B707" s="49"/>
      <c r="C707" s="49"/>
      <c r="D707" s="49"/>
      <c r="E707" s="49"/>
      <c r="F707" s="49"/>
      <c r="G707" s="49"/>
      <c r="H707" s="49"/>
      <c r="I707" s="49"/>
      <c r="J707" s="49"/>
      <c r="K707" s="49"/>
      <c r="L707" s="49"/>
      <c r="M707" s="49"/>
      <c r="N707" s="49"/>
      <c r="O707" s="48"/>
      <c r="P707" s="48"/>
      <c r="Q707" s="48"/>
      <c r="R707" s="48"/>
      <c r="S707" s="48"/>
      <c r="T707" s="48"/>
      <c r="U707" s="48"/>
      <c r="V707" s="48"/>
      <c r="W707" s="48"/>
      <c r="X707" s="48"/>
      <c r="Y707" s="48"/>
      <c r="Z707" s="48"/>
    </row>
    <row r="708" ht="15.75" customHeight="1">
      <c r="A708" s="49"/>
      <c r="B708" s="49"/>
      <c r="C708" s="49"/>
      <c r="D708" s="49"/>
      <c r="E708" s="49"/>
      <c r="F708" s="49"/>
      <c r="G708" s="49"/>
      <c r="H708" s="49"/>
      <c r="I708" s="49"/>
      <c r="J708" s="49"/>
      <c r="K708" s="49"/>
      <c r="L708" s="49"/>
      <c r="M708" s="49"/>
      <c r="N708" s="49"/>
      <c r="O708" s="48"/>
      <c r="P708" s="48"/>
      <c r="Q708" s="48"/>
      <c r="R708" s="48"/>
      <c r="S708" s="48"/>
      <c r="T708" s="48"/>
      <c r="U708" s="48"/>
      <c r="V708" s="48"/>
      <c r="W708" s="48"/>
      <c r="X708" s="48"/>
      <c r="Y708" s="48"/>
      <c r="Z708" s="48"/>
    </row>
    <row r="709" ht="15.75" customHeight="1">
      <c r="A709" s="49"/>
      <c r="B709" s="49"/>
      <c r="C709" s="49"/>
      <c r="D709" s="49"/>
      <c r="E709" s="49"/>
      <c r="F709" s="49"/>
      <c r="G709" s="49"/>
      <c r="H709" s="49"/>
      <c r="I709" s="49"/>
      <c r="J709" s="49"/>
      <c r="K709" s="49"/>
      <c r="L709" s="49"/>
      <c r="M709" s="49"/>
      <c r="N709" s="49"/>
      <c r="O709" s="48"/>
      <c r="P709" s="48"/>
      <c r="Q709" s="48"/>
      <c r="R709" s="48"/>
      <c r="S709" s="48"/>
      <c r="T709" s="48"/>
      <c r="U709" s="48"/>
      <c r="V709" s="48"/>
      <c r="W709" s="48"/>
      <c r="X709" s="48"/>
      <c r="Y709" s="48"/>
      <c r="Z709" s="48"/>
    </row>
    <row r="710" ht="15.75" customHeight="1">
      <c r="A710" s="49"/>
      <c r="B710" s="49"/>
      <c r="C710" s="49"/>
      <c r="D710" s="49"/>
      <c r="E710" s="49"/>
      <c r="F710" s="49"/>
      <c r="G710" s="49"/>
      <c r="H710" s="49"/>
      <c r="I710" s="49"/>
      <c r="J710" s="49"/>
      <c r="K710" s="49"/>
      <c r="L710" s="49"/>
      <c r="M710" s="49"/>
      <c r="N710" s="49"/>
      <c r="O710" s="48"/>
      <c r="P710" s="48"/>
      <c r="Q710" s="48"/>
      <c r="R710" s="48"/>
      <c r="S710" s="48"/>
      <c r="T710" s="48"/>
      <c r="U710" s="48"/>
      <c r="V710" s="48"/>
      <c r="W710" s="48"/>
      <c r="X710" s="48"/>
      <c r="Y710" s="48"/>
      <c r="Z710" s="48"/>
    </row>
    <row r="711" ht="15.75" customHeight="1">
      <c r="A711" s="49"/>
      <c r="B711" s="49"/>
      <c r="C711" s="49"/>
      <c r="D711" s="49"/>
      <c r="E711" s="49"/>
      <c r="F711" s="49"/>
      <c r="G711" s="49"/>
      <c r="H711" s="49"/>
      <c r="I711" s="49"/>
      <c r="J711" s="49"/>
      <c r="K711" s="49"/>
      <c r="L711" s="49"/>
      <c r="M711" s="49"/>
      <c r="N711" s="49"/>
      <c r="O711" s="48"/>
      <c r="P711" s="48"/>
      <c r="Q711" s="48"/>
      <c r="R711" s="48"/>
      <c r="S711" s="48"/>
      <c r="T711" s="48"/>
      <c r="U711" s="48"/>
      <c r="V711" s="48"/>
      <c r="W711" s="48"/>
      <c r="X711" s="48"/>
      <c r="Y711" s="48"/>
      <c r="Z711" s="48"/>
    </row>
    <row r="712" ht="15.75" customHeight="1">
      <c r="A712" s="49"/>
      <c r="B712" s="49"/>
      <c r="C712" s="49"/>
      <c r="D712" s="49"/>
      <c r="E712" s="49"/>
      <c r="F712" s="49"/>
      <c r="G712" s="49"/>
      <c r="H712" s="49"/>
      <c r="I712" s="49"/>
      <c r="J712" s="49"/>
      <c r="K712" s="49"/>
      <c r="L712" s="49"/>
      <c r="M712" s="49"/>
      <c r="N712" s="49"/>
      <c r="O712" s="48"/>
      <c r="P712" s="48"/>
      <c r="Q712" s="48"/>
      <c r="R712" s="48"/>
      <c r="S712" s="48"/>
      <c r="T712" s="48"/>
      <c r="U712" s="48"/>
      <c r="V712" s="48"/>
      <c r="W712" s="48"/>
      <c r="X712" s="48"/>
      <c r="Y712" s="48"/>
      <c r="Z712" s="48"/>
    </row>
    <row r="713" ht="15.75" customHeight="1">
      <c r="A713" s="49"/>
      <c r="B713" s="49"/>
      <c r="C713" s="49"/>
      <c r="D713" s="49"/>
      <c r="E713" s="49"/>
      <c r="F713" s="49"/>
      <c r="G713" s="49"/>
      <c r="H713" s="49"/>
      <c r="I713" s="49"/>
      <c r="J713" s="49"/>
      <c r="K713" s="49"/>
      <c r="L713" s="49"/>
      <c r="M713" s="49"/>
      <c r="N713" s="49"/>
      <c r="O713" s="48"/>
      <c r="P713" s="48"/>
      <c r="Q713" s="48"/>
      <c r="R713" s="48"/>
      <c r="S713" s="48"/>
      <c r="T713" s="48"/>
      <c r="U713" s="48"/>
      <c r="V713" s="48"/>
      <c r="W713" s="48"/>
      <c r="X713" s="48"/>
      <c r="Y713" s="48"/>
      <c r="Z713" s="48"/>
    </row>
    <row r="714" ht="15.75" customHeight="1">
      <c r="A714" s="49"/>
      <c r="B714" s="49"/>
      <c r="C714" s="49"/>
      <c r="D714" s="49"/>
      <c r="E714" s="49"/>
      <c r="F714" s="49"/>
      <c r="G714" s="49"/>
      <c r="H714" s="49"/>
      <c r="I714" s="49"/>
      <c r="J714" s="49"/>
      <c r="K714" s="49"/>
      <c r="L714" s="49"/>
      <c r="M714" s="49"/>
      <c r="N714" s="49"/>
      <c r="O714" s="48"/>
      <c r="P714" s="48"/>
      <c r="Q714" s="48"/>
      <c r="R714" s="48"/>
      <c r="S714" s="48"/>
      <c r="T714" s="48"/>
      <c r="U714" s="48"/>
      <c r="V714" s="48"/>
      <c r="W714" s="48"/>
      <c r="X714" s="48"/>
      <c r="Y714" s="48"/>
      <c r="Z714" s="48"/>
    </row>
    <row r="715" ht="15.75" customHeight="1">
      <c r="A715" s="49"/>
      <c r="B715" s="49"/>
      <c r="C715" s="49"/>
      <c r="D715" s="49"/>
      <c r="E715" s="49"/>
      <c r="F715" s="49"/>
      <c r="G715" s="49"/>
      <c r="H715" s="49"/>
      <c r="I715" s="49"/>
      <c r="J715" s="49"/>
      <c r="K715" s="49"/>
      <c r="L715" s="49"/>
      <c r="M715" s="49"/>
      <c r="N715" s="49"/>
      <c r="O715" s="48"/>
      <c r="P715" s="48"/>
      <c r="Q715" s="48"/>
      <c r="R715" s="48"/>
      <c r="S715" s="48"/>
      <c r="T715" s="48"/>
      <c r="U715" s="48"/>
      <c r="V715" s="48"/>
      <c r="W715" s="48"/>
      <c r="X715" s="48"/>
      <c r="Y715" s="48"/>
      <c r="Z715" s="48"/>
    </row>
    <row r="716" ht="15.75" customHeight="1">
      <c r="A716" s="49"/>
      <c r="B716" s="49"/>
      <c r="C716" s="49"/>
      <c r="D716" s="49"/>
      <c r="E716" s="49"/>
      <c r="F716" s="49"/>
      <c r="G716" s="49"/>
      <c r="H716" s="49"/>
      <c r="I716" s="49"/>
      <c r="J716" s="49"/>
      <c r="K716" s="49"/>
      <c r="L716" s="49"/>
      <c r="M716" s="49"/>
      <c r="N716" s="49"/>
      <c r="O716" s="48"/>
      <c r="P716" s="48"/>
      <c r="Q716" s="48"/>
      <c r="R716" s="48"/>
      <c r="S716" s="48"/>
      <c r="T716" s="48"/>
      <c r="U716" s="48"/>
      <c r="V716" s="48"/>
      <c r="W716" s="48"/>
      <c r="X716" s="48"/>
      <c r="Y716" s="48"/>
      <c r="Z716" s="48"/>
    </row>
    <row r="717" ht="15.75" customHeight="1">
      <c r="A717" s="49"/>
      <c r="B717" s="49"/>
      <c r="C717" s="49"/>
      <c r="D717" s="49"/>
      <c r="E717" s="49"/>
      <c r="F717" s="49"/>
      <c r="G717" s="49"/>
      <c r="H717" s="49"/>
      <c r="I717" s="49"/>
      <c r="J717" s="49"/>
      <c r="K717" s="49"/>
      <c r="L717" s="49"/>
      <c r="M717" s="49"/>
      <c r="N717" s="49"/>
      <c r="O717" s="48"/>
      <c r="P717" s="48"/>
      <c r="Q717" s="48"/>
      <c r="R717" s="48"/>
      <c r="S717" s="48"/>
      <c r="T717" s="48"/>
      <c r="U717" s="48"/>
      <c r="V717" s="48"/>
      <c r="W717" s="48"/>
      <c r="X717" s="48"/>
      <c r="Y717" s="48"/>
      <c r="Z717" s="48"/>
    </row>
    <row r="718" ht="15.75" customHeight="1">
      <c r="A718" s="49"/>
      <c r="B718" s="49"/>
      <c r="C718" s="49"/>
      <c r="D718" s="49"/>
      <c r="E718" s="49"/>
      <c r="F718" s="49"/>
      <c r="G718" s="49"/>
      <c r="H718" s="49"/>
      <c r="I718" s="49"/>
      <c r="J718" s="49"/>
      <c r="K718" s="49"/>
      <c r="L718" s="49"/>
      <c r="M718" s="49"/>
      <c r="N718" s="49"/>
      <c r="O718" s="48"/>
      <c r="P718" s="48"/>
      <c r="Q718" s="48"/>
      <c r="R718" s="48"/>
      <c r="S718" s="48"/>
      <c r="T718" s="48"/>
      <c r="U718" s="48"/>
      <c r="V718" s="48"/>
      <c r="W718" s="48"/>
      <c r="X718" s="48"/>
      <c r="Y718" s="48"/>
      <c r="Z718" s="48"/>
    </row>
    <row r="719" ht="15.75" customHeight="1">
      <c r="A719" s="49"/>
      <c r="B719" s="49"/>
      <c r="C719" s="49"/>
      <c r="D719" s="49"/>
      <c r="E719" s="49"/>
      <c r="F719" s="49"/>
      <c r="G719" s="49"/>
      <c r="H719" s="49"/>
      <c r="I719" s="49"/>
      <c r="J719" s="49"/>
      <c r="K719" s="49"/>
      <c r="L719" s="49"/>
      <c r="M719" s="49"/>
      <c r="N719" s="49"/>
      <c r="O719" s="48"/>
      <c r="P719" s="48"/>
      <c r="Q719" s="48"/>
      <c r="R719" s="48"/>
      <c r="S719" s="48"/>
      <c r="T719" s="48"/>
      <c r="U719" s="48"/>
      <c r="V719" s="48"/>
      <c r="W719" s="48"/>
      <c r="X719" s="48"/>
      <c r="Y719" s="48"/>
      <c r="Z719" s="48"/>
    </row>
    <row r="720" ht="15.75" customHeight="1">
      <c r="A720" s="49"/>
      <c r="B720" s="49"/>
      <c r="C720" s="49"/>
      <c r="D720" s="49"/>
      <c r="E720" s="49"/>
      <c r="F720" s="49"/>
      <c r="G720" s="49"/>
      <c r="H720" s="49"/>
      <c r="I720" s="49"/>
      <c r="J720" s="49"/>
      <c r="K720" s="49"/>
      <c r="L720" s="49"/>
      <c r="M720" s="49"/>
      <c r="N720" s="49"/>
      <c r="O720" s="48"/>
      <c r="P720" s="48"/>
      <c r="Q720" s="48"/>
      <c r="R720" s="48"/>
      <c r="S720" s="48"/>
      <c r="T720" s="48"/>
      <c r="U720" s="48"/>
      <c r="V720" s="48"/>
      <c r="W720" s="48"/>
      <c r="X720" s="48"/>
      <c r="Y720" s="48"/>
      <c r="Z720" s="48"/>
    </row>
    <row r="721" ht="15.75" customHeight="1">
      <c r="A721" s="49"/>
      <c r="B721" s="49"/>
      <c r="C721" s="49"/>
      <c r="D721" s="49"/>
      <c r="E721" s="49"/>
      <c r="F721" s="49"/>
      <c r="G721" s="49"/>
      <c r="H721" s="49"/>
      <c r="I721" s="49"/>
      <c r="J721" s="49"/>
      <c r="K721" s="49"/>
      <c r="L721" s="49"/>
      <c r="M721" s="49"/>
      <c r="N721" s="49"/>
      <c r="O721" s="48"/>
      <c r="P721" s="48"/>
      <c r="Q721" s="48"/>
      <c r="R721" s="48"/>
      <c r="S721" s="48"/>
      <c r="T721" s="48"/>
      <c r="U721" s="48"/>
      <c r="V721" s="48"/>
      <c r="W721" s="48"/>
      <c r="X721" s="48"/>
      <c r="Y721" s="48"/>
      <c r="Z721" s="48"/>
    </row>
    <row r="722" ht="15.75" customHeight="1">
      <c r="A722" s="49"/>
      <c r="B722" s="49"/>
      <c r="C722" s="49"/>
      <c r="D722" s="49"/>
      <c r="E722" s="49"/>
      <c r="F722" s="49"/>
      <c r="G722" s="49"/>
      <c r="H722" s="49"/>
      <c r="I722" s="49"/>
      <c r="J722" s="49"/>
      <c r="K722" s="49"/>
      <c r="L722" s="49"/>
      <c r="M722" s="49"/>
      <c r="N722" s="49"/>
      <c r="O722" s="48"/>
      <c r="P722" s="48"/>
      <c r="Q722" s="48"/>
      <c r="R722" s="48"/>
      <c r="S722" s="48"/>
      <c r="T722" s="48"/>
      <c r="U722" s="48"/>
      <c r="V722" s="48"/>
      <c r="W722" s="48"/>
      <c r="X722" s="48"/>
      <c r="Y722" s="48"/>
      <c r="Z722" s="48"/>
    </row>
    <row r="723" ht="15.75" customHeight="1">
      <c r="A723" s="49"/>
      <c r="B723" s="49"/>
      <c r="C723" s="49"/>
      <c r="D723" s="49"/>
      <c r="E723" s="49"/>
      <c r="F723" s="49"/>
      <c r="G723" s="49"/>
      <c r="H723" s="49"/>
      <c r="I723" s="49"/>
      <c r="J723" s="49"/>
      <c r="K723" s="49"/>
      <c r="L723" s="49"/>
      <c r="M723" s="49"/>
      <c r="N723" s="49"/>
      <c r="O723" s="48"/>
      <c r="P723" s="48"/>
      <c r="Q723" s="48"/>
      <c r="R723" s="48"/>
      <c r="S723" s="48"/>
      <c r="T723" s="48"/>
      <c r="U723" s="48"/>
      <c r="V723" s="48"/>
      <c r="W723" s="48"/>
      <c r="X723" s="48"/>
      <c r="Y723" s="48"/>
      <c r="Z723" s="48"/>
    </row>
    <row r="724" ht="15.75" customHeight="1">
      <c r="A724" s="49"/>
      <c r="B724" s="49"/>
      <c r="C724" s="49"/>
      <c r="D724" s="49"/>
      <c r="E724" s="49"/>
      <c r="F724" s="49"/>
      <c r="G724" s="49"/>
      <c r="H724" s="49"/>
      <c r="I724" s="49"/>
      <c r="J724" s="49"/>
      <c r="K724" s="49"/>
      <c r="L724" s="49"/>
      <c r="M724" s="49"/>
      <c r="N724" s="49"/>
      <c r="O724" s="48"/>
      <c r="P724" s="48"/>
      <c r="Q724" s="48"/>
      <c r="R724" s="48"/>
      <c r="S724" s="48"/>
      <c r="T724" s="48"/>
      <c r="U724" s="48"/>
      <c r="V724" s="48"/>
      <c r="W724" s="48"/>
      <c r="X724" s="48"/>
      <c r="Y724" s="48"/>
      <c r="Z724" s="48"/>
    </row>
    <row r="725" ht="15.75" customHeight="1">
      <c r="A725" s="49"/>
      <c r="B725" s="49"/>
      <c r="C725" s="49"/>
      <c r="D725" s="49"/>
      <c r="E725" s="49"/>
      <c r="F725" s="49"/>
      <c r="G725" s="49"/>
      <c r="H725" s="49"/>
      <c r="I725" s="49"/>
      <c r="J725" s="49"/>
      <c r="K725" s="49"/>
      <c r="L725" s="49"/>
      <c r="M725" s="49"/>
      <c r="N725" s="49"/>
      <c r="O725" s="48"/>
      <c r="P725" s="48"/>
      <c r="Q725" s="48"/>
      <c r="R725" s="48"/>
      <c r="S725" s="48"/>
      <c r="T725" s="48"/>
      <c r="U725" s="48"/>
      <c r="V725" s="48"/>
      <c r="W725" s="48"/>
      <c r="X725" s="48"/>
      <c r="Y725" s="48"/>
      <c r="Z725" s="48"/>
    </row>
    <row r="726" ht="15.75" customHeight="1">
      <c r="A726" s="49"/>
      <c r="B726" s="49"/>
      <c r="C726" s="49"/>
      <c r="D726" s="49"/>
      <c r="E726" s="49"/>
      <c r="F726" s="49"/>
      <c r="G726" s="49"/>
      <c r="H726" s="49"/>
      <c r="I726" s="49"/>
      <c r="J726" s="49"/>
      <c r="K726" s="49"/>
      <c r="L726" s="49"/>
      <c r="M726" s="49"/>
      <c r="N726" s="49"/>
      <c r="O726" s="48"/>
      <c r="P726" s="48"/>
      <c r="Q726" s="48"/>
      <c r="R726" s="48"/>
      <c r="S726" s="48"/>
      <c r="T726" s="48"/>
      <c r="U726" s="48"/>
      <c r="V726" s="48"/>
      <c r="W726" s="48"/>
      <c r="X726" s="48"/>
      <c r="Y726" s="48"/>
      <c r="Z726" s="48"/>
    </row>
    <row r="727" ht="15.75" customHeight="1">
      <c r="A727" s="49"/>
      <c r="B727" s="49"/>
      <c r="C727" s="49"/>
      <c r="D727" s="49"/>
      <c r="E727" s="49"/>
      <c r="F727" s="49"/>
      <c r="G727" s="49"/>
      <c r="H727" s="49"/>
      <c r="I727" s="49"/>
      <c r="J727" s="49"/>
      <c r="K727" s="49"/>
      <c r="L727" s="49"/>
      <c r="M727" s="49"/>
      <c r="N727" s="49"/>
      <c r="O727" s="48"/>
      <c r="P727" s="48"/>
      <c r="Q727" s="48"/>
      <c r="R727" s="48"/>
      <c r="S727" s="48"/>
      <c r="T727" s="48"/>
      <c r="U727" s="48"/>
      <c r="V727" s="48"/>
      <c r="W727" s="48"/>
      <c r="X727" s="48"/>
      <c r="Y727" s="48"/>
      <c r="Z727" s="48"/>
    </row>
    <row r="728" ht="15.75" customHeight="1">
      <c r="A728" s="49"/>
      <c r="B728" s="49"/>
      <c r="C728" s="49"/>
      <c r="D728" s="49"/>
      <c r="E728" s="49"/>
      <c r="F728" s="49"/>
      <c r="G728" s="49"/>
      <c r="H728" s="49"/>
      <c r="I728" s="49"/>
      <c r="J728" s="49"/>
      <c r="K728" s="49"/>
      <c r="L728" s="49"/>
      <c r="M728" s="49"/>
      <c r="N728" s="49"/>
      <c r="O728" s="48"/>
      <c r="P728" s="48"/>
      <c r="Q728" s="48"/>
      <c r="R728" s="48"/>
      <c r="S728" s="48"/>
      <c r="T728" s="48"/>
      <c r="U728" s="48"/>
      <c r="V728" s="48"/>
      <c r="W728" s="48"/>
      <c r="X728" s="48"/>
      <c r="Y728" s="48"/>
      <c r="Z728" s="48"/>
    </row>
    <row r="729" ht="15.75" customHeight="1">
      <c r="A729" s="49"/>
      <c r="B729" s="49"/>
      <c r="C729" s="49"/>
      <c r="D729" s="49"/>
      <c r="E729" s="49"/>
      <c r="F729" s="49"/>
      <c r="G729" s="49"/>
      <c r="H729" s="49"/>
      <c r="I729" s="49"/>
      <c r="J729" s="49"/>
      <c r="K729" s="49"/>
      <c r="L729" s="49"/>
      <c r="M729" s="49"/>
      <c r="N729" s="49"/>
      <c r="O729" s="48"/>
      <c r="P729" s="48"/>
      <c r="Q729" s="48"/>
      <c r="R729" s="48"/>
      <c r="S729" s="48"/>
      <c r="T729" s="48"/>
      <c r="U729" s="48"/>
      <c r="V729" s="48"/>
      <c r="W729" s="48"/>
      <c r="X729" s="48"/>
      <c r="Y729" s="48"/>
      <c r="Z729" s="48"/>
    </row>
    <row r="730" ht="15.75" customHeight="1">
      <c r="A730" s="49"/>
      <c r="B730" s="49"/>
      <c r="C730" s="49"/>
      <c r="D730" s="49"/>
      <c r="E730" s="49"/>
      <c r="F730" s="49"/>
      <c r="G730" s="49"/>
      <c r="H730" s="49"/>
      <c r="I730" s="49"/>
      <c r="J730" s="49"/>
      <c r="K730" s="49"/>
      <c r="L730" s="49"/>
      <c r="M730" s="49"/>
      <c r="N730" s="49"/>
      <c r="O730" s="48"/>
      <c r="P730" s="48"/>
      <c r="Q730" s="48"/>
      <c r="R730" s="48"/>
      <c r="S730" s="48"/>
      <c r="T730" s="48"/>
      <c r="U730" s="48"/>
      <c r="V730" s="48"/>
      <c r="W730" s="48"/>
      <c r="X730" s="48"/>
      <c r="Y730" s="48"/>
      <c r="Z730" s="48"/>
    </row>
    <row r="731" ht="15.75" customHeight="1">
      <c r="A731" s="49"/>
      <c r="B731" s="49"/>
      <c r="C731" s="49"/>
      <c r="D731" s="49"/>
      <c r="E731" s="49"/>
      <c r="F731" s="49"/>
      <c r="G731" s="49"/>
      <c r="H731" s="49"/>
      <c r="I731" s="49"/>
      <c r="J731" s="49"/>
      <c r="K731" s="49"/>
      <c r="L731" s="49"/>
      <c r="M731" s="49"/>
      <c r="N731" s="49"/>
      <c r="O731" s="48"/>
      <c r="P731" s="48"/>
      <c r="Q731" s="48"/>
      <c r="R731" s="48"/>
      <c r="S731" s="48"/>
      <c r="T731" s="48"/>
      <c r="U731" s="48"/>
      <c r="V731" s="48"/>
      <c r="W731" s="48"/>
      <c r="X731" s="48"/>
      <c r="Y731" s="48"/>
      <c r="Z731" s="48"/>
    </row>
    <row r="732" ht="15.75" customHeight="1">
      <c r="A732" s="49"/>
      <c r="B732" s="49"/>
      <c r="C732" s="49"/>
      <c r="D732" s="49"/>
      <c r="E732" s="49"/>
      <c r="F732" s="49"/>
      <c r="G732" s="49"/>
      <c r="H732" s="49"/>
      <c r="I732" s="49"/>
      <c r="J732" s="49"/>
      <c r="K732" s="49"/>
      <c r="L732" s="49"/>
      <c r="M732" s="49"/>
      <c r="N732" s="49"/>
      <c r="O732" s="48"/>
      <c r="P732" s="48"/>
      <c r="Q732" s="48"/>
      <c r="R732" s="48"/>
      <c r="S732" s="48"/>
      <c r="T732" s="48"/>
      <c r="U732" s="48"/>
      <c r="V732" s="48"/>
      <c r="W732" s="48"/>
      <c r="X732" s="48"/>
      <c r="Y732" s="48"/>
      <c r="Z732" s="48"/>
    </row>
    <row r="733" ht="15.75" customHeight="1">
      <c r="A733" s="49"/>
      <c r="B733" s="49"/>
      <c r="C733" s="49"/>
      <c r="D733" s="49"/>
      <c r="E733" s="49"/>
      <c r="F733" s="49"/>
      <c r="G733" s="49"/>
      <c r="H733" s="49"/>
      <c r="I733" s="49"/>
      <c r="J733" s="49"/>
      <c r="K733" s="49"/>
      <c r="L733" s="49"/>
      <c r="M733" s="49"/>
      <c r="N733" s="49"/>
      <c r="O733" s="48"/>
      <c r="P733" s="48"/>
      <c r="Q733" s="48"/>
      <c r="R733" s="48"/>
      <c r="S733" s="48"/>
      <c r="T733" s="48"/>
      <c r="U733" s="48"/>
      <c r="V733" s="48"/>
      <c r="W733" s="48"/>
      <c r="X733" s="48"/>
      <c r="Y733" s="48"/>
      <c r="Z733" s="48"/>
    </row>
    <row r="734" ht="15.75" customHeight="1">
      <c r="A734" s="49"/>
      <c r="B734" s="49"/>
      <c r="C734" s="49"/>
      <c r="D734" s="49"/>
      <c r="E734" s="49"/>
      <c r="F734" s="49"/>
      <c r="G734" s="49"/>
      <c r="H734" s="49"/>
      <c r="I734" s="49"/>
      <c r="J734" s="49"/>
      <c r="K734" s="49"/>
      <c r="L734" s="49"/>
      <c r="M734" s="49"/>
      <c r="N734" s="49"/>
      <c r="O734" s="48"/>
      <c r="P734" s="48"/>
      <c r="Q734" s="48"/>
      <c r="R734" s="48"/>
      <c r="S734" s="48"/>
      <c r="T734" s="48"/>
      <c r="U734" s="48"/>
      <c r="V734" s="48"/>
      <c r="W734" s="48"/>
      <c r="X734" s="48"/>
      <c r="Y734" s="48"/>
      <c r="Z734" s="48"/>
    </row>
    <row r="735" ht="15.75" customHeight="1">
      <c r="A735" s="49"/>
      <c r="B735" s="49"/>
      <c r="C735" s="49"/>
      <c r="D735" s="49"/>
      <c r="E735" s="49"/>
      <c r="F735" s="49"/>
      <c r="G735" s="49"/>
      <c r="H735" s="49"/>
      <c r="I735" s="49"/>
      <c r="J735" s="49"/>
      <c r="K735" s="49"/>
      <c r="L735" s="49"/>
      <c r="M735" s="49"/>
      <c r="N735" s="49"/>
      <c r="O735" s="48"/>
      <c r="P735" s="48"/>
      <c r="Q735" s="48"/>
      <c r="R735" s="48"/>
      <c r="S735" s="48"/>
      <c r="T735" s="48"/>
      <c r="U735" s="48"/>
      <c r="V735" s="48"/>
      <c r="W735" s="48"/>
      <c r="X735" s="48"/>
      <c r="Y735" s="48"/>
      <c r="Z735" s="48"/>
    </row>
    <row r="736" ht="15.75" customHeight="1">
      <c r="A736" s="49"/>
      <c r="B736" s="49"/>
      <c r="C736" s="49"/>
      <c r="D736" s="49"/>
      <c r="E736" s="49"/>
      <c r="F736" s="49"/>
      <c r="G736" s="49"/>
      <c r="H736" s="49"/>
      <c r="I736" s="49"/>
      <c r="J736" s="49"/>
      <c r="K736" s="49"/>
      <c r="L736" s="49"/>
      <c r="M736" s="49"/>
      <c r="N736" s="49"/>
      <c r="O736" s="48"/>
      <c r="P736" s="48"/>
      <c r="Q736" s="48"/>
      <c r="R736" s="48"/>
      <c r="S736" s="48"/>
      <c r="T736" s="48"/>
      <c r="U736" s="48"/>
      <c r="V736" s="48"/>
      <c r="W736" s="48"/>
      <c r="X736" s="48"/>
      <c r="Y736" s="48"/>
      <c r="Z736" s="48"/>
    </row>
    <row r="737" ht="15.75" customHeight="1">
      <c r="A737" s="49"/>
      <c r="B737" s="49"/>
      <c r="C737" s="49"/>
      <c r="D737" s="49"/>
      <c r="E737" s="49"/>
      <c r="F737" s="49"/>
      <c r="G737" s="49"/>
      <c r="H737" s="49"/>
      <c r="I737" s="49"/>
      <c r="J737" s="49"/>
      <c r="K737" s="49"/>
      <c r="L737" s="49"/>
      <c r="M737" s="49"/>
      <c r="N737" s="49"/>
      <c r="O737" s="48"/>
      <c r="P737" s="48"/>
      <c r="Q737" s="48"/>
      <c r="R737" s="48"/>
      <c r="S737" s="48"/>
      <c r="T737" s="48"/>
      <c r="U737" s="48"/>
      <c r="V737" s="48"/>
      <c r="W737" s="48"/>
      <c r="X737" s="48"/>
      <c r="Y737" s="48"/>
      <c r="Z737" s="48"/>
    </row>
    <row r="738" ht="15.75" customHeight="1">
      <c r="A738" s="49"/>
      <c r="B738" s="49"/>
      <c r="C738" s="49"/>
      <c r="D738" s="49"/>
      <c r="E738" s="49"/>
      <c r="F738" s="49"/>
      <c r="G738" s="49"/>
      <c r="H738" s="49"/>
      <c r="I738" s="49"/>
      <c r="J738" s="49"/>
      <c r="K738" s="49"/>
      <c r="L738" s="49"/>
      <c r="M738" s="49"/>
      <c r="N738" s="49"/>
      <c r="O738" s="48"/>
      <c r="P738" s="48"/>
      <c r="Q738" s="48"/>
      <c r="R738" s="48"/>
      <c r="S738" s="48"/>
      <c r="T738" s="48"/>
      <c r="U738" s="48"/>
      <c r="V738" s="48"/>
      <c r="W738" s="48"/>
      <c r="X738" s="48"/>
      <c r="Y738" s="48"/>
      <c r="Z738" s="48"/>
    </row>
    <row r="739" ht="15.75" customHeight="1">
      <c r="A739" s="49"/>
      <c r="B739" s="49"/>
      <c r="C739" s="49"/>
      <c r="D739" s="49"/>
      <c r="E739" s="49"/>
      <c r="F739" s="49"/>
      <c r="G739" s="49"/>
      <c r="H739" s="49"/>
      <c r="I739" s="49"/>
      <c r="J739" s="49"/>
      <c r="K739" s="49"/>
      <c r="L739" s="49"/>
      <c r="M739" s="49"/>
      <c r="N739" s="49"/>
      <c r="O739" s="48"/>
      <c r="P739" s="48"/>
      <c r="Q739" s="48"/>
      <c r="R739" s="48"/>
      <c r="S739" s="48"/>
      <c r="T739" s="48"/>
      <c r="U739" s="48"/>
      <c r="V739" s="48"/>
      <c r="W739" s="48"/>
      <c r="X739" s="48"/>
      <c r="Y739" s="48"/>
      <c r="Z739" s="48"/>
    </row>
    <row r="740" ht="15.75" customHeight="1">
      <c r="A740" s="49"/>
      <c r="B740" s="49"/>
      <c r="C740" s="49"/>
      <c r="D740" s="49"/>
      <c r="E740" s="49"/>
      <c r="F740" s="49"/>
      <c r="G740" s="49"/>
      <c r="H740" s="49"/>
      <c r="I740" s="49"/>
      <c r="J740" s="49"/>
      <c r="K740" s="49"/>
      <c r="L740" s="49"/>
      <c r="M740" s="49"/>
      <c r="N740" s="49"/>
      <c r="O740" s="48"/>
      <c r="P740" s="48"/>
      <c r="Q740" s="48"/>
      <c r="R740" s="48"/>
      <c r="S740" s="48"/>
      <c r="T740" s="48"/>
      <c r="U740" s="48"/>
      <c r="V740" s="48"/>
      <c r="W740" s="48"/>
      <c r="X740" s="48"/>
      <c r="Y740" s="48"/>
      <c r="Z740" s="48"/>
    </row>
    <row r="741" ht="15.75" customHeight="1">
      <c r="A741" s="49"/>
      <c r="B741" s="49"/>
      <c r="C741" s="49"/>
      <c r="D741" s="49"/>
      <c r="E741" s="49"/>
      <c r="F741" s="49"/>
      <c r="G741" s="49"/>
      <c r="H741" s="49"/>
      <c r="I741" s="49"/>
      <c r="J741" s="49"/>
      <c r="K741" s="49"/>
      <c r="L741" s="49"/>
      <c r="M741" s="49"/>
      <c r="N741" s="49"/>
      <c r="O741" s="48"/>
      <c r="P741" s="48"/>
      <c r="Q741" s="48"/>
      <c r="R741" s="48"/>
      <c r="S741" s="48"/>
      <c r="T741" s="48"/>
      <c r="U741" s="48"/>
      <c r="V741" s="48"/>
      <c r="W741" s="48"/>
      <c r="X741" s="48"/>
      <c r="Y741" s="48"/>
      <c r="Z741" s="48"/>
    </row>
    <row r="742" ht="15.75" customHeight="1">
      <c r="A742" s="49"/>
      <c r="B742" s="49"/>
      <c r="C742" s="49"/>
      <c r="D742" s="49"/>
      <c r="E742" s="49"/>
      <c r="F742" s="49"/>
      <c r="G742" s="49"/>
      <c r="H742" s="49"/>
      <c r="I742" s="49"/>
      <c r="J742" s="49"/>
      <c r="K742" s="49"/>
      <c r="L742" s="49"/>
      <c r="M742" s="49"/>
      <c r="N742" s="49"/>
      <c r="O742" s="48"/>
      <c r="P742" s="48"/>
      <c r="Q742" s="48"/>
      <c r="R742" s="48"/>
      <c r="S742" s="48"/>
      <c r="T742" s="48"/>
      <c r="U742" s="48"/>
      <c r="V742" s="48"/>
      <c r="W742" s="48"/>
      <c r="X742" s="48"/>
      <c r="Y742" s="48"/>
      <c r="Z742" s="48"/>
    </row>
    <row r="743" ht="15.75" customHeight="1">
      <c r="A743" s="49"/>
      <c r="B743" s="49"/>
      <c r="C743" s="49"/>
      <c r="D743" s="49"/>
      <c r="E743" s="49"/>
      <c r="F743" s="49"/>
      <c r="G743" s="49"/>
      <c r="H743" s="49"/>
      <c r="I743" s="49"/>
      <c r="J743" s="49"/>
      <c r="K743" s="49"/>
      <c r="L743" s="49"/>
      <c r="M743" s="49"/>
      <c r="N743" s="49"/>
      <c r="O743" s="48"/>
      <c r="P743" s="48"/>
      <c r="Q743" s="48"/>
      <c r="R743" s="48"/>
      <c r="S743" s="48"/>
      <c r="T743" s="48"/>
      <c r="U743" s="48"/>
      <c r="V743" s="48"/>
      <c r="W743" s="48"/>
      <c r="X743" s="48"/>
      <c r="Y743" s="48"/>
      <c r="Z743" s="48"/>
    </row>
    <row r="744" ht="15.75" customHeight="1">
      <c r="A744" s="49"/>
      <c r="B744" s="49"/>
      <c r="C744" s="49"/>
      <c r="D744" s="49"/>
      <c r="E744" s="49"/>
      <c r="F744" s="49"/>
      <c r="G744" s="49"/>
      <c r="H744" s="49"/>
      <c r="I744" s="49"/>
      <c r="J744" s="49"/>
      <c r="K744" s="49"/>
      <c r="L744" s="49"/>
      <c r="M744" s="49"/>
      <c r="N744" s="49"/>
      <c r="O744" s="48"/>
      <c r="P744" s="48"/>
      <c r="Q744" s="48"/>
      <c r="R744" s="48"/>
      <c r="S744" s="48"/>
      <c r="T744" s="48"/>
      <c r="U744" s="48"/>
      <c r="V744" s="48"/>
      <c r="W744" s="48"/>
      <c r="X744" s="48"/>
      <c r="Y744" s="48"/>
      <c r="Z744" s="48"/>
    </row>
    <row r="745" ht="15.75" customHeight="1">
      <c r="A745" s="49"/>
      <c r="B745" s="49"/>
      <c r="C745" s="49"/>
      <c r="D745" s="49"/>
      <c r="E745" s="49"/>
      <c r="F745" s="49"/>
      <c r="G745" s="49"/>
      <c r="H745" s="49"/>
      <c r="I745" s="49"/>
      <c r="J745" s="49"/>
      <c r="K745" s="49"/>
      <c r="L745" s="49"/>
      <c r="M745" s="49"/>
      <c r="N745" s="49"/>
      <c r="O745" s="48"/>
      <c r="P745" s="48"/>
      <c r="Q745" s="48"/>
      <c r="R745" s="48"/>
      <c r="S745" s="48"/>
      <c r="T745" s="48"/>
      <c r="U745" s="48"/>
      <c r="V745" s="48"/>
      <c r="W745" s="48"/>
      <c r="X745" s="48"/>
      <c r="Y745" s="48"/>
      <c r="Z745" s="48"/>
    </row>
    <row r="746" ht="15.75" customHeight="1">
      <c r="A746" s="49"/>
      <c r="B746" s="49"/>
      <c r="C746" s="49"/>
      <c r="D746" s="49"/>
      <c r="E746" s="49"/>
      <c r="F746" s="49"/>
      <c r="G746" s="49"/>
      <c r="H746" s="49"/>
      <c r="I746" s="49"/>
      <c r="J746" s="49"/>
      <c r="K746" s="49"/>
      <c r="L746" s="49"/>
      <c r="M746" s="49"/>
      <c r="N746" s="49"/>
      <c r="O746" s="48"/>
      <c r="P746" s="48"/>
      <c r="Q746" s="48"/>
      <c r="R746" s="48"/>
      <c r="S746" s="48"/>
      <c r="T746" s="48"/>
      <c r="U746" s="48"/>
      <c r="V746" s="48"/>
      <c r="W746" s="48"/>
      <c r="X746" s="48"/>
      <c r="Y746" s="48"/>
      <c r="Z746" s="48"/>
    </row>
    <row r="747" ht="15.75" customHeight="1">
      <c r="A747" s="49"/>
      <c r="B747" s="49"/>
      <c r="C747" s="49"/>
      <c r="D747" s="49"/>
      <c r="E747" s="49"/>
      <c r="F747" s="49"/>
      <c r="G747" s="49"/>
      <c r="H747" s="49"/>
      <c r="I747" s="49"/>
      <c r="J747" s="49"/>
      <c r="K747" s="49"/>
      <c r="L747" s="49"/>
      <c r="M747" s="49"/>
      <c r="N747" s="49"/>
      <c r="O747" s="48"/>
      <c r="P747" s="48"/>
      <c r="Q747" s="48"/>
      <c r="R747" s="48"/>
      <c r="S747" s="48"/>
      <c r="T747" s="48"/>
      <c r="U747" s="48"/>
      <c r="V747" s="48"/>
      <c r="W747" s="48"/>
      <c r="X747" s="48"/>
      <c r="Y747" s="48"/>
      <c r="Z747" s="48"/>
    </row>
    <row r="748" ht="15.75" customHeight="1">
      <c r="A748" s="49"/>
      <c r="B748" s="49"/>
      <c r="C748" s="49"/>
      <c r="D748" s="49"/>
      <c r="E748" s="49"/>
      <c r="F748" s="49"/>
      <c r="G748" s="49"/>
      <c r="H748" s="49"/>
      <c r="I748" s="49"/>
      <c r="J748" s="49"/>
      <c r="K748" s="49"/>
      <c r="L748" s="49"/>
      <c r="M748" s="49"/>
      <c r="N748" s="49"/>
      <c r="O748" s="48"/>
      <c r="P748" s="48"/>
      <c r="Q748" s="48"/>
      <c r="R748" s="48"/>
      <c r="S748" s="48"/>
      <c r="T748" s="48"/>
      <c r="U748" s="48"/>
      <c r="V748" s="48"/>
      <c r="W748" s="48"/>
      <c r="X748" s="48"/>
      <c r="Y748" s="48"/>
      <c r="Z748" s="48"/>
    </row>
    <row r="749" ht="15.75" customHeight="1">
      <c r="A749" s="49"/>
      <c r="B749" s="49"/>
      <c r="C749" s="49"/>
      <c r="D749" s="49"/>
      <c r="E749" s="49"/>
      <c r="F749" s="49"/>
      <c r="G749" s="49"/>
      <c r="H749" s="49"/>
      <c r="I749" s="49"/>
      <c r="J749" s="49"/>
      <c r="K749" s="49"/>
      <c r="L749" s="49"/>
      <c r="M749" s="49"/>
      <c r="N749" s="49"/>
      <c r="O749" s="48"/>
      <c r="P749" s="48"/>
      <c r="Q749" s="48"/>
      <c r="R749" s="48"/>
      <c r="S749" s="48"/>
      <c r="T749" s="48"/>
      <c r="U749" s="48"/>
      <c r="V749" s="48"/>
      <c r="W749" s="48"/>
      <c r="X749" s="48"/>
      <c r="Y749" s="48"/>
      <c r="Z749" s="48"/>
    </row>
    <row r="750" ht="15.75" customHeight="1">
      <c r="A750" s="49"/>
      <c r="B750" s="49"/>
      <c r="C750" s="49"/>
      <c r="D750" s="49"/>
      <c r="E750" s="49"/>
      <c r="F750" s="49"/>
      <c r="G750" s="49"/>
      <c r="H750" s="49"/>
      <c r="I750" s="49"/>
      <c r="J750" s="49"/>
      <c r="K750" s="49"/>
      <c r="L750" s="49"/>
      <c r="M750" s="49"/>
      <c r="N750" s="49"/>
      <c r="O750" s="48"/>
      <c r="P750" s="48"/>
      <c r="Q750" s="48"/>
      <c r="R750" s="48"/>
      <c r="S750" s="48"/>
      <c r="T750" s="48"/>
      <c r="U750" s="48"/>
      <c r="V750" s="48"/>
      <c r="W750" s="48"/>
      <c r="X750" s="48"/>
      <c r="Y750" s="48"/>
      <c r="Z750" s="48"/>
    </row>
    <row r="751" ht="15.75" customHeight="1">
      <c r="A751" s="49"/>
      <c r="B751" s="49"/>
      <c r="C751" s="49"/>
      <c r="D751" s="49"/>
      <c r="E751" s="49"/>
      <c r="F751" s="49"/>
      <c r="G751" s="49"/>
      <c r="H751" s="49"/>
      <c r="I751" s="49"/>
      <c r="J751" s="49"/>
      <c r="K751" s="49"/>
      <c r="L751" s="49"/>
      <c r="M751" s="49"/>
      <c r="N751" s="49"/>
      <c r="O751" s="48"/>
      <c r="P751" s="48"/>
      <c r="Q751" s="48"/>
      <c r="R751" s="48"/>
      <c r="S751" s="48"/>
      <c r="T751" s="48"/>
      <c r="U751" s="48"/>
      <c r="V751" s="48"/>
      <c r="W751" s="48"/>
      <c r="X751" s="48"/>
      <c r="Y751" s="48"/>
      <c r="Z751" s="48"/>
    </row>
    <row r="752" ht="15.75" customHeight="1">
      <c r="A752" s="49"/>
      <c r="B752" s="49"/>
      <c r="C752" s="49"/>
      <c r="D752" s="49"/>
      <c r="E752" s="49"/>
      <c r="F752" s="49"/>
      <c r="G752" s="49"/>
      <c r="H752" s="49"/>
      <c r="I752" s="49"/>
      <c r="J752" s="49"/>
      <c r="K752" s="49"/>
      <c r="L752" s="49"/>
      <c r="M752" s="49"/>
      <c r="N752" s="49"/>
      <c r="O752" s="48"/>
      <c r="P752" s="48"/>
      <c r="Q752" s="48"/>
      <c r="R752" s="48"/>
      <c r="S752" s="48"/>
      <c r="T752" s="48"/>
      <c r="U752" s="48"/>
      <c r="V752" s="48"/>
      <c r="W752" s="48"/>
      <c r="X752" s="48"/>
      <c r="Y752" s="48"/>
      <c r="Z752" s="48"/>
    </row>
    <row r="753" ht="15.75" customHeight="1">
      <c r="A753" s="49"/>
      <c r="B753" s="49"/>
      <c r="C753" s="49"/>
      <c r="D753" s="49"/>
      <c r="E753" s="49"/>
      <c r="F753" s="49"/>
      <c r="G753" s="49"/>
      <c r="H753" s="49"/>
      <c r="I753" s="49"/>
      <c r="J753" s="49"/>
      <c r="K753" s="49"/>
      <c r="L753" s="49"/>
      <c r="M753" s="49"/>
      <c r="N753" s="49"/>
      <c r="O753" s="48"/>
      <c r="P753" s="48"/>
      <c r="Q753" s="48"/>
      <c r="R753" s="48"/>
      <c r="S753" s="48"/>
      <c r="T753" s="48"/>
      <c r="U753" s="48"/>
      <c r="V753" s="48"/>
      <c r="W753" s="48"/>
      <c r="X753" s="48"/>
      <c r="Y753" s="48"/>
      <c r="Z753" s="48"/>
    </row>
    <row r="754" ht="15.75" customHeight="1">
      <c r="A754" s="49"/>
      <c r="B754" s="49"/>
      <c r="C754" s="49"/>
      <c r="D754" s="49"/>
      <c r="E754" s="49"/>
      <c r="F754" s="49"/>
      <c r="G754" s="49"/>
      <c r="H754" s="49"/>
      <c r="I754" s="49"/>
      <c r="J754" s="49"/>
      <c r="K754" s="49"/>
      <c r="L754" s="49"/>
      <c r="M754" s="49"/>
      <c r="N754" s="49"/>
      <c r="O754" s="48"/>
      <c r="P754" s="48"/>
      <c r="Q754" s="48"/>
      <c r="R754" s="48"/>
      <c r="S754" s="48"/>
      <c r="T754" s="48"/>
      <c r="U754" s="48"/>
      <c r="V754" s="48"/>
      <c r="W754" s="48"/>
      <c r="X754" s="48"/>
      <c r="Y754" s="48"/>
      <c r="Z754" s="48"/>
    </row>
    <row r="755" ht="15.75" customHeight="1">
      <c r="A755" s="49"/>
      <c r="B755" s="49"/>
      <c r="C755" s="49"/>
      <c r="D755" s="49"/>
      <c r="E755" s="49"/>
      <c r="F755" s="49"/>
      <c r="G755" s="49"/>
      <c r="H755" s="49"/>
      <c r="I755" s="49"/>
      <c r="J755" s="49"/>
      <c r="K755" s="49"/>
      <c r="L755" s="49"/>
      <c r="M755" s="49"/>
      <c r="N755" s="49"/>
      <c r="O755" s="48"/>
      <c r="P755" s="48"/>
      <c r="Q755" s="48"/>
      <c r="R755" s="48"/>
      <c r="S755" s="48"/>
      <c r="T755" s="48"/>
      <c r="U755" s="48"/>
      <c r="V755" s="48"/>
      <c r="W755" s="48"/>
      <c r="X755" s="48"/>
      <c r="Y755" s="48"/>
      <c r="Z755" s="48"/>
    </row>
    <row r="756" ht="15.75" customHeight="1">
      <c r="A756" s="49"/>
      <c r="B756" s="49"/>
      <c r="C756" s="49"/>
      <c r="D756" s="49"/>
      <c r="E756" s="49"/>
      <c r="F756" s="49"/>
      <c r="G756" s="49"/>
      <c r="H756" s="49"/>
      <c r="I756" s="49"/>
      <c r="J756" s="49"/>
      <c r="K756" s="49"/>
      <c r="L756" s="49"/>
      <c r="M756" s="49"/>
      <c r="N756" s="49"/>
      <c r="O756" s="48"/>
      <c r="P756" s="48"/>
      <c r="Q756" s="48"/>
      <c r="R756" s="48"/>
      <c r="S756" s="48"/>
      <c r="T756" s="48"/>
      <c r="U756" s="48"/>
      <c r="V756" s="48"/>
      <c r="W756" s="48"/>
      <c r="X756" s="48"/>
      <c r="Y756" s="48"/>
      <c r="Z756" s="48"/>
    </row>
    <row r="757" ht="15.75" customHeight="1">
      <c r="A757" s="49"/>
      <c r="B757" s="49"/>
      <c r="C757" s="49"/>
      <c r="D757" s="49"/>
      <c r="E757" s="49"/>
      <c r="F757" s="49"/>
      <c r="G757" s="49"/>
      <c r="H757" s="49"/>
      <c r="I757" s="49"/>
      <c r="J757" s="49"/>
      <c r="K757" s="49"/>
      <c r="L757" s="49"/>
      <c r="M757" s="49"/>
      <c r="N757" s="49"/>
      <c r="O757" s="48"/>
      <c r="P757" s="48"/>
      <c r="Q757" s="48"/>
      <c r="R757" s="48"/>
      <c r="S757" s="48"/>
      <c r="T757" s="48"/>
      <c r="U757" s="48"/>
      <c r="V757" s="48"/>
      <c r="W757" s="48"/>
      <c r="X757" s="48"/>
      <c r="Y757" s="48"/>
      <c r="Z757" s="48"/>
    </row>
    <row r="758" ht="15.75" customHeight="1">
      <c r="A758" s="49"/>
      <c r="B758" s="49"/>
      <c r="C758" s="49"/>
      <c r="D758" s="49"/>
      <c r="E758" s="49"/>
      <c r="F758" s="49"/>
      <c r="G758" s="49"/>
      <c r="H758" s="49"/>
      <c r="I758" s="49"/>
      <c r="J758" s="49"/>
      <c r="K758" s="49"/>
      <c r="L758" s="49"/>
      <c r="M758" s="49"/>
      <c r="N758" s="49"/>
      <c r="O758" s="48"/>
      <c r="P758" s="48"/>
      <c r="Q758" s="48"/>
      <c r="R758" s="48"/>
      <c r="S758" s="48"/>
      <c r="T758" s="48"/>
      <c r="U758" s="48"/>
      <c r="V758" s="48"/>
      <c r="W758" s="48"/>
      <c r="X758" s="48"/>
      <c r="Y758" s="48"/>
      <c r="Z758" s="48"/>
    </row>
    <row r="759" ht="15.75" customHeight="1">
      <c r="A759" s="49"/>
      <c r="B759" s="49"/>
      <c r="C759" s="49"/>
      <c r="D759" s="49"/>
      <c r="E759" s="49"/>
      <c r="F759" s="49"/>
      <c r="G759" s="49"/>
      <c r="H759" s="49"/>
      <c r="I759" s="49"/>
      <c r="J759" s="49"/>
      <c r="K759" s="49"/>
      <c r="L759" s="49"/>
      <c r="M759" s="49"/>
      <c r="N759" s="49"/>
      <c r="O759" s="48"/>
      <c r="P759" s="48"/>
      <c r="Q759" s="48"/>
      <c r="R759" s="48"/>
      <c r="S759" s="48"/>
      <c r="T759" s="48"/>
      <c r="U759" s="48"/>
      <c r="V759" s="48"/>
      <c r="W759" s="48"/>
      <c r="X759" s="48"/>
      <c r="Y759" s="48"/>
      <c r="Z759" s="48"/>
    </row>
    <row r="760" ht="15.75" customHeight="1">
      <c r="A760" s="49"/>
      <c r="B760" s="49"/>
      <c r="C760" s="49"/>
      <c r="D760" s="49"/>
      <c r="E760" s="49"/>
      <c r="F760" s="49"/>
      <c r="G760" s="49"/>
      <c r="H760" s="49"/>
      <c r="I760" s="49"/>
      <c r="J760" s="49"/>
      <c r="K760" s="49"/>
      <c r="L760" s="49"/>
      <c r="M760" s="49"/>
      <c r="N760" s="49"/>
      <c r="O760" s="48"/>
      <c r="P760" s="48"/>
      <c r="Q760" s="48"/>
      <c r="R760" s="48"/>
      <c r="S760" s="48"/>
      <c r="T760" s="48"/>
      <c r="U760" s="48"/>
      <c r="V760" s="48"/>
      <c r="W760" s="48"/>
      <c r="X760" s="48"/>
      <c r="Y760" s="48"/>
      <c r="Z760" s="48"/>
    </row>
    <row r="761" ht="15.75" customHeight="1">
      <c r="A761" s="49"/>
      <c r="B761" s="49"/>
      <c r="C761" s="49"/>
      <c r="D761" s="49"/>
      <c r="E761" s="49"/>
      <c r="F761" s="49"/>
      <c r="G761" s="49"/>
      <c r="H761" s="49"/>
      <c r="I761" s="49"/>
      <c r="J761" s="49"/>
      <c r="K761" s="49"/>
      <c r="L761" s="49"/>
      <c r="M761" s="49"/>
      <c r="N761" s="49"/>
      <c r="O761" s="48"/>
      <c r="P761" s="48"/>
      <c r="Q761" s="48"/>
      <c r="R761" s="48"/>
      <c r="S761" s="48"/>
      <c r="T761" s="48"/>
      <c r="U761" s="48"/>
      <c r="V761" s="48"/>
      <c r="W761" s="48"/>
      <c r="X761" s="48"/>
      <c r="Y761" s="48"/>
      <c r="Z761" s="48"/>
    </row>
    <row r="762" ht="15.75" customHeight="1">
      <c r="A762" s="49"/>
      <c r="B762" s="49"/>
      <c r="C762" s="49"/>
      <c r="D762" s="49"/>
      <c r="E762" s="49"/>
      <c r="F762" s="49"/>
      <c r="G762" s="49"/>
      <c r="H762" s="49"/>
      <c r="I762" s="49"/>
      <c r="J762" s="49"/>
      <c r="K762" s="49"/>
      <c r="L762" s="49"/>
      <c r="M762" s="49"/>
      <c r="N762" s="49"/>
      <c r="O762" s="48"/>
      <c r="P762" s="48"/>
      <c r="Q762" s="48"/>
      <c r="R762" s="48"/>
      <c r="S762" s="48"/>
      <c r="T762" s="48"/>
      <c r="U762" s="48"/>
      <c r="V762" s="48"/>
      <c r="W762" s="48"/>
      <c r="X762" s="48"/>
      <c r="Y762" s="48"/>
      <c r="Z762" s="48"/>
    </row>
    <row r="763" ht="15.75" customHeight="1">
      <c r="A763" s="49"/>
      <c r="B763" s="49"/>
      <c r="C763" s="49"/>
      <c r="D763" s="49"/>
      <c r="E763" s="49"/>
      <c r="F763" s="49"/>
      <c r="G763" s="49"/>
      <c r="H763" s="49"/>
      <c r="I763" s="49"/>
      <c r="J763" s="49"/>
      <c r="K763" s="49"/>
      <c r="L763" s="49"/>
      <c r="M763" s="49"/>
      <c r="N763" s="49"/>
      <c r="O763" s="48"/>
      <c r="P763" s="48"/>
      <c r="Q763" s="48"/>
      <c r="R763" s="48"/>
      <c r="S763" s="48"/>
      <c r="T763" s="48"/>
      <c r="U763" s="48"/>
      <c r="V763" s="48"/>
      <c r="W763" s="48"/>
      <c r="X763" s="48"/>
      <c r="Y763" s="48"/>
      <c r="Z763" s="48"/>
    </row>
    <row r="764" ht="15.75" customHeight="1">
      <c r="A764" s="49"/>
      <c r="B764" s="49"/>
      <c r="C764" s="49"/>
      <c r="D764" s="49"/>
      <c r="E764" s="49"/>
      <c r="F764" s="49"/>
      <c r="G764" s="49"/>
      <c r="H764" s="49"/>
      <c r="I764" s="49"/>
      <c r="J764" s="49"/>
      <c r="K764" s="49"/>
      <c r="L764" s="49"/>
      <c r="M764" s="49"/>
      <c r="N764" s="49"/>
      <c r="O764" s="48"/>
      <c r="P764" s="48"/>
      <c r="Q764" s="48"/>
      <c r="R764" s="48"/>
      <c r="S764" s="48"/>
      <c r="T764" s="48"/>
      <c r="U764" s="48"/>
      <c r="V764" s="48"/>
      <c r="W764" s="48"/>
      <c r="X764" s="48"/>
      <c r="Y764" s="48"/>
      <c r="Z764" s="48"/>
    </row>
    <row r="765" ht="15.75" customHeight="1">
      <c r="A765" s="49"/>
      <c r="B765" s="49"/>
      <c r="C765" s="49"/>
      <c r="D765" s="49"/>
      <c r="E765" s="49"/>
      <c r="F765" s="49"/>
      <c r="G765" s="49"/>
      <c r="H765" s="49"/>
      <c r="I765" s="49"/>
      <c r="J765" s="49"/>
      <c r="K765" s="49"/>
      <c r="L765" s="49"/>
      <c r="M765" s="49"/>
      <c r="N765" s="49"/>
      <c r="O765" s="48"/>
      <c r="P765" s="48"/>
      <c r="Q765" s="48"/>
      <c r="R765" s="48"/>
      <c r="S765" s="48"/>
      <c r="T765" s="48"/>
      <c r="U765" s="48"/>
      <c r="V765" s="48"/>
      <c r="W765" s="48"/>
      <c r="X765" s="48"/>
      <c r="Y765" s="48"/>
      <c r="Z765" s="48"/>
    </row>
    <row r="766" ht="15.75" customHeight="1">
      <c r="A766" s="49"/>
      <c r="B766" s="49"/>
      <c r="C766" s="49"/>
      <c r="D766" s="49"/>
      <c r="E766" s="49"/>
      <c r="F766" s="49"/>
      <c r="G766" s="49"/>
      <c r="H766" s="49"/>
      <c r="I766" s="49"/>
      <c r="J766" s="49"/>
      <c r="K766" s="49"/>
      <c r="L766" s="49"/>
      <c r="M766" s="49"/>
      <c r="N766" s="49"/>
      <c r="O766" s="48"/>
      <c r="P766" s="48"/>
      <c r="Q766" s="48"/>
      <c r="R766" s="48"/>
      <c r="S766" s="48"/>
      <c r="T766" s="48"/>
      <c r="U766" s="48"/>
      <c r="V766" s="48"/>
      <c r="W766" s="48"/>
      <c r="X766" s="48"/>
      <c r="Y766" s="48"/>
      <c r="Z766" s="48"/>
    </row>
    <row r="767" ht="15.75" customHeight="1">
      <c r="A767" s="49"/>
      <c r="B767" s="49"/>
      <c r="C767" s="49"/>
      <c r="D767" s="49"/>
      <c r="E767" s="49"/>
      <c r="F767" s="49"/>
      <c r="G767" s="49"/>
      <c r="H767" s="49"/>
      <c r="I767" s="49"/>
      <c r="J767" s="49"/>
      <c r="K767" s="49"/>
      <c r="L767" s="49"/>
      <c r="M767" s="49"/>
      <c r="N767" s="49"/>
      <c r="O767" s="48"/>
      <c r="P767" s="48"/>
      <c r="Q767" s="48"/>
      <c r="R767" s="48"/>
      <c r="S767" s="48"/>
      <c r="T767" s="48"/>
      <c r="U767" s="48"/>
      <c r="V767" s="48"/>
      <c r="W767" s="48"/>
      <c r="X767" s="48"/>
      <c r="Y767" s="48"/>
      <c r="Z767" s="48"/>
    </row>
    <row r="768" ht="15.75" customHeight="1">
      <c r="A768" s="49"/>
      <c r="B768" s="49"/>
      <c r="C768" s="49"/>
      <c r="D768" s="49"/>
      <c r="E768" s="49"/>
      <c r="F768" s="49"/>
      <c r="G768" s="49"/>
      <c r="H768" s="49"/>
      <c r="I768" s="49"/>
      <c r="J768" s="49"/>
      <c r="K768" s="49"/>
      <c r="L768" s="49"/>
      <c r="M768" s="49"/>
      <c r="N768" s="49"/>
      <c r="O768" s="48"/>
      <c r="P768" s="48"/>
      <c r="Q768" s="48"/>
      <c r="R768" s="48"/>
      <c r="S768" s="48"/>
      <c r="T768" s="48"/>
      <c r="U768" s="48"/>
      <c r="V768" s="48"/>
      <c r="W768" s="48"/>
      <c r="X768" s="48"/>
      <c r="Y768" s="48"/>
      <c r="Z768" s="48"/>
    </row>
    <row r="769" ht="15.75" customHeight="1">
      <c r="A769" s="49"/>
      <c r="B769" s="49"/>
      <c r="C769" s="49"/>
      <c r="D769" s="49"/>
      <c r="E769" s="49"/>
      <c r="F769" s="49"/>
      <c r="G769" s="49"/>
      <c r="H769" s="49"/>
      <c r="I769" s="49"/>
      <c r="J769" s="49"/>
      <c r="K769" s="49"/>
      <c r="L769" s="49"/>
      <c r="M769" s="49"/>
      <c r="N769" s="49"/>
      <c r="O769" s="48"/>
      <c r="P769" s="48"/>
      <c r="Q769" s="48"/>
      <c r="R769" s="48"/>
      <c r="S769" s="48"/>
      <c r="T769" s="48"/>
      <c r="U769" s="48"/>
      <c r="V769" s="48"/>
      <c r="W769" s="48"/>
      <c r="X769" s="48"/>
      <c r="Y769" s="48"/>
      <c r="Z769" s="48"/>
    </row>
    <row r="770" ht="15.75" customHeight="1">
      <c r="A770" s="49"/>
      <c r="B770" s="49"/>
      <c r="C770" s="49"/>
      <c r="D770" s="49"/>
      <c r="E770" s="49"/>
      <c r="F770" s="49"/>
      <c r="G770" s="49"/>
      <c r="H770" s="49"/>
      <c r="I770" s="49"/>
      <c r="J770" s="49"/>
      <c r="K770" s="49"/>
      <c r="L770" s="49"/>
      <c r="M770" s="49"/>
      <c r="N770" s="49"/>
      <c r="O770" s="48"/>
      <c r="P770" s="48"/>
      <c r="Q770" s="48"/>
      <c r="R770" s="48"/>
      <c r="S770" s="48"/>
      <c r="T770" s="48"/>
      <c r="U770" s="48"/>
      <c r="V770" s="48"/>
      <c r="W770" s="48"/>
      <c r="X770" s="48"/>
      <c r="Y770" s="48"/>
      <c r="Z770" s="48"/>
    </row>
    <row r="771" ht="15.75" customHeight="1">
      <c r="A771" s="49"/>
      <c r="B771" s="49"/>
      <c r="C771" s="49"/>
      <c r="D771" s="49"/>
      <c r="E771" s="49"/>
      <c r="F771" s="49"/>
      <c r="G771" s="49"/>
      <c r="H771" s="49"/>
      <c r="I771" s="49"/>
      <c r="J771" s="49"/>
      <c r="K771" s="49"/>
      <c r="L771" s="49"/>
      <c r="M771" s="49"/>
      <c r="N771" s="49"/>
      <c r="O771" s="48"/>
      <c r="P771" s="48"/>
      <c r="Q771" s="48"/>
      <c r="R771" s="48"/>
      <c r="S771" s="48"/>
      <c r="T771" s="48"/>
      <c r="U771" s="48"/>
      <c r="V771" s="48"/>
      <c r="W771" s="48"/>
      <c r="X771" s="48"/>
      <c r="Y771" s="48"/>
      <c r="Z771" s="48"/>
    </row>
    <row r="772" ht="15.75" customHeight="1">
      <c r="A772" s="49"/>
      <c r="B772" s="49"/>
      <c r="C772" s="49"/>
      <c r="D772" s="49"/>
      <c r="E772" s="49"/>
      <c r="F772" s="49"/>
      <c r="G772" s="49"/>
      <c r="H772" s="49"/>
      <c r="I772" s="49"/>
      <c r="J772" s="49"/>
      <c r="K772" s="49"/>
      <c r="L772" s="49"/>
      <c r="M772" s="49"/>
      <c r="N772" s="49"/>
      <c r="O772" s="48"/>
      <c r="P772" s="48"/>
      <c r="Q772" s="48"/>
      <c r="R772" s="48"/>
      <c r="S772" s="48"/>
      <c r="T772" s="48"/>
      <c r="U772" s="48"/>
      <c r="V772" s="48"/>
      <c r="W772" s="48"/>
      <c r="X772" s="48"/>
      <c r="Y772" s="48"/>
      <c r="Z772" s="48"/>
    </row>
    <row r="773" ht="15.75" customHeight="1">
      <c r="A773" s="49"/>
      <c r="B773" s="49"/>
      <c r="C773" s="49"/>
      <c r="D773" s="49"/>
      <c r="E773" s="49"/>
      <c r="F773" s="49"/>
      <c r="G773" s="49"/>
      <c r="H773" s="49"/>
      <c r="I773" s="49"/>
      <c r="J773" s="49"/>
      <c r="K773" s="49"/>
      <c r="L773" s="49"/>
      <c r="M773" s="49"/>
      <c r="N773" s="49"/>
      <c r="O773" s="48"/>
      <c r="P773" s="48"/>
      <c r="Q773" s="48"/>
      <c r="R773" s="48"/>
      <c r="S773" s="48"/>
      <c r="T773" s="48"/>
      <c r="U773" s="48"/>
      <c r="V773" s="48"/>
      <c r="W773" s="48"/>
      <c r="X773" s="48"/>
      <c r="Y773" s="48"/>
      <c r="Z773" s="48"/>
    </row>
    <row r="774" ht="15.75" customHeight="1">
      <c r="A774" s="49"/>
      <c r="B774" s="49"/>
      <c r="C774" s="49"/>
      <c r="D774" s="49"/>
      <c r="E774" s="49"/>
      <c r="F774" s="49"/>
      <c r="G774" s="49"/>
      <c r="H774" s="49"/>
      <c r="I774" s="49"/>
      <c r="J774" s="49"/>
      <c r="K774" s="49"/>
      <c r="L774" s="49"/>
      <c r="M774" s="49"/>
      <c r="N774" s="49"/>
      <c r="O774" s="48"/>
      <c r="P774" s="48"/>
      <c r="Q774" s="48"/>
      <c r="R774" s="48"/>
      <c r="S774" s="48"/>
      <c r="T774" s="48"/>
      <c r="U774" s="48"/>
      <c r="V774" s="48"/>
      <c r="W774" s="48"/>
      <c r="X774" s="48"/>
      <c r="Y774" s="48"/>
      <c r="Z774" s="48"/>
    </row>
    <row r="775" ht="15.75" customHeight="1">
      <c r="A775" s="49"/>
      <c r="B775" s="49"/>
      <c r="C775" s="49"/>
      <c r="D775" s="49"/>
      <c r="E775" s="49"/>
      <c r="F775" s="49"/>
      <c r="G775" s="49"/>
      <c r="H775" s="49"/>
      <c r="I775" s="49"/>
      <c r="J775" s="49"/>
      <c r="K775" s="49"/>
      <c r="L775" s="49"/>
      <c r="M775" s="49"/>
      <c r="N775" s="49"/>
      <c r="O775" s="48"/>
      <c r="P775" s="48"/>
      <c r="Q775" s="48"/>
      <c r="R775" s="48"/>
      <c r="S775" s="48"/>
      <c r="T775" s="48"/>
      <c r="U775" s="48"/>
      <c r="V775" s="48"/>
      <c r="W775" s="48"/>
      <c r="X775" s="48"/>
      <c r="Y775" s="48"/>
      <c r="Z775" s="48"/>
    </row>
    <row r="776" ht="15.75" customHeight="1">
      <c r="A776" s="49"/>
      <c r="B776" s="49"/>
      <c r="C776" s="49"/>
      <c r="D776" s="49"/>
      <c r="E776" s="49"/>
      <c r="F776" s="49"/>
      <c r="G776" s="49"/>
      <c r="H776" s="49"/>
      <c r="I776" s="49"/>
      <c r="J776" s="49"/>
      <c r="K776" s="49"/>
      <c r="L776" s="49"/>
      <c r="M776" s="49"/>
      <c r="N776" s="49"/>
      <c r="O776" s="48"/>
      <c r="P776" s="48"/>
      <c r="Q776" s="48"/>
      <c r="R776" s="48"/>
      <c r="S776" s="48"/>
      <c r="T776" s="48"/>
      <c r="U776" s="48"/>
      <c r="V776" s="48"/>
      <c r="W776" s="48"/>
      <c r="X776" s="48"/>
      <c r="Y776" s="48"/>
      <c r="Z776" s="48"/>
    </row>
    <row r="777" ht="15.75" customHeight="1">
      <c r="A777" s="49"/>
      <c r="B777" s="49"/>
      <c r="C777" s="49"/>
      <c r="D777" s="49"/>
      <c r="E777" s="49"/>
      <c r="F777" s="49"/>
      <c r="G777" s="49"/>
      <c r="H777" s="49"/>
      <c r="I777" s="49"/>
      <c r="J777" s="49"/>
      <c r="K777" s="49"/>
      <c r="L777" s="49"/>
      <c r="M777" s="49"/>
      <c r="N777" s="49"/>
      <c r="O777" s="48"/>
      <c r="P777" s="48"/>
      <c r="Q777" s="48"/>
      <c r="R777" s="48"/>
      <c r="S777" s="48"/>
      <c r="T777" s="48"/>
      <c r="U777" s="48"/>
      <c r="V777" s="48"/>
      <c r="W777" s="48"/>
      <c r="X777" s="48"/>
      <c r="Y777" s="48"/>
      <c r="Z777" s="48"/>
    </row>
    <row r="778" ht="15.75" customHeight="1">
      <c r="A778" s="49"/>
      <c r="B778" s="49"/>
      <c r="C778" s="49"/>
      <c r="D778" s="49"/>
      <c r="E778" s="49"/>
      <c r="F778" s="49"/>
      <c r="G778" s="49"/>
      <c r="H778" s="49"/>
      <c r="I778" s="49"/>
      <c r="J778" s="49"/>
      <c r="K778" s="49"/>
      <c r="L778" s="49"/>
      <c r="M778" s="49"/>
      <c r="N778" s="49"/>
      <c r="O778" s="48"/>
      <c r="P778" s="48"/>
      <c r="Q778" s="48"/>
      <c r="R778" s="48"/>
      <c r="S778" s="48"/>
      <c r="T778" s="48"/>
      <c r="U778" s="48"/>
      <c r="V778" s="48"/>
      <c r="W778" s="48"/>
      <c r="X778" s="48"/>
      <c r="Y778" s="48"/>
      <c r="Z778" s="48"/>
    </row>
    <row r="779" ht="15.75" customHeight="1">
      <c r="A779" s="49"/>
      <c r="B779" s="49"/>
      <c r="C779" s="49"/>
      <c r="D779" s="49"/>
      <c r="E779" s="49"/>
      <c r="F779" s="49"/>
      <c r="G779" s="49"/>
      <c r="H779" s="49"/>
      <c r="I779" s="49"/>
      <c r="J779" s="49"/>
      <c r="K779" s="49"/>
      <c r="L779" s="49"/>
      <c r="M779" s="49"/>
      <c r="N779" s="49"/>
      <c r="O779" s="48"/>
      <c r="P779" s="48"/>
      <c r="Q779" s="48"/>
      <c r="R779" s="48"/>
      <c r="S779" s="48"/>
      <c r="T779" s="48"/>
      <c r="U779" s="48"/>
      <c r="V779" s="48"/>
      <c r="W779" s="48"/>
      <c r="X779" s="48"/>
      <c r="Y779" s="48"/>
      <c r="Z779" s="48"/>
    </row>
    <row r="780" ht="15.75" customHeight="1">
      <c r="A780" s="49"/>
      <c r="B780" s="49"/>
      <c r="C780" s="49"/>
      <c r="D780" s="49"/>
      <c r="E780" s="49"/>
      <c r="F780" s="49"/>
      <c r="G780" s="49"/>
      <c r="H780" s="49"/>
      <c r="I780" s="49"/>
      <c r="J780" s="49"/>
      <c r="K780" s="49"/>
      <c r="L780" s="49"/>
      <c r="M780" s="49"/>
      <c r="N780" s="49"/>
      <c r="O780" s="48"/>
      <c r="P780" s="48"/>
      <c r="Q780" s="48"/>
      <c r="R780" s="48"/>
      <c r="S780" s="48"/>
      <c r="T780" s="48"/>
      <c r="U780" s="48"/>
      <c r="V780" s="48"/>
      <c r="W780" s="48"/>
      <c r="X780" s="48"/>
      <c r="Y780" s="48"/>
      <c r="Z780" s="48"/>
    </row>
    <row r="781" ht="15.75" customHeight="1">
      <c r="A781" s="49"/>
      <c r="B781" s="49"/>
      <c r="C781" s="49"/>
      <c r="D781" s="49"/>
      <c r="E781" s="49"/>
      <c r="F781" s="49"/>
      <c r="G781" s="49"/>
      <c r="H781" s="49"/>
      <c r="I781" s="49"/>
      <c r="J781" s="49"/>
      <c r="K781" s="49"/>
      <c r="L781" s="49"/>
      <c r="M781" s="49"/>
      <c r="N781" s="49"/>
      <c r="O781" s="48"/>
      <c r="P781" s="48"/>
      <c r="Q781" s="48"/>
      <c r="R781" s="48"/>
      <c r="S781" s="48"/>
      <c r="T781" s="48"/>
      <c r="U781" s="48"/>
      <c r="V781" s="48"/>
      <c r="W781" s="48"/>
      <c r="X781" s="48"/>
      <c r="Y781" s="48"/>
      <c r="Z781" s="48"/>
    </row>
    <row r="782" ht="15.75" customHeight="1">
      <c r="A782" s="49"/>
      <c r="B782" s="49"/>
      <c r="C782" s="49"/>
      <c r="D782" s="49"/>
      <c r="E782" s="49"/>
      <c r="F782" s="49"/>
      <c r="G782" s="49"/>
      <c r="H782" s="49"/>
      <c r="I782" s="49"/>
      <c r="J782" s="49"/>
      <c r="K782" s="49"/>
      <c r="L782" s="49"/>
      <c r="M782" s="49"/>
      <c r="N782" s="49"/>
      <c r="O782" s="48"/>
      <c r="P782" s="48"/>
      <c r="Q782" s="48"/>
      <c r="R782" s="48"/>
      <c r="S782" s="48"/>
      <c r="T782" s="48"/>
      <c r="U782" s="48"/>
      <c r="V782" s="48"/>
      <c r="W782" s="48"/>
      <c r="X782" s="48"/>
      <c r="Y782" s="48"/>
      <c r="Z782" s="48"/>
    </row>
    <row r="783" ht="15.75" customHeight="1">
      <c r="A783" s="49"/>
      <c r="B783" s="49"/>
      <c r="C783" s="49"/>
      <c r="D783" s="49"/>
      <c r="E783" s="49"/>
      <c r="F783" s="49"/>
      <c r="G783" s="49"/>
      <c r="H783" s="49"/>
      <c r="I783" s="49"/>
      <c r="J783" s="49"/>
      <c r="K783" s="49"/>
      <c r="L783" s="49"/>
      <c r="M783" s="49"/>
      <c r="N783" s="49"/>
      <c r="O783" s="48"/>
      <c r="P783" s="48"/>
      <c r="Q783" s="48"/>
      <c r="R783" s="48"/>
      <c r="S783" s="48"/>
      <c r="T783" s="48"/>
      <c r="U783" s="48"/>
      <c r="V783" s="48"/>
      <c r="W783" s="48"/>
      <c r="X783" s="48"/>
      <c r="Y783" s="48"/>
      <c r="Z783" s="48"/>
    </row>
    <row r="784" ht="15.75" customHeight="1">
      <c r="A784" s="49"/>
      <c r="B784" s="49"/>
      <c r="C784" s="49"/>
      <c r="D784" s="49"/>
      <c r="E784" s="49"/>
      <c r="F784" s="49"/>
      <c r="G784" s="49"/>
      <c r="H784" s="49"/>
      <c r="I784" s="49"/>
      <c r="J784" s="49"/>
      <c r="K784" s="49"/>
      <c r="L784" s="49"/>
      <c r="M784" s="49"/>
      <c r="N784" s="49"/>
      <c r="O784" s="48"/>
      <c r="P784" s="48"/>
      <c r="Q784" s="48"/>
      <c r="R784" s="48"/>
      <c r="S784" s="48"/>
      <c r="T784" s="48"/>
      <c r="U784" s="48"/>
      <c r="V784" s="48"/>
      <c r="W784" s="48"/>
      <c r="X784" s="48"/>
      <c r="Y784" s="48"/>
      <c r="Z784" s="48"/>
    </row>
    <row r="785" ht="15.75" customHeight="1">
      <c r="A785" s="49"/>
      <c r="B785" s="49"/>
      <c r="C785" s="49"/>
      <c r="D785" s="49"/>
      <c r="E785" s="49"/>
      <c r="F785" s="49"/>
      <c r="G785" s="49"/>
      <c r="H785" s="49"/>
      <c r="I785" s="49"/>
      <c r="J785" s="49"/>
      <c r="K785" s="49"/>
      <c r="L785" s="49"/>
      <c r="M785" s="49"/>
      <c r="N785" s="49"/>
      <c r="O785" s="48"/>
      <c r="P785" s="48"/>
      <c r="Q785" s="48"/>
      <c r="R785" s="48"/>
      <c r="S785" s="48"/>
      <c r="T785" s="48"/>
      <c r="U785" s="48"/>
      <c r="V785" s="48"/>
      <c r="W785" s="48"/>
      <c r="X785" s="48"/>
      <c r="Y785" s="48"/>
      <c r="Z785" s="48"/>
    </row>
    <row r="786" ht="15.75" customHeight="1">
      <c r="A786" s="49"/>
      <c r="B786" s="49"/>
      <c r="C786" s="49"/>
      <c r="D786" s="49"/>
      <c r="E786" s="49"/>
      <c r="F786" s="49"/>
      <c r="G786" s="49"/>
      <c r="H786" s="49"/>
      <c r="I786" s="49"/>
      <c r="J786" s="49"/>
      <c r="K786" s="49"/>
      <c r="L786" s="49"/>
      <c r="M786" s="49"/>
      <c r="N786" s="49"/>
      <c r="O786" s="48"/>
      <c r="P786" s="48"/>
      <c r="Q786" s="48"/>
      <c r="R786" s="48"/>
      <c r="S786" s="48"/>
      <c r="T786" s="48"/>
      <c r="U786" s="48"/>
      <c r="V786" s="48"/>
      <c r="W786" s="48"/>
      <c r="X786" s="48"/>
      <c r="Y786" s="48"/>
      <c r="Z786" s="48"/>
    </row>
    <row r="787" ht="15.75" customHeight="1">
      <c r="A787" s="49"/>
      <c r="B787" s="49"/>
      <c r="C787" s="49"/>
      <c r="D787" s="49"/>
      <c r="E787" s="49"/>
      <c r="F787" s="49"/>
      <c r="G787" s="49"/>
      <c r="H787" s="49"/>
      <c r="I787" s="49"/>
      <c r="J787" s="49"/>
      <c r="K787" s="49"/>
      <c r="L787" s="49"/>
      <c r="M787" s="49"/>
      <c r="N787" s="49"/>
      <c r="O787" s="48"/>
      <c r="P787" s="48"/>
      <c r="Q787" s="48"/>
      <c r="R787" s="48"/>
      <c r="S787" s="48"/>
      <c r="T787" s="48"/>
      <c r="U787" s="48"/>
      <c r="V787" s="48"/>
      <c r="W787" s="48"/>
      <c r="X787" s="48"/>
      <c r="Y787" s="48"/>
      <c r="Z787" s="48"/>
    </row>
    <row r="788" ht="15.75" customHeight="1">
      <c r="A788" s="49"/>
      <c r="B788" s="49"/>
      <c r="C788" s="49"/>
      <c r="D788" s="49"/>
      <c r="E788" s="49"/>
      <c r="F788" s="49"/>
      <c r="G788" s="49"/>
      <c r="H788" s="49"/>
      <c r="I788" s="49"/>
      <c r="J788" s="49"/>
      <c r="K788" s="49"/>
      <c r="L788" s="49"/>
      <c r="M788" s="49"/>
      <c r="N788" s="49"/>
      <c r="O788" s="48"/>
      <c r="P788" s="48"/>
      <c r="Q788" s="48"/>
      <c r="R788" s="48"/>
      <c r="S788" s="48"/>
      <c r="T788" s="48"/>
      <c r="U788" s="48"/>
      <c r="V788" s="48"/>
      <c r="W788" s="48"/>
      <c r="X788" s="48"/>
      <c r="Y788" s="48"/>
      <c r="Z788" s="48"/>
    </row>
    <row r="789" ht="15.75" customHeight="1">
      <c r="A789" s="49"/>
      <c r="B789" s="49"/>
      <c r="C789" s="49"/>
      <c r="D789" s="49"/>
      <c r="E789" s="49"/>
      <c r="F789" s="49"/>
      <c r="G789" s="49"/>
      <c r="H789" s="49"/>
      <c r="I789" s="49"/>
      <c r="J789" s="49"/>
      <c r="K789" s="49"/>
      <c r="L789" s="49"/>
      <c r="M789" s="49"/>
      <c r="N789" s="49"/>
      <c r="O789" s="48"/>
      <c r="P789" s="48"/>
      <c r="Q789" s="48"/>
      <c r="R789" s="48"/>
      <c r="S789" s="48"/>
      <c r="T789" s="48"/>
      <c r="U789" s="48"/>
      <c r="V789" s="48"/>
      <c r="W789" s="48"/>
      <c r="X789" s="48"/>
      <c r="Y789" s="48"/>
      <c r="Z789" s="48"/>
    </row>
    <row r="790" ht="15.75" customHeight="1">
      <c r="A790" s="49"/>
      <c r="B790" s="49"/>
      <c r="C790" s="49"/>
      <c r="D790" s="49"/>
      <c r="E790" s="49"/>
      <c r="F790" s="49"/>
      <c r="G790" s="49"/>
      <c r="H790" s="49"/>
      <c r="I790" s="49"/>
      <c r="J790" s="49"/>
      <c r="K790" s="49"/>
      <c r="L790" s="49"/>
      <c r="M790" s="49"/>
      <c r="N790" s="49"/>
      <c r="O790" s="48"/>
      <c r="P790" s="48"/>
      <c r="Q790" s="48"/>
      <c r="R790" s="48"/>
      <c r="S790" s="48"/>
      <c r="T790" s="48"/>
      <c r="U790" s="48"/>
      <c r="V790" s="48"/>
      <c r="W790" s="48"/>
      <c r="X790" s="48"/>
      <c r="Y790" s="48"/>
      <c r="Z790" s="48"/>
    </row>
    <row r="791" ht="15.75" customHeight="1">
      <c r="A791" s="49"/>
      <c r="B791" s="49"/>
      <c r="C791" s="49"/>
      <c r="D791" s="49"/>
      <c r="E791" s="49"/>
      <c r="F791" s="49"/>
      <c r="G791" s="49"/>
      <c r="H791" s="49"/>
      <c r="I791" s="49"/>
      <c r="J791" s="49"/>
      <c r="K791" s="49"/>
      <c r="L791" s="49"/>
      <c r="M791" s="49"/>
      <c r="N791" s="49"/>
      <c r="O791" s="48"/>
      <c r="P791" s="48"/>
      <c r="Q791" s="48"/>
      <c r="R791" s="48"/>
      <c r="S791" s="48"/>
      <c r="T791" s="48"/>
      <c r="U791" s="48"/>
      <c r="V791" s="48"/>
      <c r="W791" s="48"/>
      <c r="X791" s="48"/>
      <c r="Y791" s="48"/>
      <c r="Z791" s="48"/>
    </row>
    <row r="792" ht="15.75" customHeight="1">
      <c r="A792" s="49"/>
      <c r="B792" s="49"/>
      <c r="C792" s="49"/>
      <c r="D792" s="49"/>
      <c r="E792" s="49"/>
      <c r="F792" s="49"/>
      <c r="G792" s="49"/>
      <c r="H792" s="49"/>
      <c r="I792" s="49"/>
      <c r="J792" s="49"/>
      <c r="K792" s="49"/>
      <c r="L792" s="49"/>
      <c r="M792" s="49"/>
      <c r="N792" s="49"/>
      <c r="O792" s="48"/>
      <c r="P792" s="48"/>
      <c r="Q792" s="48"/>
      <c r="R792" s="48"/>
      <c r="S792" s="48"/>
      <c r="T792" s="48"/>
      <c r="U792" s="48"/>
      <c r="V792" s="48"/>
      <c r="W792" s="48"/>
      <c r="X792" s="48"/>
      <c r="Y792" s="48"/>
      <c r="Z792" s="48"/>
    </row>
    <row r="793" ht="15.75" customHeight="1">
      <c r="A793" s="49"/>
      <c r="B793" s="49"/>
      <c r="C793" s="49"/>
      <c r="D793" s="49"/>
      <c r="E793" s="49"/>
      <c r="F793" s="49"/>
      <c r="G793" s="49"/>
      <c r="H793" s="49"/>
      <c r="I793" s="49"/>
      <c r="J793" s="49"/>
      <c r="K793" s="49"/>
      <c r="L793" s="49"/>
      <c r="M793" s="49"/>
      <c r="N793" s="49"/>
      <c r="O793" s="48"/>
      <c r="P793" s="48"/>
      <c r="Q793" s="48"/>
      <c r="R793" s="48"/>
      <c r="S793" s="48"/>
      <c r="T793" s="48"/>
      <c r="U793" s="48"/>
      <c r="V793" s="48"/>
      <c r="W793" s="48"/>
      <c r="X793" s="48"/>
      <c r="Y793" s="48"/>
      <c r="Z793" s="48"/>
    </row>
    <row r="794" ht="15.75" customHeight="1">
      <c r="A794" s="49"/>
      <c r="B794" s="49"/>
      <c r="C794" s="49"/>
      <c r="D794" s="49"/>
      <c r="E794" s="49"/>
      <c r="F794" s="49"/>
      <c r="G794" s="49"/>
      <c r="H794" s="49"/>
      <c r="I794" s="49"/>
      <c r="J794" s="49"/>
      <c r="K794" s="49"/>
      <c r="L794" s="49"/>
      <c r="M794" s="49"/>
      <c r="N794" s="49"/>
      <c r="O794" s="48"/>
      <c r="P794" s="48"/>
      <c r="Q794" s="48"/>
      <c r="R794" s="48"/>
      <c r="S794" s="48"/>
      <c r="T794" s="48"/>
      <c r="U794" s="48"/>
      <c r="V794" s="48"/>
      <c r="W794" s="48"/>
      <c r="X794" s="48"/>
      <c r="Y794" s="48"/>
      <c r="Z794" s="48"/>
    </row>
    <row r="795" ht="15.75" customHeight="1">
      <c r="A795" s="49"/>
      <c r="B795" s="49"/>
      <c r="C795" s="49"/>
      <c r="D795" s="49"/>
      <c r="E795" s="49"/>
      <c r="F795" s="49"/>
      <c r="G795" s="49"/>
      <c r="H795" s="49"/>
      <c r="I795" s="49"/>
      <c r="J795" s="49"/>
      <c r="K795" s="49"/>
      <c r="L795" s="49"/>
      <c r="M795" s="49"/>
      <c r="N795" s="49"/>
      <c r="O795" s="48"/>
      <c r="P795" s="48"/>
      <c r="Q795" s="48"/>
      <c r="R795" s="48"/>
      <c r="S795" s="48"/>
      <c r="T795" s="48"/>
      <c r="U795" s="48"/>
      <c r="V795" s="48"/>
      <c r="W795" s="48"/>
      <c r="X795" s="48"/>
      <c r="Y795" s="48"/>
      <c r="Z795" s="48"/>
    </row>
    <row r="796" ht="15.75" customHeight="1">
      <c r="A796" s="49"/>
      <c r="B796" s="49"/>
      <c r="C796" s="49"/>
      <c r="D796" s="49"/>
      <c r="E796" s="49"/>
      <c r="F796" s="49"/>
      <c r="G796" s="49"/>
      <c r="H796" s="49"/>
      <c r="I796" s="49"/>
      <c r="J796" s="49"/>
      <c r="K796" s="49"/>
      <c r="L796" s="49"/>
      <c r="M796" s="49"/>
      <c r="N796" s="49"/>
      <c r="O796" s="48"/>
      <c r="P796" s="48"/>
      <c r="Q796" s="48"/>
      <c r="R796" s="48"/>
      <c r="S796" s="48"/>
      <c r="T796" s="48"/>
      <c r="U796" s="48"/>
      <c r="V796" s="48"/>
      <c r="W796" s="48"/>
      <c r="X796" s="48"/>
      <c r="Y796" s="48"/>
      <c r="Z796" s="48"/>
    </row>
    <row r="797" ht="15.75" customHeight="1">
      <c r="A797" s="49"/>
      <c r="B797" s="49"/>
      <c r="C797" s="49"/>
      <c r="D797" s="49"/>
      <c r="E797" s="49"/>
      <c r="F797" s="49"/>
      <c r="G797" s="49"/>
      <c r="H797" s="49"/>
      <c r="I797" s="49"/>
      <c r="J797" s="49"/>
      <c r="K797" s="49"/>
      <c r="L797" s="49"/>
      <c r="M797" s="49"/>
      <c r="N797" s="49"/>
      <c r="O797" s="48"/>
      <c r="P797" s="48"/>
      <c r="Q797" s="48"/>
      <c r="R797" s="48"/>
      <c r="S797" s="48"/>
      <c r="T797" s="48"/>
      <c r="U797" s="48"/>
      <c r="V797" s="48"/>
      <c r="W797" s="48"/>
      <c r="X797" s="48"/>
      <c r="Y797" s="48"/>
      <c r="Z797" s="48"/>
    </row>
    <row r="798" ht="15.75" customHeight="1">
      <c r="A798" s="49"/>
      <c r="B798" s="49"/>
      <c r="C798" s="49"/>
      <c r="D798" s="49"/>
      <c r="E798" s="49"/>
      <c r="F798" s="49"/>
      <c r="G798" s="49"/>
      <c r="H798" s="49"/>
      <c r="I798" s="49"/>
      <c r="J798" s="49"/>
      <c r="K798" s="49"/>
      <c r="L798" s="49"/>
      <c r="M798" s="49"/>
      <c r="N798" s="49"/>
      <c r="O798" s="48"/>
      <c r="P798" s="48"/>
      <c r="Q798" s="48"/>
      <c r="R798" s="48"/>
      <c r="S798" s="48"/>
      <c r="T798" s="48"/>
      <c r="U798" s="48"/>
      <c r="V798" s="48"/>
      <c r="W798" s="48"/>
      <c r="X798" s="48"/>
      <c r="Y798" s="48"/>
      <c r="Z798" s="48"/>
    </row>
    <row r="799" ht="15.75" customHeight="1">
      <c r="A799" s="49"/>
      <c r="B799" s="49"/>
      <c r="C799" s="49"/>
      <c r="D799" s="49"/>
      <c r="E799" s="49"/>
      <c r="F799" s="49"/>
      <c r="G799" s="49"/>
      <c r="H799" s="49"/>
      <c r="I799" s="49"/>
      <c r="J799" s="49"/>
      <c r="K799" s="49"/>
      <c r="L799" s="49"/>
      <c r="M799" s="49"/>
      <c r="N799" s="49"/>
      <c r="O799" s="48"/>
      <c r="P799" s="48"/>
      <c r="Q799" s="48"/>
      <c r="R799" s="48"/>
      <c r="S799" s="48"/>
      <c r="T799" s="48"/>
      <c r="U799" s="48"/>
      <c r="V799" s="48"/>
      <c r="W799" s="48"/>
      <c r="X799" s="48"/>
      <c r="Y799" s="48"/>
      <c r="Z799" s="48"/>
    </row>
    <row r="800" ht="15.75" customHeight="1">
      <c r="A800" s="49"/>
      <c r="B800" s="49"/>
      <c r="C800" s="49"/>
      <c r="D800" s="49"/>
      <c r="E800" s="49"/>
      <c r="F800" s="49"/>
      <c r="G800" s="49"/>
      <c r="H800" s="49"/>
      <c r="I800" s="49"/>
      <c r="J800" s="49"/>
      <c r="K800" s="49"/>
      <c r="L800" s="49"/>
      <c r="M800" s="49"/>
      <c r="N800" s="49"/>
      <c r="O800" s="48"/>
      <c r="P800" s="48"/>
      <c r="Q800" s="48"/>
      <c r="R800" s="48"/>
      <c r="S800" s="48"/>
      <c r="T800" s="48"/>
      <c r="U800" s="48"/>
      <c r="V800" s="48"/>
      <c r="W800" s="48"/>
      <c r="X800" s="48"/>
      <c r="Y800" s="48"/>
      <c r="Z800" s="48"/>
    </row>
    <row r="801" ht="15.75" customHeight="1">
      <c r="A801" s="49"/>
      <c r="B801" s="49"/>
      <c r="C801" s="49"/>
      <c r="D801" s="49"/>
      <c r="E801" s="49"/>
      <c r="F801" s="49"/>
      <c r="G801" s="49"/>
      <c r="H801" s="49"/>
      <c r="I801" s="49"/>
      <c r="J801" s="49"/>
      <c r="K801" s="49"/>
      <c r="L801" s="49"/>
      <c r="M801" s="49"/>
      <c r="N801" s="49"/>
      <c r="O801" s="48"/>
      <c r="P801" s="48"/>
      <c r="Q801" s="48"/>
      <c r="R801" s="48"/>
      <c r="S801" s="48"/>
      <c r="T801" s="48"/>
      <c r="U801" s="48"/>
      <c r="V801" s="48"/>
      <c r="W801" s="48"/>
      <c r="X801" s="48"/>
      <c r="Y801" s="48"/>
      <c r="Z801" s="48"/>
    </row>
    <row r="802" ht="15.75" customHeight="1">
      <c r="A802" s="49"/>
      <c r="B802" s="49"/>
      <c r="C802" s="49"/>
      <c r="D802" s="49"/>
      <c r="E802" s="49"/>
      <c r="F802" s="49"/>
      <c r="G802" s="49"/>
      <c r="H802" s="49"/>
      <c r="I802" s="49"/>
      <c r="J802" s="49"/>
      <c r="K802" s="49"/>
      <c r="L802" s="49"/>
      <c r="M802" s="49"/>
      <c r="N802" s="49"/>
      <c r="O802" s="48"/>
      <c r="P802" s="48"/>
      <c r="Q802" s="48"/>
      <c r="R802" s="48"/>
      <c r="S802" s="48"/>
      <c r="T802" s="48"/>
      <c r="U802" s="48"/>
      <c r="V802" s="48"/>
      <c r="W802" s="48"/>
      <c r="X802" s="48"/>
      <c r="Y802" s="48"/>
      <c r="Z802" s="48"/>
    </row>
    <row r="803" ht="15.75" customHeight="1">
      <c r="A803" s="49"/>
      <c r="B803" s="49"/>
      <c r="C803" s="49"/>
      <c r="D803" s="49"/>
      <c r="E803" s="49"/>
      <c r="F803" s="49"/>
      <c r="G803" s="49"/>
      <c r="H803" s="49"/>
      <c r="I803" s="49"/>
      <c r="J803" s="49"/>
      <c r="K803" s="49"/>
      <c r="L803" s="49"/>
      <c r="M803" s="49"/>
      <c r="N803" s="49"/>
      <c r="O803" s="48"/>
      <c r="P803" s="48"/>
      <c r="Q803" s="48"/>
      <c r="R803" s="48"/>
      <c r="S803" s="48"/>
      <c r="T803" s="48"/>
      <c r="U803" s="48"/>
      <c r="V803" s="48"/>
      <c r="W803" s="48"/>
      <c r="X803" s="48"/>
      <c r="Y803" s="48"/>
      <c r="Z803" s="48"/>
    </row>
    <row r="804" ht="15.75" customHeight="1">
      <c r="A804" s="49"/>
      <c r="B804" s="49"/>
      <c r="C804" s="49"/>
      <c r="D804" s="49"/>
      <c r="E804" s="49"/>
      <c r="F804" s="49"/>
      <c r="G804" s="49"/>
      <c r="H804" s="49"/>
      <c r="I804" s="49"/>
      <c r="J804" s="49"/>
      <c r="K804" s="49"/>
      <c r="L804" s="49"/>
      <c r="M804" s="49"/>
      <c r="N804" s="49"/>
      <c r="O804" s="48"/>
      <c r="P804" s="48"/>
      <c r="Q804" s="48"/>
      <c r="R804" s="48"/>
      <c r="S804" s="48"/>
      <c r="T804" s="48"/>
      <c r="U804" s="48"/>
      <c r="V804" s="48"/>
      <c r="W804" s="48"/>
      <c r="X804" s="48"/>
      <c r="Y804" s="48"/>
      <c r="Z804" s="48"/>
    </row>
    <row r="805" ht="15.75" customHeight="1">
      <c r="A805" s="49"/>
      <c r="B805" s="49"/>
      <c r="C805" s="49"/>
      <c r="D805" s="49"/>
      <c r="E805" s="49"/>
      <c r="F805" s="49"/>
      <c r="G805" s="49"/>
      <c r="H805" s="49"/>
      <c r="I805" s="49"/>
      <c r="J805" s="49"/>
      <c r="K805" s="49"/>
      <c r="L805" s="49"/>
      <c r="M805" s="49"/>
      <c r="N805" s="49"/>
      <c r="O805" s="48"/>
      <c r="P805" s="48"/>
      <c r="Q805" s="48"/>
      <c r="R805" s="48"/>
      <c r="S805" s="48"/>
      <c r="T805" s="48"/>
      <c r="U805" s="48"/>
      <c r="V805" s="48"/>
      <c r="W805" s="48"/>
      <c r="X805" s="48"/>
      <c r="Y805" s="48"/>
      <c r="Z805" s="48"/>
    </row>
    <row r="806" ht="15.75" customHeight="1">
      <c r="A806" s="49"/>
      <c r="B806" s="49"/>
      <c r="C806" s="49"/>
      <c r="D806" s="49"/>
      <c r="E806" s="49"/>
      <c r="F806" s="49"/>
      <c r="G806" s="49"/>
      <c r="H806" s="49"/>
      <c r="I806" s="49"/>
      <c r="J806" s="49"/>
      <c r="K806" s="49"/>
      <c r="L806" s="49"/>
      <c r="M806" s="49"/>
      <c r="N806" s="49"/>
      <c r="O806" s="48"/>
      <c r="P806" s="48"/>
      <c r="Q806" s="48"/>
      <c r="R806" s="48"/>
      <c r="S806" s="48"/>
      <c r="T806" s="48"/>
      <c r="U806" s="48"/>
      <c r="V806" s="48"/>
      <c r="W806" s="48"/>
      <c r="X806" s="48"/>
      <c r="Y806" s="48"/>
      <c r="Z806" s="48"/>
    </row>
    <row r="807" ht="15.75" customHeight="1">
      <c r="A807" s="49"/>
      <c r="B807" s="49"/>
      <c r="C807" s="49"/>
      <c r="D807" s="49"/>
      <c r="E807" s="49"/>
      <c r="F807" s="49"/>
      <c r="G807" s="49"/>
      <c r="H807" s="49"/>
      <c r="I807" s="49"/>
      <c r="J807" s="49"/>
      <c r="K807" s="49"/>
      <c r="L807" s="49"/>
      <c r="M807" s="49"/>
      <c r="N807" s="49"/>
      <c r="O807" s="48"/>
      <c r="P807" s="48"/>
      <c r="Q807" s="48"/>
      <c r="R807" s="48"/>
      <c r="S807" s="48"/>
      <c r="T807" s="48"/>
      <c r="U807" s="48"/>
      <c r="V807" s="48"/>
      <c r="W807" s="48"/>
      <c r="X807" s="48"/>
      <c r="Y807" s="48"/>
      <c r="Z807" s="48"/>
    </row>
    <row r="808" ht="15.75" customHeight="1">
      <c r="A808" s="49"/>
      <c r="B808" s="49"/>
      <c r="C808" s="49"/>
      <c r="D808" s="49"/>
      <c r="E808" s="49"/>
      <c r="F808" s="49"/>
      <c r="G808" s="49"/>
      <c r="H808" s="49"/>
      <c r="I808" s="49"/>
      <c r="J808" s="49"/>
      <c r="K808" s="49"/>
      <c r="L808" s="49"/>
      <c r="M808" s="49"/>
      <c r="N808" s="49"/>
      <c r="O808" s="48"/>
      <c r="P808" s="48"/>
      <c r="Q808" s="48"/>
      <c r="R808" s="48"/>
      <c r="S808" s="48"/>
      <c r="T808" s="48"/>
      <c r="U808" s="48"/>
      <c r="V808" s="48"/>
      <c r="W808" s="48"/>
      <c r="X808" s="48"/>
      <c r="Y808" s="48"/>
      <c r="Z808" s="48"/>
    </row>
    <row r="809" ht="15.75" customHeight="1">
      <c r="A809" s="49"/>
      <c r="B809" s="49"/>
      <c r="C809" s="49"/>
      <c r="D809" s="49"/>
      <c r="E809" s="49"/>
      <c r="F809" s="49"/>
      <c r="G809" s="49"/>
      <c r="H809" s="49"/>
      <c r="I809" s="49"/>
      <c r="J809" s="49"/>
      <c r="K809" s="49"/>
      <c r="L809" s="49"/>
      <c r="M809" s="49"/>
      <c r="N809" s="49"/>
      <c r="O809" s="48"/>
      <c r="P809" s="48"/>
      <c r="Q809" s="48"/>
      <c r="R809" s="48"/>
      <c r="S809" s="48"/>
      <c r="T809" s="48"/>
      <c r="U809" s="48"/>
      <c r="V809" s="48"/>
      <c r="W809" s="48"/>
      <c r="X809" s="48"/>
      <c r="Y809" s="48"/>
      <c r="Z809" s="48"/>
    </row>
    <row r="810" ht="15.75" customHeight="1">
      <c r="A810" s="49"/>
      <c r="B810" s="49"/>
      <c r="C810" s="49"/>
      <c r="D810" s="49"/>
      <c r="E810" s="49"/>
      <c r="F810" s="49"/>
      <c r="G810" s="49"/>
      <c r="H810" s="49"/>
      <c r="I810" s="49"/>
      <c r="J810" s="49"/>
      <c r="K810" s="49"/>
      <c r="L810" s="49"/>
      <c r="M810" s="49"/>
      <c r="N810" s="49"/>
      <c r="O810" s="48"/>
      <c r="P810" s="48"/>
      <c r="Q810" s="48"/>
      <c r="R810" s="48"/>
      <c r="S810" s="48"/>
      <c r="T810" s="48"/>
      <c r="U810" s="48"/>
      <c r="V810" s="48"/>
      <c r="W810" s="48"/>
      <c r="X810" s="48"/>
      <c r="Y810" s="48"/>
      <c r="Z810" s="48"/>
    </row>
    <row r="811" ht="15.75" customHeight="1">
      <c r="A811" s="49"/>
      <c r="B811" s="49"/>
      <c r="C811" s="49"/>
      <c r="D811" s="49"/>
      <c r="E811" s="49"/>
      <c r="F811" s="49"/>
      <c r="G811" s="49"/>
      <c r="H811" s="49"/>
      <c r="I811" s="49"/>
      <c r="J811" s="49"/>
      <c r="K811" s="49"/>
      <c r="L811" s="49"/>
      <c r="M811" s="49"/>
      <c r="N811" s="49"/>
      <c r="O811" s="48"/>
      <c r="P811" s="48"/>
      <c r="Q811" s="48"/>
      <c r="R811" s="48"/>
      <c r="S811" s="48"/>
      <c r="T811" s="48"/>
      <c r="U811" s="48"/>
      <c r="V811" s="48"/>
      <c r="W811" s="48"/>
      <c r="X811" s="48"/>
      <c r="Y811" s="48"/>
      <c r="Z811" s="48"/>
    </row>
    <row r="812" ht="15.75" customHeight="1">
      <c r="A812" s="49"/>
      <c r="B812" s="49"/>
      <c r="C812" s="49"/>
      <c r="D812" s="49"/>
      <c r="E812" s="49"/>
      <c r="F812" s="49"/>
      <c r="G812" s="49"/>
      <c r="H812" s="49"/>
      <c r="I812" s="49"/>
      <c r="J812" s="49"/>
      <c r="K812" s="49"/>
      <c r="L812" s="49"/>
      <c r="M812" s="49"/>
      <c r="N812" s="49"/>
      <c r="O812" s="48"/>
      <c r="P812" s="48"/>
      <c r="Q812" s="48"/>
      <c r="R812" s="48"/>
      <c r="S812" s="48"/>
      <c r="T812" s="48"/>
      <c r="U812" s="48"/>
      <c r="V812" s="48"/>
      <c r="W812" s="48"/>
      <c r="X812" s="48"/>
      <c r="Y812" s="48"/>
      <c r="Z812" s="48"/>
    </row>
    <row r="813" ht="15.75" customHeight="1">
      <c r="A813" s="49"/>
      <c r="B813" s="49"/>
      <c r="C813" s="49"/>
      <c r="D813" s="49"/>
      <c r="E813" s="49"/>
      <c r="F813" s="49"/>
      <c r="G813" s="49"/>
      <c r="H813" s="49"/>
      <c r="I813" s="49"/>
      <c r="J813" s="49"/>
      <c r="K813" s="49"/>
      <c r="L813" s="49"/>
      <c r="M813" s="49"/>
      <c r="N813" s="49"/>
      <c r="O813" s="48"/>
      <c r="P813" s="48"/>
      <c r="Q813" s="48"/>
      <c r="R813" s="48"/>
      <c r="S813" s="48"/>
      <c r="T813" s="48"/>
      <c r="U813" s="48"/>
      <c r="V813" s="48"/>
      <c r="W813" s="48"/>
      <c r="X813" s="48"/>
      <c r="Y813" s="48"/>
      <c r="Z813" s="48"/>
    </row>
    <row r="814" ht="15.75" customHeight="1">
      <c r="A814" s="49"/>
      <c r="B814" s="49"/>
      <c r="C814" s="49"/>
      <c r="D814" s="49"/>
      <c r="E814" s="49"/>
      <c r="F814" s="49"/>
      <c r="G814" s="49"/>
      <c r="H814" s="49"/>
      <c r="I814" s="49"/>
      <c r="J814" s="49"/>
      <c r="K814" s="49"/>
      <c r="L814" s="49"/>
      <c r="M814" s="49"/>
      <c r="N814" s="49"/>
      <c r="O814" s="48"/>
      <c r="P814" s="48"/>
      <c r="Q814" s="48"/>
      <c r="R814" s="48"/>
      <c r="S814" s="48"/>
      <c r="T814" s="48"/>
      <c r="U814" s="48"/>
      <c r="V814" s="48"/>
      <c r="W814" s="48"/>
      <c r="X814" s="48"/>
      <c r="Y814" s="48"/>
      <c r="Z814" s="48"/>
    </row>
    <row r="815" ht="15.75" customHeight="1">
      <c r="A815" s="49"/>
      <c r="B815" s="49"/>
      <c r="C815" s="49"/>
      <c r="D815" s="49"/>
      <c r="E815" s="49"/>
      <c r="F815" s="49"/>
      <c r="G815" s="49"/>
      <c r="H815" s="49"/>
      <c r="I815" s="49"/>
      <c r="J815" s="49"/>
      <c r="K815" s="49"/>
      <c r="L815" s="49"/>
      <c r="M815" s="49"/>
      <c r="N815" s="49"/>
      <c r="O815" s="48"/>
      <c r="P815" s="48"/>
      <c r="Q815" s="48"/>
      <c r="R815" s="48"/>
      <c r="S815" s="48"/>
      <c r="T815" s="48"/>
      <c r="U815" s="48"/>
      <c r="V815" s="48"/>
      <c r="W815" s="48"/>
      <c r="X815" s="48"/>
      <c r="Y815" s="48"/>
      <c r="Z815" s="48"/>
    </row>
    <row r="816" ht="15.75" customHeight="1">
      <c r="A816" s="49"/>
      <c r="B816" s="49"/>
      <c r="C816" s="49"/>
      <c r="D816" s="49"/>
      <c r="E816" s="49"/>
      <c r="F816" s="49"/>
      <c r="G816" s="49"/>
      <c r="H816" s="49"/>
      <c r="I816" s="49"/>
      <c r="J816" s="49"/>
      <c r="K816" s="49"/>
      <c r="L816" s="49"/>
      <c r="M816" s="49"/>
      <c r="N816" s="49"/>
      <c r="O816" s="48"/>
      <c r="P816" s="48"/>
      <c r="Q816" s="48"/>
      <c r="R816" s="48"/>
      <c r="S816" s="48"/>
      <c r="T816" s="48"/>
      <c r="U816" s="48"/>
      <c r="V816" s="48"/>
      <c r="W816" s="48"/>
      <c r="X816" s="48"/>
      <c r="Y816" s="48"/>
      <c r="Z816" s="48"/>
    </row>
    <row r="817" ht="15.75" customHeight="1">
      <c r="A817" s="49"/>
      <c r="B817" s="49"/>
      <c r="C817" s="49"/>
      <c r="D817" s="49"/>
      <c r="E817" s="49"/>
      <c r="F817" s="49"/>
      <c r="G817" s="49"/>
      <c r="H817" s="49"/>
      <c r="I817" s="49"/>
      <c r="J817" s="49"/>
      <c r="K817" s="49"/>
      <c r="L817" s="49"/>
      <c r="M817" s="49"/>
      <c r="N817" s="49"/>
      <c r="O817" s="48"/>
      <c r="P817" s="48"/>
      <c r="Q817" s="48"/>
      <c r="R817" s="48"/>
      <c r="S817" s="48"/>
      <c r="T817" s="48"/>
      <c r="U817" s="48"/>
      <c r="V817" s="48"/>
      <c r="W817" s="48"/>
      <c r="X817" s="48"/>
      <c r="Y817" s="48"/>
      <c r="Z817" s="48"/>
    </row>
    <row r="818" ht="15.75" customHeight="1">
      <c r="A818" s="49"/>
      <c r="B818" s="49"/>
      <c r="C818" s="49"/>
      <c r="D818" s="49"/>
      <c r="E818" s="49"/>
      <c r="F818" s="49"/>
      <c r="G818" s="49"/>
      <c r="H818" s="49"/>
      <c r="I818" s="49"/>
      <c r="J818" s="49"/>
      <c r="K818" s="49"/>
      <c r="L818" s="49"/>
      <c r="M818" s="49"/>
      <c r="N818" s="49"/>
      <c r="O818" s="48"/>
      <c r="P818" s="48"/>
      <c r="Q818" s="48"/>
      <c r="R818" s="48"/>
      <c r="S818" s="48"/>
      <c r="T818" s="48"/>
      <c r="U818" s="48"/>
      <c r="V818" s="48"/>
      <c r="W818" s="48"/>
      <c r="X818" s="48"/>
      <c r="Y818" s="48"/>
      <c r="Z818" s="48"/>
    </row>
    <row r="819" ht="15.75" customHeight="1">
      <c r="A819" s="49"/>
      <c r="B819" s="49"/>
      <c r="C819" s="49"/>
      <c r="D819" s="49"/>
      <c r="E819" s="49"/>
      <c r="F819" s="49"/>
      <c r="G819" s="49"/>
      <c r="H819" s="49"/>
      <c r="I819" s="49"/>
      <c r="J819" s="49"/>
      <c r="K819" s="49"/>
      <c r="L819" s="49"/>
      <c r="M819" s="49"/>
      <c r="N819" s="49"/>
      <c r="O819" s="48"/>
      <c r="P819" s="48"/>
      <c r="Q819" s="48"/>
      <c r="R819" s="48"/>
      <c r="S819" s="48"/>
      <c r="T819" s="48"/>
      <c r="U819" s="48"/>
      <c r="V819" s="48"/>
      <c r="W819" s="48"/>
      <c r="X819" s="48"/>
      <c r="Y819" s="48"/>
      <c r="Z819" s="48"/>
    </row>
    <row r="820" ht="15.75" customHeight="1">
      <c r="A820" s="49"/>
      <c r="B820" s="49"/>
      <c r="C820" s="49"/>
      <c r="D820" s="49"/>
      <c r="E820" s="49"/>
      <c r="F820" s="49"/>
      <c r="G820" s="49"/>
      <c r="H820" s="49"/>
      <c r="I820" s="49"/>
      <c r="J820" s="49"/>
      <c r="K820" s="49"/>
      <c r="L820" s="49"/>
      <c r="M820" s="49"/>
      <c r="N820" s="49"/>
      <c r="O820" s="48"/>
      <c r="P820" s="48"/>
      <c r="Q820" s="48"/>
      <c r="R820" s="48"/>
      <c r="S820" s="48"/>
      <c r="T820" s="48"/>
      <c r="U820" s="48"/>
      <c r="V820" s="48"/>
      <c r="W820" s="48"/>
      <c r="X820" s="48"/>
      <c r="Y820" s="48"/>
      <c r="Z820" s="48"/>
    </row>
    <row r="821" ht="15.75" customHeight="1">
      <c r="A821" s="49"/>
      <c r="B821" s="49"/>
      <c r="C821" s="49"/>
      <c r="D821" s="49"/>
      <c r="E821" s="49"/>
      <c r="F821" s="49"/>
      <c r="G821" s="49"/>
      <c r="H821" s="49"/>
      <c r="I821" s="49"/>
      <c r="J821" s="49"/>
      <c r="K821" s="49"/>
      <c r="L821" s="49"/>
      <c r="M821" s="49"/>
      <c r="N821" s="49"/>
      <c r="O821" s="48"/>
      <c r="P821" s="48"/>
      <c r="Q821" s="48"/>
      <c r="R821" s="48"/>
      <c r="S821" s="48"/>
      <c r="T821" s="48"/>
      <c r="U821" s="48"/>
      <c r="V821" s="48"/>
      <c r="W821" s="48"/>
      <c r="X821" s="48"/>
      <c r="Y821" s="48"/>
      <c r="Z821" s="48"/>
    </row>
    <row r="822" ht="15.75" customHeight="1">
      <c r="A822" s="49"/>
      <c r="B822" s="49"/>
      <c r="C822" s="49"/>
      <c r="D822" s="49"/>
      <c r="E822" s="49"/>
      <c r="F822" s="49"/>
      <c r="G822" s="49"/>
      <c r="H822" s="49"/>
      <c r="I822" s="49"/>
      <c r="J822" s="49"/>
      <c r="K822" s="49"/>
      <c r="L822" s="49"/>
      <c r="M822" s="49"/>
      <c r="N822" s="49"/>
      <c r="O822" s="48"/>
      <c r="P822" s="48"/>
      <c r="Q822" s="48"/>
      <c r="R822" s="48"/>
      <c r="S822" s="48"/>
      <c r="T822" s="48"/>
      <c r="U822" s="48"/>
      <c r="V822" s="48"/>
      <c r="W822" s="48"/>
      <c r="X822" s="48"/>
      <c r="Y822" s="48"/>
      <c r="Z822" s="48"/>
    </row>
    <row r="823" ht="15.75" customHeight="1">
      <c r="A823" s="49"/>
      <c r="B823" s="49"/>
      <c r="C823" s="49"/>
      <c r="D823" s="49"/>
      <c r="E823" s="49"/>
      <c r="F823" s="49"/>
      <c r="G823" s="49"/>
      <c r="H823" s="49"/>
      <c r="I823" s="49"/>
      <c r="J823" s="49"/>
      <c r="K823" s="49"/>
      <c r="L823" s="49"/>
      <c r="M823" s="49"/>
      <c r="N823" s="49"/>
      <c r="O823" s="48"/>
      <c r="P823" s="48"/>
      <c r="Q823" s="48"/>
      <c r="R823" s="48"/>
      <c r="S823" s="48"/>
      <c r="T823" s="48"/>
      <c r="U823" s="48"/>
      <c r="V823" s="48"/>
      <c r="W823" s="48"/>
      <c r="X823" s="48"/>
      <c r="Y823" s="48"/>
      <c r="Z823" s="48"/>
    </row>
    <row r="824" ht="15.75" customHeight="1">
      <c r="A824" s="49"/>
      <c r="B824" s="49"/>
      <c r="C824" s="49"/>
      <c r="D824" s="49"/>
      <c r="E824" s="49"/>
      <c r="F824" s="49"/>
      <c r="G824" s="49"/>
      <c r="H824" s="49"/>
      <c r="I824" s="49"/>
      <c r="J824" s="49"/>
      <c r="K824" s="49"/>
      <c r="L824" s="49"/>
      <c r="M824" s="49"/>
      <c r="N824" s="49"/>
      <c r="O824" s="48"/>
      <c r="P824" s="48"/>
      <c r="Q824" s="48"/>
      <c r="R824" s="48"/>
      <c r="S824" s="48"/>
      <c r="T824" s="48"/>
      <c r="U824" s="48"/>
      <c r="V824" s="48"/>
      <c r="W824" s="48"/>
      <c r="X824" s="48"/>
      <c r="Y824" s="48"/>
      <c r="Z824" s="48"/>
    </row>
    <row r="825" ht="15.75" customHeight="1">
      <c r="A825" s="49"/>
      <c r="B825" s="49"/>
      <c r="C825" s="49"/>
      <c r="D825" s="49"/>
      <c r="E825" s="49"/>
      <c r="F825" s="49"/>
      <c r="G825" s="49"/>
      <c r="H825" s="49"/>
      <c r="I825" s="49"/>
      <c r="J825" s="49"/>
      <c r="K825" s="49"/>
      <c r="L825" s="49"/>
      <c r="M825" s="49"/>
      <c r="N825" s="49"/>
      <c r="O825" s="48"/>
      <c r="P825" s="48"/>
      <c r="Q825" s="48"/>
      <c r="R825" s="48"/>
      <c r="S825" s="48"/>
      <c r="T825" s="48"/>
      <c r="U825" s="48"/>
      <c r="V825" s="48"/>
      <c r="W825" s="48"/>
      <c r="X825" s="48"/>
      <c r="Y825" s="48"/>
      <c r="Z825" s="48"/>
    </row>
    <row r="826" ht="15.75" customHeight="1">
      <c r="A826" s="49"/>
      <c r="B826" s="49"/>
      <c r="C826" s="49"/>
      <c r="D826" s="49"/>
      <c r="E826" s="49"/>
      <c r="F826" s="49"/>
      <c r="G826" s="49"/>
      <c r="H826" s="49"/>
      <c r="I826" s="49"/>
      <c r="J826" s="49"/>
      <c r="K826" s="49"/>
      <c r="L826" s="49"/>
      <c r="M826" s="49"/>
      <c r="N826" s="49"/>
      <c r="O826" s="48"/>
      <c r="P826" s="48"/>
      <c r="Q826" s="48"/>
      <c r="R826" s="48"/>
      <c r="S826" s="48"/>
      <c r="T826" s="48"/>
      <c r="U826" s="48"/>
      <c r="V826" s="48"/>
      <c r="W826" s="48"/>
      <c r="X826" s="48"/>
      <c r="Y826" s="48"/>
      <c r="Z826" s="48"/>
    </row>
    <row r="827" ht="15.75" customHeight="1">
      <c r="A827" s="49"/>
      <c r="B827" s="49"/>
      <c r="C827" s="49"/>
      <c r="D827" s="49"/>
      <c r="E827" s="49"/>
      <c r="F827" s="49"/>
      <c r="G827" s="49"/>
      <c r="H827" s="49"/>
      <c r="I827" s="49"/>
      <c r="J827" s="49"/>
      <c r="K827" s="49"/>
      <c r="L827" s="49"/>
      <c r="M827" s="49"/>
      <c r="N827" s="49"/>
      <c r="O827" s="48"/>
      <c r="P827" s="48"/>
      <c r="Q827" s="48"/>
      <c r="R827" s="48"/>
      <c r="S827" s="48"/>
      <c r="T827" s="48"/>
      <c r="U827" s="48"/>
      <c r="V827" s="48"/>
      <c r="W827" s="48"/>
      <c r="X827" s="48"/>
      <c r="Y827" s="48"/>
      <c r="Z827" s="48"/>
    </row>
    <row r="828" ht="15.75" customHeight="1">
      <c r="A828" s="49"/>
      <c r="B828" s="49"/>
      <c r="C828" s="49"/>
      <c r="D828" s="49"/>
      <c r="E828" s="49"/>
      <c r="F828" s="49"/>
      <c r="G828" s="49"/>
      <c r="H828" s="49"/>
      <c r="I828" s="49"/>
      <c r="J828" s="49"/>
      <c r="K828" s="49"/>
      <c r="L828" s="49"/>
      <c r="M828" s="49"/>
      <c r="N828" s="49"/>
      <c r="O828" s="48"/>
      <c r="P828" s="48"/>
      <c r="Q828" s="48"/>
      <c r="R828" s="48"/>
      <c r="S828" s="48"/>
      <c r="T828" s="48"/>
      <c r="U828" s="48"/>
      <c r="V828" s="48"/>
      <c r="W828" s="48"/>
      <c r="X828" s="48"/>
      <c r="Y828" s="48"/>
      <c r="Z828" s="48"/>
    </row>
    <row r="829" ht="15.75" customHeight="1">
      <c r="A829" s="49"/>
      <c r="B829" s="49"/>
      <c r="C829" s="49"/>
      <c r="D829" s="49"/>
      <c r="E829" s="49"/>
      <c r="F829" s="49"/>
      <c r="G829" s="49"/>
      <c r="H829" s="49"/>
      <c r="I829" s="49"/>
      <c r="J829" s="49"/>
      <c r="K829" s="49"/>
      <c r="L829" s="49"/>
      <c r="M829" s="49"/>
      <c r="N829" s="49"/>
      <c r="O829" s="48"/>
      <c r="P829" s="48"/>
      <c r="Q829" s="48"/>
      <c r="R829" s="48"/>
      <c r="S829" s="48"/>
      <c r="T829" s="48"/>
      <c r="U829" s="48"/>
      <c r="V829" s="48"/>
      <c r="W829" s="48"/>
      <c r="X829" s="48"/>
      <c r="Y829" s="48"/>
      <c r="Z829" s="48"/>
    </row>
    <row r="830" ht="15.75" customHeight="1">
      <c r="A830" s="49"/>
      <c r="B830" s="49"/>
      <c r="C830" s="49"/>
      <c r="D830" s="49"/>
      <c r="E830" s="49"/>
      <c r="F830" s="49"/>
      <c r="G830" s="49"/>
      <c r="H830" s="49"/>
      <c r="I830" s="49"/>
      <c r="J830" s="49"/>
      <c r="K830" s="49"/>
      <c r="L830" s="49"/>
      <c r="M830" s="49"/>
      <c r="N830" s="49"/>
      <c r="O830" s="48"/>
      <c r="P830" s="48"/>
      <c r="Q830" s="48"/>
      <c r="R830" s="48"/>
      <c r="S830" s="48"/>
      <c r="T830" s="48"/>
      <c r="U830" s="48"/>
      <c r="V830" s="48"/>
      <c r="W830" s="48"/>
      <c r="X830" s="48"/>
      <c r="Y830" s="48"/>
      <c r="Z830" s="48"/>
    </row>
    <row r="831" ht="15.75" customHeight="1">
      <c r="A831" s="49"/>
      <c r="B831" s="49"/>
      <c r="C831" s="49"/>
      <c r="D831" s="49"/>
      <c r="E831" s="49"/>
      <c r="F831" s="49"/>
      <c r="G831" s="49"/>
      <c r="H831" s="49"/>
      <c r="I831" s="49"/>
      <c r="J831" s="49"/>
      <c r="K831" s="49"/>
      <c r="L831" s="49"/>
      <c r="M831" s="49"/>
      <c r="N831" s="49"/>
      <c r="O831" s="48"/>
      <c r="P831" s="48"/>
      <c r="Q831" s="48"/>
      <c r="R831" s="48"/>
      <c r="S831" s="48"/>
      <c r="T831" s="48"/>
      <c r="U831" s="48"/>
      <c r="V831" s="48"/>
      <c r="W831" s="48"/>
      <c r="X831" s="48"/>
      <c r="Y831" s="48"/>
      <c r="Z831" s="48"/>
    </row>
    <row r="832" ht="15.75" customHeight="1">
      <c r="A832" s="49"/>
      <c r="B832" s="49"/>
      <c r="C832" s="49"/>
      <c r="D832" s="49"/>
      <c r="E832" s="49"/>
      <c r="F832" s="49"/>
      <c r="G832" s="49"/>
      <c r="H832" s="49"/>
      <c r="I832" s="49"/>
      <c r="J832" s="49"/>
      <c r="K832" s="49"/>
      <c r="L832" s="49"/>
      <c r="M832" s="49"/>
      <c r="N832" s="49"/>
      <c r="O832" s="48"/>
      <c r="P832" s="48"/>
      <c r="Q832" s="48"/>
      <c r="R832" s="48"/>
      <c r="S832" s="48"/>
      <c r="T832" s="48"/>
      <c r="U832" s="48"/>
      <c r="V832" s="48"/>
      <c r="W832" s="48"/>
      <c r="X832" s="48"/>
      <c r="Y832" s="48"/>
      <c r="Z832" s="48"/>
    </row>
    <row r="833" ht="15.75" customHeight="1">
      <c r="A833" s="49"/>
      <c r="B833" s="49"/>
      <c r="C833" s="49"/>
      <c r="D833" s="49"/>
      <c r="E833" s="49"/>
      <c r="F833" s="49"/>
      <c r="G833" s="49"/>
      <c r="H833" s="49"/>
      <c r="I833" s="49"/>
      <c r="J833" s="49"/>
      <c r="K833" s="49"/>
      <c r="L833" s="49"/>
      <c r="M833" s="49"/>
      <c r="N833" s="49"/>
      <c r="O833" s="48"/>
      <c r="P833" s="48"/>
      <c r="Q833" s="48"/>
      <c r="R833" s="48"/>
      <c r="S833" s="48"/>
      <c r="T833" s="48"/>
      <c r="U833" s="48"/>
      <c r="V833" s="48"/>
      <c r="W833" s="48"/>
      <c r="X833" s="48"/>
      <c r="Y833" s="48"/>
      <c r="Z833" s="48"/>
    </row>
    <row r="834" ht="15.75" customHeight="1">
      <c r="A834" s="49"/>
      <c r="B834" s="49"/>
      <c r="C834" s="49"/>
      <c r="D834" s="49"/>
      <c r="E834" s="49"/>
      <c r="F834" s="49"/>
      <c r="G834" s="49"/>
      <c r="H834" s="49"/>
      <c r="I834" s="49"/>
      <c r="J834" s="49"/>
      <c r="K834" s="49"/>
      <c r="L834" s="49"/>
      <c r="M834" s="49"/>
      <c r="N834" s="49"/>
      <c r="O834" s="48"/>
      <c r="P834" s="48"/>
      <c r="Q834" s="48"/>
      <c r="R834" s="48"/>
      <c r="S834" s="48"/>
      <c r="T834" s="48"/>
      <c r="U834" s="48"/>
      <c r="V834" s="48"/>
      <c r="W834" s="48"/>
      <c r="X834" s="48"/>
      <c r="Y834" s="48"/>
      <c r="Z834" s="48"/>
    </row>
    <row r="835" ht="15.75" customHeight="1">
      <c r="A835" s="49"/>
      <c r="B835" s="49"/>
      <c r="C835" s="49"/>
      <c r="D835" s="49"/>
      <c r="E835" s="49"/>
      <c r="F835" s="49"/>
      <c r="G835" s="49"/>
      <c r="H835" s="49"/>
      <c r="I835" s="49"/>
      <c r="J835" s="49"/>
      <c r="K835" s="49"/>
      <c r="L835" s="49"/>
      <c r="M835" s="49"/>
      <c r="N835" s="49"/>
      <c r="O835" s="48"/>
      <c r="P835" s="48"/>
      <c r="Q835" s="48"/>
      <c r="R835" s="48"/>
      <c r="S835" s="48"/>
      <c r="T835" s="48"/>
      <c r="U835" s="48"/>
      <c r="V835" s="48"/>
      <c r="W835" s="48"/>
      <c r="X835" s="48"/>
      <c r="Y835" s="48"/>
      <c r="Z835" s="48"/>
    </row>
    <row r="836" ht="15.75" customHeight="1">
      <c r="A836" s="49"/>
      <c r="B836" s="49"/>
      <c r="C836" s="49"/>
      <c r="D836" s="49"/>
      <c r="E836" s="49"/>
      <c r="F836" s="49"/>
      <c r="G836" s="49"/>
      <c r="H836" s="49"/>
      <c r="I836" s="49"/>
      <c r="J836" s="49"/>
      <c r="K836" s="49"/>
      <c r="L836" s="49"/>
      <c r="M836" s="49"/>
      <c r="N836" s="49"/>
      <c r="O836" s="48"/>
      <c r="P836" s="48"/>
      <c r="Q836" s="48"/>
      <c r="R836" s="48"/>
      <c r="S836" s="48"/>
      <c r="T836" s="48"/>
      <c r="U836" s="48"/>
      <c r="V836" s="48"/>
      <c r="W836" s="48"/>
      <c r="X836" s="48"/>
      <c r="Y836" s="48"/>
      <c r="Z836" s="48"/>
    </row>
    <row r="837" ht="15.75" customHeight="1">
      <c r="A837" s="49"/>
      <c r="B837" s="49"/>
      <c r="C837" s="49"/>
      <c r="D837" s="49"/>
      <c r="E837" s="49"/>
      <c r="F837" s="49"/>
      <c r="G837" s="49"/>
      <c r="H837" s="49"/>
      <c r="I837" s="49"/>
      <c r="J837" s="49"/>
      <c r="K837" s="49"/>
      <c r="L837" s="49"/>
      <c r="M837" s="49"/>
      <c r="N837" s="49"/>
      <c r="O837" s="48"/>
      <c r="P837" s="48"/>
      <c r="Q837" s="48"/>
      <c r="R837" s="48"/>
      <c r="S837" s="48"/>
      <c r="T837" s="48"/>
      <c r="U837" s="48"/>
      <c r="V837" s="48"/>
      <c r="W837" s="48"/>
      <c r="X837" s="48"/>
      <c r="Y837" s="48"/>
      <c r="Z837" s="48"/>
    </row>
    <row r="838" ht="15.75" customHeight="1">
      <c r="A838" s="49"/>
      <c r="B838" s="49"/>
      <c r="C838" s="49"/>
      <c r="D838" s="49"/>
      <c r="E838" s="49"/>
      <c r="F838" s="49"/>
      <c r="G838" s="49"/>
      <c r="H838" s="49"/>
      <c r="I838" s="49"/>
      <c r="J838" s="49"/>
      <c r="K838" s="49"/>
      <c r="L838" s="49"/>
      <c r="M838" s="49"/>
      <c r="N838" s="49"/>
      <c r="O838" s="48"/>
      <c r="P838" s="48"/>
      <c r="Q838" s="48"/>
      <c r="R838" s="48"/>
      <c r="S838" s="48"/>
      <c r="T838" s="48"/>
      <c r="U838" s="48"/>
      <c r="V838" s="48"/>
      <c r="W838" s="48"/>
      <c r="X838" s="48"/>
      <c r="Y838" s="48"/>
      <c r="Z838" s="48"/>
    </row>
    <row r="839" ht="15.75" customHeight="1">
      <c r="A839" s="49"/>
      <c r="B839" s="49"/>
      <c r="C839" s="49"/>
      <c r="D839" s="49"/>
      <c r="E839" s="49"/>
      <c r="F839" s="49"/>
      <c r="G839" s="49"/>
      <c r="H839" s="49"/>
      <c r="I839" s="49"/>
      <c r="J839" s="49"/>
      <c r="K839" s="49"/>
      <c r="L839" s="49"/>
      <c r="M839" s="49"/>
      <c r="N839" s="49"/>
      <c r="O839" s="48"/>
      <c r="P839" s="48"/>
      <c r="Q839" s="48"/>
      <c r="R839" s="48"/>
      <c r="S839" s="48"/>
      <c r="T839" s="48"/>
      <c r="U839" s="48"/>
      <c r="V839" s="48"/>
      <c r="W839" s="48"/>
      <c r="X839" s="48"/>
      <c r="Y839" s="48"/>
      <c r="Z839" s="48"/>
    </row>
    <row r="840" ht="15.75" customHeight="1">
      <c r="A840" s="49"/>
      <c r="B840" s="49"/>
      <c r="C840" s="49"/>
      <c r="D840" s="49"/>
      <c r="E840" s="49"/>
      <c r="F840" s="49"/>
      <c r="G840" s="49"/>
      <c r="H840" s="49"/>
      <c r="I840" s="49"/>
      <c r="J840" s="49"/>
      <c r="K840" s="49"/>
      <c r="L840" s="49"/>
      <c r="M840" s="49"/>
      <c r="N840" s="49"/>
      <c r="O840" s="48"/>
      <c r="P840" s="48"/>
      <c r="Q840" s="48"/>
      <c r="R840" s="48"/>
      <c r="S840" s="48"/>
      <c r="T840" s="48"/>
      <c r="U840" s="48"/>
      <c r="V840" s="48"/>
      <c r="W840" s="48"/>
      <c r="X840" s="48"/>
      <c r="Y840" s="48"/>
      <c r="Z840" s="48"/>
    </row>
    <row r="841" ht="15.75" customHeight="1">
      <c r="A841" s="49"/>
      <c r="B841" s="49"/>
      <c r="C841" s="49"/>
      <c r="D841" s="49"/>
      <c r="E841" s="49"/>
      <c r="F841" s="49"/>
      <c r="G841" s="49"/>
      <c r="H841" s="49"/>
      <c r="I841" s="49"/>
      <c r="J841" s="49"/>
      <c r="K841" s="49"/>
      <c r="L841" s="49"/>
      <c r="M841" s="49"/>
      <c r="N841" s="49"/>
      <c r="O841" s="48"/>
      <c r="P841" s="48"/>
      <c r="Q841" s="48"/>
      <c r="R841" s="48"/>
      <c r="S841" s="48"/>
      <c r="T841" s="48"/>
      <c r="U841" s="48"/>
      <c r="V841" s="48"/>
      <c r="W841" s="48"/>
      <c r="X841" s="48"/>
      <c r="Y841" s="48"/>
      <c r="Z841" s="48"/>
    </row>
    <row r="842" ht="15.75" customHeight="1">
      <c r="A842" s="49"/>
      <c r="B842" s="49"/>
      <c r="C842" s="49"/>
      <c r="D842" s="49"/>
      <c r="E842" s="49"/>
      <c r="F842" s="49"/>
      <c r="G842" s="49"/>
      <c r="H842" s="49"/>
      <c r="I842" s="49"/>
      <c r="J842" s="49"/>
      <c r="K842" s="49"/>
      <c r="L842" s="49"/>
      <c r="M842" s="49"/>
      <c r="N842" s="49"/>
      <c r="O842" s="48"/>
      <c r="P842" s="48"/>
      <c r="Q842" s="48"/>
      <c r="R842" s="48"/>
      <c r="S842" s="48"/>
      <c r="T842" s="48"/>
      <c r="U842" s="48"/>
      <c r="V842" s="48"/>
      <c r="W842" s="48"/>
      <c r="X842" s="48"/>
      <c r="Y842" s="48"/>
      <c r="Z842" s="48"/>
    </row>
    <row r="843" ht="15.75" customHeight="1">
      <c r="A843" s="49"/>
      <c r="B843" s="49"/>
      <c r="C843" s="49"/>
      <c r="D843" s="49"/>
      <c r="E843" s="49"/>
      <c r="F843" s="49"/>
      <c r="G843" s="49"/>
      <c r="H843" s="49"/>
      <c r="I843" s="49"/>
      <c r="J843" s="49"/>
      <c r="K843" s="49"/>
      <c r="L843" s="49"/>
      <c r="M843" s="49"/>
      <c r="N843" s="49"/>
      <c r="O843" s="48"/>
      <c r="P843" s="48"/>
      <c r="Q843" s="48"/>
      <c r="R843" s="48"/>
      <c r="S843" s="48"/>
      <c r="T843" s="48"/>
      <c r="U843" s="48"/>
      <c r="V843" s="48"/>
      <c r="W843" s="48"/>
      <c r="X843" s="48"/>
      <c r="Y843" s="48"/>
      <c r="Z843" s="48"/>
    </row>
    <row r="844" ht="15.75" customHeight="1">
      <c r="A844" s="49"/>
      <c r="B844" s="49"/>
      <c r="C844" s="49"/>
      <c r="D844" s="49"/>
      <c r="E844" s="49"/>
      <c r="F844" s="49"/>
      <c r="G844" s="49"/>
      <c r="H844" s="49"/>
      <c r="I844" s="49"/>
      <c r="J844" s="49"/>
      <c r="K844" s="49"/>
      <c r="L844" s="49"/>
      <c r="M844" s="49"/>
      <c r="N844" s="49"/>
      <c r="O844" s="48"/>
      <c r="P844" s="48"/>
      <c r="Q844" s="48"/>
      <c r="R844" s="48"/>
      <c r="S844" s="48"/>
      <c r="T844" s="48"/>
      <c r="U844" s="48"/>
      <c r="V844" s="48"/>
      <c r="W844" s="48"/>
      <c r="X844" s="48"/>
      <c r="Y844" s="48"/>
      <c r="Z844" s="48"/>
    </row>
    <row r="845" ht="15.75" customHeight="1">
      <c r="A845" s="49"/>
      <c r="B845" s="49"/>
      <c r="C845" s="49"/>
      <c r="D845" s="49"/>
      <c r="E845" s="49"/>
      <c r="F845" s="49"/>
      <c r="G845" s="49"/>
      <c r="H845" s="49"/>
      <c r="I845" s="49"/>
      <c r="J845" s="49"/>
      <c r="K845" s="49"/>
      <c r="L845" s="49"/>
      <c r="M845" s="49"/>
      <c r="N845" s="49"/>
      <c r="O845" s="48"/>
      <c r="P845" s="48"/>
      <c r="Q845" s="48"/>
      <c r="R845" s="48"/>
      <c r="S845" s="48"/>
      <c r="T845" s="48"/>
      <c r="U845" s="48"/>
      <c r="V845" s="48"/>
      <c r="W845" s="48"/>
      <c r="X845" s="48"/>
      <c r="Y845" s="48"/>
      <c r="Z845" s="48"/>
    </row>
    <row r="846" ht="15.75" customHeight="1">
      <c r="A846" s="49"/>
      <c r="B846" s="49"/>
      <c r="C846" s="49"/>
      <c r="D846" s="49"/>
      <c r="E846" s="49"/>
      <c r="F846" s="49"/>
      <c r="G846" s="49"/>
      <c r="H846" s="49"/>
      <c r="I846" s="49"/>
      <c r="J846" s="49"/>
      <c r="K846" s="49"/>
      <c r="L846" s="49"/>
      <c r="M846" s="49"/>
      <c r="N846" s="49"/>
      <c r="O846" s="48"/>
      <c r="P846" s="48"/>
      <c r="Q846" s="48"/>
      <c r="R846" s="48"/>
      <c r="S846" s="48"/>
      <c r="T846" s="48"/>
      <c r="U846" s="48"/>
      <c r="V846" s="48"/>
      <c r="W846" s="48"/>
      <c r="X846" s="48"/>
      <c r="Y846" s="48"/>
      <c r="Z846" s="48"/>
    </row>
    <row r="847" ht="15.75" customHeight="1">
      <c r="A847" s="49"/>
      <c r="B847" s="49"/>
      <c r="C847" s="49"/>
      <c r="D847" s="49"/>
      <c r="E847" s="49"/>
      <c r="F847" s="49"/>
      <c r="G847" s="49"/>
      <c r="H847" s="49"/>
      <c r="I847" s="49"/>
      <c r="J847" s="49"/>
      <c r="K847" s="49"/>
      <c r="L847" s="49"/>
      <c r="M847" s="49"/>
      <c r="N847" s="49"/>
      <c r="O847" s="48"/>
      <c r="P847" s="48"/>
      <c r="Q847" s="48"/>
      <c r="R847" s="48"/>
      <c r="S847" s="48"/>
      <c r="T847" s="48"/>
      <c r="U847" s="48"/>
      <c r="V847" s="48"/>
      <c r="W847" s="48"/>
      <c r="X847" s="48"/>
      <c r="Y847" s="48"/>
      <c r="Z847" s="48"/>
    </row>
    <row r="848" ht="15.75" customHeight="1">
      <c r="A848" s="49"/>
      <c r="B848" s="49"/>
      <c r="C848" s="49"/>
      <c r="D848" s="49"/>
      <c r="E848" s="49"/>
      <c r="F848" s="49"/>
      <c r="G848" s="49"/>
      <c r="H848" s="49"/>
      <c r="I848" s="49"/>
      <c r="J848" s="49"/>
      <c r="K848" s="49"/>
      <c r="L848" s="49"/>
      <c r="M848" s="49"/>
      <c r="N848" s="49"/>
      <c r="O848" s="48"/>
      <c r="P848" s="48"/>
      <c r="Q848" s="48"/>
      <c r="R848" s="48"/>
      <c r="S848" s="48"/>
      <c r="T848" s="48"/>
      <c r="U848" s="48"/>
      <c r="V848" s="48"/>
      <c r="W848" s="48"/>
      <c r="X848" s="48"/>
      <c r="Y848" s="48"/>
      <c r="Z848" s="48"/>
    </row>
    <row r="849" ht="15.75" customHeight="1">
      <c r="A849" s="49"/>
      <c r="B849" s="49"/>
      <c r="C849" s="49"/>
      <c r="D849" s="49"/>
      <c r="E849" s="49"/>
      <c r="F849" s="49"/>
      <c r="G849" s="49"/>
      <c r="H849" s="49"/>
      <c r="I849" s="49"/>
      <c r="J849" s="49"/>
      <c r="K849" s="49"/>
      <c r="L849" s="49"/>
      <c r="M849" s="49"/>
      <c r="N849" s="49"/>
      <c r="O849" s="48"/>
      <c r="P849" s="48"/>
      <c r="Q849" s="48"/>
      <c r="R849" s="48"/>
      <c r="S849" s="48"/>
      <c r="T849" s="48"/>
      <c r="U849" s="48"/>
      <c r="V849" s="48"/>
      <c r="W849" s="48"/>
      <c r="X849" s="48"/>
      <c r="Y849" s="48"/>
      <c r="Z849" s="48"/>
    </row>
    <row r="850" ht="15.75" customHeight="1">
      <c r="A850" s="49"/>
      <c r="B850" s="49"/>
      <c r="C850" s="49"/>
      <c r="D850" s="49"/>
      <c r="E850" s="49"/>
      <c r="F850" s="49"/>
      <c r="G850" s="49"/>
      <c r="H850" s="49"/>
      <c r="I850" s="49"/>
      <c r="J850" s="49"/>
      <c r="K850" s="49"/>
      <c r="L850" s="49"/>
      <c r="M850" s="49"/>
      <c r="N850" s="49"/>
      <c r="O850" s="48"/>
      <c r="P850" s="48"/>
      <c r="Q850" s="48"/>
      <c r="R850" s="48"/>
      <c r="S850" s="48"/>
      <c r="T850" s="48"/>
      <c r="U850" s="48"/>
      <c r="V850" s="48"/>
      <c r="W850" s="48"/>
      <c r="X850" s="48"/>
      <c r="Y850" s="48"/>
      <c r="Z850" s="48"/>
    </row>
    <row r="851" ht="15.75" customHeight="1">
      <c r="A851" s="49"/>
      <c r="B851" s="49"/>
      <c r="C851" s="49"/>
      <c r="D851" s="49"/>
      <c r="E851" s="49"/>
      <c r="F851" s="49"/>
      <c r="G851" s="49"/>
      <c r="H851" s="49"/>
      <c r="I851" s="49"/>
      <c r="J851" s="49"/>
      <c r="K851" s="49"/>
      <c r="L851" s="49"/>
      <c r="M851" s="49"/>
      <c r="N851" s="49"/>
      <c r="O851" s="48"/>
      <c r="P851" s="48"/>
      <c r="Q851" s="48"/>
      <c r="R851" s="48"/>
      <c r="S851" s="48"/>
      <c r="T851" s="48"/>
      <c r="U851" s="48"/>
      <c r="V851" s="48"/>
      <c r="W851" s="48"/>
      <c r="X851" s="48"/>
      <c r="Y851" s="48"/>
      <c r="Z851" s="48"/>
    </row>
    <row r="852" ht="15.75" customHeight="1">
      <c r="A852" s="49"/>
      <c r="B852" s="49"/>
      <c r="C852" s="49"/>
      <c r="D852" s="49"/>
      <c r="E852" s="49"/>
      <c r="F852" s="49"/>
      <c r="G852" s="49"/>
      <c r="H852" s="49"/>
      <c r="I852" s="49"/>
      <c r="J852" s="49"/>
      <c r="K852" s="49"/>
      <c r="L852" s="49"/>
      <c r="M852" s="49"/>
      <c r="N852" s="49"/>
      <c r="O852" s="48"/>
      <c r="P852" s="48"/>
      <c r="Q852" s="48"/>
      <c r="R852" s="48"/>
      <c r="S852" s="48"/>
      <c r="T852" s="48"/>
      <c r="U852" s="48"/>
      <c r="V852" s="48"/>
      <c r="W852" s="48"/>
      <c r="X852" s="48"/>
      <c r="Y852" s="48"/>
      <c r="Z852" s="48"/>
    </row>
    <row r="853" ht="15.75" customHeight="1">
      <c r="A853" s="49"/>
      <c r="B853" s="49"/>
      <c r="C853" s="49"/>
      <c r="D853" s="49"/>
      <c r="E853" s="49"/>
      <c r="F853" s="49"/>
      <c r="G853" s="49"/>
      <c r="H853" s="49"/>
      <c r="I853" s="49"/>
      <c r="J853" s="49"/>
      <c r="K853" s="49"/>
      <c r="L853" s="49"/>
      <c r="M853" s="49"/>
      <c r="N853" s="49"/>
      <c r="O853" s="48"/>
      <c r="P853" s="48"/>
      <c r="Q853" s="48"/>
      <c r="R853" s="48"/>
      <c r="S853" s="48"/>
      <c r="T853" s="48"/>
      <c r="U853" s="48"/>
      <c r="V853" s="48"/>
      <c r="W853" s="48"/>
      <c r="X853" s="48"/>
      <c r="Y853" s="48"/>
      <c r="Z853" s="48"/>
    </row>
    <row r="854" ht="15.75" customHeight="1">
      <c r="A854" s="49"/>
      <c r="B854" s="49"/>
      <c r="C854" s="49"/>
      <c r="D854" s="49"/>
      <c r="E854" s="49"/>
      <c r="F854" s="49"/>
      <c r="G854" s="49"/>
      <c r="H854" s="49"/>
      <c r="I854" s="49"/>
      <c r="J854" s="49"/>
      <c r="K854" s="49"/>
      <c r="L854" s="49"/>
      <c r="M854" s="49"/>
      <c r="N854" s="49"/>
      <c r="O854" s="48"/>
      <c r="P854" s="48"/>
      <c r="Q854" s="48"/>
      <c r="R854" s="48"/>
      <c r="S854" s="48"/>
      <c r="T854" s="48"/>
      <c r="U854" s="48"/>
      <c r="V854" s="48"/>
      <c r="W854" s="48"/>
      <c r="X854" s="48"/>
      <c r="Y854" s="48"/>
      <c r="Z854" s="48"/>
    </row>
    <row r="855" ht="15.75" customHeight="1">
      <c r="A855" s="49"/>
      <c r="B855" s="49"/>
      <c r="C855" s="49"/>
      <c r="D855" s="49"/>
      <c r="E855" s="49"/>
      <c r="F855" s="49"/>
      <c r="G855" s="49"/>
      <c r="H855" s="49"/>
      <c r="I855" s="49"/>
      <c r="J855" s="49"/>
      <c r="K855" s="49"/>
      <c r="L855" s="49"/>
      <c r="M855" s="49"/>
      <c r="N855" s="49"/>
      <c r="O855" s="48"/>
      <c r="P855" s="48"/>
      <c r="Q855" s="48"/>
      <c r="R855" s="48"/>
      <c r="S855" s="48"/>
      <c r="T855" s="48"/>
      <c r="U855" s="48"/>
      <c r="V855" s="48"/>
      <c r="W855" s="48"/>
      <c r="X855" s="48"/>
      <c r="Y855" s="48"/>
      <c r="Z855" s="48"/>
    </row>
    <row r="856" ht="15.75" customHeight="1">
      <c r="A856" s="49"/>
      <c r="B856" s="49"/>
      <c r="C856" s="49"/>
      <c r="D856" s="49"/>
      <c r="E856" s="49"/>
      <c r="F856" s="49"/>
      <c r="G856" s="49"/>
      <c r="H856" s="49"/>
      <c r="I856" s="49"/>
      <c r="J856" s="49"/>
      <c r="K856" s="49"/>
      <c r="L856" s="49"/>
      <c r="M856" s="49"/>
      <c r="N856" s="49"/>
      <c r="O856" s="48"/>
      <c r="P856" s="48"/>
      <c r="Q856" s="48"/>
      <c r="R856" s="48"/>
      <c r="S856" s="48"/>
      <c r="T856" s="48"/>
      <c r="U856" s="48"/>
      <c r="V856" s="48"/>
      <c r="W856" s="48"/>
      <c r="X856" s="48"/>
      <c r="Y856" s="48"/>
      <c r="Z856" s="48"/>
    </row>
    <row r="857" ht="15.75" customHeight="1">
      <c r="A857" s="49"/>
      <c r="B857" s="49"/>
      <c r="C857" s="49"/>
      <c r="D857" s="49"/>
      <c r="E857" s="49"/>
      <c r="F857" s="49"/>
      <c r="G857" s="49"/>
      <c r="H857" s="49"/>
      <c r="I857" s="49"/>
      <c r="J857" s="49"/>
      <c r="K857" s="49"/>
      <c r="L857" s="49"/>
      <c r="M857" s="49"/>
      <c r="N857" s="49"/>
      <c r="O857" s="48"/>
      <c r="P857" s="48"/>
      <c r="Q857" s="48"/>
      <c r="R857" s="48"/>
      <c r="S857" s="48"/>
      <c r="T857" s="48"/>
      <c r="U857" s="48"/>
      <c r="V857" s="48"/>
      <c r="W857" s="48"/>
      <c r="X857" s="48"/>
      <c r="Y857" s="48"/>
      <c r="Z857" s="48"/>
    </row>
    <row r="858" ht="15.75" customHeight="1">
      <c r="A858" s="49"/>
      <c r="B858" s="49"/>
      <c r="C858" s="49"/>
      <c r="D858" s="49"/>
      <c r="E858" s="49"/>
      <c r="F858" s="49"/>
      <c r="G858" s="49"/>
      <c r="H858" s="49"/>
      <c r="I858" s="49"/>
      <c r="J858" s="49"/>
      <c r="K858" s="49"/>
      <c r="L858" s="49"/>
      <c r="M858" s="49"/>
      <c r="N858" s="49"/>
      <c r="O858" s="48"/>
      <c r="P858" s="48"/>
      <c r="Q858" s="48"/>
      <c r="R858" s="48"/>
      <c r="S858" s="48"/>
      <c r="T858" s="48"/>
      <c r="U858" s="48"/>
      <c r="V858" s="48"/>
      <c r="W858" s="48"/>
      <c r="X858" s="48"/>
      <c r="Y858" s="48"/>
      <c r="Z858" s="48"/>
    </row>
    <row r="859" ht="15.75" customHeight="1">
      <c r="A859" s="49"/>
      <c r="B859" s="49"/>
      <c r="C859" s="49"/>
      <c r="D859" s="49"/>
      <c r="E859" s="49"/>
      <c r="F859" s="49"/>
      <c r="G859" s="49"/>
      <c r="H859" s="49"/>
      <c r="I859" s="49"/>
      <c r="J859" s="49"/>
      <c r="K859" s="49"/>
      <c r="L859" s="49"/>
      <c r="M859" s="49"/>
      <c r="N859" s="49"/>
      <c r="O859" s="48"/>
      <c r="P859" s="48"/>
      <c r="Q859" s="48"/>
      <c r="R859" s="48"/>
      <c r="S859" s="48"/>
      <c r="T859" s="48"/>
      <c r="U859" s="48"/>
      <c r="V859" s="48"/>
      <c r="W859" s="48"/>
      <c r="X859" s="48"/>
      <c r="Y859" s="48"/>
      <c r="Z859" s="48"/>
    </row>
    <row r="860" ht="15.75" customHeight="1">
      <c r="A860" s="49"/>
      <c r="B860" s="49"/>
      <c r="C860" s="49"/>
      <c r="D860" s="49"/>
      <c r="E860" s="49"/>
      <c r="F860" s="49"/>
      <c r="G860" s="49"/>
      <c r="H860" s="49"/>
      <c r="I860" s="49"/>
      <c r="J860" s="49"/>
      <c r="K860" s="49"/>
      <c r="L860" s="49"/>
      <c r="M860" s="49"/>
      <c r="N860" s="49"/>
      <c r="O860" s="48"/>
      <c r="P860" s="48"/>
      <c r="Q860" s="48"/>
      <c r="R860" s="48"/>
      <c r="S860" s="48"/>
      <c r="T860" s="48"/>
      <c r="U860" s="48"/>
      <c r="V860" s="48"/>
      <c r="W860" s="48"/>
      <c r="X860" s="48"/>
      <c r="Y860" s="48"/>
      <c r="Z860" s="48"/>
    </row>
    <row r="861" ht="15.75" customHeight="1">
      <c r="A861" s="49"/>
      <c r="B861" s="49"/>
      <c r="C861" s="49"/>
      <c r="D861" s="49"/>
      <c r="E861" s="49"/>
      <c r="F861" s="49"/>
      <c r="G861" s="49"/>
      <c r="H861" s="49"/>
      <c r="I861" s="49"/>
      <c r="J861" s="49"/>
      <c r="K861" s="49"/>
      <c r="L861" s="49"/>
      <c r="M861" s="49"/>
      <c r="N861" s="49"/>
      <c r="O861" s="48"/>
      <c r="P861" s="48"/>
      <c r="Q861" s="48"/>
      <c r="R861" s="48"/>
      <c r="S861" s="48"/>
      <c r="T861" s="48"/>
      <c r="U861" s="48"/>
      <c r="V861" s="48"/>
      <c r="W861" s="48"/>
      <c r="X861" s="48"/>
      <c r="Y861" s="48"/>
      <c r="Z861" s="48"/>
    </row>
    <row r="862" ht="15.75" customHeight="1">
      <c r="A862" s="49"/>
      <c r="B862" s="49"/>
      <c r="C862" s="49"/>
      <c r="D862" s="49"/>
      <c r="E862" s="49"/>
      <c r="F862" s="49"/>
      <c r="G862" s="49"/>
      <c r="H862" s="49"/>
      <c r="I862" s="49"/>
      <c r="J862" s="49"/>
      <c r="K862" s="49"/>
      <c r="L862" s="49"/>
      <c r="M862" s="49"/>
      <c r="N862" s="49"/>
      <c r="O862" s="48"/>
      <c r="P862" s="48"/>
      <c r="Q862" s="48"/>
      <c r="R862" s="48"/>
      <c r="S862" s="48"/>
      <c r="T862" s="48"/>
      <c r="U862" s="48"/>
      <c r="V862" s="48"/>
      <c r="W862" s="48"/>
      <c r="X862" s="48"/>
      <c r="Y862" s="48"/>
      <c r="Z862" s="48"/>
    </row>
    <row r="863" ht="15.75" customHeight="1">
      <c r="A863" s="49"/>
      <c r="B863" s="49"/>
      <c r="C863" s="49"/>
      <c r="D863" s="49"/>
      <c r="E863" s="49"/>
      <c r="F863" s="49"/>
      <c r="G863" s="49"/>
      <c r="H863" s="49"/>
      <c r="I863" s="49"/>
      <c r="J863" s="49"/>
      <c r="K863" s="49"/>
      <c r="L863" s="49"/>
      <c r="M863" s="49"/>
      <c r="N863" s="49"/>
      <c r="O863" s="48"/>
      <c r="P863" s="48"/>
      <c r="Q863" s="48"/>
      <c r="R863" s="48"/>
      <c r="S863" s="48"/>
      <c r="T863" s="48"/>
      <c r="U863" s="48"/>
      <c r="V863" s="48"/>
      <c r="W863" s="48"/>
      <c r="X863" s="48"/>
      <c r="Y863" s="48"/>
      <c r="Z863" s="48"/>
    </row>
    <row r="864" ht="15.75" customHeight="1">
      <c r="A864" s="49"/>
      <c r="B864" s="49"/>
      <c r="C864" s="49"/>
      <c r="D864" s="49"/>
      <c r="E864" s="49"/>
      <c r="F864" s="49"/>
      <c r="G864" s="49"/>
      <c r="H864" s="49"/>
      <c r="I864" s="49"/>
      <c r="J864" s="49"/>
      <c r="K864" s="49"/>
      <c r="L864" s="49"/>
      <c r="M864" s="49"/>
      <c r="N864" s="49"/>
      <c r="O864" s="48"/>
      <c r="P864" s="48"/>
      <c r="Q864" s="48"/>
      <c r="R864" s="48"/>
      <c r="S864" s="48"/>
      <c r="T864" s="48"/>
      <c r="U864" s="48"/>
      <c r="V864" s="48"/>
      <c r="W864" s="48"/>
      <c r="X864" s="48"/>
      <c r="Y864" s="48"/>
      <c r="Z864" s="48"/>
    </row>
    <row r="865" ht="15.75" customHeight="1">
      <c r="A865" s="49"/>
      <c r="B865" s="49"/>
      <c r="C865" s="49"/>
      <c r="D865" s="49"/>
      <c r="E865" s="49"/>
      <c r="F865" s="49"/>
      <c r="G865" s="49"/>
      <c r="H865" s="49"/>
      <c r="I865" s="49"/>
      <c r="J865" s="49"/>
      <c r="K865" s="49"/>
      <c r="L865" s="49"/>
      <c r="M865" s="49"/>
      <c r="N865" s="49"/>
      <c r="O865" s="48"/>
      <c r="P865" s="48"/>
      <c r="Q865" s="48"/>
      <c r="R865" s="48"/>
      <c r="S865" s="48"/>
      <c r="T865" s="48"/>
      <c r="U865" s="48"/>
      <c r="V865" s="48"/>
      <c r="W865" s="48"/>
      <c r="X865" s="48"/>
      <c r="Y865" s="48"/>
      <c r="Z865" s="48"/>
    </row>
    <row r="866" ht="15.75" customHeight="1">
      <c r="A866" s="49"/>
      <c r="B866" s="49"/>
      <c r="C866" s="49"/>
      <c r="D866" s="49"/>
      <c r="E866" s="49"/>
      <c r="F866" s="49"/>
      <c r="G866" s="49"/>
      <c r="H866" s="49"/>
      <c r="I866" s="49"/>
      <c r="J866" s="49"/>
      <c r="K866" s="49"/>
      <c r="L866" s="49"/>
      <c r="M866" s="49"/>
      <c r="N866" s="49"/>
      <c r="O866" s="48"/>
      <c r="P866" s="48"/>
      <c r="Q866" s="48"/>
      <c r="R866" s="48"/>
      <c r="S866" s="48"/>
      <c r="T866" s="48"/>
      <c r="U866" s="48"/>
      <c r="V866" s="48"/>
      <c r="W866" s="48"/>
      <c r="X866" s="48"/>
      <c r="Y866" s="48"/>
      <c r="Z866" s="48"/>
    </row>
    <row r="867" ht="15.75" customHeight="1">
      <c r="A867" s="49"/>
      <c r="B867" s="49"/>
      <c r="C867" s="49"/>
      <c r="D867" s="49"/>
      <c r="E867" s="49"/>
      <c r="F867" s="49"/>
      <c r="G867" s="49"/>
      <c r="H867" s="49"/>
      <c r="I867" s="49"/>
      <c r="J867" s="49"/>
      <c r="K867" s="49"/>
      <c r="L867" s="49"/>
      <c r="M867" s="49"/>
      <c r="N867" s="49"/>
      <c r="O867" s="48"/>
      <c r="P867" s="48"/>
      <c r="Q867" s="48"/>
      <c r="R867" s="48"/>
      <c r="S867" s="48"/>
      <c r="T867" s="48"/>
      <c r="U867" s="48"/>
      <c r="V867" s="48"/>
      <c r="W867" s="48"/>
      <c r="X867" s="48"/>
      <c r="Y867" s="48"/>
      <c r="Z867" s="48"/>
    </row>
    <row r="868" ht="15.75" customHeight="1">
      <c r="A868" s="49"/>
      <c r="B868" s="49"/>
      <c r="C868" s="49"/>
      <c r="D868" s="49"/>
      <c r="E868" s="49"/>
      <c r="F868" s="49"/>
      <c r="G868" s="49"/>
      <c r="H868" s="49"/>
      <c r="I868" s="49"/>
      <c r="J868" s="49"/>
      <c r="K868" s="49"/>
      <c r="L868" s="49"/>
      <c r="M868" s="49"/>
      <c r="N868" s="49"/>
      <c r="O868" s="48"/>
      <c r="P868" s="48"/>
      <c r="Q868" s="48"/>
      <c r="R868" s="48"/>
      <c r="S868" s="48"/>
      <c r="T868" s="48"/>
      <c r="U868" s="48"/>
      <c r="V868" s="48"/>
      <c r="W868" s="48"/>
      <c r="X868" s="48"/>
      <c r="Y868" s="48"/>
      <c r="Z868" s="48"/>
    </row>
    <row r="869" ht="15.75" customHeight="1">
      <c r="A869" s="49"/>
      <c r="B869" s="49"/>
      <c r="C869" s="49"/>
      <c r="D869" s="49"/>
      <c r="E869" s="49"/>
      <c r="F869" s="49"/>
      <c r="G869" s="49"/>
      <c r="H869" s="49"/>
      <c r="I869" s="49"/>
      <c r="J869" s="49"/>
      <c r="K869" s="49"/>
      <c r="L869" s="49"/>
      <c r="M869" s="49"/>
      <c r="N869" s="49"/>
      <c r="O869" s="48"/>
      <c r="P869" s="48"/>
      <c r="Q869" s="48"/>
      <c r="R869" s="48"/>
      <c r="S869" s="48"/>
      <c r="T869" s="48"/>
      <c r="U869" s="48"/>
      <c r="V869" s="48"/>
      <c r="W869" s="48"/>
      <c r="X869" s="48"/>
      <c r="Y869" s="48"/>
      <c r="Z869" s="48"/>
    </row>
    <row r="870" ht="15.75" customHeight="1">
      <c r="A870" s="49"/>
      <c r="B870" s="49"/>
      <c r="C870" s="49"/>
      <c r="D870" s="49"/>
      <c r="E870" s="49"/>
      <c r="F870" s="49"/>
      <c r="G870" s="49"/>
      <c r="H870" s="49"/>
      <c r="I870" s="49"/>
      <c r="J870" s="49"/>
      <c r="K870" s="49"/>
      <c r="L870" s="49"/>
      <c r="M870" s="49"/>
      <c r="N870" s="49"/>
      <c r="O870" s="48"/>
      <c r="P870" s="48"/>
      <c r="Q870" s="48"/>
      <c r="R870" s="48"/>
      <c r="S870" s="48"/>
      <c r="T870" s="48"/>
      <c r="U870" s="48"/>
      <c r="V870" s="48"/>
      <c r="W870" s="48"/>
      <c r="X870" s="48"/>
      <c r="Y870" s="48"/>
      <c r="Z870" s="48"/>
    </row>
    <row r="871" ht="15.75" customHeight="1">
      <c r="A871" s="49"/>
      <c r="B871" s="49"/>
      <c r="C871" s="49"/>
      <c r="D871" s="49"/>
      <c r="E871" s="49"/>
      <c r="F871" s="49"/>
      <c r="G871" s="49"/>
      <c r="H871" s="49"/>
      <c r="I871" s="49"/>
      <c r="J871" s="49"/>
      <c r="K871" s="49"/>
      <c r="L871" s="49"/>
      <c r="M871" s="49"/>
      <c r="N871" s="49"/>
      <c r="O871" s="48"/>
      <c r="P871" s="48"/>
      <c r="Q871" s="48"/>
      <c r="R871" s="48"/>
      <c r="S871" s="48"/>
      <c r="T871" s="48"/>
      <c r="U871" s="48"/>
      <c r="V871" s="48"/>
      <c r="W871" s="48"/>
      <c r="X871" s="48"/>
      <c r="Y871" s="48"/>
      <c r="Z871" s="48"/>
    </row>
    <row r="872" ht="15.75" customHeight="1">
      <c r="A872" s="49"/>
      <c r="B872" s="49"/>
      <c r="C872" s="49"/>
      <c r="D872" s="49"/>
      <c r="E872" s="49"/>
      <c r="F872" s="49"/>
      <c r="G872" s="49"/>
      <c r="H872" s="49"/>
      <c r="I872" s="49"/>
      <c r="J872" s="49"/>
      <c r="K872" s="49"/>
      <c r="L872" s="49"/>
      <c r="M872" s="49"/>
      <c r="N872" s="49"/>
      <c r="O872" s="48"/>
      <c r="P872" s="48"/>
      <c r="Q872" s="48"/>
      <c r="R872" s="48"/>
      <c r="S872" s="48"/>
      <c r="T872" s="48"/>
      <c r="U872" s="48"/>
      <c r="V872" s="48"/>
      <c r="W872" s="48"/>
      <c r="X872" s="48"/>
      <c r="Y872" s="48"/>
      <c r="Z872" s="48"/>
    </row>
    <row r="873" ht="15.75" customHeight="1">
      <c r="A873" s="49"/>
      <c r="B873" s="49"/>
      <c r="C873" s="49"/>
      <c r="D873" s="49"/>
      <c r="E873" s="49"/>
      <c r="F873" s="49"/>
      <c r="G873" s="49"/>
      <c r="H873" s="49"/>
      <c r="I873" s="49"/>
      <c r="J873" s="49"/>
      <c r="K873" s="49"/>
      <c r="L873" s="49"/>
      <c r="M873" s="49"/>
      <c r="N873" s="49"/>
      <c r="O873" s="48"/>
      <c r="P873" s="48"/>
      <c r="Q873" s="48"/>
      <c r="R873" s="48"/>
      <c r="S873" s="48"/>
      <c r="T873" s="48"/>
      <c r="U873" s="48"/>
      <c r="V873" s="48"/>
      <c r="W873" s="48"/>
      <c r="X873" s="48"/>
      <c r="Y873" s="48"/>
      <c r="Z873" s="48"/>
    </row>
    <row r="874" ht="15.75" customHeight="1">
      <c r="A874" s="49"/>
      <c r="B874" s="49"/>
      <c r="C874" s="49"/>
      <c r="D874" s="49"/>
      <c r="E874" s="49"/>
      <c r="F874" s="49"/>
      <c r="G874" s="49"/>
      <c r="H874" s="49"/>
      <c r="I874" s="49"/>
      <c r="J874" s="49"/>
      <c r="K874" s="49"/>
      <c r="L874" s="49"/>
      <c r="M874" s="49"/>
      <c r="N874" s="49"/>
      <c r="O874" s="48"/>
      <c r="P874" s="48"/>
      <c r="Q874" s="48"/>
      <c r="R874" s="48"/>
      <c r="S874" s="48"/>
      <c r="T874" s="48"/>
      <c r="U874" s="48"/>
      <c r="V874" s="48"/>
      <c r="W874" s="48"/>
      <c r="X874" s="48"/>
      <c r="Y874" s="48"/>
      <c r="Z874" s="48"/>
    </row>
    <row r="875" ht="15.75" customHeight="1">
      <c r="A875" s="49"/>
      <c r="B875" s="49"/>
      <c r="C875" s="49"/>
      <c r="D875" s="49"/>
      <c r="E875" s="49"/>
      <c r="F875" s="49"/>
      <c r="G875" s="49"/>
      <c r="H875" s="49"/>
      <c r="I875" s="49"/>
      <c r="J875" s="49"/>
      <c r="K875" s="49"/>
      <c r="L875" s="49"/>
      <c r="M875" s="49"/>
      <c r="N875" s="49"/>
      <c r="O875" s="48"/>
      <c r="P875" s="48"/>
      <c r="Q875" s="48"/>
      <c r="R875" s="48"/>
      <c r="S875" s="48"/>
      <c r="T875" s="48"/>
      <c r="U875" s="48"/>
      <c r="V875" s="48"/>
      <c r="W875" s="48"/>
      <c r="X875" s="48"/>
      <c r="Y875" s="48"/>
      <c r="Z875" s="48"/>
    </row>
    <row r="876" ht="15.75" customHeight="1">
      <c r="A876" s="49"/>
      <c r="B876" s="49"/>
      <c r="C876" s="49"/>
      <c r="D876" s="49"/>
      <c r="E876" s="49"/>
      <c r="F876" s="49"/>
      <c r="G876" s="49"/>
      <c r="H876" s="49"/>
      <c r="I876" s="49"/>
      <c r="J876" s="49"/>
      <c r="K876" s="49"/>
      <c r="L876" s="49"/>
      <c r="M876" s="49"/>
      <c r="N876" s="49"/>
      <c r="O876" s="48"/>
      <c r="P876" s="48"/>
      <c r="Q876" s="48"/>
      <c r="R876" s="48"/>
      <c r="S876" s="48"/>
      <c r="T876" s="48"/>
      <c r="U876" s="48"/>
      <c r="V876" s="48"/>
      <c r="W876" s="48"/>
      <c r="X876" s="48"/>
      <c r="Y876" s="48"/>
      <c r="Z876" s="48"/>
    </row>
    <row r="877" ht="15.75" customHeight="1">
      <c r="A877" s="49"/>
      <c r="B877" s="49"/>
      <c r="C877" s="49"/>
      <c r="D877" s="49"/>
      <c r="E877" s="49"/>
      <c r="F877" s="49"/>
      <c r="G877" s="49"/>
      <c r="H877" s="49"/>
      <c r="I877" s="49"/>
      <c r="J877" s="49"/>
      <c r="K877" s="49"/>
      <c r="L877" s="49"/>
      <c r="M877" s="49"/>
      <c r="N877" s="49"/>
      <c r="O877" s="48"/>
      <c r="P877" s="48"/>
      <c r="Q877" s="48"/>
      <c r="R877" s="48"/>
      <c r="S877" s="48"/>
      <c r="T877" s="48"/>
      <c r="U877" s="48"/>
      <c r="V877" s="48"/>
      <c r="W877" s="48"/>
      <c r="X877" s="48"/>
      <c r="Y877" s="48"/>
      <c r="Z877" s="48"/>
    </row>
    <row r="878" ht="15.75" customHeight="1">
      <c r="A878" s="49"/>
      <c r="B878" s="49"/>
      <c r="C878" s="49"/>
      <c r="D878" s="49"/>
      <c r="E878" s="49"/>
      <c r="F878" s="49"/>
      <c r="G878" s="49"/>
      <c r="H878" s="49"/>
      <c r="I878" s="49"/>
      <c r="J878" s="49"/>
      <c r="K878" s="49"/>
      <c r="L878" s="49"/>
      <c r="M878" s="49"/>
      <c r="N878" s="49"/>
      <c r="O878" s="48"/>
      <c r="P878" s="48"/>
      <c r="Q878" s="48"/>
      <c r="R878" s="48"/>
      <c r="S878" s="48"/>
      <c r="T878" s="48"/>
      <c r="U878" s="48"/>
      <c r="V878" s="48"/>
      <c r="W878" s="48"/>
      <c r="X878" s="48"/>
      <c r="Y878" s="48"/>
      <c r="Z878" s="48"/>
    </row>
    <row r="879" ht="15.75" customHeight="1">
      <c r="A879" s="49"/>
      <c r="B879" s="49"/>
      <c r="C879" s="49"/>
      <c r="D879" s="49"/>
      <c r="E879" s="49"/>
      <c r="F879" s="49"/>
      <c r="G879" s="49"/>
      <c r="H879" s="49"/>
      <c r="I879" s="49"/>
      <c r="J879" s="49"/>
      <c r="K879" s="49"/>
      <c r="L879" s="49"/>
      <c r="M879" s="49"/>
      <c r="N879" s="49"/>
      <c r="O879" s="48"/>
      <c r="P879" s="48"/>
      <c r="Q879" s="48"/>
      <c r="R879" s="48"/>
      <c r="S879" s="48"/>
      <c r="T879" s="48"/>
      <c r="U879" s="48"/>
      <c r="V879" s="48"/>
      <c r="W879" s="48"/>
      <c r="X879" s="48"/>
      <c r="Y879" s="48"/>
      <c r="Z879" s="48"/>
    </row>
    <row r="880" ht="15.75" customHeight="1">
      <c r="A880" s="49"/>
      <c r="B880" s="49"/>
      <c r="C880" s="49"/>
      <c r="D880" s="49"/>
      <c r="E880" s="49"/>
      <c r="F880" s="49"/>
      <c r="G880" s="49"/>
      <c r="H880" s="49"/>
      <c r="I880" s="49"/>
      <c r="J880" s="49"/>
      <c r="K880" s="49"/>
      <c r="L880" s="49"/>
      <c r="M880" s="49"/>
      <c r="N880" s="49"/>
      <c r="O880" s="48"/>
      <c r="P880" s="48"/>
      <c r="Q880" s="48"/>
      <c r="R880" s="48"/>
      <c r="S880" s="48"/>
      <c r="T880" s="48"/>
      <c r="U880" s="48"/>
      <c r="V880" s="48"/>
      <c r="W880" s="48"/>
      <c r="X880" s="48"/>
      <c r="Y880" s="48"/>
      <c r="Z880" s="48"/>
    </row>
    <row r="881" ht="15.75" customHeight="1">
      <c r="A881" s="49"/>
      <c r="B881" s="49"/>
      <c r="C881" s="49"/>
      <c r="D881" s="49"/>
      <c r="E881" s="49"/>
      <c r="F881" s="49"/>
      <c r="G881" s="49"/>
      <c r="H881" s="49"/>
      <c r="I881" s="49"/>
      <c r="J881" s="49"/>
      <c r="K881" s="49"/>
      <c r="L881" s="49"/>
      <c r="M881" s="49"/>
      <c r="N881" s="49"/>
      <c r="O881" s="48"/>
      <c r="P881" s="48"/>
      <c r="Q881" s="48"/>
      <c r="R881" s="48"/>
      <c r="S881" s="48"/>
      <c r="T881" s="48"/>
      <c r="U881" s="48"/>
      <c r="V881" s="48"/>
      <c r="W881" s="48"/>
      <c r="X881" s="48"/>
      <c r="Y881" s="48"/>
      <c r="Z881" s="48"/>
    </row>
    <row r="882" ht="15.75" customHeight="1">
      <c r="A882" s="49"/>
      <c r="B882" s="49"/>
      <c r="C882" s="49"/>
      <c r="D882" s="49"/>
      <c r="E882" s="49"/>
      <c r="F882" s="49"/>
      <c r="G882" s="49"/>
      <c r="H882" s="49"/>
      <c r="I882" s="49"/>
      <c r="J882" s="49"/>
      <c r="K882" s="49"/>
      <c r="L882" s="49"/>
      <c r="M882" s="49"/>
      <c r="N882" s="49"/>
      <c r="O882" s="48"/>
      <c r="P882" s="48"/>
      <c r="Q882" s="48"/>
      <c r="R882" s="48"/>
      <c r="S882" s="48"/>
      <c r="T882" s="48"/>
      <c r="U882" s="48"/>
      <c r="V882" s="48"/>
      <c r="W882" s="48"/>
      <c r="X882" s="48"/>
      <c r="Y882" s="48"/>
      <c r="Z882" s="48"/>
    </row>
    <row r="883" ht="15.75" customHeight="1">
      <c r="A883" s="49"/>
      <c r="B883" s="49"/>
      <c r="C883" s="49"/>
      <c r="D883" s="49"/>
      <c r="E883" s="49"/>
      <c r="F883" s="49"/>
      <c r="G883" s="49"/>
      <c r="H883" s="49"/>
      <c r="I883" s="49"/>
      <c r="J883" s="49"/>
      <c r="K883" s="49"/>
      <c r="L883" s="49"/>
      <c r="M883" s="49"/>
      <c r="N883" s="49"/>
      <c r="O883" s="48"/>
      <c r="P883" s="48"/>
      <c r="Q883" s="48"/>
      <c r="R883" s="48"/>
      <c r="S883" s="48"/>
      <c r="T883" s="48"/>
      <c r="U883" s="48"/>
      <c r="V883" s="48"/>
      <c r="W883" s="48"/>
      <c r="X883" s="48"/>
      <c r="Y883" s="48"/>
      <c r="Z883" s="48"/>
    </row>
    <row r="884" ht="15.75" customHeight="1">
      <c r="A884" s="49"/>
      <c r="B884" s="49"/>
      <c r="C884" s="49"/>
      <c r="D884" s="49"/>
      <c r="E884" s="49"/>
      <c r="F884" s="49"/>
      <c r="G884" s="49"/>
      <c r="H884" s="49"/>
      <c r="I884" s="49"/>
      <c r="J884" s="49"/>
      <c r="K884" s="49"/>
      <c r="L884" s="49"/>
      <c r="M884" s="49"/>
      <c r="N884" s="49"/>
      <c r="O884" s="48"/>
      <c r="P884" s="48"/>
      <c r="Q884" s="48"/>
      <c r="R884" s="48"/>
      <c r="S884" s="48"/>
      <c r="T884" s="48"/>
      <c r="U884" s="48"/>
      <c r="V884" s="48"/>
      <c r="W884" s="48"/>
      <c r="X884" s="48"/>
      <c r="Y884" s="48"/>
      <c r="Z884" s="48"/>
    </row>
    <row r="885" ht="15.75" customHeight="1">
      <c r="A885" s="49"/>
      <c r="B885" s="49"/>
      <c r="C885" s="49"/>
      <c r="D885" s="49"/>
      <c r="E885" s="49"/>
      <c r="F885" s="49"/>
      <c r="G885" s="49"/>
      <c r="H885" s="49"/>
      <c r="I885" s="49"/>
      <c r="J885" s="49"/>
      <c r="K885" s="49"/>
      <c r="L885" s="49"/>
      <c r="M885" s="49"/>
      <c r="N885" s="49"/>
      <c r="O885" s="48"/>
      <c r="P885" s="48"/>
      <c r="Q885" s="48"/>
      <c r="R885" s="48"/>
      <c r="S885" s="48"/>
      <c r="T885" s="48"/>
      <c r="U885" s="48"/>
      <c r="V885" s="48"/>
      <c r="W885" s="48"/>
      <c r="X885" s="48"/>
      <c r="Y885" s="48"/>
      <c r="Z885" s="48"/>
    </row>
    <row r="886" ht="15.75" customHeight="1">
      <c r="A886" s="49"/>
      <c r="B886" s="49"/>
      <c r="C886" s="49"/>
      <c r="D886" s="49"/>
      <c r="E886" s="49"/>
      <c r="F886" s="49"/>
      <c r="G886" s="49"/>
      <c r="H886" s="49"/>
      <c r="I886" s="49"/>
      <c r="J886" s="49"/>
      <c r="K886" s="49"/>
      <c r="L886" s="49"/>
      <c r="M886" s="49"/>
      <c r="N886" s="49"/>
      <c r="O886" s="48"/>
      <c r="P886" s="48"/>
      <c r="Q886" s="48"/>
      <c r="R886" s="48"/>
      <c r="S886" s="48"/>
      <c r="T886" s="48"/>
      <c r="U886" s="48"/>
      <c r="V886" s="48"/>
      <c r="W886" s="48"/>
      <c r="X886" s="48"/>
      <c r="Y886" s="48"/>
      <c r="Z886" s="48"/>
    </row>
    <row r="887" ht="15.75" customHeight="1">
      <c r="A887" s="49"/>
      <c r="B887" s="49"/>
      <c r="C887" s="49"/>
      <c r="D887" s="49"/>
      <c r="E887" s="49"/>
      <c r="F887" s="49"/>
      <c r="G887" s="49"/>
      <c r="H887" s="49"/>
      <c r="I887" s="49"/>
      <c r="J887" s="49"/>
      <c r="K887" s="49"/>
      <c r="L887" s="49"/>
      <c r="M887" s="49"/>
      <c r="N887" s="49"/>
      <c r="O887" s="48"/>
      <c r="P887" s="48"/>
      <c r="Q887" s="48"/>
      <c r="R887" s="48"/>
      <c r="S887" s="48"/>
      <c r="T887" s="48"/>
      <c r="U887" s="48"/>
      <c r="V887" s="48"/>
      <c r="W887" s="48"/>
      <c r="X887" s="48"/>
      <c r="Y887" s="48"/>
      <c r="Z887" s="48"/>
    </row>
    <row r="888" ht="15.75" customHeight="1">
      <c r="A888" s="49"/>
      <c r="B888" s="49"/>
      <c r="C888" s="49"/>
      <c r="D888" s="49"/>
      <c r="E888" s="49"/>
      <c r="F888" s="49"/>
      <c r="G888" s="49"/>
      <c r="H888" s="49"/>
      <c r="I888" s="49"/>
      <c r="J888" s="49"/>
      <c r="K888" s="49"/>
      <c r="L888" s="49"/>
      <c r="M888" s="49"/>
      <c r="N888" s="49"/>
      <c r="O888" s="48"/>
      <c r="P888" s="48"/>
      <c r="Q888" s="48"/>
      <c r="R888" s="48"/>
      <c r="S888" s="48"/>
      <c r="T888" s="48"/>
      <c r="U888" s="48"/>
      <c r="V888" s="48"/>
      <c r="W888" s="48"/>
      <c r="X888" s="48"/>
      <c r="Y888" s="48"/>
      <c r="Z888" s="48"/>
    </row>
    <row r="889" ht="15.75" customHeight="1">
      <c r="A889" s="49"/>
      <c r="B889" s="49"/>
      <c r="C889" s="49"/>
      <c r="D889" s="49"/>
      <c r="E889" s="49"/>
      <c r="F889" s="49"/>
      <c r="G889" s="49"/>
      <c r="H889" s="49"/>
      <c r="I889" s="49"/>
      <c r="J889" s="49"/>
      <c r="K889" s="49"/>
      <c r="L889" s="49"/>
      <c r="M889" s="49"/>
      <c r="N889" s="49"/>
      <c r="O889" s="48"/>
      <c r="P889" s="48"/>
      <c r="Q889" s="48"/>
      <c r="R889" s="48"/>
      <c r="S889" s="48"/>
      <c r="T889" s="48"/>
      <c r="U889" s="48"/>
      <c r="V889" s="48"/>
      <c r="W889" s="48"/>
      <c r="X889" s="48"/>
      <c r="Y889" s="48"/>
      <c r="Z889" s="48"/>
    </row>
    <row r="890" ht="15.75" customHeight="1">
      <c r="A890" s="49"/>
      <c r="B890" s="49"/>
      <c r="C890" s="49"/>
      <c r="D890" s="49"/>
      <c r="E890" s="49"/>
      <c r="F890" s="49"/>
      <c r="G890" s="49"/>
      <c r="H890" s="49"/>
      <c r="I890" s="49"/>
      <c r="J890" s="49"/>
      <c r="K890" s="49"/>
      <c r="L890" s="49"/>
      <c r="M890" s="49"/>
      <c r="N890" s="49"/>
      <c r="O890" s="48"/>
      <c r="P890" s="48"/>
      <c r="Q890" s="48"/>
      <c r="R890" s="48"/>
      <c r="S890" s="48"/>
      <c r="T890" s="48"/>
      <c r="U890" s="48"/>
      <c r="V890" s="48"/>
      <c r="W890" s="48"/>
      <c r="X890" s="48"/>
      <c r="Y890" s="48"/>
      <c r="Z890" s="48"/>
    </row>
    <row r="891" ht="15.75" customHeight="1">
      <c r="A891" s="49"/>
      <c r="B891" s="49"/>
      <c r="C891" s="49"/>
      <c r="D891" s="49"/>
      <c r="E891" s="49"/>
      <c r="F891" s="49"/>
      <c r="G891" s="49"/>
      <c r="H891" s="49"/>
      <c r="I891" s="49"/>
      <c r="J891" s="49"/>
      <c r="K891" s="49"/>
      <c r="L891" s="49"/>
      <c r="M891" s="49"/>
      <c r="N891" s="49"/>
      <c r="O891" s="48"/>
      <c r="P891" s="48"/>
      <c r="Q891" s="48"/>
      <c r="R891" s="48"/>
      <c r="S891" s="48"/>
      <c r="T891" s="48"/>
      <c r="U891" s="48"/>
      <c r="V891" s="48"/>
      <c r="W891" s="48"/>
      <c r="X891" s="48"/>
      <c r="Y891" s="48"/>
      <c r="Z891" s="48"/>
    </row>
    <row r="892" ht="15.75" customHeight="1">
      <c r="A892" s="49"/>
      <c r="B892" s="49"/>
      <c r="C892" s="49"/>
      <c r="D892" s="49"/>
      <c r="E892" s="49"/>
      <c r="F892" s="49"/>
      <c r="G892" s="49"/>
      <c r="H892" s="49"/>
      <c r="I892" s="49"/>
      <c r="J892" s="49"/>
      <c r="K892" s="49"/>
      <c r="L892" s="49"/>
      <c r="M892" s="49"/>
      <c r="N892" s="49"/>
      <c r="O892" s="48"/>
      <c r="P892" s="48"/>
      <c r="Q892" s="48"/>
      <c r="R892" s="48"/>
      <c r="S892" s="48"/>
      <c r="T892" s="48"/>
      <c r="U892" s="48"/>
      <c r="V892" s="48"/>
      <c r="W892" s="48"/>
      <c r="X892" s="48"/>
      <c r="Y892" s="48"/>
      <c r="Z892" s="48"/>
    </row>
    <row r="893" ht="15.75" customHeight="1">
      <c r="A893" s="49"/>
      <c r="B893" s="49"/>
      <c r="C893" s="49"/>
      <c r="D893" s="49"/>
      <c r="E893" s="49"/>
      <c r="F893" s="49"/>
      <c r="G893" s="49"/>
      <c r="H893" s="49"/>
      <c r="I893" s="49"/>
      <c r="J893" s="49"/>
      <c r="K893" s="49"/>
      <c r="L893" s="49"/>
      <c r="M893" s="49"/>
      <c r="N893" s="49"/>
      <c r="O893" s="48"/>
      <c r="P893" s="48"/>
      <c r="Q893" s="48"/>
      <c r="R893" s="48"/>
      <c r="S893" s="48"/>
      <c r="T893" s="48"/>
      <c r="U893" s="48"/>
      <c r="V893" s="48"/>
      <c r="W893" s="48"/>
      <c r="X893" s="48"/>
      <c r="Y893" s="48"/>
      <c r="Z893" s="48"/>
    </row>
    <row r="894" ht="15.75" customHeight="1">
      <c r="A894" s="49"/>
      <c r="B894" s="49"/>
      <c r="C894" s="49"/>
      <c r="D894" s="49"/>
      <c r="E894" s="49"/>
      <c r="F894" s="49"/>
      <c r="G894" s="49"/>
      <c r="H894" s="49"/>
      <c r="I894" s="49"/>
      <c r="J894" s="49"/>
      <c r="K894" s="49"/>
      <c r="L894" s="49"/>
      <c r="M894" s="49"/>
      <c r="N894" s="49"/>
      <c r="O894" s="48"/>
      <c r="P894" s="48"/>
      <c r="Q894" s="48"/>
      <c r="R894" s="48"/>
      <c r="S894" s="48"/>
      <c r="T894" s="48"/>
      <c r="U894" s="48"/>
      <c r="V894" s="48"/>
      <c r="W894" s="48"/>
      <c r="X894" s="48"/>
      <c r="Y894" s="48"/>
      <c r="Z894" s="48"/>
    </row>
    <row r="895" ht="15.75" customHeight="1">
      <c r="A895" s="49"/>
      <c r="B895" s="49"/>
      <c r="C895" s="49"/>
      <c r="D895" s="49"/>
      <c r="E895" s="49"/>
      <c r="F895" s="49"/>
      <c r="G895" s="49"/>
      <c r="H895" s="49"/>
      <c r="I895" s="49"/>
      <c r="J895" s="49"/>
      <c r="K895" s="49"/>
      <c r="L895" s="49"/>
      <c r="M895" s="49"/>
      <c r="N895" s="49"/>
      <c r="O895" s="48"/>
      <c r="P895" s="48"/>
      <c r="Q895" s="48"/>
      <c r="R895" s="48"/>
      <c r="S895" s="48"/>
      <c r="T895" s="48"/>
      <c r="U895" s="48"/>
      <c r="V895" s="48"/>
      <c r="W895" s="48"/>
      <c r="X895" s="48"/>
      <c r="Y895" s="48"/>
      <c r="Z895" s="48"/>
    </row>
    <row r="896" ht="15.75" customHeight="1">
      <c r="A896" s="49"/>
      <c r="B896" s="49"/>
      <c r="C896" s="49"/>
      <c r="D896" s="49"/>
      <c r="E896" s="49"/>
      <c r="F896" s="49"/>
      <c r="G896" s="49"/>
      <c r="H896" s="49"/>
      <c r="I896" s="49"/>
      <c r="J896" s="49"/>
      <c r="K896" s="49"/>
      <c r="L896" s="49"/>
      <c r="M896" s="49"/>
      <c r="N896" s="49"/>
      <c r="O896" s="48"/>
      <c r="P896" s="48"/>
      <c r="Q896" s="48"/>
      <c r="R896" s="48"/>
      <c r="S896" s="48"/>
      <c r="T896" s="48"/>
      <c r="U896" s="48"/>
      <c r="V896" s="48"/>
      <c r="W896" s="48"/>
      <c r="X896" s="48"/>
      <c r="Y896" s="48"/>
      <c r="Z896" s="48"/>
    </row>
    <row r="897" ht="15.75" customHeight="1">
      <c r="A897" s="49"/>
      <c r="B897" s="49"/>
      <c r="C897" s="49"/>
      <c r="D897" s="49"/>
      <c r="E897" s="49"/>
      <c r="F897" s="49"/>
      <c r="G897" s="49"/>
      <c r="H897" s="49"/>
      <c r="I897" s="49"/>
      <c r="J897" s="49"/>
      <c r="K897" s="49"/>
      <c r="L897" s="49"/>
      <c r="M897" s="49"/>
      <c r="N897" s="49"/>
      <c r="O897" s="48"/>
      <c r="P897" s="48"/>
      <c r="Q897" s="48"/>
      <c r="R897" s="48"/>
      <c r="S897" s="48"/>
      <c r="T897" s="48"/>
      <c r="U897" s="48"/>
      <c r="V897" s="48"/>
      <c r="W897" s="48"/>
      <c r="X897" s="48"/>
      <c r="Y897" s="48"/>
      <c r="Z897" s="48"/>
    </row>
    <row r="898" ht="15.75" customHeight="1">
      <c r="A898" s="49"/>
      <c r="B898" s="49"/>
      <c r="C898" s="49"/>
      <c r="D898" s="49"/>
      <c r="E898" s="49"/>
      <c r="F898" s="49"/>
      <c r="G898" s="49"/>
      <c r="H898" s="49"/>
      <c r="I898" s="49"/>
      <c r="J898" s="49"/>
      <c r="K898" s="49"/>
      <c r="L898" s="49"/>
      <c r="M898" s="49"/>
      <c r="N898" s="49"/>
      <c r="O898" s="48"/>
      <c r="P898" s="48"/>
      <c r="Q898" s="48"/>
      <c r="R898" s="48"/>
      <c r="S898" s="48"/>
      <c r="T898" s="48"/>
      <c r="U898" s="48"/>
      <c r="V898" s="48"/>
      <c r="W898" s="48"/>
      <c r="X898" s="48"/>
      <c r="Y898" s="48"/>
      <c r="Z898" s="48"/>
    </row>
    <row r="899" ht="15.75" customHeight="1">
      <c r="A899" s="49"/>
      <c r="B899" s="49"/>
      <c r="C899" s="49"/>
      <c r="D899" s="49"/>
      <c r="E899" s="49"/>
      <c r="F899" s="49"/>
      <c r="G899" s="49"/>
      <c r="H899" s="49"/>
      <c r="I899" s="49"/>
      <c r="J899" s="49"/>
      <c r="K899" s="49"/>
      <c r="L899" s="49"/>
      <c r="M899" s="49"/>
      <c r="N899" s="49"/>
      <c r="O899" s="48"/>
      <c r="P899" s="48"/>
      <c r="Q899" s="48"/>
      <c r="R899" s="48"/>
      <c r="S899" s="48"/>
      <c r="T899" s="48"/>
      <c r="U899" s="48"/>
      <c r="V899" s="48"/>
      <c r="W899" s="48"/>
      <c r="X899" s="48"/>
      <c r="Y899" s="48"/>
      <c r="Z899" s="48"/>
    </row>
    <row r="900" ht="15.75" customHeight="1">
      <c r="A900" s="49"/>
      <c r="B900" s="49"/>
      <c r="C900" s="49"/>
      <c r="D900" s="49"/>
      <c r="E900" s="49"/>
      <c r="F900" s="49"/>
      <c r="G900" s="49"/>
      <c r="H900" s="49"/>
      <c r="I900" s="49"/>
      <c r="J900" s="49"/>
      <c r="K900" s="49"/>
      <c r="L900" s="49"/>
      <c r="M900" s="49"/>
      <c r="N900" s="49"/>
      <c r="O900" s="48"/>
      <c r="P900" s="48"/>
      <c r="Q900" s="48"/>
      <c r="R900" s="48"/>
      <c r="S900" s="48"/>
      <c r="T900" s="48"/>
      <c r="U900" s="48"/>
      <c r="V900" s="48"/>
      <c r="W900" s="48"/>
      <c r="X900" s="48"/>
      <c r="Y900" s="48"/>
      <c r="Z900" s="48"/>
    </row>
    <row r="901" ht="15.75" customHeight="1">
      <c r="A901" s="49"/>
      <c r="B901" s="49"/>
      <c r="C901" s="49"/>
      <c r="D901" s="49"/>
      <c r="E901" s="49"/>
      <c r="F901" s="49"/>
      <c r="G901" s="49"/>
      <c r="H901" s="49"/>
      <c r="I901" s="49"/>
      <c r="J901" s="49"/>
      <c r="K901" s="49"/>
      <c r="L901" s="49"/>
      <c r="M901" s="49"/>
      <c r="N901" s="49"/>
      <c r="O901" s="48"/>
      <c r="P901" s="48"/>
      <c r="Q901" s="48"/>
      <c r="R901" s="48"/>
      <c r="S901" s="48"/>
      <c r="T901" s="48"/>
      <c r="U901" s="48"/>
      <c r="V901" s="48"/>
      <c r="W901" s="48"/>
      <c r="X901" s="48"/>
      <c r="Y901" s="48"/>
      <c r="Z901" s="48"/>
    </row>
    <row r="902" ht="15.75" customHeight="1">
      <c r="A902" s="49"/>
      <c r="B902" s="49"/>
      <c r="C902" s="49"/>
      <c r="D902" s="49"/>
      <c r="E902" s="49"/>
      <c r="F902" s="49"/>
      <c r="G902" s="49"/>
      <c r="H902" s="49"/>
      <c r="I902" s="49"/>
      <c r="J902" s="49"/>
      <c r="K902" s="49"/>
      <c r="L902" s="49"/>
      <c r="M902" s="49"/>
      <c r="N902" s="49"/>
      <c r="O902" s="48"/>
      <c r="P902" s="48"/>
      <c r="Q902" s="48"/>
      <c r="R902" s="48"/>
      <c r="S902" s="48"/>
      <c r="T902" s="48"/>
      <c r="U902" s="48"/>
      <c r="V902" s="48"/>
      <c r="W902" s="48"/>
      <c r="X902" s="48"/>
      <c r="Y902" s="48"/>
      <c r="Z902" s="48"/>
    </row>
    <row r="903" ht="15.75" customHeight="1">
      <c r="A903" s="49"/>
      <c r="B903" s="49"/>
      <c r="C903" s="49"/>
      <c r="D903" s="49"/>
      <c r="E903" s="49"/>
      <c r="F903" s="49"/>
      <c r="G903" s="49"/>
      <c r="H903" s="49"/>
      <c r="I903" s="49"/>
      <c r="J903" s="49"/>
      <c r="K903" s="49"/>
      <c r="L903" s="49"/>
      <c r="M903" s="49"/>
      <c r="N903" s="49"/>
      <c r="O903" s="48"/>
      <c r="P903" s="48"/>
      <c r="Q903" s="48"/>
      <c r="R903" s="48"/>
      <c r="S903" s="48"/>
      <c r="T903" s="48"/>
      <c r="U903" s="48"/>
      <c r="V903" s="48"/>
      <c r="W903" s="48"/>
      <c r="X903" s="48"/>
      <c r="Y903" s="48"/>
      <c r="Z903" s="48"/>
    </row>
    <row r="904" ht="15.75" customHeight="1">
      <c r="A904" s="49"/>
      <c r="B904" s="49"/>
      <c r="C904" s="49"/>
      <c r="D904" s="49"/>
      <c r="E904" s="49"/>
      <c r="F904" s="49"/>
      <c r="G904" s="49"/>
      <c r="H904" s="49"/>
      <c r="I904" s="49"/>
      <c r="J904" s="49"/>
      <c r="K904" s="49"/>
      <c r="L904" s="49"/>
      <c r="M904" s="49"/>
      <c r="N904" s="49"/>
      <c r="O904" s="48"/>
      <c r="P904" s="48"/>
      <c r="Q904" s="48"/>
      <c r="R904" s="48"/>
      <c r="S904" s="48"/>
      <c r="T904" s="48"/>
      <c r="U904" s="48"/>
      <c r="V904" s="48"/>
      <c r="W904" s="48"/>
      <c r="X904" s="48"/>
      <c r="Y904" s="48"/>
      <c r="Z904" s="48"/>
    </row>
    <row r="905" ht="15.75" customHeight="1">
      <c r="A905" s="49"/>
      <c r="B905" s="49"/>
      <c r="C905" s="49"/>
      <c r="D905" s="49"/>
      <c r="E905" s="49"/>
      <c r="F905" s="49"/>
      <c r="G905" s="49"/>
      <c r="H905" s="49"/>
      <c r="I905" s="49"/>
      <c r="J905" s="49"/>
      <c r="K905" s="49"/>
      <c r="L905" s="49"/>
      <c r="M905" s="49"/>
      <c r="N905" s="49"/>
      <c r="O905" s="48"/>
      <c r="P905" s="48"/>
      <c r="Q905" s="48"/>
      <c r="R905" s="48"/>
      <c r="S905" s="48"/>
      <c r="T905" s="48"/>
      <c r="U905" s="48"/>
      <c r="V905" s="48"/>
      <c r="W905" s="48"/>
      <c r="X905" s="48"/>
      <c r="Y905" s="48"/>
      <c r="Z905" s="48"/>
    </row>
    <row r="906" ht="15.75" customHeight="1">
      <c r="A906" s="49"/>
      <c r="B906" s="49"/>
      <c r="C906" s="49"/>
      <c r="D906" s="49"/>
      <c r="E906" s="49"/>
      <c r="F906" s="49"/>
      <c r="G906" s="49"/>
      <c r="H906" s="49"/>
      <c r="I906" s="49"/>
      <c r="J906" s="49"/>
      <c r="K906" s="49"/>
      <c r="L906" s="49"/>
      <c r="M906" s="49"/>
      <c r="N906" s="49"/>
      <c r="O906" s="48"/>
      <c r="P906" s="48"/>
      <c r="Q906" s="48"/>
      <c r="R906" s="48"/>
      <c r="S906" s="48"/>
      <c r="T906" s="48"/>
      <c r="U906" s="48"/>
      <c r="V906" s="48"/>
      <c r="W906" s="48"/>
      <c r="X906" s="48"/>
      <c r="Y906" s="48"/>
      <c r="Z906" s="48"/>
    </row>
    <row r="907" ht="15.75" customHeight="1">
      <c r="A907" s="49"/>
      <c r="B907" s="49"/>
      <c r="C907" s="49"/>
      <c r="D907" s="49"/>
      <c r="E907" s="49"/>
      <c r="F907" s="49"/>
      <c r="G907" s="49"/>
      <c r="H907" s="49"/>
      <c r="I907" s="49"/>
      <c r="J907" s="49"/>
      <c r="K907" s="49"/>
      <c r="L907" s="49"/>
      <c r="M907" s="49"/>
      <c r="N907" s="49"/>
      <c r="O907" s="48"/>
      <c r="P907" s="48"/>
      <c r="Q907" s="48"/>
      <c r="R907" s="48"/>
      <c r="S907" s="48"/>
      <c r="T907" s="48"/>
      <c r="U907" s="48"/>
      <c r="V907" s="48"/>
      <c r="W907" s="48"/>
      <c r="X907" s="48"/>
      <c r="Y907" s="48"/>
      <c r="Z907" s="48"/>
    </row>
    <row r="908" ht="15.75" customHeight="1">
      <c r="A908" s="49"/>
      <c r="B908" s="49"/>
      <c r="C908" s="49"/>
      <c r="D908" s="49"/>
      <c r="E908" s="49"/>
      <c r="F908" s="49"/>
      <c r="G908" s="49"/>
      <c r="H908" s="49"/>
      <c r="I908" s="49"/>
      <c r="J908" s="49"/>
      <c r="K908" s="49"/>
      <c r="L908" s="49"/>
      <c r="M908" s="49"/>
      <c r="N908" s="49"/>
      <c r="O908" s="48"/>
      <c r="P908" s="48"/>
      <c r="Q908" s="48"/>
      <c r="R908" s="48"/>
      <c r="S908" s="48"/>
      <c r="T908" s="48"/>
      <c r="U908" s="48"/>
      <c r="V908" s="48"/>
      <c r="W908" s="48"/>
      <c r="X908" s="48"/>
      <c r="Y908" s="48"/>
      <c r="Z908" s="48"/>
    </row>
    <row r="909" ht="15.75" customHeight="1">
      <c r="A909" s="49"/>
      <c r="B909" s="49"/>
      <c r="C909" s="49"/>
      <c r="D909" s="49"/>
      <c r="E909" s="49"/>
      <c r="F909" s="49"/>
      <c r="G909" s="49"/>
      <c r="H909" s="49"/>
      <c r="I909" s="49"/>
      <c r="J909" s="49"/>
      <c r="K909" s="49"/>
      <c r="L909" s="49"/>
      <c r="M909" s="49"/>
      <c r="N909" s="49"/>
      <c r="O909" s="48"/>
      <c r="P909" s="48"/>
      <c r="Q909" s="48"/>
      <c r="R909" s="48"/>
      <c r="S909" s="48"/>
      <c r="T909" s="48"/>
      <c r="U909" s="48"/>
      <c r="V909" s="48"/>
      <c r="W909" s="48"/>
      <c r="X909" s="48"/>
      <c r="Y909" s="48"/>
      <c r="Z909" s="48"/>
    </row>
    <row r="910" ht="15.75" customHeight="1">
      <c r="A910" s="49"/>
      <c r="B910" s="49"/>
      <c r="C910" s="49"/>
      <c r="D910" s="49"/>
      <c r="E910" s="49"/>
      <c r="F910" s="49"/>
      <c r="G910" s="49"/>
      <c r="H910" s="49"/>
      <c r="I910" s="49"/>
      <c r="J910" s="49"/>
      <c r="K910" s="49"/>
      <c r="L910" s="49"/>
      <c r="M910" s="49"/>
      <c r="N910" s="49"/>
      <c r="O910" s="48"/>
      <c r="P910" s="48"/>
      <c r="Q910" s="48"/>
      <c r="R910" s="48"/>
      <c r="S910" s="48"/>
      <c r="T910" s="48"/>
      <c r="U910" s="48"/>
      <c r="V910" s="48"/>
      <c r="W910" s="48"/>
      <c r="X910" s="48"/>
      <c r="Y910" s="48"/>
      <c r="Z910" s="48"/>
    </row>
    <row r="911" ht="15.75" customHeight="1">
      <c r="A911" s="49"/>
      <c r="B911" s="49"/>
      <c r="C911" s="49"/>
      <c r="D911" s="49"/>
      <c r="E911" s="49"/>
      <c r="F911" s="49"/>
      <c r="G911" s="49"/>
      <c r="H911" s="49"/>
      <c r="I911" s="49"/>
      <c r="J911" s="49"/>
      <c r="K911" s="49"/>
      <c r="L911" s="49"/>
      <c r="M911" s="49"/>
      <c r="N911" s="49"/>
      <c r="O911" s="48"/>
      <c r="P911" s="48"/>
      <c r="Q911" s="48"/>
      <c r="R911" s="48"/>
      <c r="S911" s="48"/>
      <c r="T911" s="48"/>
      <c r="U911" s="48"/>
      <c r="V911" s="48"/>
      <c r="W911" s="48"/>
      <c r="X911" s="48"/>
      <c r="Y911" s="48"/>
      <c r="Z911" s="48"/>
    </row>
    <row r="912" ht="15.75" customHeight="1">
      <c r="A912" s="49"/>
      <c r="B912" s="49"/>
      <c r="C912" s="49"/>
      <c r="D912" s="49"/>
      <c r="E912" s="49"/>
      <c r="F912" s="49"/>
      <c r="G912" s="49"/>
      <c r="H912" s="49"/>
      <c r="I912" s="49"/>
      <c r="J912" s="49"/>
      <c r="K912" s="49"/>
      <c r="L912" s="49"/>
      <c r="M912" s="49"/>
      <c r="N912" s="49"/>
      <c r="O912" s="48"/>
      <c r="P912" s="48"/>
      <c r="Q912" s="48"/>
      <c r="R912" s="48"/>
      <c r="S912" s="48"/>
      <c r="T912" s="48"/>
      <c r="U912" s="48"/>
      <c r="V912" s="48"/>
      <c r="W912" s="48"/>
      <c r="X912" s="48"/>
      <c r="Y912" s="48"/>
      <c r="Z912" s="48"/>
    </row>
    <row r="913" ht="15.75" customHeight="1">
      <c r="A913" s="49"/>
      <c r="B913" s="49"/>
      <c r="C913" s="49"/>
      <c r="D913" s="49"/>
      <c r="E913" s="49"/>
      <c r="F913" s="49"/>
      <c r="G913" s="49"/>
      <c r="H913" s="49"/>
      <c r="I913" s="49"/>
      <c r="J913" s="49"/>
      <c r="K913" s="49"/>
      <c r="L913" s="49"/>
      <c r="M913" s="49"/>
      <c r="N913" s="49"/>
      <c r="O913" s="48"/>
      <c r="P913" s="48"/>
      <c r="Q913" s="48"/>
      <c r="R913" s="48"/>
      <c r="S913" s="48"/>
      <c r="T913" s="48"/>
      <c r="U913" s="48"/>
      <c r="V913" s="48"/>
      <c r="W913" s="48"/>
      <c r="X913" s="48"/>
      <c r="Y913" s="48"/>
      <c r="Z913" s="48"/>
    </row>
    <row r="914" ht="15.75" customHeight="1">
      <c r="A914" s="49"/>
      <c r="B914" s="49"/>
      <c r="C914" s="49"/>
      <c r="D914" s="49"/>
      <c r="E914" s="49"/>
      <c r="F914" s="49"/>
      <c r="G914" s="49"/>
      <c r="H914" s="49"/>
      <c r="I914" s="49"/>
      <c r="J914" s="49"/>
      <c r="K914" s="49"/>
      <c r="L914" s="49"/>
      <c r="M914" s="49"/>
      <c r="N914" s="49"/>
      <c r="O914" s="48"/>
      <c r="P914" s="48"/>
      <c r="Q914" s="48"/>
      <c r="R914" s="48"/>
      <c r="S914" s="48"/>
      <c r="T914" s="48"/>
      <c r="U914" s="48"/>
      <c r="V914" s="48"/>
      <c r="W914" s="48"/>
      <c r="X914" s="48"/>
      <c r="Y914" s="48"/>
      <c r="Z914" s="48"/>
    </row>
    <row r="915" ht="15.75" customHeight="1">
      <c r="A915" s="49"/>
      <c r="B915" s="49"/>
      <c r="C915" s="49"/>
      <c r="D915" s="49"/>
      <c r="E915" s="49"/>
      <c r="F915" s="49"/>
      <c r="G915" s="49"/>
      <c r="H915" s="49"/>
      <c r="I915" s="49"/>
      <c r="J915" s="49"/>
      <c r="K915" s="49"/>
      <c r="L915" s="49"/>
      <c r="M915" s="49"/>
      <c r="N915" s="49"/>
      <c r="O915" s="48"/>
      <c r="P915" s="48"/>
      <c r="Q915" s="48"/>
      <c r="R915" s="48"/>
      <c r="S915" s="48"/>
      <c r="T915" s="48"/>
      <c r="U915" s="48"/>
      <c r="V915" s="48"/>
      <c r="W915" s="48"/>
      <c r="X915" s="48"/>
      <c r="Y915" s="48"/>
      <c r="Z915" s="48"/>
    </row>
    <row r="916" ht="15.75" customHeight="1">
      <c r="A916" s="49"/>
      <c r="B916" s="49"/>
      <c r="C916" s="49"/>
      <c r="D916" s="49"/>
      <c r="E916" s="49"/>
      <c r="F916" s="49"/>
      <c r="G916" s="49"/>
      <c r="H916" s="49"/>
      <c r="I916" s="49"/>
      <c r="J916" s="49"/>
      <c r="K916" s="49"/>
      <c r="L916" s="49"/>
      <c r="M916" s="49"/>
      <c r="N916" s="49"/>
      <c r="O916" s="48"/>
      <c r="P916" s="48"/>
      <c r="Q916" s="48"/>
      <c r="R916" s="48"/>
      <c r="S916" s="48"/>
      <c r="T916" s="48"/>
      <c r="U916" s="48"/>
      <c r="V916" s="48"/>
      <c r="W916" s="48"/>
      <c r="X916" s="48"/>
      <c r="Y916" s="48"/>
      <c r="Z916" s="48"/>
    </row>
    <row r="917" ht="15.75" customHeight="1">
      <c r="A917" s="49"/>
      <c r="B917" s="49"/>
      <c r="C917" s="49"/>
      <c r="D917" s="49"/>
      <c r="E917" s="49"/>
      <c r="F917" s="49"/>
      <c r="G917" s="49"/>
      <c r="H917" s="49"/>
      <c r="I917" s="49"/>
      <c r="J917" s="49"/>
      <c r="K917" s="49"/>
      <c r="L917" s="49"/>
      <c r="M917" s="49"/>
      <c r="N917" s="49"/>
      <c r="O917" s="48"/>
      <c r="P917" s="48"/>
      <c r="Q917" s="48"/>
      <c r="R917" s="48"/>
      <c r="S917" s="48"/>
      <c r="T917" s="48"/>
      <c r="U917" s="48"/>
      <c r="V917" s="48"/>
      <c r="W917" s="48"/>
      <c r="X917" s="48"/>
      <c r="Y917" s="48"/>
      <c r="Z917" s="48"/>
    </row>
    <row r="918" ht="15.75" customHeight="1">
      <c r="A918" s="49"/>
      <c r="B918" s="49"/>
      <c r="C918" s="49"/>
      <c r="D918" s="49"/>
      <c r="E918" s="49"/>
      <c r="F918" s="49"/>
      <c r="G918" s="49"/>
      <c r="H918" s="49"/>
      <c r="I918" s="49"/>
      <c r="J918" s="49"/>
      <c r="K918" s="49"/>
      <c r="L918" s="49"/>
      <c r="M918" s="49"/>
      <c r="N918" s="49"/>
      <c r="O918" s="48"/>
      <c r="P918" s="48"/>
      <c r="Q918" s="48"/>
      <c r="R918" s="48"/>
      <c r="S918" s="48"/>
      <c r="T918" s="48"/>
      <c r="U918" s="48"/>
      <c r="V918" s="48"/>
      <c r="W918" s="48"/>
      <c r="X918" s="48"/>
      <c r="Y918" s="48"/>
      <c r="Z918" s="48"/>
    </row>
    <row r="919" ht="15.75" customHeight="1">
      <c r="A919" s="49"/>
      <c r="B919" s="49"/>
      <c r="C919" s="49"/>
      <c r="D919" s="49"/>
      <c r="E919" s="49"/>
      <c r="F919" s="49"/>
      <c r="G919" s="49"/>
      <c r="H919" s="49"/>
      <c r="I919" s="49"/>
      <c r="J919" s="49"/>
      <c r="K919" s="49"/>
      <c r="L919" s="49"/>
      <c r="M919" s="49"/>
      <c r="N919" s="49"/>
      <c r="O919" s="48"/>
      <c r="P919" s="48"/>
      <c r="Q919" s="48"/>
      <c r="R919" s="48"/>
      <c r="S919" s="48"/>
      <c r="T919" s="48"/>
      <c r="U919" s="48"/>
      <c r="V919" s="48"/>
      <c r="W919" s="48"/>
      <c r="X919" s="48"/>
      <c r="Y919" s="48"/>
      <c r="Z919" s="48"/>
    </row>
    <row r="920" ht="15.75" customHeight="1">
      <c r="A920" s="49"/>
      <c r="B920" s="49"/>
      <c r="C920" s="49"/>
      <c r="D920" s="49"/>
      <c r="E920" s="49"/>
      <c r="F920" s="49"/>
      <c r="G920" s="49"/>
      <c r="H920" s="49"/>
      <c r="I920" s="49"/>
      <c r="J920" s="49"/>
      <c r="K920" s="49"/>
      <c r="L920" s="49"/>
      <c r="M920" s="49"/>
      <c r="N920" s="49"/>
      <c r="O920" s="48"/>
      <c r="P920" s="48"/>
      <c r="Q920" s="48"/>
      <c r="R920" s="48"/>
      <c r="S920" s="48"/>
      <c r="T920" s="48"/>
      <c r="U920" s="48"/>
      <c r="V920" s="48"/>
      <c r="W920" s="48"/>
      <c r="X920" s="48"/>
      <c r="Y920" s="48"/>
      <c r="Z920" s="48"/>
    </row>
    <row r="921" ht="15.75" customHeight="1">
      <c r="A921" s="49"/>
      <c r="B921" s="49"/>
      <c r="C921" s="49"/>
      <c r="D921" s="49"/>
      <c r="E921" s="49"/>
      <c r="F921" s="49"/>
      <c r="G921" s="49"/>
      <c r="H921" s="49"/>
      <c r="I921" s="49"/>
      <c r="J921" s="49"/>
      <c r="K921" s="49"/>
      <c r="L921" s="49"/>
      <c r="M921" s="49"/>
      <c r="N921" s="49"/>
      <c r="O921" s="48"/>
      <c r="P921" s="48"/>
      <c r="Q921" s="48"/>
      <c r="R921" s="48"/>
      <c r="S921" s="48"/>
      <c r="T921" s="48"/>
      <c r="U921" s="48"/>
      <c r="V921" s="48"/>
      <c r="W921" s="48"/>
      <c r="X921" s="48"/>
      <c r="Y921" s="48"/>
      <c r="Z921" s="48"/>
    </row>
    <row r="922" ht="15.75" customHeight="1">
      <c r="A922" s="49"/>
      <c r="B922" s="49"/>
      <c r="C922" s="49"/>
      <c r="D922" s="49"/>
      <c r="E922" s="49"/>
      <c r="F922" s="49"/>
      <c r="G922" s="49"/>
      <c r="H922" s="49"/>
      <c r="I922" s="49"/>
      <c r="J922" s="49"/>
      <c r="K922" s="49"/>
      <c r="L922" s="49"/>
      <c r="M922" s="49"/>
      <c r="N922" s="49"/>
      <c r="O922" s="48"/>
      <c r="P922" s="48"/>
      <c r="Q922" s="48"/>
      <c r="R922" s="48"/>
      <c r="S922" s="48"/>
      <c r="T922" s="48"/>
      <c r="U922" s="48"/>
      <c r="V922" s="48"/>
      <c r="W922" s="48"/>
      <c r="X922" s="48"/>
      <c r="Y922" s="48"/>
      <c r="Z922" s="48"/>
    </row>
    <row r="923" ht="15.75" customHeight="1">
      <c r="A923" s="49"/>
      <c r="B923" s="49"/>
      <c r="C923" s="49"/>
      <c r="D923" s="49"/>
      <c r="E923" s="49"/>
      <c r="F923" s="49"/>
      <c r="G923" s="49"/>
      <c r="H923" s="49"/>
      <c r="I923" s="49"/>
      <c r="J923" s="49"/>
      <c r="K923" s="49"/>
      <c r="L923" s="49"/>
      <c r="M923" s="49"/>
      <c r="N923" s="49"/>
      <c r="O923" s="48"/>
      <c r="P923" s="48"/>
      <c r="Q923" s="48"/>
      <c r="R923" s="48"/>
      <c r="S923" s="48"/>
      <c r="T923" s="48"/>
      <c r="U923" s="48"/>
      <c r="V923" s="48"/>
      <c r="W923" s="48"/>
      <c r="X923" s="48"/>
      <c r="Y923" s="48"/>
      <c r="Z923" s="48"/>
    </row>
    <row r="924" ht="15.75" customHeight="1">
      <c r="A924" s="49"/>
      <c r="B924" s="49"/>
      <c r="C924" s="49"/>
      <c r="D924" s="49"/>
      <c r="E924" s="49"/>
      <c r="F924" s="49"/>
      <c r="G924" s="49"/>
      <c r="H924" s="49"/>
      <c r="I924" s="49"/>
      <c r="J924" s="49"/>
      <c r="K924" s="49"/>
      <c r="L924" s="49"/>
      <c r="M924" s="49"/>
      <c r="N924" s="49"/>
      <c r="O924" s="48"/>
      <c r="P924" s="48"/>
      <c r="Q924" s="48"/>
      <c r="R924" s="48"/>
      <c r="S924" s="48"/>
      <c r="T924" s="48"/>
      <c r="U924" s="48"/>
      <c r="V924" s="48"/>
      <c r="W924" s="48"/>
      <c r="X924" s="48"/>
      <c r="Y924" s="48"/>
      <c r="Z924" s="48"/>
    </row>
    <row r="925" ht="15.75" customHeight="1">
      <c r="A925" s="49"/>
      <c r="B925" s="49"/>
      <c r="C925" s="49"/>
      <c r="D925" s="49"/>
      <c r="E925" s="49"/>
      <c r="F925" s="49"/>
      <c r="G925" s="49"/>
      <c r="H925" s="49"/>
      <c r="I925" s="49"/>
      <c r="J925" s="49"/>
      <c r="K925" s="49"/>
      <c r="L925" s="49"/>
      <c r="M925" s="49"/>
      <c r="N925" s="49"/>
      <c r="O925" s="48"/>
      <c r="P925" s="48"/>
      <c r="Q925" s="48"/>
      <c r="R925" s="48"/>
      <c r="S925" s="48"/>
      <c r="T925" s="48"/>
      <c r="U925" s="48"/>
      <c r="V925" s="48"/>
      <c r="W925" s="48"/>
      <c r="X925" s="48"/>
      <c r="Y925" s="48"/>
      <c r="Z925" s="48"/>
    </row>
    <row r="926" ht="15.75" customHeight="1">
      <c r="A926" s="49"/>
      <c r="B926" s="49"/>
      <c r="C926" s="49"/>
      <c r="D926" s="49"/>
      <c r="E926" s="49"/>
      <c r="F926" s="49"/>
      <c r="G926" s="49"/>
      <c r="H926" s="49"/>
      <c r="I926" s="49"/>
      <c r="J926" s="49"/>
      <c r="K926" s="49"/>
      <c r="L926" s="49"/>
      <c r="M926" s="49"/>
      <c r="N926" s="49"/>
      <c r="O926" s="48"/>
      <c r="P926" s="48"/>
      <c r="Q926" s="48"/>
      <c r="R926" s="48"/>
      <c r="S926" s="48"/>
      <c r="T926" s="48"/>
      <c r="U926" s="48"/>
      <c r="V926" s="48"/>
      <c r="W926" s="48"/>
      <c r="X926" s="48"/>
      <c r="Y926" s="48"/>
      <c r="Z926" s="48"/>
    </row>
    <row r="927" ht="15.75" customHeight="1">
      <c r="A927" s="49"/>
      <c r="B927" s="49"/>
      <c r="C927" s="49"/>
      <c r="D927" s="49"/>
      <c r="E927" s="49"/>
      <c r="F927" s="49"/>
      <c r="G927" s="49"/>
      <c r="H927" s="49"/>
      <c r="I927" s="49"/>
      <c r="J927" s="49"/>
      <c r="K927" s="49"/>
      <c r="L927" s="49"/>
      <c r="M927" s="49"/>
      <c r="N927" s="49"/>
      <c r="O927" s="48"/>
      <c r="P927" s="48"/>
      <c r="Q927" s="48"/>
      <c r="R927" s="48"/>
      <c r="S927" s="48"/>
      <c r="T927" s="48"/>
      <c r="U927" s="48"/>
      <c r="V927" s="48"/>
      <c r="W927" s="48"/>
      <c r="X927" s="48"/>
      <c r="Y927" s="48"/>
      <c r="Z927" s="48"/>
    </row>
    <row r="928" ht="15.75" customHeight="1">
      <c r="A928" s="49"/>
      <c r="B928" s="49"/>
      <c r="C928" s="49"/>
      <c r="D928" s="49"/>
      <c r="E928" s="49"/>
      <c r="F928" s="49"/>
      <c r="G928" s="49"/>
      <c r="H928" s="49"/>
      <c r="I928" s="49"/>
      <c r="J928" s="49"/>
      <c r="K928" s="49"/>
      <c r="L928" s="49"/>
      <c r="M928" s="49"/>
      <c r="N928" s="49"/>
      <c r="O928" s="48"/>
      <c r="P928" s="48"/>
      <c r="Q928" s="48"/>
      <c r="R928" s="48"/>
      <c r="S928" s="48"/>
      <c r="T928" s="48"/>
      <c r="U928" s="48"/>
      <c r="V928" s="48"/>
      <c r="W928" s="48"/>
      <c r="X928" s="48"/>
      <c r="Y928" s="48"/>
      <c r="Z928" s="48"/>
    </row>
    <row r="929" ht="15.75" customHeight="1">
      <c r="A929" s="49"/>
      <c r="B929" s="49"/>
      <c r="C929" s="49"/>
      <c r="D929" s="49"/>
      <c r="E929" s="49"/>
      <c r="F929" s="49"/>
      <c r="G929" s="49"/>
      <c r="H929" s="49"/>
      <c r="I929" s="49"/>
      <c r="J929" s="49"/>
      <c r="K929" s="49"/>
      <c r="L929" s="49"/>
      <c r="M929" s="49"/>
      <c r="N929" s="49"/>
      <c r="O929" s="48"/>
      <c r="P929" s="48"/>
      <c r="Q929" s="48"/>
      <c r="R929" s="48"/>
      <c r="S929" s="48"/>
      <c r="T929" s="48"/>
      <c r="U929" s="48"/>
      <c r="V929" s="48"/>
      <c r="W929" s="48"/>
      <c r="X929" s="48"/>
      <c r="Y929" s="48"/>
      <c r="Z929" s="48"/>
    </row>
    <row r="930" ht="15.75" customHeight="1">
      <c r="A930" s="49"/>
      <c r="B930" s="49"/>
      <c r="C930" s="49"/>
      <c r="D930" s="49"/>
      <c r="E930" s="49"/>
      <c r="F930" s="49"/>
      <c r="G930" s="49"/>
      <c r="H930" s="49"/>
      <c r="I930" s="49"/>
      <c r="J930" s="49"/>
      <c r="K930" s="49"/>
      <c r="L930" s="49"/>
      <c r="M930" s="49"/>
      <c r="N930" s="49"/>
      <c r="O930" s="48"/>
      <c r="P930" s="48"/>
      <c r="Q930" s="48"/>
      <c r="R930" s="48"/>
      <c r="S930" s="48"/>
      <c r="T930" s="48"/>
      <c r="U930" s="48"/>
      <c r="V930" s="48"/>
      <c r="W930" s="48"/>
      <c r="X930" s="48"/>
      <c r="Y930" s="48"/>
      <c r="Z930" s="48"/>
    </row>
    <row r="931" ht="15.75" customHeight="1">
      <c r="A931" s="49"/>
      <c r="B931" s="49"/>
      <c r="C931" s="49"/>
      <c r="D931" s="49"/>
      <c r="E931" s="49"/>
      <c r="F931" s="49"/>
      <c r="G931" s="49"/>
      <c r="H931" s="49"/>
      <c r="I931" s="49"/>
      <c r="J931" s="49"/>
      <c r="K931" s="49"/>
      <c r="L931" s="49"/>
      <c r="M931" s="49"/>
      <c r="N931" s="49"/>
      <c r="O931" s="48"/>
      <c r="P931" s="48"/>
      <c r="Q931" s="48"/>
      <c r="R931" s="48"/>
      <c r="S931" s="48"/>
      <c r="T931" s="48"/>
      <c r="U931" s="48"/>
      <c r="V931" s="48"/>
      <c r="W931" s="48"/>
      <c r="X931" s="48"/>
      <c r="Y931" s="48"/>
      <c r="Z931" s="48"/>
    </row>
    <row r="932" ht="15.75" customHeight="1">
      <c r="A932" s="49"/>
      <c r="B932" s="49"/>
      <c r="C932" s="49"/>
      <c r="D932" s="49"/>
      <c r="E932" s="49"/>
      <c r="F932" s="49"/>
      <c r="G932" s="49"/>
      <c r="H932" s="49"/>
      <c r="I932" s="49"/>
      <c r="J932" s="49"/>
      <c r="K932" s="49"/>
      <c r="L932" s="49"/>
      <c r="M932" s="49"/>
      <c r="N932" s="49"/>
      <c r="O932" s="48"/>
      <c r="P932" s="48"/>
      <c r="Q932" s="48"/>
      <c r="R932" s="48"/>
      <c r="S932" s="48"/>
      <c r="T932" s="48"/>
      <c r="U932" s="48"/>
      <c r="V932" s="48"/>
      <c r="W932" s="48"/>
      <c r="X932" s="48"/>
      <c r="Y932" s="48"/>
      <c r="Z932" s="48"/>
    </row>
    <row r="933" ht="15.75" customHeight="1">
      <c r="A933" s="49"/>
      <c r="B933" s="49"/>
      <c r="C933" s="49"/>
      <c r="D933" s="49"/>
      <c r="E933" s="49"/>
      <c r="F933" s="49"/>
      <c r="G933" s="49"/>
      <c r="H933" s="49"/>
      <c r="I933" s="49"/>
      <c r="J933" s="49"/>
      <c r="K933" s="49"/>
      <c r="L933" s="49"/>
      <c r="M933" s="49"/>
      <c r="N933" s="49"/>
      <c r="O933" s="48"/>
      <c r="P933" s="48"/>
      <c r="Q933" s="48"/>
      <c r="R933" s="48"/>
      <c r="S933" s="48"/>
      <c r="T933" s="48"/>
      <c r="U933" s="48"/>
      <c r="V933" s="48"/>
      <c r="W933" s="48"/>
      <c r="X933" s="48"/>
      <c r="Y933" s="48"/>
      <c r="Z933" s="48"/>
    </row>
    <row r="934" ht="15.75" customHeight="1">
      <c r="A934" s="49"/>
      <c r="B934" s="49"/>
      <c r="C934" s="49"/>
      <c r="D934" s="49"/>
      <c r="E934" s="49"/>
      <c r="F934" s="49"/>
      <c r="G934" s="49"/>
      <c r="H934" s="49"/>
      <c r="I934" s="49"/>
      <c r="J934" s="49"/>
      <c r="K934" s="49"/>
      <c r="L934" s="49"/>
      <c r="M934" s="49"/>
      <c r="N934" s="49"/>
      <c r="O934" s="48"/>
      <c r="P934" s="48"/>
      <c r="Q934" s="48"/>
      <c r="R934" s="48"/>
      <c r="S934" s="48"/>
      <c r="T934" s="48"/>
      <c r="U934" s="48"/>
      <c r="V934" s="48"/>
      <c r="W934" s="48"/>
      <c r="X934" s="48"/>
      <c r="Y934" s="48"/>
      <c r="Z934" s="48"/>
    </row>
    <row r="935" ht="15.75" customHeight="1">
      <c r="A935" s="49"/>
      <c r="B935" s="49"/>
      <c r="C935" s="49"/>
      <c r="D935" s="49"/>
      <c r="E935" s="49"/>
      <c r="F935" s="49"/>
      <c r="G935" s="49"/>
      <c r="H935" s="49"/>
      <c r="I935" s="49"/>
      <c r="J935" s="49"/>
      <c r="K935" s="49"/>
      <c r="L935" s="49"/>
      <c r="M935" s="49"/>
      <c r="N935" s="49"/>
      <c r="O935" s="48"/>
      <c r="P935" s="48"/>
      <c r="Q935" s="48"/>
      <c r="R935" s="48"/>
      <c r="S935" s="48"/>
      <c r="T935" s="48"/>
      <c r="U935" s="48"/>
      <c r="V935" s="48"/>
      <c r="W935" s="48"/>
      <c r="X935" s="48"/>
      <c r="Y935" s="48"/>
      <c r="Z935" s="48"/>
    </row>
    <row r="936" ht="15.75" customHeight="1">
      <c r="A936" s="49"/>
      <c r="B936" s="49"/>
      <c r="C936" s="49"/>
      <c r="D936" s="49"/>
      <c r="E936" s="49"/>
      <c r="F936" s="49"/>
      <c r="G936" s="49"/>
      <c r="H936" s="49"/>
      <c r="I936" s="49"/>
      <c r="J936" s="49"/>
      <c r="K936" s="49"/>
      <c r="L936" s="49"/>
      <c r="M936" s="49"/>
      <c r="N936" s="49"/>
      <c r="O936" s="48"/>
      <c r="P936" s="48"/>
      <c r="Q936" s="48"/>
      <c r="R936" s="48"/>
      <c r="S936" s="48"/>
      <c r="T936" s="48"/>
      <c r="U936" s="48"/>
      <c r="V936" s="48"/>
      <c r="W936" s="48"/>
      <c r="X936" s="48"/>
      <c r="Y936" s="48"/>
      <c r="Z936" s="48"/>
    </row>
    <row r="937" ht="15.75" customHeight="1">
      <c r="A937" s="49"/>
      <c r="B937" s="49"/>
      <c r="C937" s="49"/>
      <c r="D937" s="49"/>
      <c r="E937" s="49"/>
      <c r="F937" s="49"/>
      <c r="G937" s="49"/>
      <c r="H937" s="49"/>
      <c r="I937" s="49"/>
      <c r="J937" s="49"/>
      <c r="K937" s="49"/>
      <c r="L937" s="49"/>
      <c r="M937" s="49"/>
      <c r="N937" s="49"/>
      <c r="O937" s="48"/>
      <c r="P937" s="48"/>
      <c r="Q937" s="48"/>
      <c r="R937" s="48"/>
      <c r="S937" s="48"/>
      <c r="T937" s="48"/>
      <c r="U937" s="48"/>
      <c r="V937" s="48"/>
      <c r="W937" s="48"/>
      <c r="X937" s="48"/>
      <c r="Y937" s="48"/>
      <c r="Z937" s="48"/>
    </row>
    <row r="938" ht="15.75" customHeight="1">
      <c r="A938" s="49"/>
      <c r="B938" s="49"/>
      <c r="C938" s="49"/>
      <c r="D938" s="49"/>
      <c r="E938" s="49"/>
      <c r="F938" s="49"/>
      <c r="G938" s="49"/>
      <c r="H938" s="49"/>
      <c r="I938" s="49"/>
      <c r="J938" s="49"/>
      <c r="K938" s="49"/>
      <c r="L938" s="49"/>
      <c r="M938" s="49"/>
      <c r="N938" s="49"/>
      <c r="O938" s="48"/>
      <c r="P938" s="48"/>
      <c r="Q938" s="48"/>
      <c r="R938" s="48"/>
      <c r="S938" s="48"/>
      <c r="T938" s="48"/>
      <c r="U938" s="48"/>
      <c r="V938" s="48"/>
      <c r="W938" s="48"/>
      <c r="X938" s="48"/>
      <c r="Y938" s="48"/>
      <c r="Z938" s="48"/>
    </row>
    <row r="939" ht="15.75" customHeight="1">
      <c r="A939" s="49"/>
      <c r="B939" s="49"/>
      <c r="C939" s="49"/>
      <c r="D939" s="49"/>
      <c r="E939" s="49"/>
      <c r="F939" s="49"/>
      <c r="G939" s="49"/>
      <c r="H939" s="49"/>
      <c r="I939" s="49"/>
      <c r="J939" s="49"/>
      <c r="K939" s="49"/>
      <c r="L939" s="49"/>
      <c r="M939" s="49"/>
      <c r="N939" s="49"/>
      <c r="O939" s="48"/>
      <c r="P939" s="48"/>
      <c r="Q939" s="48"/>
      <c r="R939" s="48"/>
      <c r="S939" s="48"/>
      <c r="T939" s="48"/>
      <c r="U939" s="48"/>
      <c r="V939" s="48"/>
      <c r="W939" s="48"/>
      <c r="X939" s="48"/>
      <c r="Y939" s="48"/>
      <c r="Z939" s="48"/>
    </row>
    <row r="940" ht="15.75" customHeight="1">
      <c r="A940" s="49"/>
      <c r="B940" s="49"/>
      <c r="C940" s="49"/>
      <c r="D940" s="49"/>
      <c r="E940" s="49"/>
      <c r="F940" s="49"/>
      <c r="G940" s="49"/>
      <c r="H940" s="49"/>
      <c r="I940" s="49"/>
      <c r="J940" s="49"/>
      <c r="K940" s="49"/>
      <c r="L940" s="49"/>
      <c r="M940" s="49"/>
      <c r="N940" s="49"/>
      <c r="O940" s="48"/>
      <c r="P940" s="48"/>
      <c r="Q940" s="48"/>
      <c r="R940" s="48"/>
      <c r="S940" s="48"/>
      <c r="T940" s="48"/>
      <c r="U940" s="48"/>
      <c r="V940" s="48"/>
      <c r="W940" s="48"/>
      <c r="X940" s="48"/>
      <c r="Y940" s="48"/>
      <c r="Z940" s="48"/>
    </row>
    <row r="941" ht="15.75" customHeight="1">
      <c r="A941" s="49"/>
      <c r="B941" s="49"/>
      <c r="C941" s="49"/>
      <c r="D941" s="49"/>
      <c r="E941" s="49"/>
      <c r="F941" s="49"/>
      <c r="G941" s="49"/>
      <c r="H941" s="49"/>
      <c r="I941" s="49"/>
      <c r="J941" s="49"/>
      <c r="K941" s="49"/>
      <c r="L941" s="49"/>
      <c r="M941" s="49"/>
      <c r="N941" s="49"/>
      <c r="O941" s="48"/>
      <c r="P941" s="48"/>
      <c r="Q941" s="48"/>
      <c r="R941" s="48"/>
      <c r="S941" s="48"/>
      <c r="T941" s="48"/>
      <c r="U941" s="48"/>
      <c r="V941" s="48"/>
      <c r="W941" s="48"/>
      <c r="X941" s="48"/>
      <c r="Y941" s="48"/>
      <c r="Z941" s="48"/>
    </row>
    <row r="942" ht="15.75" customHeight="1">
      <c r="A942" s="49"/>
      <c r="B942" s="49"/>
      <c r="C942" s="49"/>
      <c r="D942" s="49"/>
      <c r="E942" s="49"/>
      <c r="F942" s="49"/>
      <c r="G942" s="49"/>
      <c r="H942" s="49"/>
      <c r="I942" s="49"/>
      <c r="J942" s="49"/>
      <c r="K942" s="49"/>
      <c r="L942" s="49"/>
      <c r="M942" s="49"/>
      <c r="N942" s="49"/>
      <c r="O942" s="48"/>
      <c r="P942" s="48"/>
      <c r="Q942" s="48"/>
      <c r="R942" s="48"/>
      <c r="S942" s="48"/>
      <c r="T942" s="48"/>
      <c r="U942" s="48"/>
      <c r="V942" s="48"/>
      <c r="W942" s="48"/>
      <c r="X942" s="48"/>
      <c r="Y942" s="48"/>
      <c r="Z942" s="48"/>
    </row>
    <row r="943" ht="15.75" customHeight="1">
      <c r="A943" s="49"/>
      <c r="B943" s="49"/>
      <c r="C943" s="49"/>
      <c r="D943" s="49"/>
      <c r="E943" s="49"/>
      <c r="F943" s="49"/>
      <c r="G943" s="49"/>
      <c r="H943" s="49"/>
      <c r="I943" s="49"/>
      <c r="J943" s="49"/>
      <c r="K943" s="49"/>
      <c r="L943" s="49"/>
      <c r="M943" s="49"/>
      <c r="N943" s="49"/>
      <c r="O943" s="48"/>
      <c r="P943" s="48"/>
      <c r="Q943" s="48"/>
      <c r="R943" s="48"/>
      <c r="S943" s="48"/>
      <c r="T943" s="48"/>
      <c r="U943" s="48"/>
      <c r="V943" s="48"/>
      <c r="W943" s="48"/>
      <c r="X943" s="48"/>
      <c r="Y943" s="48"/>
      <c r="Z943" s="48"/>
    </row>
    <row r="944" ht="15.75" customHeight="1">
      <c r="A944" s="49"/>
      <c r="B944" s="49"/>
      <c r="C944" s="49"/>
      <c r="D944" s="49"/>
      <c r="E944" s="49"/>
      <c r="F944" s="49"/>
      <c r="G944" s="49"/>
      <c r="H944" s="49"/>
      <c r="I944" s="49"/>
      <c r="J944" s="49"/>
      <c r="K944" s="49"/>
      <c r="L944" s="49"/>
      <c r="M944" s="49"/>
      <c r="N944" s="49"/>
      <c r="O944" s="48"/>
      <c r="P944" s="48"/>
      <c r="Q944" s="48"/>
      <c r="R944" s="48"/>
      <c r="S944" s="48"/>
      <c r="T944" s="48"/>
      <c r="U944" s="48"/>
      <c r="V944" s="48"/>
      <c r="W944" s="48"/>
      <c r="X944" s="48"/>
      <c r="Y944" s="48"/>
      <c r="Z944" s="48"/>
    </row>
    <row r="945" ht="15.75" customHeight="1">
      <c r="A945" s="49"/>
      <c r="B945" s="49"/>
      <c r="C945" s="49"/>
      <c r="D945" s="49"/>
      <c r="E945" s="49"/>
      <c r="F945" s="49"/>
      <c r="G945" s="49"/>
      <c r="H945" s="49"/>
      <c r="I945" s="49"/>
      <c r="J945" s="49"/>
      <c r="K945" s="49"/>
      <c r="L945" s="49"/>
      <c r="M945" s="49"/>
      <c r="N945" s="49"/>
      <c r="O945" s="48"/>
      <c r="P945" s="48"/>
      <c r="Q945" s="48"/>
      <c r="R945" s="48"/>
      <c r="S945" s="48"/>
      <c r="T945" s="48"/>
      <c r="U945" s="48"/>
      <c r="V945" s="48"/>
      <c r="W945" s="48"/>
      <c r="X945" s="48"/>
      <c r="Y945" s="48"/>
      <c r="Z945" s="48"/>
    </row>
    <row r="946" ht="15.75" customHeight="1">
      <c r="A946" s="49"/>
      <c r="B946" s="49"/>
      <c r="C946" s="49"/>
      <c r="D946" s="49"/>
      <c r="E946" s="49"/>
      <c r="F946" s="49"/>
      <c r="G946" s="49"/>
      <c r="H946" s="49"/>
      <c r="I946" s="49"/>
      <c r="J946" s="49"/>
      <c r="K946" s="49"/>
      <c r="L946" s="49"/>
      <c r="M946" s="49"/>
      <c r="N946" s="49"/>
      <c r="O946" s="48"/>
      <c r="P946" s="48"/>
      <c r="Q946" s="48"/>
      <c r="R946" s="48"/>
      <c r="S946" s="48"/>
      <c r="T946" s="48"/>
      <c r="U946" s="48"/>
      <c r="V946" s="48"/>
      <c r="W946" s="48"/>
      <c r="X946" s="48"/>
      <c r="Y946" s="48"/>
      <c r="Z946" s="48"/>
    </row>
    <row r="947" ht="15.75" customHeight="1">
      <c r="A947" s="49"/>
      <c r="B947" s="49"/>
      <c r="C947" s="49"/>
      <c r="D947" s="49"/>
      <c r="E947" s="49"/>
      <c r="F947" s="49"/>
      <c r="G947" s="49"/>
      <c r="H947" s="49"/>
      <c r="I947" s="49"/>
      <c r="J947" s="49"/>
      <c r="K947" s="49"/>
      <c r="L947" s="49"/>
      <c r="M947" s="49"/>
      <c r="N947" s="49"/>
      <c r="O947" s="48"/>
      <c r="P947" s="48"/>
      <c r="Q947" s="48"/>
      <c r="R947" s="48"/>
      <c r="S947" s="48"/>
      <c r="T947" s="48"/>
      <c r="U947" s="48"/>
      <c r="V947" s="48"/>
      <c r="W947" s="48"/>
      <c r="X947" s="48"/>
      <c r="Y947" s="48"/>
      <c r="Z947" s="48"/>
    </row>
    <row r="948" ht="15.75" customHeight="1">
      <c r="A948" s="49"/>
      <c r="B948" s="49"/>
      <c r="C948" s="49"/>
      <c r="D948" s="49"/>
      <c r="E948" s="49"/>
      <c r="F948" s="49"/>
      <c r="G948" s="49"/>
      <c r="H948" s="49"/>
      <c r="I948" s="49"/>
      <c r="J948" s="49"/>
      <c r="K948" s="49"/>
      <c r="L948" s="49"/>
      <c r="M948" s="49"/>
      <c r="N948" s="49"/>
      <c r="O948" s="48"/>
      <c r="P948" s="48"/>
      <c r="Q948" s="48"/>
      <c r="R948" s="48"/>
      <c r="S948" s="48"/>
      <c r="T948" s="48"/>
      <c r="U948" s="48"/>
      <c r="V948" s="48"/>
      <c r="W948" s="48"/>
      <c r="X948" s="48"/>
      <c r="Y948" s="48"/>
      <c r="Z948" s="48"/>
    </row>
    <row r="949" ht="15.75" customHeight="1">
      <c r="A949" s="49"/>
      <c r="B949" s="49"/>
      <c r="C949" s="49"/>
      <c r="D949" s="49"/>
      <c r="E949" s="49"/>
      <c r="F949" s="49"/>
      <c r="G949" s="49"/>
      <c r="H949" s="49"/>
      <c r="I949" s="49"/>
      <c r="J949" s="49"/>
      <c r="K949" s="49"/>
      <c r="L949" s="49"/>
      <c r="M949" s="49"/>
      <c r="N949" s="49"/>
      <c r="O949" s="48"/>
      <c r="P949" s="48"/>
      <c r="Q949" s="48"/>
      <c r="R949" s="48"/>
      <c r="S949" s="48"/>
      <c r="T949" s="48"/>
      <c r="U949" s="48"/>
      <c r="V949" s="48"/>
      <c r="W949" s="48"/>
      <c r="X949" s="48"/>
      <c r="Y949" s="48"/>
      <c r="Z949" s="48"/>
    </row>
    <row r="950" ht="15.75" customHeight="1">
      <c r="A950" s="49"/>
      <c r="B950" s="49"/>
      <c r="C950" s="49"/>
      <c r="D950" s="49"/>
      <c r="E950" s="49"/>
      <c r="F950" s="49"/>
      <c r="G950" s="49"/>
      <c r="H950" s="49"/>
      <c r="I950" s="49"/>
      <c r="J950" s="49"/>
      <c r="K950" s="49"/>
      <c r="L950" s="49"/>
      <c r="M950" s="49"/>
      <c r="N950" s="49"/>
      <c r="O950" s="48"/>
      <c r="P950" s="48"/>
      <c r="Q950" s="48"/>
      <c r="R950" s="48"/>
      <c r="S950" s="48"/>
      <c r="T950" s="48"/>
      <c r="U950" s="48"/>
      <c r="V950" s="48"/>
      <c r="W950" s="48"/>
      <c r="X950" s="48"/>
      <c r="Y950" s="48"/>
      <c r="Z950" s="48"/>
    </row>
    <row r="951" ht="15.75" customHeight="1">
      <c r="A951" s="49"/>
      <c r="B951" s="49"/>
      <c r="C951" s="49"/>
      <c r="D951" s="49"/>
      <c r="E951" s="49"/>
      <c r="F951" s="49"/>
      <c r="G951" s="49"/>
      <c r="H951" s="49"/>
      <c r="I951" s="49"/>
      <c r="J951" s="49"/>
      <c r="K951" s="49"/>
      <c r="L951" s="49"/>
      <c r="M951" s="49"/>
      <c r="N951" s="49"/>
      <c r="O951" s="48"/>
      <c r="P951" s="48"/>
      <c r="Q951" s="48"/>
      <c r="R951" s="48"/>
      <c r="S951" s="48"/>
      <c r="T951" s="48"/>
      <c r="U951" s="48"/>
      <c r="V951" s="48"/>
      <c r="W951" s="48"/>
      <c r="X951" s="48"/>
      <c r="Y951" s="48"/>
      <c r="Z951" s="48"/>
    </row>
    <row r="952" ht="15.75" customHeight="1">
      <c r="A952" s="49"/>
      <c r="B952" s="49"/>
      <c r="C952" s="49"/>
      <c r="D952" s="49"/>
      <c r="E952" s="49"/>
      <c r="F952" s="49"/>
      <c r="G952" s="49"/>
      <c r="H952" s="49"/>
      <c r="I952" s="49"/>
      <c r="J952" s="49"/>
      <c r="K952" s="49"/>
      <c r="L952" s="49"/>
      <c r="M952" s="49"/>
      <c r="N952" s="49"/>
      <c r="O952" s="48"/>
      <c r="P952" s="48"/>
      <c r="Q952" s="48"/>
      <c r="R952" s="48"/>
      <c r="S952" s="48"/>
      <c r="T952" s="48"/>
      <c r="U952" s="48"/>
      <c r="V952" s="48"/>
      <c r="W952" s="48"/>
      <c r="X952" s="48"/>
      <c r="Y952" s="48"/>
      <c r="Z952" s="48"/>
    </row>
    <row r="953" ht="15.75" customHeight="1">
      <c r="A953" s="49"/>
      <c r="B953" s="49"/>
      <c r="C953" s="49"/>
      <c r="D953" s="49"/>
      <c r="E953" s="49"/>
      <c r="F953" s="49"/>
      <c r="G953" s="49"/>
      <c r="H953" s="49"/>
      <c r="I953" s="49"/>
      <c r="J953" s="49"/>
      <c r="K953" s="49"/>
      <c r="L953" s="49"/>
      <c r="M953" s="49"/>
      <c r="N953" s="49"/>
      <c r="O953" s="48"/>
      <c r="P953" s="48"/>
      <c r="Q953" s="48"/>
      <c r="R953" s="48"/>
      <c r="S953" s="48"/>
      <c r="T953" s="48"/>
      <c r="U953" s="48"/>
      <c r="V953" s="48"/>
      <c r="W953" s="48"/>
      <c r="X953" s="48"/>
      <c r="Y953" s="48"/>
      <c r="Z953" s="48"/>
    </row>
    <row r="954" ht="15.75" customHeight="1">
      <c r="A954" s="49"/>
      <c r="B954" s="49"/>
      <c r="C954" s="49"/>
      <c r="D954" s="49"/>
      <c r="E954" s="49"/>
      <c r="F954" s="49"/>
      <c r="G954" s="49"/>
      <c r="H954" s="49"/>
      <c r="I954" s="49"/>
      <c r="J954" s="49"/>
      <c r="K954" s="49"/>
      <c r="L954" s="49"/>
      <c r="M954" s="49"/>
      <c r="N954" s="49"/>
      <c r="O954" s="48"/>
      <c r="P954" s="48"/>
      <c r="Q954" s="48"/>
      <c r="R954" s="48"/>
      <c r="S954" s="48"/>
      <c r="T954" s="48"/>
      <c r="U954" s="48"/>
      <c r="V954" s="48"/>
      <c r="W954" s="48"/>
      <c r="X954" s="48"/>
      <c r="Y954" s="48"/>
      <c r="Z954" s="48"/>
    </row>
    <row r="955" ht="15.75" customHeight="1">
      <c r="A955" s="49"/>
      <c r="B955" s="49"/>
      <c r="C955" s="49"/>
      <c r="D955" s="49"/>
      <c r="E955" s="49"/>
      <c r="F955" s="49"/>
      <c r="G955" s="49"/>
      <c r="H955" s="49"/>
      <c r="I955" s="49"/>
      <c r="J955" s="49"/>
      <c r="K955" s="49"/>
      <c r="L955" s="49"/>
      <c r="M955" s="49"/>
      <c r="N955" s="49"/>
      <c r="O955" s="48"/>
      <c r="P955" s="48"/>
      <c r="Q955" s="48"/>
      <c r="R955" s="48"/>
      <c r="S955" s="48"/>
      <c r="T955" s="48"/>
      <c r="U955" s="48"/>
      <c r="V955" s="48"/>
      <c r="W955" s="48"/>
      <c r="X955" s="48"/>
      <c r="Y955" s="48"/>
      <c r="Z955" s="48"/>
    </row>
    <row r="956" ht="15.75" customHeight="1">
      <c r="A956" s="49"/>
      <c r="B956" s="49"/>
      <c r="C956" s="49"/>
      <c r="D956" s="49"/>
      <c r="E956" s="49"/>
      <c r="F956" s="49"/>
      <c r="G956" s="49"/>
      <c r="H956" s="49"/>
      <c r="I956" s="49"/>
      <c r="J956" s="49"/>
      <c r="K956" s="49"/>
      <c r="L956" s="49"/>
      <c r="M956" s="49"/>
      <c r="N956" s="49"/>
      <c r="O956" s="48"/>
      <c r="P956" s="48"/>
      <c r="Q956" s="48"/>
      <c r="R956" s="48"/>
      <c r="S956" s="48"/>
      <c r="T956" s="48"/>
      <c r="U956" s="48"/>
      <c r="V956" s="48"/>
      <c r="W956" s="48"/>
      <c r="X956" s="48"/>
      <c r="Y956" s="48"/>
      <c r="Z956" s="48"/>
    </row>
    <row r="957" ht="15.75" customHeight="1">
      <c r="A957" s="49"/>
      <c r="B957" s="49"/>
      <c r="C957" s="49"/>
      <c r="D957" s="49"/>
      <c r="E957" s="49"/>
      <c r="F957" s="49"/>
      <c r="G957" s="49"/>
      <c r="H957" s="49"/>
      <c r="I957" s="49"/>
      <c r="J957" s="49"/>
      <c r="K957" s="49"/>
      <c r="L957" s="49"/>
      <c r="M957" s="49"/>
      <c r="N957" s="49"/>
      <c r="O957" s="48"/>
      <c r="P957" s="48"/>
      <c r="Q957" s="48"/>
      <c r="R957" s="48"/>
      <c r="S957" s="48"/>
      <c r="T957" s="48"/>
      <c r="U957" s="48"/>
      <c r="V957" s="48"/>
      <c r="W957" s="48"/>
      <c r="X957" s="48"/>
      <c r="Y957" s="48"/>
      <c r="Z957" s="48"/>
    </row>
    <row r="958" ht="15.75" customHeight="1">
      <c r="A958" s="49"/>
      <c r="B958" s="49"/>
      <c r="C958" s="49"/>
      <c r="D958" s="49"/>
      <c r="E958" s="49"/>
      <c r="F958" s="49"/>
      <c r="G958" s="49"/>
      <c r="H958" s="49"/>
      <c r="I958" s="49"/>
      <c r="J958" s="49"/>
      <c r="K958" s="49"/>
      <c r="L958" s="49"/>
      <c r="M958" s="49"/>
      <c r="N958" s="49"/>
      <c r="O958" s="48"/>
      <c r="P958" s="48"/>
      <c r="Q958" s="48"/>
      <c r="R958" s="48"/>
      <c r="S958" s="48"/>
      <c r="T958" s="48"/>
      <c r="U958" s="48"/>
      <c r="V958" s="48"/>
      <c r="W958" s="48"/>
      <c r="X958" s="48"/>
      <c r="Y958" s="48"/>
      <c r="Z958" s="48"/>
    </row>
    <row r="959" ht="15.75" customHeight="1">
      <c r="A959" s="49"/>
      <c r="B959" s="49"/>
      <c r="C959" s="49"/>
      <c r="D959" s="49"/>
      <c r="E959" s="49"/>
      <c r="F959" s="49"/>
      <c r="G959" s="49"/>
      <c r="H959" s="49"/>
      <c r="I959" s="49"/>
      <c r="J959" s="49"/>
      <c r="K959" s="49"/>
      <c r="L959" s="49"/>
      <c r="M959" s="49"/>
      <c r="N959" s="49"/>
      <c r="O959" s="48"/>
      <c r="P959" s="48"/>
      <c r="Q959" s="48"/>
      <c r="R959" s="48"/>
      <c r="S959" s="48"/>
      <c r="T959" s="48"/>
      <c r="U959" s="48"/>
      <c r="V959" s="48"/>
      <c r="W959" s="48"/>
      <c r="X959" s="48"/>
      <c r="Y959" s="48"/>
      <c r="Z959" s="48"/>
    </row>
    <row r="960" ht="15.75" customHeight="1">
      <c r="A960" s="49"/>
      <c r="B960" s="49"/>
      <c r="C960" s="49"/>
      <c r="D960" s="49"/>
      <c r="E960" s="49"/>
      <c r="F960" s="49"/>
      <c r="G960" s="49"/>
      <c r="H960" s="49"/>
      <c r="I960" s="49"/>
      <c r="J960" s="49"/>
      <c r="K960" s="49"/>
      <c r="L960" s="49"/>
      <c r="M960" s="49"/>
      <c r="N960" s="49"/>
      <c r="O960" s="48"/>
      <c r="P960" s="48"/>
      <c r="Q960" s="48"/>
      <c r="R960" s="48"/>
      <c r="S960" s="48"/>
      <c r="T960" s="48"/>
      <c r="U960" s="48"/>
      <c r="V960" s="48"/>
      <c r="W960" s="48"/>
      <c r="X960" s="48"/>
      <c r="Y960" s="48"/>
      <c r="Z960" s="48"/>
    </row>
    <row r="961" ht="15.75" customHeight="1">
      <c r="A961" s="49"/>
      <c r="B961" s="49"/>
      <c r="C961" s="49"/>
      <c r="D961" s="49"/>
      <c r="E961" s="49"/>
      <c r="F961" s="49"/>
      <c r="G961" s="49"/>
      <c r="H961" s="49"/>
      <c r="I961" s="49"/>
      <c r="J961" s="49"/>
      <c r="K961" s="49"/>
      <c r="L961" s="49"/>
      <c r="M961" s="49"/>
      <c r="N961" s="49"/>
      <c r="O961" s="48"/>
      <c r="P961" s="48"/>
      <c r="Q961" s="48"/>
      <c r="R961" s="48"/>
      <c r="S961" s="48"/>
      <c r="T961" s="48"/>
      <c r="U961" s="48"/>
      <c r="V961" s="48"/>
      <c r="W961" s="48"/>
      <c r="X961" s="48"/>
      <c r="Y961" s="48"/>
      <c r="Z961" s="48"/>
    </row>
    <row r="962" ht="15.75" customHeight="1">
      <c r="A962" s="49"/>
      <c r="B962" s="49"/>
      <c r="C962" s="49"/>
      <c r="D962" s="49"/>
      <c r="E962" s="49"/>
      <c r="F962" s="49"/>
      <c r="G962" s="49"/>
      <c r="H962" s="49"/>
      <c r="I962" s="49"/>
      <c r="J962" s="49"/>
      <c r="K962" s="49"/>
      <c r="L962" s="49"/>
      <c r="M962" s="49"/>
      <c r="N962" s="49"/>
      <c r="O962" s="48"/>
      <c r="P962" s="48"/>
      <c r="Q962" s="48"/>
      <c r="R962" s="48"/>
      <c r="S962" s="48"/>
      <c r="T962" s="48"/>
      <c r="U962" s="48"/>
      <c r="V962" s="48"/>
      <c r="W962" s="48"/>
      <c r="X962" s="48"/>
      <c r="Y962" s="48"/>
      <c r="Z962" s="48"/>
    </row>
    <row r="963" ht="15.75" customHeight="1">
      <c r="A963" s="49"/>
      <c r="B963" s="49"/>
      <c r="C963" s="49"/>
      <c r="D963" s="49"/>
      <c r="E963" s="49"/>
      <c r="F963" s="49"/>
      <c r="G963" s="49"/>
      <c r="H963" s="49"/>
      <c r="I963" s="49"/>
      <c r="J963" s="49"/>
      <c r="K963" s="49"/>
      <c r="L963" s="49"/>
      <c r="M963" s="49"/>
      <c r="N963" s="49"/>
      <c r="O963" s="48"/>
      <c r="P963" s="48"/>
      <c r="Q963" s="48"/>
      <c r="R963" s="48"/>
      <c r="S963" s="48"/>
      <c r="T963" s="48"/>
      <c r="U963" s="48"/>
      <c r="V963" s="48"/>
      <c r="W963" s="48"/>
      <c r="X963" s="48"/>
      <c r="Y963" s="48"/>
      <c r="Z963" s="48"/>
    </row>
    <row r="964" ht="15.75" customHeight="1">
      <c r="A964" s="49"/>
      <c r="B964" s="49"/>
      <c r="C964" s="49"/>
      <c r="D964" s="49"/>
      <c r="E964" s="49"/>
      <c r="F964" s="49"/>
      <c r="G964" s="49"/>
      <c r="H964" s="49"/>
      <c r="I964" s="49"/>
      <c r="J964" s="49"/>
      <c r="K964" s="49"/>
      <c r="L964" s="49"/>
      <c r="M964" s="49"/>
      <c r="N964" s="49"/>
      <c r="O964" s="48"/>
      <c r="P964" s="48"/>
      <c r="Q964" s="48"/>
      <c r="R964" s="48"/>
      <c r="S964" s="48"/>
      <c r="T964" s="48"/>
      <c r="U964" s="48"/>
      <c r="V964" s="48"/>
      <c r="W964" s="48"/>
      <c r="X964" s="48"/>
      <c r="Y964" s="48"/>
      <c r="Z964" s="48"/>
    </row>
    <row r="965" ht="15.75" customHeight="1">
      <c r="A965" s="49"/>
      <c r="B965" s="49"/>
      <c r="C965" s="49"/>
      <c r="D965" s="49"/>
      <c r="E965" s="49"/>
      <c r="F965" s="49"/>
      <c r="G965" s="49"/>
      <c r="H965" s="49"/>
      <c r="I965" s="49"/>
      <c r="J965" s="49"/>
      <c r="K965" s="49"/>
      <c r="L965" s="49"/>
      <c r="M965" s="49"/>
      <c r="N965" s="49"/>
      <c r="O965" s="48"/>
      <c r="P965" s="48"/>
      <c r="Q965" s="48"/>
      <c r="R965" s="48"/>
      <c r="S965" s="48"/>
      <c r="T965" s="48"/>
      <c r="U965" s="48"/>
      <c r="V965" s="48"/>
      <c r="W965" s="48"/>
      <c r="X965" s="48"/>
      <c r="Y965" s="48"/>
      <c r="Z965" s="48"/>
    </row>
    <row r="966" ht="15.75" customHeight="1">
      <c r="A966" s="49"/>
      <c r="B966" s="49"/>
      <c r="C966" s="49"/>
      <c r="D966" s="49"/>
      <c r="E966" s="49"/>
      <c r="F966" s="49"/>
      <c r="G966" s="49"/>
      <c r="H966" s="49"/>
      <c r="I966" s="49"/>
      <c r="J966" s="49"/>
      <c r="K966" s="49"/>
      <c r="L966" s="49"/>
      <c r="M966" s="49"/>
      <c r="N966" s="49"/>
      <c r="O966" s="48"/>
      <c r="P966" s="48"/>
      <c r="Q966" s="48"/>
      <c r="R966" s="48"/>
      <c r="S966" s="48"/>
      <c r="T966" s="48"/>
      <c r="U966" s="48"/>
      <c r="V966" s="48"/>
      <c r="W966" s="48"/>
      <c r="X966" s="48"/>
      <c r="Y966" s="48"/>
      <c r="Z966" s="48"/>
    </row>
    <row r="967" ht="15.75" customHeight="1">
      <c r="A967" s="49"/>
      <c r="B967" s="49"/>
      <c r="C967" s="49"/>
      <c r="D967" s="49"/>
      <c r="E967" s="49"/>
      <c r="F967" s="49"/>
      <c r="G967" s="49"/>
      <c r="H967" s="49"/>
      <c r="I967" s="49"/>
      <c r="J967" s="49"/>
      <c r="K967" s="49"/>
      <c r="L967" s="49"/>
      <c r="M967" s="49"/>
      <c r="N967" s="49"/>
      <c r="O967" s="48"/>
      <c r="P967" s="48"/>
      <c r="Q967" s="48"/>
      <c r="R967" s="48"/>
      <c r="S967" s="48"/>
      <c r="T967" s="48"/>
      <c r="U967" s="48"/>
      <c r="V967" s="48"/>
      <c r="W967" s="48"/>
      <c r="X967" s="48"/>
      <c r="Y967" s="48"/>
      <c r="Z967" s="48"/>
    </row>
    <row r="968" ht="15.75" customHeight="1">
      <c r="A968" s="49"/>
      <c r="B968" s="49"/>
      <c r="C968" s="49"/>
      <c r="D968" s="49"/>
      <c r="E968" s="49"/>
      <c r="F968" s="49"/>
      <c r="G968" s="49"/>
      <c r="H968" s="49"/>
      <c r="I968" s="49"/>
      <c r="J968" s="49"/>
      <c r="K968" s="49"/>
      <c r="L968" s="49"/>
      <c r="M968" s="49"/>
      <c r="N968" s="49"/>
      <c r="O968" s="48"/>
      <c r="P968" s="48"/>
      <c r="Q968" s="48"/>
      <c r="R968" s="48"/>
      <c r="S968" s="48"/>
      <c r="T968" s="48"/>
      <c r="U968" s="48"/>
      <c r="V968" s="48"/>
      <c r="W968" s="48"/>
      <c r="X968" s="48"/>
      <c r="Y968" s="48"/>
      <c r="Z968" s="48"/>
    </row>
    <row r="969" ht="15.75" customHeight="1">
      <c r="A969" s="49"/>
      <c r="B969" s="49"/>
      <c r="C969" s="49"/>
      <c r="D969" s="49"/>
      <c r="E969" s="49"/>
      <c r="F969" s="49"/>
      <c r="G969" s="49"/>
      <c r="H969" s="49"/>
      <c r="I969" s="49"/>
      <c r="J969" s="49"/>
      <c r="K969" s="49"/>
      <c r="L969" s="49"/>
      <c r="M969" s="49"/>
      <c r="N969" s="49"/>
      <c r="O969" s="48"/>
      <c r="P969" s="48"/>
      <c r="Q969" s="48"/>
      <c r="R969" s="48"/>
      <c r="S969" s="48"/>
      <c r="T969" s="48"/>
      <c r="U969" s="48"/>
      <c r="V969" s="48"/>
      <c r="W969" s="48"/>
      <c r="X969" s="48"/>
      <c r="Y969" s="48"/>
      <c r="Z969" s="48"/>
    </row>
    <row r="970" ht="15.75" customHeight="1">
      <c r="A970" s="49"/>
      <c r="B970" s="49"/>
      <c r="C970" s="49"/>
      <c r="D970" s="49"/>
      <c r="E970" s="49"/>
      <c r="F970" s="49"/>
      <c r="G970" s="49"/>
      <c r="H970" s="49"/>
      <c r="I970" s="49"/>
      <c r="J970" s="49"/>
      <c r="K970" s="49"/>
      <c r="L970" s="49"/>
      <c r="M970" s="49"/>
      <c r="N970" s="49"/>
      <c r="O970" s="48"/>
      <c r="P970" s="48"/>
      <c r="Q970" s="48"/>
      <c r="R970" s="48"/>
      <c r="S970" s="48"/>
      <c r="T970" s="48"/>
      <c r="U970" s="48"/>
      <c r="V970" s="48"/>
      <c r="W970" s="48"/>
      <c r="X970" s="48"/>
      <c r="Y970" s="48"/>
      <c r="Z970" s="48"/>
    </row>
    <row r="971" ht="15.75" customHeight="1">
      <c r="A971" s="49"/>
      <c r="B971" s="49"/>
      <c r="C971" s="49"/>
      <c r="D971" s="49"/>
      <c r="E971" s="49"/>
      <c r="F971" s="49"/>
      <c r="G971" s="49"/>
      <c r="H971" s="49"/>
      <c r="I971" s="49"/>
      <c r="J971" s="49"/>
      <c r="K971" s="49"/>
      <c r="L971" s="49"/>
      <c r="M971" s="49"/>
      <c r="N971" s="49"/>
      <c r="O971" s="48"/>
      <c r="P971" s="48"/>
      <c r="Q971" s="48"/>
      <c r="R971" s="48"/>
      <c r="S971" s="48"/>
      <c r="T971" s="48"/>
      <c r="U971" s="48"/>
      <c r="V971" s="48"/>
      <c r="W971" s="48"/>
      <c r="X971" s="48"/>
      <c r="Y971" s="48"/>
      <c r="Z971" s="48"/>
    </row>
    <row r="972" ht="15.75" customHeight="1">
      <c r="A972" s="49"/>
      <c r="B972" s="49"/>
      <c r="C972" s="49"/>
      <c r="D972" s="49"/>
      <c r="E972" s="49"/>
      <c r="F972" s="49"/>
      <c r="G972" s="49"/>
      <c r="H972" s="49"/>
      <c r="I972" s="49"/>
      <c r="J972" s="49"/>
      <c r="K972" s="49"/>
      <c r="L972" s="49"/>
      <c r="M972" s="49"/>
      <c r="N972" s="49"/>
      <c r="O972" s="48"/>
      <c r="P972" s="48"/>
      <c r="Q972" s="48"/>
      <c r="R972" s="48"/>
      <c r="S972" s="48"/>
      <c r="T972" s="48"/>
      <c r="U972" s="48"/>
      <c r="V972" s="48"/>
      <c r="W972" s="48"/>
      <c r="X972" s="48"/>
      <c r="Y972" s="48"/>
      <c r="Z972" s="48"/>
    </row>
    <row r="973" ht="15.75" customHeight="1">
      <c r="A973" s="49"/>
      <c r="B973" s="49"/>
      <c r="C973" s="49"/>
      <c r="D973" s="49"/>
      <c r="E973" s="49"/>
      <c r="F973" s="49"/>
      <c r="G973" s="49"/>
      <c r="H973" s="49"/>
      <c r="I973" s="49"/>
      <c r="J973" s="49"/>
      <c r="K973" s="49"/>
      <c r="L973" s="49"/>
      <c r="M973" s="49"/>
      <c r="N973" s="49"/>
      <c r="O973" s="48"/>
      <c r="P973" s="48"/>
      <c r="Q973" s="48"/>
      <c r="R973" s="48"/>
      <c r="S973" s="48"/>
      <c r="T973" s="48"/>
      <c r="U973" s="48"/>
      <c r="V973" s="48"/>
      <c r="W973" s="48"/>
      <c r="X973" s="48"/>
      <c r="Y973" s="48"/>
      <c r="Z973" s="48"/>
    </row>
    <row r="974" ht="15.75" customHeight="1">
      <c r="A974" s="49"/>
      <c r="B974" s="49"/>
      <c r="C974" s="49"/>
      <c r="D974" s="49"/>
      <c r="E974" s="49"/>
      <c r="F974" s="49"/>
      <c r="G974" s="49"/>
      <c r="H974" s="49"/>
      <c r="I974" s="49"/>
      <c r="J974" s="49"/>
      <c r="K974" s="49"/>
      <c r="L974" s="49"/>
      <c r="M974" s="49"/>
      <c r="N974" s="49"/>
      <c r="O974" s="48"/>
      <c r="P974" s="48"/>
      <c r="Q974" s="48"/>
      <c r="R974" s="48"/>
      <c r="S974" s="48"/>
      <c r="T974" s="48"/>
      <c r="U974" s="48"/>
      <c r="V974" s="48"/>
      <c r="W974" s="48"/>
      <c r="X974" s="48"/>
      <c r="Y974" s="48"/>
      <c r="Z974" s="48"/>
    </row>
    <row r="975" ht="15.75" customHeight="1">
      <c r="A975" s="49"/>
      <c r="B975" s="49"/>
      <c r="C975" s="49"/>
      <c r="D975" s="49"/>
      <c r="E975" s="49"/>
      <c r="F975" s="49"/>
      <c r="G975" s="49"/>
      <c r="H975" s="49"/>
      <c r="I975" s="49"/>
      <c r="J975" s="49"/>
      <c r="K975" s="49"/>
      <c r="L975" s="49"/>
      <c r="M975" s="49"/>
      <c r="N975" s="49"/>
      <c r="O975" s="48"/>
      <c r="P975" s="48"/>
      <c r="Q975" s="48"/>
      <c r="R975" s="48"/>
      <c r="S975" s="48"/>
      <c r="T975" s="48"/>
      <c r="U975" s="48"/>
      <c r="V975" s="48"/>
      <c r="W975" s="48"/>
      <c r="X975" s="48"/>
      <c r="Y975" s="48"/>
      <c r="Z975" s="48"/>
    </row>
    <row r="976" ht="15.75" customHeight="1">
      <c r="A976" s="49"/>
      <c r="B976" s="49"/>
      <c r="C976" s="49"/>
      <c r="D976" s="49"/>
      <c r="E976" s="49"/>
      <c r="F976" s="49"/>
      <c r="G976" s="49"/>
      <c r="H976" s="49"/>
      <c r="I976" s="49"/>
      <c r="J976" s="49"/>
      <c r="K976" s="49"/>
      <c r="L976" s="49"/>
      <c r="M976" s="49"/>
      <c r="N976" s="49"/>
      <c r="O976" s="48"/>
      <c r="P976" s="48"/>
      <c r="Q976" s="48"/>
      <c r="R976" s="48"/>
      <c r="S976" s="48"/>
      <c r="T976" s="48"/>
      <c r="U976" s="48"/>
      <c r="V976" s="48"/>
      <c r="W976" s="48"/>
      <c r="X976" s="48"/>
      <c r="Y976" s="48"/>
      <c r="Z976" s="48"/>
    </row>
    <row r="977" ht="15.75" customHeight="1">
      <c r="A977" s="49"/>
      <c r="B977" s="49"/>
      <c r="C977" s="49"/>
      <c r="D977" s="49"/>
      <c r="E977" s="49"/>
      <c r="F977" s="49"/>
      <c r="G977" s="49"/>
      <c r="H977" s="49"/>
      <c r="I977" s="49"/>
      <c r="J977" s="49"/>
      <c r="K977" s="49"/>
      <c r="L977" s="49"/>
      <c r="M977" s="49"/>
      <c r="N977" s="49"/>
      <c r="O977" s="48"/>
      <c r="P977" s="48"/>
      <c r="Q977" s="48"/>
      <c r="R977" s="48"/>
      <c r="S977" s="48"/>
      <c r="T977" s="48"/>
      <c r="U977" s="48"/>
      <c r="V977" s="48"/>
      <c r="W977" s="48"/>
      <c r="X977" s="48"/>
      <c r="Y977" s="48"/>
      <c r="Z977" s="48"/>
    </row>
    <row r="978" ht="15.75" customHeight="1">
      <c r="A978" s="49"/>
      <c r="B978" s="49"/>
      <c r="C978" s="49"/>
      <c r="D978" s="49"/>
      <c r="E978" s="49"/>
      <c r="F978" s="49"/>
      <c r="G978" s="49"/>
      <c r="H978" s="49"/>
      <c r="I978" s="49"/>
      <c r="J978" s="49"/>
      <c r="K978" s="49"/>
      <c r="L978" s="49"/>
      <c r="M978" s="49"/>
      <c r="N978" s="49"/>
      <c r="O978" s="48"/>
      <c r="P978" s="48"/>
      <c r="Q978" s="48"/>
      <c r="R978" s="48"/>
      <c r="S978" s="48"/>
      <c r="T978" s="48"/>
      <c r="U978" s="48"/>
      <c r="V978" s="48"/>
      <c r="W978" s="48"/>
      <c r="X978" s="48"/>
      <c r="Y978" s="48"/>
      <c r="Z978" s="48"/>
    </row>
    <row r="979" ht="15.75" customHeight="1">
      <c r="A979" s="49"/>
      <c r="B979" s="49"/>
      <c r="C979" s="49"/>
      <c r="D979" s="49"/>
      <c r="E979" s="49"/>
      <c r="F979" s="49"/>
      <c r="G979" s="49"/>
      <c r="H979" s="49"/>
      <c r="I979" s="49"/>
      <c r="J979" s="49"/>
      <c r="K979" s="49"/>
      <c r="L979" s="49"/>
      <c r="M979" s="49"/>
      <c r="N979" s="49"/>
      <c r="O979" s="48"/>
      <c r="P979" s="48"/>
      <c r="Q979" s="48"/>
      <c r="R979" s="48"/>
      <c r="S979" s="48"/>
      <c r="T979" s="48"/>
      <c r="U979" s="48"/>
      <c r="V979" s="48"/>
      <c r="W979" s="48"/>
      <c r="X979" s="48"/>
      <c r="Y979" s="48"/>
      <c r="Z979" s="48"/>
    </row>
    <row r="980" ht="15.75" customHeight="1">
      <c r="A980" s="49"/>
      <c r="B980" s="49"/>
      <c r="C980" s="49"/>
      <c r="D980" s="49"/>
      <c r="E980" s="49"/>
      <c r="F980" s="49"/>
      <c r="G980" s="49"/>
      <c r="H980" s="49"/>
      <c r="I980" s="49"/>
      <c r="J980" s="49"/>
      <c r="K980" s="49"/>
      <c r="L980" s="49"/>
      <c r="M980" s="49"/>
      <c r="N980" s="49"/>
      <c r="O980" s="48"/>
      <c r="P980" s="48"/>
      <c r="Q980" s="48"/>
      <c r="R980" s="48"/>
      <c r="S980" s="48"/>
      <c r="T980" s="48"/>
      <c r="U980" s="48"/>
      <c r="V980" s="48"/>
      <c r="W980" s="48"/>
      <c r="X980" s="48"/>
      <c r="Y980" s="48"/>
      <c r="Z980" s="48"/>
    </row>
    <row r="981" ht="15.75" customHeight="1">
      <c r="A981" s="49"/>
      <c r="B981" s="49"/>
      <c r="C981" s="49"/>
      <c r="D981" s="49"/>
      <c r="E981" s="49"/>
      <c r="F981" s="49"/>
      <c r="G981" s="49"/>
      <c r="H981" s="49"/>
      <c r="I981" s="49"/>
      <c r="J981" s="49"/>
      <c r="K981" s="49"/>
      <c r="L981" s="49"/>
      <c r="M981" s="49"/>
      <c r="N981" s="49"/>
      <c r="O981" s="48"/>
      <c r="P981" s="48"/>
      <c r="Q981" s="48"/>
      <c r="R981" s="48"/>
      <c r="S981" s="48"/>
      <c r="T981" s="48"/>
      <c r="U981" s="48"/>
      <c r="V981" s="48"/>
      <c r="W981" s="48"/>
      <c r="X981" s="48"/>
      <c r="Y981" s="48"/>
      <c r="Z981" s="48"/>
    </row>
    <row r="982" ht="15.75" customHeight="1">
      <c r="A982" s="49"/>
      <c r="B982" s="49"/>
      <c r="C982" s="49"/>
      <c r="D982" s="49"/>
      <c r="E982" s="49"/>
      <c r="F982" s="49"/>
      <c r="G982" s="49"/>
      <c r="H982" s="49"/>
      <c r="I982" s="49"/>
      <c r="J982" s="49"/>
      <c r="K982" s="49"/>
      <c r="L982" s="49"/>
      <c r="M982" s="49"/>
      <c r="N982" s="49"/>
      <c r="O982" s="48"/>
      <c r="P982" s="48"/>
      <c r="Q982" s="48"/>
      <c r="R982" s="48"/>
      <c r="S982" s="48"/>
      <c r="T982" s="48"/>
      <c r="U982" s="48"/>
      <c r="V982" s="48"/>
      <c r="W982" s="48"/>
      <c r="X982" s="48"/>
      <c r="Y982" s="48"/>
      <c r="Z982" s="48"/>
    </row>
    <row r="983" ht="15.75" customHeight="1">
      <c r="A983" s="49"/>
      <c r="B983" s="49"/>
      <c r="C983" s="49"/>
      <c r="D983" s="49"/>
      <c r="E983" s="49"/>
      <c r="F983" s="49"/>
      <c r="G983" s="49"/>
      <c r="H983" s="49"/>
      <c r="I983" s="49"/>
      <c r="J983" s="49"/>
      <c r="K983" s="49"/>
      <c r="L983" s="49"/>
      <c r="M983" s="49"/>
      <c r="N983" s="49"/>
      <c r="O983" s="48"/>
      <c r="P983" s="48"/>
      <c r="Q983" s="48"/>
      <c r="R983" s="48"/>
      <c r="S983" s="48"/>
      <c r="T983" s="48"/>
      <c r="U983" s="48"/>
      <c r="V983" s="48"/>
      <c r="W983" s="48"/>
      <c r="X983" s="48"/>
      <c r="Y983" s="48"/>
      <c r="Z983" s="48"/>
    </row>
    <row r="984" ht="15.75" customHeight="1">
      <c r="A984" s="49"/>
      <c r="B984" s="49"/>
      <c r="C984" s="49"/>
      <c r="D984" s="49"/>
      <c r="E984" s="49"/>
      <c r="F984" s="49"/>
      <c r="G984" s="49"/>
      <c r="H984" s="49"/>
      <c r="I984" s="49"/>
      <c r="J984" s="49"/>
      <c r="K984" s="49"/>
      <c r="L984" s="49"/>
      <c r="M984" s="49"/>
      <c r="N984" s="49"/>
      <c r="O984" s="48"/>
      <c r="P984" s="48"/>
      <c r="Q984" s="48"/>
      <c r="R984" s="48"/>
      <c r="S984" s="48"/>
      <c r="T984" s="48"/>
      <c r="U984" s="48"/>
      <c r="V984" s="48"/>
      <c r="W984" s="48"/>
      <c r="X984" s="48"/>
      <c r="Y984" s="48"/>
      <c r="Z984" s="48"/>
    </row>
    <row r="985" ht="15.75" customHeight="1">
      <c r="A985" s="49"/>
      <c r="B985" s="49"/>
      <c r="C985" s="49"/>
      <c r="D985" s="49"/>
      <c r="E985" s="49"/>
      <c r="F985" s="49"/>
      <c r="G985" s="49"/>
      <c r="H985" s="49"/>
      <c r="I985" s="49"/>
      <c r="J985" s="49"/>
      <c r="K985" s="49"/>
      <c r="L985" s="49"/>
      <c r="M985" s="49"/>
      <c r="N985" s="49"/>
      <c r="O985" s="48"/>
      <c r="P985" s="48"/>
      <c r="Q985" s="48"/>
      <c r="R985" s="48"/>
      <c r="S985" s="48"/>
      <c r="T985" s="48"/>
      <c r="U985" s="48"/>
      <c r="V985" s="48"/>
      <c r="W985" s="48"/>
      <c r="X985" s="48"/>
      <c r="Y985" s="48"/>
      <c r="Z985" s="48"/>
    </row>
    <row r="986" ht="15.75" customHeight="1">
      <c r="A986" s="49"/>
      <c r="B986" s="49"/>
      <c r="C986" s="49"/>
      <c r="D986" s="49"/>
      <c r="E986" s="49"/>
      <c r="F986" s="49"/>
      <c r="G986" s="49"/>
      <c r="H986" s="49"/>
      <c r="I986" s="49"/>
      <c r="J986" s="49"/>
      <c r="K986" s="49"/>
      <c r="L986" s="49"/>
      <c r="M986" s="49"/>
      <c r="N986" s="49"/>
      <c r="O986" s="48"/>
      <c r="P986" s="48"/>
      <c r="Q986" s="48"/>
      <c r="R986" s="48"/>
      <c r="S986" s="48"/>
      <c r="T986" s="48"/>
      <c r="U986" s="48"/>
      <c r="V986" s="48"/>
      <c r="W986" s="48"/>
      <c r="X986" s="48"/>
      <c r="Y986" s="48"/>
      <c r="Z986" s="48"/>
    </row>
    <row r="987" ht="15.75" customHeight="1">
      <c r="A987" s="49"/>
      <c r="B987" s="49"/>
      <c r="C987" s="49"/>
      <c r="D987" s="49"/>
      <c r="E987" s="49"/>
      <c r="F987" s="49"/>
      <c r="G987" s="49"/>
      <c r="H987" s="49"/>
      <c r="I987" s="49"/>
      <c r="J987" s="49"/>
      <c r="K987" s="49"/>
      <c r="L987" s="49"/>
      <c r="M987" s="49"/>
      <c r="N987" s="49"/>
      <c r="O987" s="48"/>
      <c r="P987" s="48"/>
      <c r="Q987" s="48"/>
      <c r="R987" s="48"/>
      <c r="S987" s="48"/>
      <c r="T987" s="48"/>
      <c r="U987" s="48"/>
      <c r="V987" s="48"/>
      <c r="W987" s="48"/>
      <c r="X987" s="48"/>
      <c r="Y987" s="48"/>
      <c r="Z987" s="48"/>
    </row>
    <row r="988" ht="15.75" customHeight="1">
      <c r="A988" s="49"/>
      <c r="B988" s="49"/>
      <c r="C988" s="49"/>
      <c r="D988" s="49"/>
      <c r="E988" s="49"/>
      <c r="F988" s="49"/>
      <c r="G988" s="49"/>
      <c r="H988" s="49"/>
      <c r="I988" s="49"/>
      <c r="J988" s="49"/>
      <c r="K988" s="49"/>
      <c r="L988" s="49"/>
      <c r="M988" s="49"/>
      <c r="N988" s="49"/>
      <c r="O988" s="48"/>
      <c r="P988" s="48"/>
      <c r="Q988" s="48"/>
      <c r="R988" s="48"/>
      <c r="S988" s="48"/>
      <c r="T988" s="48"/>
      <c r="U988" s="48"/>
      <c r="V988" s="48"/>
      <c r="W988" s="48"/>
      <c r="X988" s="48"/>
      <c r="Y988" s="48"/>
      <c r="Z988" s="48"/>
    </row>
    <row r="989" ht="15.75" customHeight="1">
      <c r="A989" s="49"/>
      <c r="B989" s="49"/>
      <c r="C989" s="49"/>
      <c r="D989" s="49"/>
      <c r="E989" s="49"/>
      <c r="F989" s="49"/>
      <c r="G989" s="49"/>
      <c r="H989" s="49"/>
      <c r="I989" s="49"/>
      <c r="J989" s="49"/>
      <c r="K989" s="49"/>
      <c r="L989" s="49"/>
      <c r="M989" s="49"/>
      <c r="N989" s="49"/>
      <c r="O989" s="48"/>
      <c r="P989" s="48"/>
      <c r="Q989" s="48"/>
      <c r="R989" s="48"/>
      <c r="S989" s="48"/>
      <c r="T989" s="48"/>
      <c r="U989" s="48"/>
      <c r="V989" s="48"/>
      <c r="W989" s="48"/>
      <c r="X989" s="48"/>
      <c r="Y989" s="48"/>
      <c r="Z989" s="48"/>
    </row>
    <row r="990" ht="15.75" customHeight="1">
      <c r="A990" s="49"/>
      <c r="B990" s="49"/>
      <c r="C990" s="49"/>
      <c r="D990" s="49"/>
      <c r="E990" s="49"/>
      <c r="F990" s="49"/>
      <c r="G990" s="49"/>
      <c r="H990" s="49"/>
      <c r="I990" s="49"/>
      <c r="J990" s="49"/>
      <c r="K990" s="49"/>
      <c r="L990" s="49"/>
      <c r="M990" s="49"/>
      <c r="N990" s="49"/>
      <c r="O990" s="48"/>
      <c r="P990" s="48"/>
      <c r="Q990" s="48"/>
      <c r="R990" s="48"/>
      <c r="S990" s="48"/>
      <c r="T990" s="48"/>
      <c r="U990" s="48"/>
      <c r="V990" s="48"/>
      <c r="W990" s="48"/>
      <c r="X990" s="48"/>
      <c r="Y990" s="48"/>
      <c r="Z990" s="48"/>
    </row>
    <row r="991" ht="15.75" customHeight="1">
      <c r="A991" s="49"/>
      <c r="B991" s="49"/>
      <c r="C991" s="49"/>
      <c r="D991" s="49"/>
      <c r="E991" s="49"/>
      <c r="F991" s="49"/>
      <c r="G991" s="49"/>
      <c r="H991" s="49"/>
      <c r="I991" s="49"/>
      <c r="J991" s="49"/>
      <c r="K991" s="49"/>
      <c r="L991" s="49"/>
      <c r="M991" s="49"/>
      <c r="N991" s="49"/>
      <c r="O991" s="48"/>
      <c r="P991" s="48"/>
      <c r="Q991" s="48"/>
      <c r="R991" s="48"/>
      <c r="S991" s="48"/>
      <c r="T991" s="48"/>
      <c r="U991" s="48"/>
      <c r="V991" s="48"/>
      <c r="W991" s="48"/>
      <c r="X991" s="48"/>
      <c r="Y991" s="48"/>
      <c r="Z991" s="48"/>
    </row>
    <row r="992" ht="15.75" customHeight="1">
      <c r="A992" s="49"/>
      <c r="B992" s="49"/>
      <c r="C992" s="49"/>
      <c r="D992" s="49"/>
      <c r="E992" s="49"/>
      <c r="F992" s="49"/>
      <c r="G992" s="49"/>
      <c r="H992" s="49"/>
      <c r="I992" s="49"/>
      <c r="J992" s="49"/>
      <c r="K992" s="49"/>
      <c r="L992" s="49"/>
      <c r="M992" s="49"/>
      <c r="N992" s="49"/>
      <c r="O992" s="48"/>
      <c r="P992" s="48"/>
      <c r="Q992" s="48"/>
      <c r="R992" s="48"/>
      <c r="S992" s="48"/>
      <c r="T992" s="48"/>
      <c r="U992" s="48"/>
      <c r="V992" s="48"/>
      <c r="W992" s="48"/>
      <c r="X992" s="48"/>
      <c r="Y992" s="48"/>
      <c r="Z992" s="48"/>
    </row>
    <row r="993" ht="15.75" customHeight="1">
      <c r="A993" s="49"/>
      <c r="B993" s="49"/>
      <c r="C993" s="49"/>
      <c r="D993" s="49"/>
      <c r="E993" s="49"/>
      <c r="F993" s="49"/>
      <c r="G993" s="49"/>
      <c r="H993" s="49"/>
      <c r="I993" s="49"/>
      <c r="J993" s="49"/>
      <c r="K993" s="49"/>
      <c r="L993" s="49"/>
      <c r="M993" s="49"/>
      <c r="N993" s="49"/>
      <c r="O993" s="48"/>
      <c r="P993" s="48"/>
      <c r="Q993" s="48"/>
      <c r="R993" s="48"/>
      <c r="S993" s="48"/>
      <c r="T993" s="48"/>
      <c r="U993" s="48"/>
      <c r="V993" s="48"/>
      <c r="W993" s="48"/>
      <c r="X993" s="48"/>
      <c r="Y993" s="48"/>
      <c r="Z993" s="48"/>
    </row>
    <row r="994" ht="15.75" customHeight="1">
      <c r="A994" s="49"/>
      <c r="B994" s="49"/>
      <c r="C994" s="49"/>
      <c r="D994" s="49"/>
      <c r="E994" s="49"/>
      <c r="F994" s="49"/>
      <c r="G994" s="49"/>
      <c r="H994" s="49"/>
      <c r="I994" s="49"/>
      <c r="J994" s="49"/>
      <c r="K994" s="49"/>
      <c r="L994" s="49"/>
      <c r="M994" s="49"/>
      <c r="N994" s="49"/>
      <c r="O994" s="48"/>
      <c r="P994" s="48"/>
      <c r="Q994" s="48"/>
      <c r="R994" s="48"/>
      <c r="S994" s="48"/>
      <c r="T994" s="48"/>
      <c r="U994" s="48"/>
      <c r="V994" s="48"/>
      <c r="W994" s="48"/>
      <c r="X994" s="48"/>
      <c r="Y994" s="48"/>
      <c r="Z994" s="48"/>
    </row>
    <row r="995" ht="15.75" customHeight="1">
      <c r="A995" s="49"/>
      <c r="B995" s="49"/>
      <c r="C995" s="49"/>
      <c r="D995" s="49"/>
      <c r="E995" s="49"/>
      <c r="F995" s="49"/>
      <c r="G995" s="49"/>
      <c r="H995" s="49"/>
      <c r="I995" s="49"/>
      <c r="J995" s="49"/>
      <c r="K995" s="49"/>
      <c r="L995" s="49"/>
      <c r="M995" s="49"/>
      <c r="N995" s="49"/>
      <c r="O995" s="48"/>
      <c r="P995" s="48"/>
      <c r="Q995" s="48"/>
      <c r="R995" s="48"/>
      <c r="S995" s="48"/>
      <c r="T995" s="48"/>
      <c r="U995" s="48"/>
      <c r="V995" s="48"/>
      <c r="W995" s="48"/>
      <c r="X995" s="48"/>
      <c r="Y995" s="48"/>
      <c r="Z995" s="48"/>
    </row>
    <row r="996" ht="15.75" customHeight="1">
      <c r="A996" s="49"/>
      <c r="B996" s="49"/>
      <c r="C996" s="49"/>
      <c r="D996" s="49"/>
      <c r="E996" s="49"/>
      <c r="F996" s="49"/>
      <c r="G996" s="49"/>
      <c r="H996" s="49"/>
      <c r="I996" s="49"/>
      <c r="J996" s="49"/>
      <c r="K996" s="49"/>
      <c r="L996" s="49"/>
      <c r="M996" s="49"/>
      <c r="N996" s="49"/>
      <c r="O996" s="48"/>
      <c r="P996" s="48"/>
      <c r="Q996" s="48"/>
      <c r="R996" s="48"/>
      <c r="S996" s="48"/>
      <c r="T996" s="48"/>
      <c r="U996" s="48"/>
      <c r="V996" s="48"/>
      <c r="W996" s="48"/>
      <c r="X996" s="48"/>
      <c r="Y996" s="48"/>
      <c r="Z996" s="48"/>
    </row>
    <row r="997" ht="15.75" customHeight="1">
      <c r="A997" s="49"/>
      <c r="B997" s="49"/>
      <c r="C997" s="49"/>
      <c r="D997" s="49"/>
      <c r="E997" s="49"/>
      <c r="F997" s="49"/>
      <c r="G997" s="49"/>
      <c r="H997" s="49"/>
      <c r="I997" s="49"/>
      <c r="J997" s="49"/>
      <c r="K997" s="49"/>
      <c r="L997" s="49"/>
      <c r="M997" s="49"/>
      <c r="N997" s="49"/>
      <c r="O997" s="48"/>
      <c r="P997" s="48"/>
      <c r="Q997" s="48"/>
      <c r="R997" s="48"/>
      <c r="S997" s="48"/>
      <c r="T997" s="48"/>
      <c r="U997" s="48"/>
      <c r="V997" s="48"/>
      <c r="W997" s="48"/>
      <c r="X997" s="48"/>
      <c r="Y997" s="48"/>
      <c r="Z997" s="48"/>
    </row>
    <row r="998" ht="15.75" customHeight="1">
      <c r="A998" s="49"/>
      <c r="B998" s="49"/>
      <c r="C998" s="49"/>
      <c r="D998" s="49"/>
      <c r="E998" s="49"/>
      <c r="F998" s="49"/>
      <c r="G998" s="49"/>
      <c r="H998" s="49"/>
      <c r="I998" s="49"/>
      <c r="J998" s="49"/>
      <c r="K998" s="49"/>
      <c r="L998" s="49"/>
      <c r="M998" s="49"/>
      <c r="N998" s="49"/>
      <c r="O998" s="48"/>
      <c r="P998" s="48"/>
      <c r="Q998" s="48"/>
      <c r="R998" s="48"/>
      <c r="S998" s="48"/>
      <c r="T998" s="48"/>
      <c r="U998" s="48"/>
      <c r="V998" s="48"/>
      <c r="W998" s="48"/>
      <c r="X998" s="48"/>
      <c r="Y998" s="48"/>
      <c r="Z998" s="48"/>
    </row>
    <row r="999" ht="15.75" customHeight="1">
      <c r="A999" s="49"/>
      <c r="B999" s="49"/>
      <c r="C999" s="49"/>
      <c r="D999" s="49"/>
      <c r="E999" s="49"/>
      <c r="F999" s="49"/>
      <c r="G999" s="49"/>
      <c r="H999" s="49"/>
      <c r="I999" s="49"/>
      <c r="J999" s="49"/>
      <c r="K999" s="49"/>
      <c r="L999" s="49"/>
      <c r="M999" s="49"/>
      <c r="N999" s="49"/>
      <c r="O999" s="48"/>
      <c r="P999" s="48"/>
      <c r="Q999" s="48"/>
      <c r="R999" s="48"/>
      <c r="S999" s="48"/>
      <c r="T999" s="48"/>
      <c r="U999" s="48"/>
      <c r="V999" s="48"/>
      <c r="W999" s="48"/>
      <c r="X999" s="48"/>
      <c r="Y999" s="48"/>
      <c r="Z999" s="48"/>
    </row>
    <row r="1000" ht="15.75" customHeight="1">
      <c r="A1000" s="49"/>
      <c r="B1000" s="49"/>
      <c r="C1000" s="49"/>
      <c r="D1000" s="49"/>
      <c r="E1000" s="49"/>
      <c r="F1000" s="49"/>
      <c r="G1000" s="49"/>
      <c r="H1000" s="49"/>
      <c r="I1000" s="49"/>
      <c r="J1000" s="49"/>
      <c r="K1000" s="49"/>
      <c r="L1000" s="49"/>
      <c r="M1000" s="49"/>
      <c r="N1000" s="49"/>
      <c r="O1000" s="48"/>
      <c r="P1000" s="48"/>
      <c r="Q1000" s="48"/>
      <c r="R1000" s="48"/>
      <c r="S1000" s="48"/>
      <c r="T1000" s="48"/>
      <c r="U1000" s="48"/>
      <c r="V1000" s="48"/>
      <c r="W1000" s="48"/>
      <c r="X1000" s="48"/>
      <c r="Y1000" s="48"/>
      <c r="Z1000" s="48"/>
    </row>
  </sheetData>
  <mergeCells count="4">
    <mergeCell ref="A1:N1"/>
    <mergeCell ref="A2:N2"/>
    <mergeCell ref="A3:N3"/>
    <mergeCell ref="A48:N48"/>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2"/>
  <cols>
    <col customWidth="1" min="1" max="1" width="30.14"/>
    <col customWidth="1" min="2" max="3" width="19.43"/>
    <col customWidth="1" min="4" max="6" width="18.43"/>
    <col customWidth="1" min="7" max="11" width="19.43"/>
    <col customWidth="1" min="12" max="13" width="18.43"/>
    <col customWidth="1" min="14" max="14" width="19.43"/>
    <col customWidth="1" min="15" max="26" width="12.86"/>
  </cols>
  <sheetData>
    <row r="1" ht="15.75" customHeight="1">
      <c r="A1" s="47" t="s">
        <v>127</v>
      </c>
      <c r="O1" s="48"/>
      <c r="P1" s="48"/>
      <c r="Q1" s="48"/>
      <c r="R1" s="48"/>
      <c r="S1" s="48"/>
      <c r="T1" s="48"/>
      <c r="U1" s="48"/>
      <c r="V1" s="48"/>
      <c r="W1" s="48"/>
      <c r="X1" s="48"/>
      <c r="Y1" s="48"/>
      <c r="Z1" s="48"/>
    </row>
    <row r="2" ht="15.75" customHeight="1">
      <c r="A2" s="47" t="s">
        <v>104</v>
      </c>
      <c r="O2" s="48"/>
      <c r="P2" s="48"/>
      <c r="Q2" s="48"/>
      <c r="R2" s="48"/>
      <c r="S2" s="48"/>
      <c r="T2" s="48"/>
      <c r="U2" s="48"/>
      <c r="V2" s="48"/>
      <c r="W2" s="48"/>
      <c r="X2" s="48"/>
      <c r="Y2" s="48"/>
      <c r="Z2" s="48"/>
    </row>
    <row r="3" ht="15.75" customHeight="1">
      <c r="A3" s="47" t="s">
        <v>182</v>
      </c>
      <c r="O3" s="48"/>
      <c r="P3" s="48"/>
      <c r="Q3" s="48"/>
      <c r="R3" s="48"/>
      <c r="S3" s="48"/>
      <c r="T3" s="48"/>
      <c r="U3" s="48"/>
      <c r="V3" s="48"/>
      <c r="W3" s="48"/>
      <c r="X3" s="48"/>
      <c r="Y3" s="48"/>
      <c r="Z3" s="48"/>
    </row>
    <row r="4" ht="15.75" customHeight="1">
      <c r="A4" s="49"/>
      <c r="B4" s="49"/>
      <c r="C4" s="49"/>
      <c r="D4" s="49"/>
      <c r="E4" s="49"/>
      <c r="F4" s="49"/>
      <c r="G4" s="49"/>
      <c r="H4" s="49"/>
      <c r="I4" s="49"/>
      <c r="J4" s="49"/>
      <c r="K4" s="49"/>
      <c r="L4" s="49"/>
      <c r="M4" s="49"/>
      <c r="N4" s="49"/>
      <c r="O4" s="48"/>
      <c r="P4" s="48"/>
      <c r="Q4" s="48"/>
      <c r="R4" s="48"/>
      <c r="S4" s="48"/>
      <c r="T4" s="48"/>
      <c r="U4" s="48"/>
      <c r="V4" s="48"/>
      <c r="W4" s="48"/>
      <c r="X4" s="48"/>
      <c r="Y4" s="48"/>
      <c r="Z4" s="48"/>
    </row>
    <row r="5" ht="15.75" customHeight="1">
      <c r="A5" s="50" t="s">
        <v>129</v>
      </c>
      <c r="B5" s="50" t="s">
        <v>183</v>
      </c>
      <c r="C5" s="50" t="s">
        <v>184</v>
      </c>
      <c r="D5" s="50" t="s">
        <v>185</v>
      </c>
      <c r="E5" s="50" t="s">
        <v>186</v>
      </c>
      <c r="F5" s="50" t="s">
        <v>187</v>
      </c>
      <c r="G5" s="50" t="s">
        <v>188</v>
      </c>
      <c r="H5" s="50" t="s">
        <v>189</v>
      </c>
      <c r="I5" s="50" t="s">
        <v>190</v>
      </c>
      <c r="J5" s="50" t="s">
        <v>191</v>
      </c>
      <c r="K5" s="50" t="s">
        <v>192</v>
      </c>
      <c r="L5" s="50" t="s">
        <v>193</v>
      </c>
      <c r="M5" s="50" t="s">
        <v>194</v>
      </c>
      <c r="N5" s="50" t="s">
        <v>142</v>
      </c>
      <c r="O5" s="48"/>
      <c r="P5" s="48"/>
      <c r="Q5" s="48"/>
      <c r="R5" s="48"/>
      <c r="S5" s="48"/>
      <c r="T5" s="48"/>
      <c r="U5" s="48"/>
      <c r="V5" s="48"/>
      <c r="W5" s="48"/>
      <c r="X5" s="48"/>
      <c r="Y5" s="48"/>
      <c r="Z5" s="48"/>
    </row>
    <row r="6" ht="15.75" customHeight="1">
      <c r="A6" s="51" t="s">
        <v>143</v>
      </c>
      <c r="B6" s="49"/>
      <c r="C6" s="49"/>
      <c r="D6" s="49"/>
      <c r="E6" s="49"/>
      <c r="F6" s="49"/>
      <c r="G6" s="49"/>
      <c r="H6" s="49"/>
      <c r="I6" s="49"/>
      <c r="J6" s="49"/>
      <c r="K6" s="49"/>
      <c r="L6" s="49"/>
      <c r="M6" s="49"/>
      <c r="N6" s="49"/>
      <c r="O6" s="48"/>
      <c r="P6" s="48"/>
      <c r="Q6" s="48"/>
      <c r="R6" s="48"/>
      <c r="S6" s="48"/>
      <c r="T6" s="48"/>
      <c r="U6" s="48"/>
      <c r="V6" s="48"/>
      <c r="W6" s="48"/>
      <c r="X6" s="48"/>
      <c r="Y6" s="48"/>
      <c r="Z6" s="48"/>
    </row>
    <row r="7" ht="15.75" customHeight="1" outlineLevel="1">
      <c r="A7" s="51" t="s">
        <v>195</v>
      </c>
      <c r="B7" s="52">
        <v>6531.2</v>
      </c>
      <c r="C7" s="52">
        <v>7665.3</v>
      </c>
      <c r="D7" s="52">
        <v>12243.7</v>
      </c>
      <c r="E7" s="52">
        <v>10368.2</v>
      </c>
      <c r="F7" s="52">
        <v>10717.1</v>
      </c>
      <c r="G7" s="52">
        <v>10363.3</v>
      </c>
      <c r="H7" s="52">
        <v>13924.5</v>
      </c>
      <c r="I7" s="52">
        <v>12899.7</v>
      </c>
      <c r="J7" s="52">
        <v>12099.13</v>
      </c>
      <c r="K7" s="52">
        <v>9860.72</v>
      </c>
      <c r="L7" s="52">
        <v>14666.64</v>
      </c>
      <c r="M7" s="52">
        <v>7736.37</v>
      </c>
      <c r="N7" s="52">
        <f t="shared" ref="N7:N10" si="1">B7+C7+D7+E7+F7+G7+H7+I7+J7+K7+L7+M7</f>
        <v>129075.86</v>
      </c>
      <c r="O7" s="48"/>
      <c r="P7" s="48"/>
      <c r="Q7" s="48"/>
      <c r="R7" s="48"/>
      <c r="S7" s="48"/>
      <c r="T7" s="48"/>
      <c r="U7" s="48"/>
      <c r="V7" s="48"/>
      <c r="W7" s="48"/>
      <c r="X7" s="48"/>
      <c r="Y7" s="48"/>
      <c r="Z7" s="48"/>
    </row>
    <row r="8" ht="15.75" customHeight="1" outlineLevel="1">
      <c r="A8" s="51" t="s">
        <v>144</v>
      </c>
      <c r="B8" s="52">
        <v>36475.75</v>
      </c>
      <c r="C8" s="52">
        <v>33157.12</v>
      </c>
      <c r="D8" s="52">
        <v>50289.19</v>
      </c>
      <c r="E8" s="52">
        <v>59130.24</v>
      </c>
      <c r="F8" s="52">
        <v>61029.36</v>
      </c>
      <c r="G8" s="52">
        <v>50245.98</v>
      </c>
      <c r="H8" s="52">
        <v>76604.43</v>
      </c>
      <c r="I8" s="52">
        <v>101727.59</v>
      </c>
      <c r="J8" s="52">
        <v>74239.13</v>
      </c>
      <c r="K8" s="52">
        <v>94252.6</v>
      </c>
      <c r="L8" s="52">
        <v>89715.51</v>
      </c>
      <c r="M8" s="52">
        <v>78334.59</v>
      </c>
      <c r="N8" s="52">
        <f t="shared" si="1"/>
        <v>805201.49</v>
      </c>
      <c r="O8" s="48"/>
      <c r="P8" s="48"/>
      <c r="Q8" s="48"/>
      <c r="R8" s="48"/>
      <c r="S8" s="48"/>
      <c r="T8" s="48"/>
      <c r="U8" s="48"/>
      <c r="V8" s="48"/>
      <c r="W8" s="48"/>
      <c r="X8" s="48"/>
      <c r="Y8" s="48"/>
      <c r="Z8" s="48"/>
    </row>
    <row r="9" ht="15.75" customHeight="1" outlineLevel="1">
      <c r="A9" s="51" t="s">
        <v>145</v>
      </c>
      <c r="B9" s="52">
        <v>6044.39</v>
      </c>
      <c r="C9" s="52">
        <v>5859.82</v>
      </c>
      <c r="D9" s="52">
        <v>6172.42</v>
      </c>
      <c r="E9" s="52">
        <v>6268.65</v>
      </c>
      <c r="F9" s="52">
        <v>6478.62</v>
      </c>
      <c r="G9" s="52">
        <v>7302.77</v>
      </c>
      <c r="H9" s="52">
        <v>6180.55</v>
      </c>
      <c r="I9" s="52">
        <v>7171.18</v>
      </c>
      <c r="J9" s="52">
        <v>7755.7</v>
      </c>
      <c r="K9" s="52">
        <v>6276.58</v>
      </c>
      <c r="L9" s="52">
        <v>9566.41</v>
      </c>
      <c r="M9" s="52">
        <v>4870.29</v>
      </c>
      <c r="N9" s="52">
        <f t="shared" si="1"/>
        <v>79947.38</v>
      </c>
      <c r="O9" s="48"/>
      <c r="P9" s="48"/>
      <c r="Q9" s="48"/>
      <c r="R9" s="48"/>
      <c r="S9" s="48"/>
      <c r="T9" s="48"/>
      <c r="U9" s="48"/>
      <c r="V9" s="48"/>
      <c r="W9" s="48"/>
      <c r="X9" s="48"/>
      <c r="Y9" s="48"/>
      <c r="Z9" s="48"/>
    </row>
    <row r="10" ht="15.75" customHeight="1">
      <c r="A10" s="53" t="s">
        <v>147</v>
      </c>
      <c r="B10" s="54">
        <f t="shared" ref="B10:M10" si="2">B7+B8+B9</f>
        <v>49051.34</v>
      </c>
      <c r="C10" s="54">
        <f t="shared" si="2"/>
        <v>46682.24</v>
      </c>
      <c r="D10" s="54">
        <f t="shared" si="2"/>
        <v>68705.31</v>
      </c>
      <c r="E10" s="54">
        <f t="shared" si="2"/>
        <v>75767.09</v>
      </c>
      <c r="F10" s="54">
        <f t="shared" si="2"/>
        <v>78225.08</v>
      </c>
      <c r="G10" s="54">
        <f t="shared" si="2"/>
        <v>67912.05</v>
      </c>
      <c r="H10" s="54">
        <f t="shared" si="2"/>
        <v>96709.48</v>
      </c>
      <c r="I10" s="54">
        <f t="shared" si="2"/>
        <v>121798.47</v>
      </c>
      <c r="J10" s="54">
        <f t="shared" si="2"/>
        <v>94093.96</v>
      </c>
      <c r="K10" s="54">
        <f t="shared" si="2"/>
        <v>110389.9</v>
      </c>
      <c r="L10" s="54">
        <f t="shared" si="2"/>
        <v>113948.56</v>
      </c>
      <c r="M10" s="54">
        <f t="shared" si="2"/>
        <v>90941.25</v>
      </c>
      <c r="N10" s="55">
        <f t="shared" si="1"/>
        <v>1014224.73</v>
      </c>
      <c r="O10" s="48"/>
      <c r="P10" s="58">
        <f>SUM(K10:M10)</f>
        <v>315279.71</v>
      </c>
      <c r="Q10" s="48"/>
      <c r="R10" s="48"/>
      <c r="S10" s="48"/>
      <c r="T10" s="48"/>
      <c r="U10" s="48"/>
      <c r="V10" s="48"/>
      <c r="W10" s="48"/>
      <c r="X10" s="48"/>
      <c r="Y10" s="48"/>
      <c r="Z10" s="48"/>
    </row>
    <row r="11" ht="15.75" customHeight="1">
      <c r="A11" s="51" t="s">
        <v>148</v>
      </c>
      <c r="B11" s="49"/>
      <c r="C11" s="49"/>
      <c r="D11" s="49"/>
      <c r="E11" s="49"/>
      <c r="F11" s="49"/>
      <c r="G11" s="49"/>
      <c r="H11" s="49"/>
      <c r="I11" s="49"/>
      <c r="J11" s="49"/>
      <c r="K11" s="49"/>
      <c r="L11" s="49"/>
      <c r="M11" s="49"/>
      <c r="N11" s="49"/>
      <c r="O11" s="48"/>
      <c r="P11" s="48"/>
      <c r="Q11" s="48"/>
      <c r="R11" s="48"/>
      <c r="S11" s="48"/>
      <c r="T11" s="48"/>
      <c r="U11" s="48"/>
      <c r="V11" s="48"/>
      <c r="W11" s="48"/>
      <c r="X11" s="48"/>
      <c r="Y11" s="48"/>
      <c r="Z11" s="48"/>
    </row>
    <row r="12" ht="15.75" customHeight="1" outlineLevel="1">
      <c r="A12" s="51" t="s">
        <v>148</v>
      </c>
      <c r="B12" s="52">
        <v>10599.06</v>
      </c>
      <c r="C12" s="52">
        <v>7570.31</v>
      </c>
      <c r="D12" s="52">
        <v>16788.95</v>
      </c>
      <c r="E12" s="52">
        <v>5196.38</v>
      </c>
      <c r="F12" s="52">
        <v>26828.8</v>
      </c>
      <c r="G12" s="52">
        <v>12294.59</v>
      </c>
      <c r="H12" s="52">
        <v>17129.39</v>
      </c>
      <c r="I12" s="52">
        <v>14817.35</v>
      </c>
      <c r="J12" s="52">
        <v>15713.13</v>
      </c>
      <c r="K12" s="52">
        <v>14554.12</v>
      </c>
      <c r="L12" s="52">
        <v>15101.89</v>
      </c>
      <c r="M12" s="52">
        <v>20698.3</v>
      </c>
      <c r="N12" s="52">
        <f t="shared" ref="N12:N17" si="3">B12+C12+D12+E12+F12+G12+H12+I12+J12+K12+L12+M12</f>
        <v>177292.27</v>
      </c>
      <c r="O12" s="48"/>
      <c r="P12" s="48"/>
      <c r="Q12" s="48"/>
      <c r="R12" s="48"/>
      <c r="S12" s="48"/>
      <c r="T12" s="48"/>
      <c r="U12" s="48"/>
      <c r="V12" s="48"/>
      <c r="W12" s="48"/>
      <c r="X12" s="48"/>
      <c r="Y12" s="48"/>
      <c r="Z12" s="48"/>
    </row>
    <row r="13" ht="15.75" customHeight="1" outlineLevel="1">
      <c r="A13" s="51" t="s">
        <v>149</v>
      </c>
      <c r="B13" s="52">
        <v>6679.55</v>
      </c>
      <c r="C13" s="52">
        <v>14791.25</v>
      </c>
      <c r="D13" s="52">
        <v>14931.31</v>
      </c>
      <c r="E13" s="52">
        <v>26319.79</v>
      </c>
      <c r="F13" s="52">
        <v>29678.04</v>
      </c>
      <c r="G13" s="52">
        <v>9649.56</v>
      </c>
      <c r="H13" s="52">
        <v>21267.59</v>
      </c>
      <c r="I13" s="52">
        <v>41625.0</v>
      </c>
      <c r="J13" s="52">
        <v>38381.12</v>
      </c>
      <c r="K13" s="52">
        <v>38231.7</v>
      </c>
      <c r="L13" s="52">
        <v>22542.15</v>
      </c>
      <c r="M13" s="52">
        <v>16518.02</v>
      </c>
      <c r="N13" s="52">
        <f t="shared" si="3"/>
        <v>280615.08</v>
      </c>
      <c r="O13" s="48"/>
      <c r="P13" s="48"/>
      <c r="Q13" s="48"/>
      <c r="R13" s="48"/>
      <c r="S13" s="48"/>
      <c r="T13" s="48"/>
      <c r="U13" s="48"/>
      <c r="V13" s="48"/>
      <c r="W13" s="48"/>
      <c r="X13" s="48"/>
      <c r="Y13" s="48"/>
      <c r="Z13" s="48"/>
    </row>
    <row r="14" ht="15.75" customHeight="1" outlineLevel="1">
      <c r="A14" s="51" t="s">
        <v>150</v>
      </c>
      <c r="B14" s="52">
        <v>9855.79</v>
      </c>
      <c r="C14" s="52">
        <v>9195.52</v>
      </c>
      <c r="D14" s="52">
        <v>14967.36</v>
      </c>
      <c r="E14" s="52">
        <v>16673.67</v>
      </c>
      <c r="F14" s="52">
        <v>13933.27</v>
      </c>
      <c r="G14" s="52">
        <v>14902.22</v>
      </c>
      <c r="H14" s="52">
        <v>20371.57</v>
      </c>
      <c r="I14" s="52">
        <v>29760.77</v>
      </c>
      <c r="J14" s="52">
        <v>17575.42</v>
      </c>
      <c r="K14" s="52">
        <v>26315.55</v>
      </c>
      <c r="L14" s="52">
        <v>19544.48</v>
      </c>
      <c r="M14" s="52">
        <v>21776.65</v>
      </c>
      <c r="N14" s="52">
        <f t="shared" si="3"/>
        <v>214872.27</v>
      </c>
      <c r="O14" s="48"/>
      <c r="P14" s="48"/>
      <c r="Q14" s="48"/>
      <c r="R14" s="48"/>
      <c r="S14" s="48"/>
      <c r="T14" s="48"/>
      <c r="U14" s="48"/>
      <c r="V14" s="48"/>
      <c r="W14" s="48"/>
      <c r="X14" s="48"/>
      <c r="Y14" s="48"/>
      <c r="Z14" s="48"/>
    </row>
    <row r="15" ht="15.75" customHeight="1" outlineLevel="1">
      <c r="A15" s="51" t="s">
        <v>196</v>
      </c>
      <c r="B15" s="52">
        <v>693.11</v>
      </c>
      <c r="C15" s="52">
        <v>6539.95</v>
      </c>
      <c r="D15" s="52">
        <v>1589.12</v>
      </c>
      <c r="E15" s="52">
        <v>6329.32</v>
      </c>
      <c r="F15" s="52">
        <v>1692.47</v>
      </c>
      <c r="G15" s="52">
        <v>1341.67</v>
      </c>
      <c r="H15" s="52">
        <v>6822.47</v>
      </c>
      <c r="I15" s="49"/>
      <c r="J15" s="52">
        <v>2558.24</v>
      </c>
      <c r="K15" s="49"/>
      <c r="L15" s="49"/>
      <c r="M15" s="49"/>
      <c r="N15" s="52">
        <f t="shared" si="3"/>
        <v>27566.35</v>
      </c>
      <c r="O15" s="48"/>
      <c r="P15" s="48"/>
      <c r="Q15" s="48"/>
      <c r="R15" s="48"/>
      <c r="S15" s="48"/>
      <c r="T15" s="48"/>
      <c r="U15" s="48"/>
      <c r="V15" s="48"/>
      <c r="W15" s="48"/>
      <c r="X15" s="48"/>
      <c r="Y15" s="48"/>
      <c r="Z15" s="48"/>
    </row>
    <row r="16" ht="15.75" customHeight="1">
      <c r="A16" s="53" t="s">
        <v>151</v>
      </c>
      <c r="B16" s="54">
        <f t="shared" ref="B16:M16" si="4">B12+B13+B14+B15</f>
        <v>27827.51</v>
      </c>
      <c r="C16" s="54">
        <f t="shared" si="4"/>
        <v>38097.03</v>
      </c>
      <c r="D16" s="54">
        <f t="shared" si="4"/>
        <v>48276.74</v>
      </c>
      <c r="E16" s="54">
        <f t="shared" si="4"/>
        <v>54519.16</v>
      </c>
      <c r="F16" s="54">
        <f t="shared" si="4"/>
        <v>72132.58</v>
      </c>
      <c r="G16" s="54">
        <f t="shared" si="4"/>
        <v>38188.04</v>
      </c>
      <c r="H16" s="54">
        <f t="shared" si="4"/>
        <v>65591.02</v>
      </c>
      <c r="I16" s="54">
        <f t="shared" si="4"/>
        <v>86203.12</v>
      </c>
      <c r="J16" s="54">
        <f t="shared" si="4"/>
        <v>74227.91</v>
      </c>
      <c r="K16" s="54">
        <f t="shared" si="4"/>
        <v>79101.37</v>
      </c>
      <c r="L16" s="54">
        <f t="shared" si="4"/>
        <v>57188.52</v>
      </c>
      <c r="M16" s="54">
        <f t="shared" si="4"/>
        <v>58992.97</v>
      </c>
      <c r="N16" s="55">
        <f t="shared" si="3"/>
        <v>700345.97</v>
      </c>
      <c r="O16" s="48"/>
      <c r="P16" s="48"/>
      <c r="Q16" s="48"/>
      <c r="R16" s="48"/>
      <c r="S16" s="48"/>
      <c r="T16" s="48"/>
      <c r="U16" s="48"/>
      <c r="V16" s="48"/>
      <c r="W16" s="48"/>
      <c r="X16" s="48"/>
      <c r="Y16" s="48"/>
      <c r="Z16" s="48"/>
    </row>
    <row r="17" ht="15.75" customHeight="1">
      <c r="A17" s="53" t="s">
        <v>152</v>
      </c>
      <c r="B17" s="54">
        <f t="shared" ref="B17:M17" si="5">B10-B16</f>
        <v>21223.83</v>
      </c>
      <c r="C17" s="54">
        <f t="shared" si="5"/>
        <v>8585.21</v>
      </c>
      <c r="D17" s="54">
        <f t="shared" si="5"/>
        <v>20428.57</v>
      </c>
      <c r="E17" s="54">
        <f t="shared" si="5"/>
        <v>21247.93</v>
      </c>
      <c r="F17" s="54">
        <f t="shared" si="5"/>
        <v>6092.5</v>
      </c>
      <c r="G17" s="54">
        <f t="shared" si="5"/>
        <v>29724.01</v>
      </c>
      <c r="H17" s="54">
        <f t="shared" si="5"/>
        <v>31118.46</v>
      </c>
      <c r="I17" s="54">
        <f t="shared" si="5"/>
        <v>35595.35</v>
      </c>
      <c r="J17" s="54">
        <f t="shared" si="5"/>
        <v>19866.05</v>
      </c>
      <c r="K17" s="54">
        <f t="shared" si="5"/>
        <v>31288.53</v>
      </c>
      <c r="L17" s="54">
        <f t="shared" si="5"/>
        <v>56760.04</v>
      </c>
      <c r="M17" s="54">
        <f t="shared" si="5"/>
        <v>31948.28</v>
      </c>
      <c r="N17" s="55">
        <f t="shared" si="3"/>
        <v>313878.76</v>
      </c>
      <c r="O17" s="48"/>
      <c r="P17" s="48"/>
      <c r="Q17" s="48"/>
      <c r="R17" s="48"/>
      <c r="S17" s="48"/>
      <c r="T17" s="48"/>
      <c r="U17" s="48"/>
      <c r="V17" s="48"/>
      <c r="W17" s="48"/>
      <c r="X17" s="48"/>
      <c r="Y17" s="48"/>
      <c r="Z17" s="48"/>
    </row>
    <row r="18" ht="15.75" customHeight="1">
      <c r="A18" s="51" t="s">
        <v>153</v>
      </c>
      <c r="B18" s="49"/>
      <c r="C18" s="49"/>
      <c r="D18" s="49"/>
      <c r="E18" s="49"/>
      <c r="F18" s="49"/>
      <c r="G18" s="49"/>
      <c r="H18" s="49"/>
      <c r="I18" s="49"/>
      <c r="J18" s="49"/>
      <c r="K18" s="49"/>
      <c r="L18" s="49"/>
      <c r="M18" s="49"/>
      <c r="N18" s="49"/>
      <c r="O18" s="48"/>
      <c r="P18" s="48"/>
      <c r="Q18" s="48"/>
      <c r="R18" s="48"/>
      <c r="S18" s="48"/>
      <c r="T18" s="48"/>
      <c r="U18" s="48"/>
      <c r="V18" s="48"/>
      <c r="W18" s="48"/>
      <c r="X18" s="48"/>
      <c r="Y18" s="48"/>
      <c r="Z18" s="48"/>
    </row>
    <row r="19" ht="15.75" customHeight="1" outlineLevel="1">
      <c r="A19" s="51" t="s">
        <v>154</v>
      </c>
      <c r="B19" s="52">
        <v>8551.71</v>
      </c>
      <c r="C19" s="52">
        <v>14213.97</v>
      </c>
      <c r="D19" s="52">
        <v>26013.99</v>
      </c>
      <c r="E19" s="52">
        <v>27214.61</v>
      </c>
      <c r="F19" s="52">
        <v>18271.27</v>
      </c>
      <c r="G19" s="52">
        <v>21703.28</v>
      </c>
      <c r="H19" s="52">
        <v>33654.05</v>
      </c>
      <c r="I19" s="52">
        <v>26668.44</v>
      </c>
      <c r="J19" s="52">
        <v>16603.84</v>
      </c>
      <c r="K19" s="52">
        <v>15276.9</v>
      </c>
      <c r="L19" s="52">
        <v>16349.7</v>
      </c>
      <c r="M19" s="52">
        <v>17291.14</v>
      </c>
      <c r="N19" s="52">
        <f t="shared" ref="N19:N46" si="6">B19+C19+D19+E19+F19+G19+H19+I19+J19+K19+L19+M19</f>
        <v>241812.9</v>
      </c>
      <c r="O19" s="48"/>
      <c r="P19" s="48"/>
      <c r="Q19" s="48"/>
      <c r="R19" s="48"/>
      <c r="S19" s="48"/>
      <c r="T19" s="48"/>
      <c r="U19" s="48"/>
      <c r="V19" s="48"/>
      <c r="W19" s="48"/>
      <c r="X19" s="48"/>
      <c r="Y19" s="48"/>
      <c r="Z19" s="48"/>
    </row>
    <row r="20" ht="15.75" customHeight="1" outlineLevel="1">
      <c r="A20" s="51" t="s">
        <v>155</v>
      </c>
      <c r="B20" s="52">
        <v>732.81</v>
      </c>
      <c r="C20" s="52">
        <v>109.94</v>
      </c>
      <c r="D20" s="52">
        <v>384.2</v>
      </c>
      <c r="E20" s="52">
        <v>225.41</v>
      </c>
      <c r="F20" s="52">
        <v>53.45</v>
      </c>
      <c r="G20" s="52">
        <v>65.95</v>
      </c>
      <c r="H20" s="52">
        <v>115.45</v>
      </c>
      <c r="I20" s="52">
        <v>34.95</v>
      </c>
      <c r="J20" s="49"/>
      <c r="K20" s="52">
        <v>213.14</v>
      </c>
      <c r="L20" s="52">
        <v>326.37</v>
      </c>
      <c r="M20" s="52">
        <v>169.61</v>
      </c>
      <c r="N20" s="52">
        <f t="shared" si="6"/>
        <v>2431.28</v>
      </c>
      <c r="O20" s="48"/>
      <c r="P20" s="48"/>
      <c r="Q20" s="48"/>
      <c r="R20" s="48"/>
      <c r="S20" s="48"/>
      <c r="T20" s="48"/>
      <c r="U20" s="48"/>
      <c r="V20" s="48"/>
      <c r="W20" s="48"/>
      <c r="X20" s="48"/>
      <c r="Y20" s="48"/>
      <c r="Z20" s="48"/>
    </row>
    <row r="21" ht="15.75" customHeight="1" outlineLevel="2">
      <c r="A21" s="51" t="s">
        <v>156</v>
      </c>
      <c r="B21" s="52">
        <v>514.89</v>
      </c>
      <c r="C21" s="52">
        <v>300.52</v>
      </c>
      <c r="D21" s="52">
        <v>310.97</v>
      </c>
      <c r="E21" s="52">
        <v>247.49</v>
      </c>
      <c r="F21" s="52">
        <v>483.32</v>
      </c>
      <c r="G21" s="52">
        <v>376.6</v>
      </c>
      <c r="H21" s="52">
        <v>274.22</v>
      </c>
      <c r="I21" s="52">
        <v>149.86</v>
      </c>
      <c r="J21" s="52">
        <v>111.08</v>
      </c>
      <c r="K21" s="52">
        <v>788.0</v>
      </c>
      <c r="L21" s="52">
        <v>489.56</v>
      </c>
      <c r="M21" s="52">
        <v>332.13</v>
      </c>
      <c r="N21" s="52">
        <f t="shared" si="6"/>
        <v>4378.64</v>
      </c>
      <c r="O21" s="48"/>
      <c r="P21" s="48"/>
      <c r="Q21" s="48"/>
      <c r="R21" s="48"/>
      <c r="S21" s="48"/>
      <c r="T21" s="48"/>
      <c r="U21" s="48"/>
      <c r="V21" s="48"/>
      <c r="W21" s="48"/>
      <c r="X21" s="48"/>
      <c r="Y21" s="48"/>
      <c r="Z21" s="48"/>
    </row>
    <row r="22" ht="15.75" customHeight="1" outlineLevel="2">
      <c r="A22" s="51" t="s">
        <v>157</v>
      </c>
      <c r="B22" s="52">
        <v>46.0</v>
      </c>
      <c r="C22" s="52">
        <v>15.0</v>
      </c>
      <c r="D22" s="52">
        <v>42.05</v>
      </c>
      <c r="E22" s="49"/>
      <c r="F22" s="52">
        <v>90.42</v>
      </c>
      <c r="G22" s="52">
        <v>10.0</v>
      </c>
      <c r="H22" s="52">
        <v>18.0</v>
      </c>
      <c r="I22" s="49"/>
      <c r="J22" s="52">
        <v>10.99</v>
      </c>
      <c r="K22" s="52">
        <v>18.5</v>
      </c>
      <c r="L22" s="52">
        <v>40.99</v>
      </c>
      <c r="M22" s="52">
        <v>130.11</v>
      </c>
      <c r="N22" s="52">
        <f t="shared" si="6"/>
        <v>422.06</v>
      </c>
      <c r="O22" s="48"/>
      <c r="P22" s="48"/>
      <c r="Q22" s="48"/>
      <c r="R22" s="48"/>
      <c r="S22" s="48"/>
      <c r="T22" s="48"/>
      <c r="U22" s="48"/>
      <c r="V22" s="48"/>
      <c r="W22" s="48"/>
      <c r="X22" s="48"/>
      <c r="Y22" s="48"/>
      <c r="Z22" s="48"/>
    </row>
    <row r="23" ht="15.75" customHeight="1" outlineLevel="1">
      <c r="A23" s="53" t="s">
        <v>158</v>
      </c>
      <c r="B23" s="54">
        <f t="shared" ref="B23:M23" si="7">B20+B21+B22</f>
        <v>1293.7</v>
      </c>
      <c r="C23" s="54">
        <f t="shared" si="7"/>
        <v>425.46</v>
      </c>
      <c r="D23" s="54">
        <f t="shared" si="7"/>
        <v>737.22</v>
      </c>
      <c r="E23" s="54">
        <f t="shared" si="7"/>
        <v>472.9</v>
      </c>
      <c r="F23" s="54">
        <f t="shared" si="7"/>
        <v>627.19</v>
      </c>
      <c r="G23" s="54">
        <f t="shared" si="7"/>
        <v>452.55</v>
      </c>
      <c r="H23" s="54">
        <f t="shared" si="7"/>
        <v>407.67</v>
      </c>
      <c r="I23" s="54">
        <f t="shared" si="7"/>
        <v>184.81</v>
      </c>
      <c r="J23" s="54">
        <f t="shared" si="7"/>
        <v>122.07</v>
      </c>
      <c r="K23" s="54">
        <f t="shared" si="7"/>
        <v>1019.64</v>
      </c>
      <c r="L23" s="54">
        <f t="shared" si="7"/>
        <v>856.92</v>
      </c>
      <c r="M23" s="54">
        <f t="shared" si="7"/>
        <v>631.85</v>
      </c>
      <c r="N23" s="55">
        <f t="shared" si="6"/>
        <v>7231.98</v>
      </c>
      <c r="O23" s="48"/>
      <c r="P23" s="48"/>
      <c r="Q23" s="48"/>
      <c r="R23" s="48"/>
      <c r="S23" s="48"/>
      <c r="T23" s="48"/>
      <c r="U23" s="48"/>
      <c r="V23" s="48"/>
      <c r="W23" s="48"/>
      <c r="X23" s="48"/>
      <c r="Y23" s="48"/>
      <c r="Z23" s="48"/>
    </row>
    <row r="24" ht="15.75" customHeight="1" outlineLevel="1">
      <c r="A24" s="51" t="s">
        <v>159</v>
      </c>
      <c r="B24" s="52">
        <v>120.75</v>
      </c>
      <c r="C24" s="52">
        <v>78.0</v>
      </c>
      <c r="D24" s="52">
        <v>129.0</v>
      </c>
      <c r="E24" s="52">
        <v>800.0</v>
      </c>
      <c r="F24" s="52">
        <v>189.41</v>
      </c>
      <c r="G24" s="52">
        <v>270.47</v>
      </c>
      <c r="H24" s="52">
        <v>190.31</v>
      </c>
      <c r="I24" s="52">
        <v>125.85</v>
      </c>
      <c r="J24" s="52">
        <v>298.33</v>
      </c>
      <c r="K24" s="52">
        <v>542.02</v>
      </c>
      <c r="L24" s="52">
        <v>541.14</v>
      </c>
      <c r="M24" s="52">
        <v>351.37</v>
      </c>
      <c r="N24" s="52">
        <f t="shared" si="6"/>
        <v>3636.65</v>
      </c>
      <c r="O24" s="48"/>
      <c r="P24" s="48"/>
      <c r="Q24" s="48"/>
      <c r="R24" s="48"/>
      <c r="S24" s="48"/>
      <c r="T24" s="48"/>
      <c r="U24" s="48"/>
      <c r="V24" s="48"/>
      <c r="W24" s="48"/>
      <c r="X24" s="48"/>
      <c r="Y24" s="48"/>
      <c r="Z24" s="48"/>
    </row>
    <row r="25" ht="15.75" customHeight="1" outlineLevel="1">
      <c r="A25" s="51" t="s">
        <v>160</v>
      </c>
      <c r="B25" s="49"/>
      <c r="C25" s="49"/>
      <c r="D25" s="49"/>
      <c r="E25" s="49"/>
      <c r="F25" s="49"/>
      <c r="G25" s="49"/>
      <c r="H25" s="52">
        <v>446.44</v>
      </c>
      <c r="I25" s="49"/>
      <c r="J25" s="49"/>
      <c r="K25" s="49"/>
      <c r="L25" s="49"/>
      <c r="M25" s="52">
        <v>1097.1</v>
      </c>
      <c r="N25" s="52">
        <f t="shared" si="6"/>
        <v>1543.54</v>
      </c>
      <c r="O25" s="48"/>
      <c r="P25" s="48"/>
      <c r="Q25" s="48"/>
      <c r="R25" s="48"/>
      <c r="S25" s="48"/>
      <c r="T25" s="48"/>
      <c r="U25" s="48"/>
      <c r="V25" s="48"/>
      <c r="W25" s="48"/>
      <c r="X25" s="48"/>
      <c r="Y25" s="48"/>
      <c r="Z25" s="48"/>
    </row>
    <row r="26" ht="15.75" customHeight="1" outlineLevel="1">
      <c r="A26" s="51" t="s">
        <v>161</v>
      </c>
      <c r="B26" s="52">
        <v>97.75</v>
      </c>
      <c r="C26" s="52">
        <v>455.06</v>
      </c>
      <c r="D26" s="52">
        <v>574.93</v>
      </c>
      <c r="E26" s="52">
        <v>538.71</v>
      </c>
      <c r="F26" s="52">
        <v>825.0</v>
      </c>
      <c r="G26" s="52">
        <v>451.6</v>
      </c>
      <c r="H26" s="52">
        <v>558.61</v>
      </c>
      <c r="I26" s="52">
        <v>291.63</v>
      </c>
      <c r="J26" s="52">
        <v>596.26</v>
      </c>
      <c r="K26" s="52">
        <v>320.45</v>
      </c>
      <c r="L26" s="52">
        <v>502.23</v>
      </c>
      <c r="M26" s="52">
        <v>912.17</v>
      </c>
      <c r="N26" s="52">
        <f t="shared" si="6"/>
        <v>6124.4</v>
      </c>
      <c r="O26" s="48"/>
      <c r="P26" s="48"/>
      <c r="Q26" s="48"/>
      <c r="R26" s="48"/>
      <c r="S26" s="48"/>
      <c r="T26" s="48"/>
      <c r="U26" s="48"/>
      <c r="V26" s="48"/>
      <c r="W26" s="48"/>
      <c r="X26" s="48"/>
      <c r="Y26" s="48"/>
      <c r="Z26" s="48"/>
    </row>
    <row r="27" ht="15.75" customHeight="1" outlineLevel="1">
      <c r="A27" s="51" t="s">
        <v>162</v>
      </c>
      <c r="B27" s="52">
        <v>197.16</v>
      </c>
      <c r="C27" s="52">
        <v>197.16</v>
      </c>
      <c r="D27" s="52">
        <v>197.16</v>
      </c>
      <c r="E27" s="52">
        <v>197.16</v>
      </c>
      <c r="F27" s="52">
        <v>197.15</v>
      </c>
      <c r="G27" s="52">
        <v>212.21</v>
      </c>
      <c r="H27" s="52">
        <v>197.16</v>
      </c>
      <c r="I27" s="52">
        <v>197.16</v>
      </c>
      <c r="J27" s="52">
        <v>197.16</v>
      </c>
      <c r="K27" s="52">
        <v>197.16</v>
      </c>
      <c r="L27" s="52">
        <v>197.15</v>
      </c>
      <c r="M27" s="52">
        <v>225.21</v>
      </c>
      <c r="N27" s="52">
        <f t="shared" si="6"/>
        <v>2409</v>
      </c>
      <c r="O27" s="48"/>
      <c r="P27" s="48"/>
      <c r="Q27" s="48"/>
      <c r="R27" s="48"/>
      <c r="S27" s="48"/>
      <c r="T27" s="48"/>
      <c r="U27" s="48"/>
      <c r="V27" s="48"/>
      <c r="W27" s="48"/>
      <c r="X27" s="48"/>
      <c r="Y27" s="48"/>
      <c r="Z27" s="48"/>
    </row>
    <row r="28" ht="15.75" customHeight="1" outlineLevel="1">
      <c r="A28" s="51" t="s">
        <v>197</v>
      </c>
      <c r="B28" s="49"/>
      <c r="C28" s="49"/>
      <c r="D28" s="49"/>
      <c r="E28" s="49"/>
      <c r="F28" s="52">
        <v>872.73</v>
      </c>
      <c r="G28" s="49"/>
      <c r="H28" s="49"/>
      <c r="I28" s="49"/>
      <c r="J28" s="49"/>
      <c r="K28" s="49"/>
      <c r="L28" s="49"/>
      <c r="M28" s="49"/>
      <c r="N28" s="52">
        <f t="shared" si="6"/>
        <v>872.73</v>
      </c>
      <c r="O28" s="48"/>
      <c r="P28" s="48"/>
      <c r="Q28" s="48"/>
      <c r="R28" s="48"/>
      <c r="S28" s="48"/>
      <c r="T28" s="48"/>
      <c r="U28" s="48"/>
      <c r="V28" s="48"/>
      <c r="W28" s="48"/>
      <c r="X28" s="48"/>
      <c r="Y28" s="48"/>
      <c r="Z28" s="48"/>
    </row>
    <row r="29" ht="15.75" customHeight="1" outlineLevel="1">
      <c r="A29" s="51" t="s">
        <v>163</v>
      </c>
      <c r="B29" s="52">
        <v>314.56</v>
      </c>
      <c r="C29" s="52">
        <v>2475.55</v>
      </c>
      <c r="D29" s="52">
        <v>567.89</v>
      </c>
      <c r="E29" s="52">
        <v>300.64</v>
      </c>
      <c r="F29" s="52">
        <v>2000.0</v>
      </c>
      <c r="G29" s="49"/>
      <c r="H29" s="49"/>
      <c r="I29" s="49"/>
      <c r="J29" s="52">
        <v>302.42</v>
      </c>
      <c r="K29" s="49"/>
      <c r="L29" s="52">
        <v>6878.91</v>
      </c>
      <c r="M29" s="52">
        <v>1350.0</v>
      </c>
      <c r="N29" s="52">
        <f t="shared" si="6"/>
        <v>14189.97</v>
      </c>
      <c r="O29" s="48"/>
      <c r="P29" s="48"/>
      <c r="Q29" s="48"/>
      <c r="R29" s="48"/>
      <c r="S29" s="48"/>
      <c r="T29" s="48"/>
      <c r="U29" s="48"/>
      <c r="V29" s="48"/>
      <c r="W29" s="48"/>
      <c r="X29" s="48"/>
      <c r="Y29" s="48"/>
      <c r="Z29" s="48"/>
    </row>
    <row r="30" ht="15.75" customHeight="1" outlineLevel="1">
      <c r="A30" s="51" t="s">
        <v>164</v>
      </c>
      <c r="B30" s="52">
        <v>726.32</v>
      </c>
      <c r="C30" s="49"/>
      <c r="D30" s="49"/>
      <c r="E30" s="52">
        <v>778.51</v>
      </c>
      <c r="F30" s="49"/>
      <c r="G30" s="52">
        <v>271.43</v>
      </c>
      <c r="H30" s="49"/>
      <c r="I30" s="49"/>
      <c r="J30" s="52">
        <v>1842.41</v>
      </c>
      <c r="K30" s="52">
        <v>1974.51</v>
      </c>
      <c r="L30" s="52">
        <v>220.13</v>
      </c>
      <c r="M30" s="52">
        <v>351.82</v>
      </c>
      <c r="N30" s="52">
        <f t="shared" si="6"/>
        <v>6165.13</v>
      </c>
      <c r="O30" s="48"/>
      <c r="P30" s="48"/>
      <c r="Q30" s="48"/>
      <c r="R30" s="48"/>
      <c r="S30" s="48"/>
      <c r="T30" s="48"/>
      <c r="U30" s="48"/>
      <c r="V30" s="48"/>
      <c r="W30" s="48"/>
      <c r="X30" s="48"/>
      <c r="Y30" s="48"/>
      <c r="Z30" s="48"/>
    </row>
    <row r="31" ht="15.75" customHeight="1" outlineLevel="1">
      <c r="A31" s="51" t="s">
        <v>165</v>
      </c>
      <c r="B31" s="52">
        <v>1316.46</v>
      </c>
      <c r="C31" s="52">
        <v>2111.18</v>
      </c>
      <c r="D31" s="52">
        <v>2247.95</v>
      </c>
      <c r="E31" s="52">
        <v>3053.35</v>
      </c>
      <c r="F31" s="52">
        <v>2640.27</v>
      </c>
      <c r="G31" s="52">
        <v>2741.4</v>
      </c>
      <c r="H31" s="52">
        <v>2212.51</v>
      </c>
      <c r="I31" s="52">
        <v>1678.79</v>
      </c>
      <c r="J31" s="52">
        <v>2044.36</v>
      </c>
      <c r="K31" s="52">
        <v>3038.47</v>
      </c>
      <c r="L31" s="52">
        <v>3004.16</v>
      </c>
      <c r="M31" s="52">
        <v>2681.32</v>
      </c>
      <c r="N31" s="52">
        <f t="shared" si="6"/>
        <v>28770.22</v>
      </c>
      <c r="O31" s="48"/>
      <c r="P31" s="48"/>
      <c r="Q31" s="48"/>
      <c r="R31" s="48"/>
      <c r="S31" s="48"/>
      <c r="T31" s="48"/>
      <c r="U31" s="48"/>
      <c r="V31" s="48"/>
      <c r="W31" s="48"/>
      <c r="X31" s="48"/>
      <c r="Y31" s="48"/>
      <c r="Z31" s="48"/>
    </row>
    <row r="32" ht="15.75" customHeight="1" outlineLevel="1">
      <c r="A32" s="51" t="s">
        <v>198</v>
      </c>
      <c r="B32" s="49"/>
      <c r="C32" s="52">
        <v>7.29</v>
      </c>
      <c r="D32" s="49"/>
      <c r="E32" s="52">
        <v>24.48</v>
      </c>
      <c r="F32" s="52">
        <v>131.03</v>
      </c>
      <c r="G32" s="52">
        <v>154.29</v>
      </c>
      <c r="H32" s="49"/>
      <c r="I32" s="52">
        <v>49.41</v>
      </c>
      <c r="J32" s="52">
        <v>16.73</v>
      </c>
      <c r="K32" s="52">
        <v>74.39</v>
      </c>
      <c r="L32" s="52">
        <v>8.04</v>
      </c>
      <c r="M32" s="49"/>
      <c r="N32" s="52">
        <f t="shared" si="6"/>
        <v>465.66</v>
      </c>
      <c r="O32" s="48"/>
      <c r="P32" s="48"/>
      <c r="Q32" s="48"/>
      <c r="R32" s="48"/>
      <c r="S32" s="48"/>
      <c r="T32" s="48"/>
      <c r="U32" s="48"/>
      <c r="V32" s="48"/>
      <c r="W32" s="48"/>
      <c r="X32" s="48"/>
      <c r="Y32" s="48"/>
      <c r="Z32" s="48"/>
    </row>
    <row r="33" ht="15.75" customHeight="1" outlineLevel="1">
      <c r="A33" s="51" t="s">
        <v>166</v>
      </c>
      <c r="B33" s="52">
        <v>634.31</v>
      </c>
      <c r="C33" s="52">
        <v>353.7</v>
      </c>
      <c r="D33" s="52">
        <v>357.24</v>
      </c>
      <c r="E33" s="52">
        <v>424.82</v>
      </c>
      <c r="F33" s="52">
        <v>544.24</v>
      </c>
      <c r="G33" s="52">
        <v>341.99</v>
      </c>
      <c r="H33" s="52">
        <v>581.28</v>
      </c>
      <c r="I33" s="52">
        <v>567.18</v>
      </c>
      <c r="J33" s="52">
        <v>445.66</v>
      </c>
      <c r="K33" s="52">
        <v>617.26</v>
      </c>
      <c r="L33" s="52">
        <v>376.41</v>
      </c>
      <c r="M33" s="52">
        <v>443.67</v>
      </c>
      <c r="N33" s="52">
        <f t="shared" si="6"/>
        <v>5687.76</v>
      </c>
      <c r="O33" s="48"/>
      <c r="P33" s="48"/>
      <c r="Q33" s="48"/>
      <c r="R33" s="48"/>
      <c r="S33" s="48"/>
      <c r="T33" s="48"/>
      <c r="U33" s="48"/>
      <c r="V33" s="48"/>
      <c r="W33" s="48"/>
      <c r="X33" s="48"/>
      <c r="Y33" s="48"/>
      <c r="Z33" s="48"/>
    </row>
    <row r="34" ht="15.75" customHeight="1" outlineLevel="1">
      <c r="A34" s="51" t="s">
        <v>167</v>
      </c>
      <c r="B34" s="52">
        <v>266.44</v>
      </c>
      <c r="C34" s="52">
        <v>232.57</v>
      </c>
      <c r="D34" s="52">
        <v>259.77</v>
      </c>
      <c r="E34" s="52">
        <v>256.63</v>
      </c>
      <c r="F34" s="52">
        <v>235.82</v>
      </c>
      <c r="G34" s="52">
        <v>273.39</v>
      </c>
      <c r="H34" s="52">
        <v>259.79</v>
      </c>
      <c r="I34" s="52">
        <v>272.16</v>
      </c>
      <c r="J34" s="52">
        <v>657.61</v>
      </c>
      <c r="K34" s="52">
        <v>246.13</v>
      </c>
      <c r="L34" s="52">
        <v>225.76</v>
      </c>
      <c r="M34" s="52">
        <v>279.44</v>
      </c>
      <c r="N34" s="52">
        <f t="shared" si="6"/>
        <v>3465.51</v>
      </c>
      <c r="O34" s="48"/>
      <c r="P34" s="48"/>
      <c r="Q34" s="48"/>
      <c r="R34" s="48"/>
      <c r="S34" s="48"/>
      <c r="T34" s="48"/>
      <c r="U34" s="48"/>
      <c r="V34" s="48"/>
      <c r="W34" s="48"/>
      <c r="X34" s="48"/>
      <c r="Y34" s="48"/>
      <c r="Z34" s="48"/>
    </row>
    <row r="35" ht="15.75" customHeight="1" outlineLevel="1">
      <c r="A35" s="51" t="s">
        <v>168</v>
      </c>
      <c r="B35" s="49"/>
      <c r="C35" s="52">
        <v>1398.52</v>
      </c>
      <c r="D35" s="52">
        <v>484.94</v>
      </c>
      <c r="E35" s="49"/>
      <c r="F35" s="52">
        <v>257.94</v>
      </c>
      <c r="G35" s="52">
        <v>640.89</v>
      </c>
      <c r="H35" s="49"/>
      <c r="I35" s="52">
        <v>85.0</v>
      </c>
      <c r="J35" s="49"/>
      <c r="K35" s="52">
        <v>732.8</v>
      </c>
      <c r="L35" s="52">
        <v>28.0</v>
      </c>
      <c r="M35" s="52">
        <v>284.64</v>
      </c>
      <c r="N35" s="52">
        <f t="shared" si="6"/>
        <v>3912.73</v>
      </c>
      <c r="O35" s="48"/>
      <c r="P35" s="48"/>
      <c r="Q35" s="48"/>
      <c r="R35" s="48"/>
      <c r="S35" s="48"/>
      <c r="T35" s="48"/>
      <c r="U35" s="48"/>
      <c r="V35" s="48"/>
      <c r="W35" s="48"/>
      <c r="X35" s="48"/>
      <c r="Y35" s="48"/>
      <c r="Z35" s="48"/>
    </row>
    <row r="36" ht="15.75" customHeight="1" outlineLevel="1">
      <c r="A36" s="51" t="s">
        <v>169</v>
      </c>
      <c r="B36" s="52">
        <v>5292.03</v>
      </c>
      <c r="C36" s="52">
        <v>1602.12</v>
      </c>
      <c r="D36" s="52">
        <v>3917.07</v>
      </c>
      <c r="E36" s="52">
        <v>7906.62</v>
      </c>
      <c r="F36" s="52">
        <v>5206.57</v>
      </c>
      <c r="G36" s="52">
        <v>3742.68</v>
      </c>
      <c r="H36" s="52">
        <v>3715.91</v>
      </c>
      <c r="I36" s="52">
        <v>4619.77</v>
      </c>
      <c r="J36" s="52">
        <v>3863.51</v>
      </c>
      <c r="K36" s="52">
        <v>5555.69</v>
      </c>
      <c r="L36" s="52">
        <v>3426.34</v>
      </c>
      <c r="M36" s="52">
        <v>2695.48</v>
      </c>
      <c r="N36" s="52">
        <f t="shared" si="6"/>
        <v>51543.79</v>
      </c>
      <c r="O36" s="48"/>
      <c r="P36" s="48"/>
      <c r="Q36" s="48"/>
      <c r="R36" s="48"/>
      <c r="S36" s="48"/>
      <c r="T36" s="48"/>
      <c r="U36" s="48"/>
      <c r="V36" s="48"/>
      <c r="W36" s="48"/>
      <c r="X36" s="48"/>
      <c r="Y36" s="48"/>
      <c r="Z36" s="48"/>
    </row>
    <row r="37" ht="15.75" customHeight="1" outlineLevel="1">
      <c r="A37" s="51" t="s">
        <v>170</v>
      </c>
      <c r="B37" s="52">
        <v>1160.25</v>
      </c>
      <c r="C37" s="52">
        <v>1131.89</v>
      </c>
      <c r="D37" s="52">
        <v>611.29</v>
      </c>
      <c r="E37" s="52">
        <v>760.89</v>
      </c>
      <c r="F37" s="52">
        <v>810.65</v>
      </c>
      <c r="G37" s="52">
        <v>1009.51</v>
      </c>
      <c r="H37" s="52">
        <v>1058.38</v>
      </c>
      <c r="I37" s="52">
        <v>547.84</v>
      </c>
      <c r="J37" s="52">
        <v>804.93</v>
      </c>
      <c r="K37" s="52">
        <v>765.08</v>
      </c>
      <c r="L37" s="52">
        <v>785.61</v>
      </c>
      <c r="M37" s="52">
        <v>388.41</v>
      </c>
      <c r="N37" s="52">
        <f t="shared" si="6"/>
        <v>9834.73</v>
      </c>
      <c r="O37" s="48"/>
      <c r="P37" s="48"/>
      <c r="Q37" s="48"/>
      <c r="R37" s="48"/>
      <c r="S37" s="48"/>
      <c r="T37" s="48"/>
      <c r="U37" s="48"/>
      <c r="V37" s="48"/>
      <c r="W37" s="48"/>
      <c r="X37" s="48"/>
      <c r="Y37" s="48"/>
      <c r="Z37" s="48"/>
    </row>
    <row r="38" ht="15.75" customHeight="1" outlineLevel="1">
      <c r="A38" s="51" t="s">
        <v>171</v>
      </c>
      <c r="B38" s="52">
        <v>12806.9</v>
      </c>
      <c r="C38" s="52">
        <v>11616.82</v>
      </c>
      <c r="D38" s="52">
        <v>14175.45</v>
      </c>
      <c r="E38" s="52">
        <v>14118.97</v>
      </c>
      <c r="F38" s="52">
        <v>15500.81</v>
      </c>
      <c r="G38" s="52">
        <v>11481.87</v>
      </c>
      <c r="H38" s="52">
        <v>14564.08</v>
      </c>
      <c r="I38" s="52">
        <v>14855.07</v>
      </c>
      <c r="J38" s="52">
        <v>13306.16</v>
      </c>
      <c r="K38" s="52">
        <v>12193.87</v>
      </c>
      <c r="L38" s="52">
        <v>9452.45</v>
      </c>
      <c r="M38" s="52">
        <v>6462.6</v>
      </c>
      <c r="N38" s="52">
        <f t="shared" si="6"/>
        <v>150535.05</v>
      </c>
      <c r="O38" s="48"/>
      <c r="P38" s="48"/>
      <c r="Q38" s="48"/>
      <c r="R38" s="48"/>
      <c r="S38" s="48"/>
      <c r="T38" s="48"/>
      <c r="U38" s="48"/>
      <c r="V38" s="48"/>
      <c r="W38" s="48"/>
      <c r="X38" s="48"/>
      <c r="Y38" s="48"/>
      <c r="Z38" s="48"/>
    </row>
    <row r="39" ht="15.75" customHeight="1" outlineLevel="1">
      <c r="A39" s="51" t="s">
        <v>199</v>
      </c>
      <c r="B39" s="52">
        <v>129.17</v>
      </c>
      <c r="C39" s="52">
        <v>62.94</v>
      </c>
      <c r="D39" s="52">
        <v>62.94</v>
      </c>
      <c r="E39" s="52">
        <v>62.94</v>
      </c>
      <c r="F39" s="52">
        <v>62.94</v>
      </c>
      <c r="G39" s="52">
        <v>62.94</v>
      </c>
      <c r="H39" s="52">
        <v>88.8</v>
      </c>
      <c r="I39" s="52">
        <v>51.24</v>
      </c>
      <c r="J39" s="52">
        <v>67.43</v>
      </c>
      <c r="K39" s="52">
        <v>31.26</v>
      </c>
      <c r="L39" s="52">
        <v>151.71</v>
      </c>
      <c r="M39" s="52">
        <v>126.86</v>
      </c>
      <c r="N39" s="52">
        <f t="shared" si="6"/>
        <v>961.17</v>
      </c>
      <c r="O39" s="48"/>
      <c r="P39" s="48"/>
      <c r="Q39" s="48"/>
      <c r="R39" s="48"/>
      <c r="S39" s="48"/>
      <c r="T39" s="48"/>
      <c r="U39" s="48"/>
      <c r="V39" s="48"/>
      <c r="W39" s="48"/>
      <c r="X39" s="48"/>
      <c r="Y39" s="48"/>
      <c r="Z39" s="48"/>
    </row>
    <row r="40" ht="15.75" customHeight="1" outlineLevel="1">
      <c r="A40" s="51" t="s">
        <v>174</v>
      </c>
      <c r="B40" s="52">
        <v>1150.0</v>
      </c>
      <c r="C40" s="52">
        <v>1150.0</v>
      </c>
      <c r="D40" s="52">
        <v>1150.0</v>
      </c>
      <c r="E40" s="52">
        <v>1150.0</v>
      </c>
      <c r="F40" s="52">
        <v>1300.0</v>
      </c>
      <c r="G40" s="52">
        <v>1300.0</v>
      </c>
      <c r="H40" s="52">
        <v>1300.0</v>
      </c>
      <c r="I40" s="52">
        <v>1400.0</v>
      </c>
      <c r="J40" s="52">
        <v>1300.0</v>
      </c>
      <c r="K40" s="52">
        <v>1300.0</v>
      </c>
      <c r="L40" s="52">
        <v>1300.0</v>
      </c>
      <c r="M40" s="52">
        <v>1300.0</v>
      </c>
      <c r="N40" s="52">
        <f t="shared" si="6"/>
        <v>15100</v>
      </c>
      <c r="O40" s="48"/>
      <c r="P40" s="48"/>
      <c r="Q40" s="48"/>
      <c r="R40" s="48"/>
      <c r="S40" s="48"/>
      <c r="T40" s="48"/>
      <c r="U40" s="48"/>
      <c r="V40" s="48"/>
      <c r="W40" s="48"/>
      <c r="X40" s="48"/>
      <c r="Y40" s="48"/>
      <c r="Z40" s="48"/>
    </row>
    <row r="41" ht="15.75" customHeight="1" outlineLevel="1">
      <c r="A41" s="51" t="s">
        <v>200</v>
      </c>
      <c r="B41" s="52">
        <v>319.92</v>
      </c>
      <c r="C41" s="52">
        <v>317.81</v>
      </c>
      <c r="D41" s="52">
        <v>317.81</v>
      </c>
      <c r="E41" s="52">
        <v>317.81</v>
      </c>
      <c r="F41" s="52">
        <v>317.81</v>
      </c>
      <c r="G41" s="52">
        <v>299.81</v>
      </c>
      <c r="H41" s="52">
        <v>317.81</v>
      </c>
      <c r="I41" s="52">
        <v>65.18</v>
      </c>
      <c r="J41" s="52">
        <v>320.81</v>
      </c>
      <c r="K41" s="52">
        <v>86.18</v>
      </c>
      <c r="L41" s="52">
        <v>320.81</v>
      </c>
      <c r="M41" s="52">
        <v>350.8</v>
      </c>
      <c r="N41" s="52">
        <f t="shared" si="6"/>
        <v>3352.56</v>
      </c>
      <c r="O41" s="48"/>
      <c r="P41" s="48"/>
      <c r="Q41" s="48"/>
      <c r="R41" s="48"/>
      <c r="S41" s="48"/>
      <c r="T41" s="48"/>
      <c r="U41" s="48"/>
      <c r="V41" s="48"/>
      <c r="W41" s="48"/>
      <c r="X41" s="48"/>
      <c r="Y41" s="48"/>
      <c r="Z41" s="48"/>
    </row>
    <row r="42" ht="15.75" customHeight="1" outlineLevel="1">
      <c r="A42" s="51" t="s">
        <v>175</v>
      </c>
      <c r="B42" s="52">
        <v>604.53</v>
      </c>
      <c r="C42" s="52">
        <v>1116.99</v>
      </c>
      <c r="D42" s="52">
        <v>882.81</v>
      </c>
      <c r="E42" s="52">
        <v>543.11</v>
      </c>
      <c r="F42" s="52">
        <v>423.2</v>
      </c>
      <c r="G42" s="52">
        <v>28.75</v>
      </c>
      <c r="H42" s="52">
        <v>224.1</v>
      </c>
      <c r="I42" s="52">
        <v>581.1</v>
      </c>
      <c r="J42" s="52">
        <v>514.83</v>
      </c>
      <c r="K42" s="52">
        <v>801.88</v>
      </c>
      <c r="L42" s="52">
        <v>196.96</v>
      </c>
      <c r="M42" s="52">
        <v>2927.62</v>
      </c>
      <c r="N42" s="52">
        <f t="shared" si="6"/>
        <v>8845.88</v>
      </c>
      <c r="O42" s="48"/>
      <c r="P42" s="48"/>
      <c r="Q42" s="48"/>
      <c r="R42" s="48"/>
      <c r="S42" s="48"/>
      <c r="T42" s="48"/>
      <c r="U42" s="48"/>
      <c r="V42" s="48"/>
      <c r="W42" s="48"/>
      <c r="X42" s="48"/>
      <c r="Y42" s="48"/>
      <c r="Z42" s="48"/>
    </row>
    <row r="43" ht="15.75" customHeight="1" outlineLevel="1">
      <c r="A43" s="51" t="s">
        <v>176</v>
      </c>
      <c r="B43" s="52">
        <v>655.72</v>
      </c>
      <c r="C43" s="49"/>
      <c r="D43" s="52">
        <v>556.85</v>
      </c>
      <c r="E43" s="49"/>
      <c r="F43" s="52">
        <v>445.24</v>
      </c>
      <c r="G43" s="49"/>
      <c r="H43" s="49"/>
      <c r="I43" s="52">
        <v>693.14</v>
      </c>
      <c r="J43" s="52">
        <v>139.04</v>
      </c>
      <c r="K43" s="52">
        <v>429.0</v>
      </c>
      <c r="L43" s="52">
        <v>335.66</v>
      </c>
      <c r="M43" s="52">
        <v>1567.99</v>
      </c>
      <c r="N43" s="52">
        <f t="shared" si="6"/>
        <v>4822.64</v>
      </c>
      <c r="O43" s="48"/>
      <c r="P43" s="48"/>
      <c r="Q43" s="48"/>
      <c r="R43" s="48"/>
      <c r="S43" s="48"/>
      <c r="T43" s="48"/>
      <c r="U43" s="48"/>
      <c r="V43" s="48"/>
      <c r="W43" s="48"/>
      <c r="X43" s="48"/>
      <c r="Y43" s="48"/>
      <c r="Z43" s="48"/>
    </row>
    <row r="44" ht="15.75" customHeight="1" outlineLevel="1">
      <c r="A44" s="51" t="s">
        <v>201</v>
      </c>
      <c r="B44" s="49"/>
      <c r="C44" s="49"/>
      <c r="D44" s="49"/>
      <c r="E44" s="49"/>
      <c r="F44" s="49"/>
      <c r="G44" s="49"/>
      <c r="H44" s="49"/>
      <c r="I44" s="49"/>
      <c r="J44" s="52">
        <v>5000.0</v>
      </c>
      <c r="K44" s="49"/>
      <c r="L44" s="52">
        <v>-5000.0</v>
      </c>
      <c r="M44" s="49"/>
      <c r="N44" s="52">
        <f t="shared" si="6"/>
        <v>0</v>
      </c>
      <c r="O44" s="48"/>
      <c r="P44" s="48"/>
      <c r="Q44" s="48"/>
      <c r="R44" s="48"/>
      <c r="S44" s="48"/>
      <c r="T44" s="48"/>
      <c r="U44" s="48"/>
      <c r="V44" s="48"/>
      <c r="W44" s="48"/>
      <c r="X44" s="48"/>
      <c r="Y44" s="48"/>
      <c r="Z44" s="48"/>
    </row>
    <row r="45" ht="15.75" customHeight="1">
      <c r="A45" s="53" t="s">
        <v>177</v>
      </c>
      <c r="B45" s="54">
        <f t="shared" ref="B45:M45" si="8">B19+B23+B24+B25+B26+B27+B28+B29+B30+B31+B32+B33+B34+B35+B36+B37+B38+B39+B40+B41+B42+B43+B44</f>
        <v>35637.68</v>
      </c>
      <c r="C45" s="54">
        <f t="shared" si="8"/>
        <v>38947.03</v>
      </c>
      <c r="D45" s="54">
        <f t="shared" si="8"/>
        <v>53244.31</v>
      </c>
      <c r="E45" s="54">
        <f t="shared" si="8"/>
        <v>58922.15</v>
      </c>
      <c r="F45" s="54">
        <f t="shared" si="8"/>
        <v>50859.27</v>
      </c>
      <c r="G45" s="54">
        <f t="shared" si="8"/>
        <v>45439.06</v>
      </c>
      <c r="H45" s="54">
        <f t="shared" si="8"/>
        <v>59776.9</v>
      </c>
      <c r="I45" s="54">
        <f t="shared" si="8"/>
        <v>52933.77</v>
      </c>
      <c r="J45" s="54">
        <f t="shared" si="8"/>
        <v>48443.56</v>
      </c>
      <c r="K45" s="54">
        <f t="shared" si="8"/>
        <v>45202.69</v>
      </c>
      <c r="L45" s="54">
        <f t="shared" si="8"/>
        <v>40158.09</v>
      </c>
      <c r="M45" s="54">
        <f t="shared" si="8"/>
        <v>41719.49</v>
      </c>
      <c r="N45" s="55">
        <f t="shared" si="6"/>
        <v>571284</v>
      </c>
      <c r="O45" s="48"/>
      <c r="P45" s="48"/>
      <c r="Q45" s="48"/>
      <c r="R45" s="48"/>
      <c r="S45" s="48"/>
      <c r="T45" s="48"/>
      <c r="U45" s="48"/>
      <c r="V45" s="48"/>
      <c r="W45" s="48"/>
      <c r="X45" s="48"/>
      <c r="Y45" s="48"/>
      <c r="Z45" s="48"/>
    </row>
    <row r="46" ht="15.75" customHeight="1">
      <c r="A46" s="53" t="s">
        <v>178</v>
      </c>
      <c r="B46" s="54">
        <f t="shared" ref="B46:M46" si="9">B17-B45</f>
        <v>-14413.85</v>
      </c>
      <c r="C46" s="54">
        <f t="shared" si="9"/>
        <v>-30361.82</v>
      </c>
      <c r="D46" s="54">
        <f t="shared" si="9"/>
        <v>-32815.74</v>
      </c>
      <c r="E46" s="54">
        <f t="shared" si="9"/>
        <v>-37674.22</v>
      </c>
      <c r="F46" s="54">
        <f t="shared" si="9"/>
        <v>-44766.77</v>
      </c>
      <c r="G46" s="54">
        <f t="shared" si="9"/>
        <v>-15715.05</v>
      </c>
      <c r="H46" s="54">
        <f t="shared" si="9"/>
        <v>-28658.44</v>
      </c>
      <c r="I46" s="54">
        <f t="shared" si="9"/>
        <v>-17338.42</v>
      </c>
      <c r="J46" s="54">
        <f t="shared" si="9"/>
        <v>-28577.51</v>
      </c>
      <c r="K46" s="54">
        <f t="shared" si="9"/>
        <v>-13914.16</v>
      </c>
      <c r="L46" s="54">
        <f t="shared" si="9"/>
        <v>16601.95</v>
      </c>
      <c r="M46" s="54">
        <f t="shared" si="9"/>
        <v>-9771.21</v>
      </c>
      <c r="N46" s="55">
        <f t="shared" si="6"/>
        <v>-257405.24</v>
      </c>
      <c r="O46" s="48"/>
      <c r="P46" s="48"/>
      <c r="Q46" s="48"/>
      <c r="R46" s="48"/>
      <c r="S46" s="48"/>
      <c r="T46" s="48"/>
      <c r="U46" s="48"/>
      <c r="V46" s="48"/>
      <c r="W46" s="48"/>
      <c r="X46" s="48"/>
      <c r="Y46" s="48"/>
      <c r="Z46" s="48"/>
    </row>
    <row r="47" ht="15.75" customHeight="1">
      <c r="A47" s="51" t="s">
        <v>202</v>
      </c>
      <c r="B47" s="49"/>
      <c r="C47" s="49"/>
      <c r="D47" s="49"/>
      <c r="E47" s="49"/>
      <c r="F47" s="49"/>
      <c r="G47" s="49"/>
      <c r="H47" s="49"/>
      <c r="I47" s="49"/>
      <c r="J47" s="49"/>
      <c r="K47" s="49"/>
      <c r="L47" s="49"/>
      <c r="M47" s="49"/>
      <c r="N47" s="49"/>
      <c r="O47" s="48"/>
      <c r="P47" s="48"/>
      <c r="Q47" s="48"/>
      <c r="R47" s="48"/>
      <c r="S47" s="48"/>
      <c r="T47" s="48"/>
      <c r="U47" s="48"/>
      <c r="V47" s="48"/>
      <c r="W47" s="48"/>
      <c r="X47" s="48"/>
      <c r="Y47" s="48"/>
      <c r="Z47" s="48"/>
    </row>
    <row r="48" ht="15.75" customHeight="1" outlineLevel="1">
      <c r="A48" s="51" t="s">
        <v>203</v>
      </c>
      <c r="B48" s="49"/>
      <c r="C48" s="49"/>
      <c r="D48" s="49"/>
      <c r="E48" s="52">
        <v>586.99</v>
      </c>
      <c r="F48" s="52">
        <v>459.5</v>
      </c>
      <c r="G48" s="49"/>
      <c r="H48" s="49"/>
      <c r="I48" s="49"/>
      <c r="J48" s="52">
        <v>201.8</v>
      </c>
      <c r="K48" s="49"/>
      <c r="L48" s="49"/>
      <c r="M48" s="49"/>
      <c r="N48" s="52">
        <f t="shared" ref="N48:N50" si="11">B48+C48+D48+E48+F48+G48+H48+I48+J48+K48+L48+M48</f>
        <v>1248.29</v>
      </c>
      <c r="O48" s="48"/>
      <c r="P48" s="48"/>
      <c r="Q48" s="48"/>
      <c r="R48" s="48"/>
      <c r="S48" s="48"/>
      <c r="T48" s="48"/>
      <c r="U48" s="48"/>
      <c r="V48" s="48"/>
      <c r="W48" s="48"/>
      <c r="X48" s="48"/>
      <c r="Y48" s="48"/>
      <c r="Z48" s="48"/>
    </row>
    <row r="49" ht="15.75" customHeight="1">
      <c r="A49" s="53" t="s">
        <v>204</v>
      </c>
      <c r="B49" s="54"/>
      <c r="C49" s="54"/>
      <c r="D49" s="54"/>
      <c r="E49" s="54">
        <f t="shared" ref="E49:F49" si="10">E48</f>
        <v>586.99</v>
      </c>
      <c r="F49" s="54">
        <f t="shared" si="10"/>
        <v>459.5</v>
      </c>
      <c r="G49" s="54"/>
      <c r="H49" s="54"/>
      <c r="I49" s="54"/>
      <c r="J49" s="54">
        <f>J48</f>
        <v>201.8</v>
      </c>
      <c r="K49" s="54"/>
      <c r="L49" s="54"/>
      <c r="M49" s="54"/>
      <c r="N49" s="55">
        <f t="shared" si="11"/>
        <v>1248.29</v>
      </c>
      <c r="O49" s="48"/>
      <c r="P49" s="48"/>
      <c r="Q49" s="48"/>
      <c r="R49" s="48"/>
      <c r="S49" s="48"/>
      <c r="T49" s="48"/>
      <c r="U49" s="48"/>
      <c r="V49" s="48"/>
      <c r="W49" s="48"/>
      <c r="X49" s="48"/>
      <c r="Y49" s="48"/>
      <c r="Z49" s="48"/>
    </row>
    <row r="50" ht="15.75" customHeight="1">
      <c r="A50" s="53" t="s">
        <v>179</v>
      </c>
      <c r="B50" s="56"/>
      <c r="C50" s="56"/>
      <c r="D50" s="56"/>
      <c r="E50" s="54">
        <v>-586.99</v>
      </c>
      <c r="F50" s="54">
        <v>-459.5</v>
      </c>
      <c r="G50" s="56"/>
      <c r="H50" s="56"/>
      <c r="I50" s="56"/>
      <c r="J50" s="54">
        <v>-201.8</v>
      </c>
      <c r="K50" s="56"/>
      <c r="L50" s="56"/>
      <c r="M50" s="56"/>
      <c r="N50" s="55">
        <f t="shared" si="11"/>
        <v>-1248.29</v>
      </c>
      <c r="O50" s="48"/>
      <c r="P50" s="48"/>
      <c r="Q50" s="48"/>
      <c r="R50" s="48"/>
      <c r="S50" s="48"/>
      <c r="T50" s="48"/>
      <c r="U50" s="48"/>
      <c r="V50" s="48"/>
      <c r="W50" s="48"/>
      <c r="X50" s="48"/>
      <c r="Y50" s="48"/>
      <c r="Z50" s="48"/>
    </row>
    <row r="51" ht="15.75" customHeight="1">
      <c r="A51" s="53" t="s">
        <v>180</v>
      </c>
      <c r="B51" s="54">
        <v>-14413.849999999999</v>
      </c>
      <c r="C51" s="54">
        <v>-30361.819999999985</v>
      </c>
      <c r="D51" s="54">
        <v>-32815.74000000001</v>
      </c>
      <c r="E51" s="54">
        <v>-38261.21</v>
      </c>
      <c r="F51" s="54">
        <v>-45226.26999999999</v>
      </c>
      <c r="G51" s="54">
        <v>-15715.049999999996</v>
      </c>
      <c r="H51" s="54">
        <v>-28658.440000000002</v>
      </c>
      <c r="I51" s="54">
        <v>-17338.419999999984</v>
      </c>
      <c r="J51" s="54">
        <v>-28779.309999999994</v>
      </c>
      <c r="K51" s="54">
        <v>-13914.159999999982</v>
      </c>
      <c r="L51" s="54">
        <v>16601.949999999997</v>
      </c>
      <c r="M51" s="54">
        <v>-9771.210000000006</v>
      </c>
      <c r="N51" s="55">
        <v>-258653.53000000023</v>
      </c>
      <c r="O51" s="48"/>
      <c r="P51" s="48"/>
      <c r="Q51" s="48"/>
      <c r="R51" s="48"/>
      <c r="S51" s="48"/>
      <c r="T51" s="48"/>
      <c r="U51" s="48"/>
      <c r="V51" s="48"/>
      <c r="W51" s="48"/>
      <c r="X51" s="48"/>
      <c r="Y51" s="48"/>
      <c r="Z51" s="48"/>
    </row>
    <row r="52" ht="15.75" customHeight="1">
      <c r="A52" s="49"/>
      <c r="B52" s="49"/>
      <c r="C52" s="49"/>
      <c r="D52" s="49"/>
      <c r="E52" s="49"/>
      <c r="F52" s="49"/>
      <c r="G52" s="49"/>
      <c r="H52" s="49"/>
      <c r="I52" s="49"/>
      <c r="J52" s="49"/>
      <c r="K52" s="49"/>
      <c r="L52" s="49"/>
      <c r="M52" s="49"/>
      <c r="N52" s="49"/>
      <c r="O52" s="48"/>
      <c r="P52" s="48"/>
      <c r="Q52" s="48"/>
      <c r="R52" s="48"/>
      <c r="S52" s="48"/>
      <c r="T52" s="48"/>
      <c r="U52" s="48"/>
      <c r="V52" s="48"/>
      <c r="W52" s="48"/>
      <c r="X52" s="48"/>
      <c r="Y52" s="48"/>
      <c r="Z52" s="48"/>
    </row>
    <row r="53" ht="15.75" customHeight="1">
      <c r="A53" s="49"/>
      <c r="B53" s="49"/>
      <c r="C53" s="49"/>
      <c r="D53" s="49"/>
      <c r="E53" s="49"/>
      <c r="F53" s="49"/>
      <c r="G53" s="49"/>
      <c r="H53" s="49"/>
      <c r="I53" s="49"/>
      <c r="J53" s="49"/>
      <c r="K53" s="49"/>
      <c r="L53" s="49"/>
      <c r="M53" s="49"/>
      <c r="N53" s="49"/>
      <c r="O53" s="48"/>
      <c r="P53" s="48"/>
      <c r="Q53" s="48"/>
      <c r="R53" s="48"/>
      <c r="S53" s="48"/>
      <c r="T53" s="48"/>
      <c r="U53" s="48"/>
      <c r="V53" s="48"/>
      <c r="W53" s="48"/>
      <c r="X53" s="48"/>
      <c r="Y53" s="48"/>
      <c r="Z53" s="48"/>
    </row>
    <row r="54" ht="15.75" customHeight="1">
      <c r="A54" s="49"/>
      <c r="B54" s="49"/>
      <c r="C54" s="49"/>
      <c r="D54" s="49"/>
      <c r="E54" s="49"/>
      <c r="F54" s="49"/>
      <c r="G54" s="49"/>
      <c r="H54" s="49"/>
      <c r="I54" s="49"/>
      <c r="J54" s="49"/>
      <c r="K54" s="49"/>
      <c r="L54" s="49"/>
      <c r="M54" s="49"/>
      <c r="N54" s="49"/>
      <c r="O54" s="48"/>
      <c r="P54" s="48"/>
      <c r="Q54" s="48"/>
      <c r="R54" s="48"/>
      <c r="S54" s="48"/>
      <c r="T54" s="48"/>
      <c r="U54" s="48"/>
      <c r="V54" s="48"/>
      <c r="W54" s="48"/>
      <c r="X54" s="48"/>
      <c r="Y54" s="48"/>
      <c r="Z54" s="48"/>
    </row>
    <row r="55" ht="15.75" customHeight="1">
      <c r="A55" s="57" t="s">
        <v>205</v>
      </c>
      <c r="O55" s="48"/>
      <c r="P55" s="48"/>
      <c r="Q55" s="48"/>
      <c r="R55" s="48"/>
      <c r="S55" s="48"/>
      <c r="T55" s="48"/>
      <c r="U55" s="48"/>
      <c r="V55" s="48"/>
      <c r="W55" s="48"/>
      <c r="X55" s="48"/>
      <c r="Y55" s="48"/>
      <c r="Z55" s="48"/>
    </row>
    <row r="56" ht="15.75" customHeight="1">
      <c r="A56" s="49"/>
      <c r="B56" s="49"/>
      <c r="C56" s="49"/>
      <c r="D56" s="49"/>
      <c r="E56" s="49"/>
      <c r="F56" s="49"/>
      <c r="G56" s="49"/>
      <c r="H56" s="49"/>
      <c r="I56" s="49"/>
      <c r="J56" s="49"/>
      <c r="K56" s="49"/>
      <c r="L56" s="49"/>
      <c r="M56" s="49"/>
      <c r="N56" s="49"/>
      <c r="O56" s="48"/>
      <c r="P56" s="48"/>
      <c r="Q56" s="48"/>
      <c r="R56" s="48"/>
      <c r="S56" s="48"/>
      <c r="T56" s="48"/>
      <c r="U56" s="48"/>
      <c r="V56" s="48"/>
      <c r="W56" s="48"/>
      <c r="X56" s="48"/>
      <c r="Y56" s="48"/>
      <c r="Z56" s="48"/>
    </row>
    <row r="57" ht="15.75" customHeight="1">
      <c r="A57" s="49"/>
      <c r="B57" s="49"/>
      <c r="C57" s="49"/>
      <c r="D57" s="49"/>
      <c r="E57" s="49"/>
      <c r="F57" s="49"/>
      <c r="G57" s="49"/>
      <c r="H57" s="49"/>
      <c r="I57" s="49"/>
      <c r="J57" s="49"/>
      <c r="K57" s="49"/>
      <c r="L57" s="49"/>
      <c r="M57" s="49"/>
      <c r="N57" s="49"/>
      <c r="O57" s="48"/>
      <c r="P57" s="48"/>
      <c r="Q57" s="48"/>
      <c r="R57" s="48"/>
      <c r="S57" s="48"/>
      <c r="T57" s="48"/>
      <c r="U57" s="48"/>
      <c r="V57" s="48"/>
      <c r="W57" s="48"/>
      <c r="X57" s="48"/>
      <c r="Y57" s="48"/>
      <c r="Z57" s="48"/>
    </row>
    <row r="58" ht="15.75" customHeight="1">
      <c r="A58" s="49"/>
      <c r="B58" s="49"/>
      <c r="C58" s="49"/>
      <c r="D58" s="49"/>
      <c r="E58" s="49"/>
      <c r="F58" s="49"/>
      <c r="G58" s="49"/>
      <c r="H58" s="49"/>
      <c r="I58" s="49"/>
      <c r="J58" s="49"/>
      <c r="K58" s="49"/>
      <c r="L58" s="49"/>
      <c r="M58" s="49"/>
      <c r="N58" s="49"/>
      <c r="O58" s="48"/>
      <c r="P58" s="48"/>
      <c r="Q58" s="48"/>
      <c r="R58" s="48"/>
      <c r="S58" s="48"/>
      <c r="T58" s="48"/>
      <c r="U58" s="48"/>
      <c r="V58" s="48"/>
      <c r="W58" s="48"/>
      <c r="X58" s="48"/>
      <c r="Y58" s="48"/>
      <c r="Z58" s="48"/>
    </row>
    <row r="59" ht="15.75" customHeight="1">
      <c r="A59" s="49"/>
      <c r="B59" s="49"/>
      <c r="C59" s="49"/>
      <c r="D59" s="49"/>
      <c r="E59" s="49"/>
      <c r="F59" s="49"/>
      <c r="G59" s="49"/>
      <c r="H59" s="49"/>
      <c r="I59" s="49"/>
      <c r="J59" s="49"/>
      <c r="K59" s="49"/>
      <c r="L59" s="49"/>
      <c r="M59" s="49"/>
      <c r="N59" s="49"/>
      <c r="O59" s="48"/>
      <c r="P59" s="48"/>
      <c r="Q59" s="48"/>
      <c r="R59" s="48"/>
      <c r="S59" s="48"/>
      <c r="T59" s="48"/>
      <c r="U59" s="48"/>
      <c r="V59" s="48"/>
      <c r="W59" s="48"/>
      <c r="X59" s="48"/>
      <c r="Y59" s="48"/>
      <c r="Z59" s="48"/>
    </row>
    <row r="60" ht="15.75" customHeight="1">
      <c r="A60" s="49"/>
      <c r="B60" s="49"/>
      <c r="C60" s="49"/>
      <c r="D60" s="49"/>
      <c r="E60" s="49"/>
      <c r="F60" s="49"/>
      <c r="G60" s="49"/>
      <c r="H60" s="49"/>
      <c r="I60" s="49"/>
      <c r="J60" s="49"/>
      <c r="K60" s="49"/>
      <c r="L60" s="49"/>
      <c r="M60" s="49"/>
      <c r="N60" s="49"/>
      <c r="O60" s="48"/>
      <c r="P60" s="48"/>
      <c r="Q60" s="48"/>
      <c r="R60" s="48"/>
      <c r="S60" s="48"/>
      <c r="T60" s="48"/>
      <c r="U60" s="48"/>
      <c r="V60" s="48"/>
      <c r="W60" s="48"/>
      <c r="X60" s="48"/>
      <c r="Y60" s="48"/>
      <c r="Z60" s="48"/>
    </row>
    <row r="61" ht="15.75" customHeight="1">
      <c r="A61" s="49"/>
      <c r="B61" s="49"/>
      <c r="C61" s="49"/>
      <c r="D61" s="49"/>
      <c r="E61" s="49"/>
      <c r="F61" s="49"/>
      <c r="G61" s="49"/>
      <c r="H61" s="49"/>
      <c r="I61" s="49"/>
      <c r="J61" s="49"/>
      <c r="K61" s="49"/>
      <c r="L61" s="49"/>
      <c r="M61" s="49"/>
      <c r="N61" s="49"/>
      <c r="O61" s="48"/>
      <c r="P61" s="48"/>
      <c r="Q61" s="48"/>
      <c r="R61" s="48"/>
      <c r="S61" s="48"/>
      <c r="T61" s="48"/>
      <c r="U61" s="48"/>
      <c r="V61" s="48"/>
      <c r="W61" s="48"/>
      <c r="X61" s="48"/>
      <c r="Y61" s="48"/>
      <c r="Z61" s="48"/>
    </row>
    <row r="62" ht="15.75" customHeight="1">
      <c r="A62" s="49"/>
      <c r="B62" s="49"/>
      <c r="C62" s="49"/>
      <c r="D62" s="49"/>
      <c r="E62" s="49"/>
      <c r="F62" s="49"/>
      <c r="G62" s="49"/>
      <c r="H62" s="49"/>
      <c r="I62" s="49"/>
      <c r="J62" s="49"/>
      <c r="K62" s="49"/>
      <c r="L62" s="49"/>
      <c r="M62" s="49"/>
      <c r="N62" s="49"/>
      <c r="O62" s="48"/>
      <c r="P62" s="48"/>
      <c r="Q62" s="48"/>
      <c r="R62" s="48"/>
      <c r="S62" s="48"/>
      <c r="T62" s="48"/>
      <c r="U62" s="48"/>
      <c r="V62" s="48"/>
      <c r="W62" s="48"/>
      <c r="X62" s="48"/>
      <c r="Y62" s="48"/>
      <c r="Z62" s="48"/>
    </row>
    <row r="63" ht="15.75" customHeight="1">
      <c r="A63" s="49"/>
      <c r="B63" s="49"/>
      <c r="C63" s="49"/>
      <c r="D63" s="49"/>
      <c r="E63" s="49"/>
      <c r="F63" s="49"/>
      <c r="G63" s="49"/>
      <c r="H63" s="49"/>
      <c r="I63" s="49"/>
      <c r="J63" s="49"/>
      <c r="K63" s="49"/>
      <c r="L63" s="49"/>
      <c r="M63" s="49"/>
      <c r="N63" s="49"/>
      <c r="O63" s="48"/>
      <c r="P63" s="48"/>
      <c r="Q63" s="48"/>
      <c r="R63" s="48"/>
      <c r="S63" s="48"/>
      <c r="T63" s="48"/>
      <c r="U63" s="48"/>
      <c r="V63" s="48"/>
      <c r="W63" s="48"/>
      <c r="X63" s="48"/>
      <c r="Y63" s="48"/>
      <c r="Z63" s="48"/>
    </row>
    <row r="64" ht="15.75" customHeight="1">
      <c r="A64" s="49"/>
      <c r="B64" s="49"/>
      <c r="C64" s="49"/>
      <c r="D64" s="49"/>
      <c r="E64" s="49"/>
      <c r="F64" s="49"/>
      <c r="G64" s="49"/>
      <c r="H64" s="49"/>
      <c r="I64" s="49"/>
      <c r="J64" s="49"/>
      <c r="K64" s="49"/>
      <c r="L64" s="49"/>
      <c r="M64" s="49"/>
      <c r="N64" s="49"/>
      <c r="O64" s="48"/>
      <c r="P64" s="48"/>
      <c r="Q64" s="48"/>
      <c r="R64" s="48"/>
      <c r="S64" s="48"/>
      <c r="T64" s="48"/>
      <c r="U64" s="48"/>
      <c r="V64" s="48"/>
      <c r="W64" s="48"/>
      <c r="X64" s="48"/>
      <c r="Y64" s="48"/>
      <c r="Z64" s="48"/>
    </row>
    <row r="65" ht="15.75" customHeight="1">
      <c r="A65" s="49"/>
      <c r="B65" s="49"/>
      <c r="C65" s="49"/>
      <c r="D65" s="49"/>
      <c r="E65" s="49"/>
      <c r="F65" s="49"/>
      <c r="G65" s="49"/>
      <c r="H65" s="49"/>
      <c r="I65" s="49"/>
      <c r="J65" s="49"/>
      <c r="K65" s="49"/>
      <c r="L65" s="49"/>
      <c r="M65" s="49"/>
      <c r="N65" s="49"/>
      <c r="O65" s="48"/>
      <c r="P65" s="48"/>
      <c r="Q65" s="48"/>
      <c r="R65" s="48"/>
      <c r="S65" s="48"/>
      <c r="T65" s="48"/>
      <c r="U65" s="48"/>
      <c r="V65" s="48"/>
      <c r="W65" s="48"/>
      <c r="X65" s="48"/>
      <c r="Y65" s="48"/>
      <c r="Z65" s="48"/>
    </row>
    <row r="66" ht="15.75" customHeight="1">
      <c r="A66" s="49"/>
      <c r="B66" s="49"/>
      <c r="C66" s="49"/>
      <c r="D66" s="49"/>
      <c r="E66" s="49"/>
      <c r="F66" s="49"/>
      <c r="G66" s="49"/>
      <c r="H66" s="49"/>
      <c r="I66" s="49"/>
      <c r="J66" s="49"/>
      <c r="K66" s="49"/>
      <c r="L66" s="49"/>
      <c r="M66" s="49"/>
      <c r="N66" s="49"/>
      <c r="O66" s="48"/>
      <c r="P66" s="48"/>
      <c r="Q66" s="48"/>
      <c r="R66" s="48"/>
      <c r="S66" s="48"/>
      <c r="T66" s="48"/>
      <c r="U66" s="48"/>
      <c r="V66" s="48"/>
      <c r="W66" s="48"/>
      <c r="X66" s="48"/>
      <c r="Y66" s="48"/>
      <c r="Z66" s="48"/>
    </row>
    <row r="67" ht="15.75" customHeight="1">
      <c r="A67" s="49"/>
      <c r="B67" s="49"/>
      <c r="C67" s="49"/>
      <c r="D67" s="49"/>
      <c r="E67" s="49"/>
      <c r="F67" s="49"/>
      <c r="G67" s="49"/>
      <c r="H67" s="49"/>
      <c r="I67" s="49"/>
      <c r="J67" s="49"/>
      <c r="K67" s="49"/>
      <c r="L67" s="49"/>
      <c r="M67" s="49"/>
      <c r="N67" s="49"/>
      <c r="O67" s="48"/>
      <c r="P67" s="48"/>
      <c r="Q67" s="48"/>
      <c r="R67" s="48"/>
      <c r="S67" s="48"/>
      <c r="T67" s="48"/>
      <c r="U67" s="48"/>
      <c r="V67" s="48"/>
      <c r="W67" s="48"/>
      <c r="X67" s="48"/>
      <c r="Y67" s="48"/>
      <c r="Z67" s="48"/>
    </row>
    <row r="68" ht="15.75" customHeight="1">
      <c r="A68" s="49"/>
      <c r="B68" s="49"/>
      <c r="C68" s="49"/>
      <c r="D68" s="49"/>
      <c r="E68" s="49"/>
      <c r="F68" s="49"/>
      <c r="G68" s="49"/>
      <c r="H68" s="49"/>
      <c r="I68" s="49"/>
      <c r="J68" s="49"/>
      <c r="K68" s="49"/>
      <c r="L68" s="49"/>
      <c r="M68" s="49"/>
      <c r="N68" s="49"/>
      <c r="O68" s="48"/>
      <c r="P68" s="48"/>
      <c r="Q68" s="48"/>
      <c r="R68" s="48"/>
      <c r="S68" s="48"/>
      <c r="T68" s="48"/>
      <c r="U68" s="48"/>
      <c r="V68" s="48"/>
      <c r="W68" s="48"/>
      <c r="X68" s="48"/>
      <c r="Y68" s="48"/>
      <c r="Z68" s="48"/>
    </row>
    <row r="69" ht="15.75" customHeight="1">
      <c r="A69" s="49"/>
      <c r="B69" s="49"/>
      <c r="C69" s="49"/>
      <c r="D69" s="49"/>
      <c r="E69" s="49"/>
      <c r="F69" s="49"/>
      <c r="G69" s="49"/>
      <c r="H69" s="49"/>
      <c r="I69" s="49"/>
      <c r="J69" s="49"/>
      <c r="K69" s="49"/>
      <c r="L69" s="49"/>
      <c r="M69" s="49"/>
      <c r="N69" s="49"/>
      <c r="O69" s="48"/>
      <c r="P69" s="48"/>
      <c r="Q69" s="48"/>
      <c r="R69" s="48"/>
      <c r="S69" s="48"/>
      <c r="T69" s="48"/>
      <c r="U69" s="48"/>
      <c r="V69" s="48"/>
      <c r="W69" s="48"/>
      <c r="X69" s="48"/>
      <c r="Y69" s="48"/>
      <c r="Z69" s="48"/>
    </row>
    <row r="70" ht="15.75" customHeight="1">
      <c r="A70" s="49"/>
      <c r="B70" s="49"/>
      <c r="C70" s="49"/>
      <c r="D70" s="49"/>
      <c r="E70" s="49"/>
      <c r="F70" s="49"/>
      <c r="G70" s="49"/>
      <c r="H70" s="49"/>
      <c r="I70" s="49"/>
      <c r="J70" s="49"/>
      <c r="K70" s="49"/>
      <c r="L70" s="49"/>
      <c r="M70" s="49"/>
      <c r="N70" s="49"/>
      <c r="O70" s="48"/>
      <c r="P70" s="48"/>
      <c r="Q70" s="48"/>
      <c r="R70" s="48"/>
      <c r="S70" s="48"/>
      <c r="T70" s="48"/>
      <c r="U70" s="48"/>
      <c r="V70" s="48"/>
      <c r="W70" s="48"/>
      <c r="X70" s="48"/>
      <c r="Y70" s="48"/>
      <c r="Z70" s="48"/>
    </row>
    <row r="71" ht="15.75" customHeight="1">
      <c r="A71" s="49"/>
      <c r="B71" s="49"/>
      <c r="C71" s="49"/>
      <c r="D71" s="49"/>
      <c r="E71" s="49"/>
      <c r="F71" s="49"/>
      <c r="G71" s="49"/>
      <c r="H71" s="49"/>
      <c r="I71" s="49"/>
      <c r="J71" s="49"/>
      <c r="K71" s="49"/>
      <c r="L71" s="49"/>
      <c r="M71" s="49"/>
      <c r="N71" s="49"/>
      <c r="O71" s="48"/>
      <c r="P71" s="48"/>
      <c r="Q71" s="48"/>
      <c r="R71" s="48"/>
      <c r="S71" s="48"/>
      <c r="T71" s="48"/>
      <c r="U71" s="48"/>
      <c r="V71" s="48"/>
      <c r="W71" s="48"/>
      <c r="X71" s="48"/>
      <c r="Y71" s="48"/>
      <c r="Z71" s="48"/>
    </row>
    <row r="72" ht="15.75" customHeight="1">
      <c r="A72" s="49"/>
      <c r="B72" s="49"/>
      <c r="C72" s="49"/>
      <c r="D72" s="49"/>
      <c r="E72" s="49"/>
      <c r="F72" s="49"/>
      <c r="G72" s="49"/>
      <c r="H72" s="49"/>
      <c r="I72" s="49"/>
      <c r="J72" s="49"/>
      <c r="K72" s="49"/>
      <c r="L72" s="49"/>
      <c r="M72" s="49"/>
      <c r="N72" s="49"/>
      <c r="O72" s="48"/>
      <c r="P72" s="48"/>
      <c r="Q72" s="48"/>
      <c r="R72" s="48"/>
      <c r="S72" s="48"/>
      <c r="T72" s="48"/>
      <c r="U72" s="48"/>
      <c r="V72" s="48"/>
      <c r="W72" s="48"/>
      <c r="X72" s="48"/>
      <c r="Y72" s="48"/>
      <c r="Z72" s="48"/>
    </row>
    <row r="73" ht="15.75" customHeight="1">
      <c r="A73" s="49"/>
      <c r="B73" s="49"/>
      <c r="C73" s="49"/>
      <c r="D73" s="49"/>
      <c r="E73" s="49"/>
      <c r="F73" s="49"/>
      <c r="G73" s="49"/>
      <c r="H73" s="49"/>
      <c r="I73" s="49"/>
      <c r="J73" s="49"/>
      <c r="K73" s="49"/>
      <c r="L73" s="49"/>
      <c r="M73" s="49"/>
      <c r="N73" s="49"/>
      <c r="O73" s="48"/>
      <c r="P73" s="48"/>
      <c r="Q73" s="48"/>
      <c r="R73" s="48"/>
      <c r="S73" s="48"/>
      <c r="T73" s="48"/>
      <c r="U73" s="48"/>
      <c r="V73" s="48"/>
      <c r="W73" s="48"/>
      <c r="X73" s="48"/>
      <c r="Y73" s="48"/>
      <c r="Z73" s="48"/>
    </row>
    <row r="74" ht="15.75" customHeight="1">
      <c r="A74" s="49"/>
      <c r="B74" s="49"/>
      <c r="C74" s="49"/>
      <c r="D74" s="49"/>
      <c r="E74" s="49"/>
      <c r="F74" s="49"/>
      <c r="G74" s="49"/>
      <c r="H74" s="49"/>
      <c r="I74" s="49"/>
      <c r="J74" s="49"/>
      <c r="K74" s="49"/>
      <c r="L74" s="49"/>
      <c r="M74" s="49"/>
      <c r="N74" s="49"/>
      <c r="O74" s="48"/>
      <c r="P74" s="48"/>
      <c r="Q74" s="48"/>
      <c r="R74" s="48"/>
      <c r="S74" s="48"/>
      <c r="T74" s="48"/>
      <c r="U74" s="48"/>
      <c r="V74" s="48"/>
      <c r="W74" s="48"/>
      <c r="X74" s="48"/>
      <c r="Y74" s="48"/>
      <c r="Z74" s="48"/>
    </row>
    <row r="75" ht="15.75" customHeight="1">
      <c r="A75" s="49"/>
      <c r="B75" s="49"/>
      <c r="C75" s="49"/>
      <c r="D75" s="49"/>
      <c r="E75" s="49"/>
      <c r="F75" s="49"/>
      <c r="G75" s="49"/>
      <c r="H75" s="49"/>
      <c r="I75" s="49"/>
      <c r="J75" s="49"/>
      <c r="K75" s="49"/>
      <c r="L75" s="49"/>
      <c r="M75" s="49"/>
      <c r="N75" s="49"/>
      <c r="O75" s="48"/>
      <c r="P75" s="48"/>
      <c r="Q75" s="48"/>
      <c r="R75" s="48"/>
      <c r="S75" s="48"/>
      <c r="T75" s="48"/>
      <c r="U75" s="48"/>
      <c r="V75" s="48"/>
      <c r="W75" s="48"/>
      <c r="X75" s="48"/>
      <c r="Y75" s="48"/>
      <c r="Z75" s="48"/>
    </row>
    <row r="76" ht="15.75" customHeight="1">
      <c r="A76" s="49"/>
      <c r="B76" s="49"/>
      <c r="C76" s="49"/>
      <c r="D76" s="49"/>
      <c r="E76" s="49"/>
      <c r="F76" s="49"/>
      <c r="G76" s="49"/>
      <c r="H76" s="49"/>
      <c r="I76" s="49"/>
      <c r="J76" s="49"/>
      <c r="K76" s="49"/>
      <c r="L76" s="49"/>
      <c r="M76" s="49"/>
      <c r="N76" s="49"/>
      <c r="O76" s="48"/>
      <c r="P76" s="48"/>
      <c r="Q76" s="48"/>
      <c r="R76" s="48"/>
      <c r="S76" s="48"/>
      <c r="T76" s="48"/>
      <c r="U76" s="48"/>
      <c r="V76" s="48"/>
      <c r="W76" s="48"/>
      <c r="X76" s="48"/>
      <c r="Y76" s="48"/>
      <c r="Z76" s="48"/>
    </row>
    <row r="77" ht="15.75" customHeight="1">
      <c r="A77" s="49"/>
      <c r="B77" s="49"/>
      <c r="C77" s="49"/>
      <c r="D77" s="49"/>
      <c r="E77" s="49"/>
      <c r="F77" s="49"/>
      <c r="G77" s="49"/>
      <c r="H77" s="49"/>
      <c r="I77" s="49"/>
      <c r="J77" s="49"/>
      <c r="K77" s="49"/>
      <c r="L77" s="49"/>
      <c r="M77" s="49"/>
      <c r="N77" s="49"/>
      <c r="O77" s="48"/>
      <c r="P77" s="48"/>
      <c r="Q77" s="48"/>
      <c r="R77" s="48"/>
      <c r="S77" s="48"/>
      <c r="T77" s="48"/>
      <c r="U77" s="48"/>
      <c r="V77" s="48"/>
      <c r="W77" s="48"/>
      <c r="X77" s="48"/>
      <c r="Y77" s="48"/>
      <c r="Z77" s="48"/>
    </row>
    <row r="78" ht="15.75" customHeight="1">
      <c r="A78" s="49"/>
      <c r="B78" s="49"/>
      <c r="C78" s="49"/>
      <c r="D78" s="49"/>
      <c r="E78" s="49"/>
      <c r="F78" s="49"/>
      <c r="G78" s="49"/>
      <c r="H78" s="49"/>
      <c r="I78" s="49"/>
      <c r="J78" s="49"/>
      <c r="K78" s="49"/>
      <c r="L78" s="49"/>
      <c r="M78" s="49"/>
      <c r="N78" s="49"/>
      <c r="O78" s="48"/>
      <c r="P78" s="48"/>
      <c r="Q78" s="48"/>
      <c r="R78" s="48"/>
      <c r="S78" s="48"/>
      <c r="T78" s="48"/>
      <c r="U78" s="48"/>
      <c r="V78" s="48"/>
      <c r="W78" s="48"/>
      <c r="X78" s="48"/>
      <c r="Y78" s="48"/>
      <c r="Z78" s="48"/>
    </row>
    <row r="79" ht="15.75" customHeight="1">
      <c r="A79" s="49"/>
      <c r="B79" s="49"/>
      <c r="C79" s="49"/>
      <c r="D79" s="49"/>
      <c r="E79" s="49"/>
      <c r="F79" s="49"/>
      <c r="G79" s="49"/>
      <c r="H79" s="49"/>
      <c r="I79" s="49"/>
      <c r="J79" s="49"/>
      <c r="K79" s="49"/>
      <c r="L79" s="49"/>
      <c r="M79" s="49"/>
      <c r="N79" s="49"/>
      <c r="O79" s="48"/>
      <c r="P79" s="48"/>
      <c r="Q79" s="48"/>
      <c r="R79" s="48"/>
      <c r="S79" s="48"/>
      <c r="T79" s="48"/>
      <c r="U79" s="48"/>
      <c r="V79" s="48"/>
      <c r="W79" s="48"/>
      <c r="X79" s="48"/>
      <c r="Y79" s="48"/>
      <c r="Z79" s="48"/>
    </row>
    <row r="80" ht="15.75" customHeight="1">
      <c r="A80" s="49"/>
      <c r="B80" s="49"/>
      <c r="C80" s="49"/>
      <c r="D80" s="49"/>
      <c r="E80" s="49"/>
      <c r="F80" s="49"/>
      <c r="G80" s="49"/>
      <c r="H80" s="49"/>
      <c r="I80" s="49"/>
      <c r="J80" s="49"/>
      <c r="K80" s="49"/>
      <c r="L80" s="49"/>
      <c r="M80" s="49"/>
      <c r="N80" s="49"/>
      <c r="O80" s="48"/>
      <c r="P80" s="48"/>
      <c r="Q80" s="48"/>
      <c r="R80" s="48"/>
      <c r="S80" s="48"/>
      <c r="T80" s="48"/>
      <c r="U80" s="48"/>
      <c r="V80" s="48"/>
      <c r="W80" s="48"/>
      <c r="X80" s="48"/>
      <c r="Y80" s="48"/>
      <c r="Z80" s="48"/>
    </row>
    <row r="81" ht="15.75" customHeight="1">
      <c r="A81" s="49"/>
      <c r="B81" s="49"/>
      <c r="C81" s="49"/>
      <c r="D81" s="49"/>
      <c r="E81" s="49"/>
      <c r="F81" s="49"/>
      <c r="G81" s="49"/>
      <c r="H81" s="49"/>
      <c r="I81" s="49"/>
      <c r="J81" s="49"/>
      <c r="K81" s="49"/>
      <c r="L81" s="49"/>
      <c r="M81" s="49"/>
      <c r="N81" s="49"/>
      <c r="O81" s="48"/>
      <c r="P81" s="48"/>
      <c r="Q81" s="48"/>
      <c r="R81" s="48"/>
      <c r="S81" s="48"/>
      <c r="T81" s="48"/>
      <c r="U81" s="48"/>
      <c r="V81" s="48"/>
      <c r="W81" s="48"/>
      <c r="X81" s="48"/>
      <c r="Y81" s="48"/>
      <c r="Z81" s="48"/>
    </row>
    <row r="82" ht="15.75" customHeight="1">
      <c r="A82" s="49"/>
      <c r="B82" s="49"/>
      <c r="C82" s="49"/>
      <c r="D82" s="49"/>
      <c r="E82" s="49"/>
      <c r="F82" s="49"/>
      <c r="G82" s="49"/>
      <c r="H82" s="49"/>
      <c r="I82" s="49"/>
      <c r="J82" s="49"/>
      <c r="K82" s="49"/>
      <c r="L82" s="49"/>
      <c r="M82" s="49"/>
      <c r="N82" s="49"/>
      <c r="O82" s="48"/>
      <c r="P82" s="48"/>
      <c r="Q82" s="48"/>
      <c r="R82" s="48"/>
      <c r="S82" s="48"/>
      <c r="T82" s="48"/>
      <c r="U82" s="48"/>
      <c r="V82" s="48"/>
      <c r="W82" s="48"/>
      <c r="X82" s="48"/>
      <c r="Y82" s="48"/>
      <c r="Z82" s="48"/>
    </row>
    <row r="83" ht="15.75" customHeight="1">
      <c r="A83" s="49"/>
      <c r="B83" s="49"/>
      <c r="C83" s="49"/>
      <c r="D83" s="49"/>
      <c r="E83" s="49"/>
      <c r="F83" s="49"/>
      <c r="G83" s="49"/>
      <c r="H83" s="49"/>
      <c r="I83" s="49"/>
      <c r="J83" s="49"/>
      <c r="K83" s="49"/>
      <c r="L83" s="49"/>
      <c r="M83" s="49"/>
      <c r="N83" s="49"/>
      <c r="O83" s="48"/>
      <c r="P83" s="48"/>
      <c r="Q83" s="48"/>
      <c r="R83" s="48"/>
      <c r="S83" s="48"/>
      <c r="T83" s="48"/>
      <c r="U83" s="48"/>
      <c r="V83" s="48"/>
      <c r="W83" s="48"/>
      <c r="X83" s="48"/>
      <c r="Y83" s="48"/>
      <c r="Z83" s="48"/>
    </row>
    <row r="84" ht="15.75" customHeight="1">
      <c r="A84" s="49"/>
      <c r="B84" s="49"/>
      <c r="C84" s="49"/>
      <c r="D84" s="49"/>
      <c r="E84" s="49"/>
      <c r="F84" s="49"/>
      <c r="G84" s="49"/>
      <c r="H84" s="49"/>
      <c r="I84" s="49"/>
      <c r="J84" s="49"/>
      <c r="K84" s="49"/>
      <c r="L84" s="49"/>
      <c r="M84" s="49"/>
      <c r="N84" s="49"/>
      <c r="O84" s="48"/>
      <c r="P84" s="48"/>
      <c r="Q84" s="48"/>
      <c r="R84" s="48"/>
      <c r="S84" s="48"/>
      <c r="T84" s="48"/>
      <c r="U84" s="48"/>
      <c r="V84" s="48"/>
      <c r="W84" s="48"/>
      <c r="X84" s="48"/>
      <c r="Y84" s="48"/>
      <c r="Z84" s="48"/>
    </row>
    <row r="85" ht="15.75" customHeight="1">
      <c r="A85" s="49"/>
      <c r="B85" s="49"/>
      <c r="C85" s="49"/>
      <c r="D85" s="49"/>
      <c r="E85" s="49"/>
      <c r="F85" s="49"/>
      <c r="G85" s="49"/>
      <c r="H85" s="49"/>
      <c r="I85" s="49"/>
      <c r="J85" s="49"/>
      <c r="K85" s="49"/>
      <c r="L85" s="49"/>
      <c r="M85" s="49"/>
      <c r="N85" s="49"/>
      <c r="O85" s="48"/>
      <c r="P85" s="48"/>
      <c r="Q85" s="48"/>
      <c r="R85" s="48"/>
      <c r="S85" s="48"/>
      <c r="T85" s="48"/>
      <c r="U85" s="48"/>
      <c r="V85" s="48"/>
      <c r="W85" s="48"/>
      <c r="X85" s="48"/>
      <c r="Y85" s="48"/>
      <c r="Z85" s="48"/>
    </row>
    <row r="86" ht="15.75" customHeight="1">
      <c r="A86" s="49"/>
      <c r="B86" s="49"/>
      <c r="C86" s="49"/>
      <c r="D86" s="49"/>
      <c r="E86" s="49"/>
      <c r="F86" s="49"/>
      <c r="G86" s="49"/>
      <c r="H86" s="49"/>
      <c r="I86" s="49"/>
      <c r="J86" s="49"/>
      <c r="K86" s="49"/>
      <c r="L86" s="49"/>
      <c r="M86" s="49"/>
      <c r="N86" s="49"/>
      <c r="O86" s="48"/>
      <c r="P86" s="48"/>
      <c r="Q86" s="48"/>
      <c r="R86" s="48"/>
      <c r="S86" s="48"/>
      <c r="T86" s="48"/>
      <c r="U86" s="48"/>
      <c r="V86" s="48"/>
      <c r="W86" s="48"/>
      <c r="X86" s="48"/>
      <c r="Y86" s="48"/>
      <c r="Z86" s="48"/>
    </row>
    <row r="87" ht="15.75" customHeight="1">
      <c r="A87" s="49"/>
      <c r="B87" s="49"/>
      <c r="C87" s="49"/>
      <c r="D87" s="49"/>
      <c r="E87" s="49"/>
      <c r="F87" s="49"/>
      <c r="G87" s="49"/>
      <c r="H87" s="49"/>
      <c r="I87" s="49"/>
      <c r="J87" s="49"/>
      <c r="K87" s="49"/>
      <c r="L87" s="49"/>
      <c r="M87" s="49"/>
      <c r="N87" s="49"/>
      <c r="O87" s="48"/>
      <c r="P87" s="48"/>
      <c r="Q87" s="48"/>
      <c r="R87" s="48"/>
      <c r="S87" s="48"/>
      <c r="T87" s="48"/>
      <c r="U87" s="48"/>
      <c r="V87" s="48"/>
      <c r="W87" s="48"/>
      <c r="X87" s="48"/>
      <c r="Y87" s="48"/>
      <c r="Z87" s="48"/>
    </row>
    <row r="88" ht="15.75" customHeight="1">
      <c r="A88" s="49"/>
      <c r="B88" s="49"/>
      <c r="C88" s="49"/>
      <c r="D88" s="49"/>
      <c r="E88" s="49"/>
      <c r="F88" s="49"/>
      <c r="G88" s="49"/>
      <c r="H88" s="49"/>
      <c r="I88" s="49"/>
      <c r="J88" s="49"/>
      <c r="K88" s="49"/>
      <c r="L88" s="49"/>
      <c r="M88" s="49"/>
      <c r="N88" s="49"/>
      <c r="O88" s="48"/>
      <c r="P88" s="48"/>
      <c r="Q88" s="48"/>
      <c r="R88" s="48"/>
      <c r="S88" s="48"/>
      <c r="T88" s="48"/>
      <c r="U88" s="48"/>
      <c r="V88" s="48"/>
      <c r="W88" s="48"/>
      <c r="X88" s="48"/>
      <c r="Y88" s="48"/>
      <c r="Z88" s="48"/>
    </row>
    <row r="89" ht="15.75" customHeight="1">
      <c r="A89" s="49"/>
      <c r="B89" s="49"/>
      <c r="C89" s="49"/>
      <c r="D89" s="49"/>
      <c r="E89" s="49"/>
      <c r="F89" s="49"/>
      <c r="G89" s="49"/>
      <c r="H89" s="49"/>
      <c r="I89" s="49"/>
      <c r="J89" s="49"/>
      <c r="K89" s="49"/>
      <c r="L89" s="49"/>
      <c r="M89" s="49"/>
      <c r="N89" s="49"/>
      <c r="O89" s="48"/>
      <c r="P89" s="48"/>
      <c r="Q89" s="48"/>
      <c r="R89" s="48"/>
      <c r="S89" s="48"/>
      <c r="T89" s="48"/>
      <c r="U89" s="48"/>
      <c r="V89" s="48"/>
      <c r="W89" s="48"/>
      <c r="X89" s="48"/>
      <c r="Y89" s="48"/>
      <c r="Z89" s="48"/>
    </row>
    <row r="90" ht="15.75" customHeight="1">
      <c r="A90" s="49"/>
      <c r="B90" s="49"/>
      <c r="C90" s="49"/>
      <c r="D90" s="49"/>
      <c r="E90" s="49"/>
      <c r="F90" s="49"/>
      <c r="G90" s="49"/>
      <c r="H90" s="49"/>
      <c r="I90" s="49"/>
      <c r="J90" s="49"/>
      <c r="K90" s="49"/>
      <c r="L90" s="49"/>
      <c r="M90" s="49"/>
      <c r="N90" s="49"/>
      <c r="O90" s="48"/>
      <c r="P90" s="48"/>
      <c r="Q90" s="48"/>
      <c r="R90" s="48"/>
      <c r="S90" s="48"/>
      <c r="T90" s="48"/>
      <c r="U90" s="48"/>
      <c r="V90" s="48"/>
      <c r="W90" s="48"/>
      <c r="X90" s="48"/>
      <c r="Y90" s="48"/>
      <c r="Z90" s="48"/>
    </row>
    <row r="91" ht="15.75" customHeight="1">
      <c r="A91" s="49"/>
      <c r="B91" s="49"/>
      <c r="C91" s="49"/>
      <c r="D91" s="49"/>
      <c r="E91" s="49"/>
      <c r="F91" s="49"/>
      <c r="G91" s="49"/>
      <c r="H91" s="49"/>
      <c r="I91" s="49"/>
      <c r="J91" s="49"/>
      <c r="K91" s="49"/>
      <c r="L91" s="49"/>
      <c r="M91" s="49"/>
      <c r="N91" s="49"/>
      <c r="O91" s="48"/>
      <c r="P91" s="48"/>
      <c r="Q91" s="48"/>
      <c r="R91" s="48"/>
      <c r="S91" s="48"/>
      <c r="T91" s="48"/>
      <c r="U91" s="48"/>
      <c r="V91" s="48"/>
      <c r="W91" s="48"/>
      <c r="X91" s="48"/>
      <c r="Y91" s="48"/>
      <c r="Z91" s="48"/>
    </row>
    <row r="92" ht="15.75" customHeight="1">
      <c r="A92" s="49"/>
      <c r="B92" s="49"/>
      <c r="C92" s="49"/>
      <c r="D92" s="49"/>
      <c r="E92" s="49"/>
      <c r="F92" s="49"/>
      <c r="G92" s="49"/>
      <c r="H92" s="49"/>
      <c r="I92" s="49"/>
      <c r="J92" s="49"/>
      <c r="K92" s="49"/>
      <c r="L92" s="49"/>
      <c r="M92" s="49"/>
      <c r="N92" s="49"/>
      <c r="O92" s="48"/>
      <c r="P92" s="48"/>
      <c r="Q92" s="48"/>
      <c r="R92" s="48"/>
      <c r="S92" s="48"/>
      <c r="T92" s="48"/>
      <c r="U92" s="48"/>
      <c r="V92" s="48"/>
      <c r="W92" s="48"/>
      <c r="X92" s="48"/>
      <c r="Y92" s="48"/>
      <c r="Z92" s="48"/>
    </row>
    <row r="93" ht="15.75" customHeight="1">
      <c r="A93" s="49"/>
      <c r="B93" s="49"/>
      <c r="C93" s="49"/>
      <c r="D93" s="49"/>
      <c r="E93" s="49"/>
      <c r="F93" s="49"/>
      <c r="G93" s="49"/>
      <c r="H93" s="49"/>
      <c r="I93" s="49"/>
      <c r="J93" s="49"/>
      <c r="K93" s="49"/>
      <c r="L93" s="49"/>
      <c r="M93" s="49"/>
      <c r="N93" s="49"/>
      <c r="O93" s="48"/>
      <c r="P93" s="48"/>
      <c r="Q93" s="48"/>
      <c r="R93" s="48"/>
      <c r="S93" s="48"/>
      <c r="T93" s="48"/>
      <c r="U93" s="48"/>
      <c r="V93" s="48"/>
      <c r="W93" s="48"/>
      <c r="X93" s="48"/>
      <c r="Y93" s="48"/>
      <c r="Z93" s="48"/>
    </row>
    <row r="94" ht="15.75" customHeight="1">
      <c r="A94" s="49"/>
      <c r="B94" s="49"/>
      <c r="C94" s="49"/>
      <c r="D94" s="49"/>
      <c r="E94" s="49"/>
      <c r="F94" s="49"/>
      <c r="G94" s="49"/>
      <c r="H94" s="49"/>
      <c r="I94" s="49"/>
      <c r="J94" s="49"/>
      <c r="K94" s="49"/>
      <c r="L94" s="49"/>
      <c r="M94" s="49"/>
      <c r="N94" s="49"/>
      <c r="O94" s="48"/>
      <c r="P94" s="48"/>
      <c r="Q94" s="48"/>
      <c r="R94" s="48"/>
      <c r="S94" s="48"/>
      <c r="T94" s="48"/>
      <c r="U94" s="48"/>
      <c r="V94" s="48"/>
      <c r="W94" s="48"/>
      <c r="X94" s="48"/>
      <c r="Y94" s="48"/>
      <c r="Z94" s="48"/>
    </row>
    <row r="95" ht="15.75" customHeight="1">
      <c r="A95" s="49"/>
      <c r="B95" s="49"/>
      <c r="C95" s="49"/>
      <c r="D95" s="49"/>
      <c r="E95" s="49"/>
      <c r="F95" s="49"/>
      <c r="G95" s="49"/>
      <c r="H95" s="49"/>
      <c r="I95" s="49"/>
      <c r="J95" s="49"/>
      <c r="K95" s="49"/>
      <c r="L95" s="49"/>
      <c r="M95" s="49"/>
      <c r="N95" s="49"/>
      <c r="O95" s="48"/>
      <c r="P95" s="48"/>
      <c r="Q95" s="48"/>
      <c r="R95" s="48"/>
      <c r="S95" s="48"/>
      <c r="T95" s="48"/>
      <c r="U95" s="48"/>
      <c r="V95" s="48"/>
      <c r="W95" s="48"/>
      <c r="X95" s="48"/>
      <c r="Y95" s="48"/>
      <c r="Z95" s="48"/>
    </row>
    <row r="96" ht="15.75" customHeight="1">
      <c r="A96" s="49"/>
      <c r="B96" s="49"/>
      <c r="C96" s="49"/>
      <c r="D96" s="49"/>
      <c r="E96" s="49"/>
      <c r="F96" s="49"/>
      <c r="G96" s="49"/>
      <c r="H96" s="49"/>
      <c r="I96" s="49"/>
      <c r="J96" s="49"/>
      <c r="K96" s="49"/>
      <c r="L96" s="49"/>
      <c r="M96" s="49"/>
      <c r="N96" s="49"/>
      <c r="O96" s="48"/>
      <c r="P96" s="48"/>
      <c r="Q96" s="48"/>
      <c r="R96" s="48"/>
      <c r="S96" s="48"/>
      <c r="T96" s="48"/>
      <c r="U96" s="48"/>
      <c r="V96" s="48"/>
      <c r="W96" s="48"/>
      <c r="X96" s="48"/>
      <c r="Y96" s="48"/>
      <c r="Z96" s="48"/>
    </row>
    <row r="97" ht="15.75" customHeight="1">
      <c r="A97" s="49"/>
      <c r="B97" s="49"/>
      <c r="C97" s="49"/>
      <c r="D97" s="49"/>
      <c r="E97" s="49"/>
      <c r="F97" s="49"/>
      <c r="G97" s="49"/>
      <c r="H97" s="49"/>
      <c r="I97" s="49"/>
      <c r="J97" s="49"/>
      <c r="K97" s="49"/>
      <c r="L97" s="49"/>
      <c r="M97" s="49"/>
      <c r="N97" s="49"/>
      <c r="O97" s="48"/>
      <c r="P97" s="48"/>
      <c r="Q97" s="48"/>
      <c r="R97" s="48"/>
      <c r="S97" s="48"/>
      <c r="T97" s="48"/>
      <c r="U97" s="48"/>
      <c r="V97" s="48"/>
      <c r="W97" s="48"/>
      <c r="X97" s="48"/>
      <c r="Y97" s="48"/>
      <c r="Z97" s="48"/>
    </row>
    <row r="98" ht="15.75" customHeight="1">
      <c r="A98" s="49"/>
      <c r="B98" s="49"/>
      <c r="C98" s="49"/>
      <c r="D98" s="49"/>
      <c r="E98" s="49"/>
      <c r="F98" s="49"/>
      <c r="G98" s="49"/>
      <c r="H98" s="49"/>
      <c r="I98" s="49"/>
      <c r="J98" s="49"/>
      <c r="K98" s="49"/>
      <c r="L98" s="49"/>
      <c r="M98" s="49"/>
      <c r="N98" s="49"/>
      <c r="O98" s="48"/>
      <c r="P98" s="48"/>
      <c r="Q98" s="48"/>
      <c r="R98" s="48"/>
      <c r="S98" s="48"/>
      <c r="T98" s="48"/>
      <c r="U98" s="48"/>
      <c r="V98" s="48"/>
      <c r="W98" s="48"/>
      <c r="X98" s="48"/>
      <c r="Y98" s="48"/>
      <c r="Z98" s="48"/>
    </row>
    <row r="99" ht="15.75" customHeight="1">
      <c r="A99" s="49"/>
      <c r="B99" s="49"/>
      <c r="C99" s="49"/>
      <c r="D99" s="49"/>
      <c r="E99" s="49"/>
      <c r="F99" s="49"/>
      <c r="G99" s="49"/>
      <c r="H99" s="49"/>
      <c r="I99" s="49"/>
      <c r="J99" s="49"/>
      <c r="K99" s="49"/>
      <c r="L99" s="49"/>
      <c r="M99" s="49"/>
      <c r="N99" s="49"/>
      <c r="O99" s="48"/>
      <c r="P99" s="48"/>
      <c r="Q99" s="48"/>
      <c r="R99" s="48"/>
      <c r="S99" s="48"/>
      <c r="T99" s="48"/>
      <c r="U99" s="48"/>
      <c r="V99" s="48"/>
      <c r="W99" s="48"/>
      <c r="X99" s="48"/>
      <c r="Y99" s="48"/>
      <c r="Z99" s="48"/>
    </row>
    <row r="100" ht="15.75" customHeight="1">
      <c r="A100" s="49"/>
      <c r="B100" s="49"/>
      <c r="C100" s="49"/>
      <c r="D100" s="49"/>
      <c r="E100" s="49"/>
      <c r="F100" s="49"/>
      <c r="G100" s="49"/>
      <c r="H100" s="49"/>
      <c r="I100" s="49"/>
      <c r="J100" s="49"/>
      <c r="K100" s="49"/>
      <c r="L100" s="49"/>
      <c r="M100" s="49"/>
      <c r="N100" s="49"/>
      <c r="O100" s="48"/>
      <c r="P100" s="48"/>
      <c r="Q100" s="48"/>
      <c r="R100" s="48"/>
      <c r="S100" s="48"/>
      <c r="T100" s="48"/>
      <c r="U100" s="48"/>
      <c r="V100" s="48"/>
      <c r="W100" s="48"/>
      <c r="X100" s="48"/>
      <c r="Y100" s="48"/>
      <c r="Z100" s="48"/>
    </row>
    <row r="101" ht="15.75" customHeight="1">
      <c r="A101" s="49"/>
      <c r="B101" s="49"/>
      <c r="C101" s="49"/>
      <c r="D101" s="49"/>
      <c r="E101" s="49"/>
      <c r="F101" s="49"/>
      <c r="G101" s="49"/>
      <c r="H101" s="49"/>
      <c r="I101" s="49"/>
      <c r="J101" s="49"/>
      <c r="K101" s="49"/>
      <c r="L101" s="49"/>
      <c r="M101" s="49"/>
      <c r="N101" s="49"/>
      <c r="O101" s="48"/>
      <c r="P101" s="48"/>
      <c r="Q101" s="48"/>
      <c r="R101" s="48"/>
      <c r="S101" s="48"/>
      <c r="T101" s="48"/>
      <c r="U101" s="48"/>
      <c r="V101" s="48"/>
      <c r="W101" s="48"/>
      <c r="X101" s="48"/>
      <c r="Y101" s="48"/>
      <c r="Z101" s="48"/>
    </row>
    <row r="102" ht="15.75" customHeight="1">
      <c r="A102" s="49"/>
      <c r="B102" s="49"/>
      <c r="C102" s="49"/>
      <c r="D102" s="49"/>
      <c r="E102" s="49"/>
      <c r="F102" s="49"/>
      <c r="G102" s="49"/>
      <c r="H102" s="49"/>
      <c r="I102" s="49"/>
      <c r="J102" s="49"/>
      <c r="K102" s="49"/>
      <c r="L102" s="49"/>
      <c r="M102" s="49"/>
      <c r="N102" s="49"/>
      <c r="O102" s="48"/>
      <c r="P102" s="48"/>
      <c r="Q102" s="48"/>
      <c r="R102" s="48"/>
      <c r="S102" s="48"/>
      <c r="T102" s="48"/>
      <c r="U102" s="48"/>
      <c r="V102" s="48"/>
      <c r="W102" s="48"/>
      <c r="X102" s="48"/>
      <c r="Y102" s="48"/>
      <c r="Z102" s="48"/>
    </row>
    <row r="103" ht="15.75" customHeight="1">
      <c r="A103" s="49"/>
      <c r="B103" s="49"/>
      <c r="C103" s="49"/>
      <c r="D103" s="49"/>
      <c r="E103" s="49"/>
      <c r="F103" s="49"/>
      <c r="G103" s="49"/>
      <c r="H103" s="49"/>
      <c r="I103" s="49"/>
      <c r="J103" s="49"/>
      <c r="K103" s="49"/>
      <c r="L103" s="49"/>
      <c r="M103" s="49"/>
      <c r="N103" s="49"/>
      <c r="O103" s="48"/>
      <c r="P103" s="48"/>
      <c r="Q103" s="48"/>
      <c r="R103" s="48"/>
      <c r="S103" s="48"/>
      <c r="T103" s="48"/>
      <c r="U103" s="48"/>
      <c r="V103" s="48"/>
      <c r="W103" s="48"/>
      <c r="X103" s="48"/>
      <c r="Y103" s="48"/>
      <c r="Z103" s="48"/>
    </row>
    <row r="104" ht="15.75" customHeight="1">
      <c r="A104" s="49"/>
      <c r="B104" s="49"/>
      <c r="C104" s="49"/>
      <c r="D104" s="49"/>
      <c r="E104" s="49"/>
      <c r="F104" s="49"/>
      <c r="G104" s="49"/>
      <c r="H104" s="49"/>
      <c r="I104" s="49"/>
      <c r="J104" s="49"/>
      <c r="K104" s="49"/>
      <c r="L104" s="49"/>
      <c r="M104" s="49"/>
      <c r="N104" s="49"/>
      <c r="O104" s="48"/>
      <c r="P104" s="48"/>
      <c r="Q104" s="48"/>
      <c r="R104" s="48"/>
      <c r="S104" s="48"/>
      <c r="T104" s="48"/>
      <c r="U104" s="48"/>
      <c r="V104" s="48"/>
      <c r="W104" s="48"/>
      <c r="X104" s="48"/>
      <c r="Y104" s="48"/>
      <c r="Z104" s="48"/>
    </row>
    <row r="105" ht="15.75" customHeight="1">
      <c r="A105" s="49"/>
      <c r="B105" s="49"/>
      <c r="C105" s="49"/>
      <c r="D105" s="49"/>
      <c r="E105" s="49"/>
      <c r="F105" s="49"/>
      <c r="G105" s="49"/>
      <c r="H105" s="49"/>
      <c r="I105" s="49"/>
      <c r="J105" s="49"/>
      <c r="K105" s="49"/>
      <c r="L105" s="49"/>
      <c r="M105" s="49"/>
      <c r="N105" s="49"/>
      <c r="O105" s="48"/>
      <c r="P105" s="48"/>
      <c r="Q105" s="48"/>
      <c r="R105" s="48"/>
      <c r="S105" s="48"/>
      <c r="T105" s="48"/>
      <c r="U105" s="48"/>
      <c r="V105" s="48"/>
      <c r="W105" s="48"/>
      <c r="X105" s="48"/>
      <c r="Y105" s="48"/>
      <c r="Z105" s="48"/>
    </row>
    <row r="106" ht="15.75" customHeight="1">
      <c r="A106" s="49"/>
      <c r="B106" s="49"/>
      <c r="C106" s="49"/>
      <c r="D106" s="49"/>
      <c r="E106" s="49"/>
      <c r="F106" s="49"/>
      <c r="G106" s="49"/>
      <c r="H106" s="49"/>
      <c r="I106" s="49"/>
      <c r="J106" s="49"/>
      <c r="K106" s="49"/>
      <c r="L106" s="49"/>
      <c r="M106" s="49"/>
      <c r="N106" s="49"/>
      <c r="O106" s="48"/>
      <c r="P106" s="48"/>
      <c r="Q106" s="48"/>
      <c r="R106" s="48"/>
      <c r="S106" s="48"/>
      <c r="T106" s="48"/>
      <c r="U106" s="48"/>
      <c r="V106" s="48"/>
      <c r="W106" s="48"/>
      <c r="X106" s="48"/>
      <c r="Y106" s="48"/>
      <c r="Z106" s="48"/>
    </row>
    <row r="107" ht="15.75" customHeight="1">
      <c r="A107" s="49"/>
      <c r="B107" s="49"/>
      <c r="C107" s="49"/>
      <c r="D107" s="49"/>
      <c r="E107" s="49"/>
      <c r="F107" s="49"/>
      <c r="G107" s="49"/>
      <c r="H107" s="49"/>
      <c r="I107" s="49"/>
      <c r="J107" s="49"/>
      <c r="K107" s="49"/>
      <c r="L107" s="49"/>
      <c r="M107" s="49"/>
      <c r="N107" s="49"/>
      <c r="O107" s="48"/>
      <c r="P107" s="48"/>
      <c r="Q107" s="48"/>
      <c r="R107" s="48"/>
      <c r="S107" s="48"/>
      <c r="T107" s="48"/>
      <c r="U107" s="48"/>
      <c r="V107" s="48"/>
      <c r="W107" s="48"/>
      <c r="X107" s="48"/>
      <c r="Y107" s="48"/>
      <c r="Z107" s="48"/>
    </row>
    <row r="108" ht="15.75" customHeight="1">
      <c r="A108" s="49"/>
      <c r="B108" s="49"/>
      <c r="C108" s="49"/>
      <c r="D108" s="49"/>
      <c r="E108" s="49"/>
      <c r="F108" s="49"/>
      <c r="G108" s="49"/>
      <c r="H108" s="49"/>
      <c r="I108" s="49"/>
      <c r="J108" s="49"/>
      <c r="K108" s="49"/>
      <c r="L108" s="49"/>
      <c r="M108" s="49"/>
      <c r="N108" s="49"/>
      <c r="O108" s="48"/>
      <c r="P108" s="48"/>
      <c r="Q108" s="48"/>
      <c r="R108" s="48"/>
      <c r="S108" s="48"/>
      <c r="T108" s="48"/>
      <c r="U108" s="48"/>
      <c r="V108" s="48"/>
      <c r="W108" s="48"/>
      <c r="X108" s="48"/>
      <c r="Y108" s="48"/>
      <c r="Z108" s="48"/>
    </row>
    <row r="109" ht="15.75" customHeight="1">
      <c r="A109" s="49"/>
      <c r="B109" s="49"/>
      <c r="C109" s="49"/>
      <c r="D109" s="49"/>
      <c r="E109" s="49"/>
      <c r="F109" s="49"/>
      <c r="G109" s="49"/>
      <c r="H109" s="49"/>
      <c r="I109" s="49"/>
      <c r="J109" s="49"/>
      <c r="K109" s="49"/>
      <c r="L109" s="49"/>
      <c r="M109" s="49"/>
      <c r="N109" s="49"/>
      <c r="O109" s="48"/>
      <c r="P109" s="48"/>
      <c r="Q109" s="48"/>
      <c r="R109" s="48"/>
      <c r="S109" s="48"/>
      <c r="T109" s="48"/>
      <c r="U109" s="48"/>
      <c r="V109" s="48"/>
      <c r="W109" s="48"/>
      <c r="X109" s="48"/>
      <c r="Y109" s="48"/>
      <c r="Z109" s="48"/>
    </row>
    <row r="110" ht="15.75" customHeight="1">
      <c r="A110" s="49"/>
      <c r="B110" s="49"/>
      <c r="C110" s="49"/>
      <c r="D110" s="49"/>
      <c r="E110" s="49"/>
      <c r="F110" s="49"/>
      <c r="G110" s="49"/>
      <c r="H110" s="49"/>
      <c r="I110" s="49"/>
      <c r="J110" s="49"/>
      <c r="K110" s="49"/>
      <c r="L110" s="49"/>
      <c r="M110" s="49"/>
      <c r="N110" s="49"/>
      <c r="O110" s="48"/>
      <c r="P110" s="48"/>
      <c r="Q110" s="48"/>
      <c r="R110" s="48"/>
      <c r="S110" s="48"/>
      <c r="T110" s="48"/>
      <c r="U110" s="48"/>
      <c r="V110" s="48"/>
      <c r="W110" s="48"/>
      <c r="X110" s="48"/>
      <c r="Y110" s="48"/>
      <c r="Z110" s="48"/>
    </row>
    <row r="111" ht="15.75" customHeight="1">
      <c r="A111" s="49"/>
      <c r="B111" s="49"/>
      <c r="C111" s="49"/>
      <c r="D111" s="49"/>
      <c r="E111" s="49"/>
      <c r="F111" s="49"/>
      <c r="G111" s="49"/>
      <c r="H111" s="49"/>
      <c r="I111" s="49"/>
      <c r="J111" s="49"/>
      <c r="K111" s="49"/>
      <c r="L111" s="49"/>
      <c r="M111" s="49"/>
      <c r="N111" s="49"/>
      <c r="O111" s="48"/>
      <c r="P111" s="48"/>
      <c r="Q111" s="48"/>
      <c r="R111" s="48"/>
      <c r="S111" s="48"/>
      <c r="T111" s="48"/>
      <c r="U111" s="48"/>
      <c r="V111" s="48"/>
      <c r="W111" s="48"/>
      <c r="X111" s="48"/>
      <c r="Y111" s="48"/>
      <c r="Z111" s="48"/>
    </row>
    <row r="112" ht="15.75" customHeight="1">
      <c r="A112" s="49"/>
      <c r="B112" s="49"/>
      <c r="C112" s="49"/>
      <c r="D112" s="49"/>
      <c r="E112" s="49"/>
      <c r="F112" s="49"/>
      <c r="G112" s="49"/>
      <c r="H112" s="49"/>
      <c r="I112" s="49"/>
      <c r="J112" s="49"/>
      <c r="K112" s="49"/>
      <c r="L112" s="49"/>
      <c r="M112" s="49"/>
      <c r="N112" s="49"/>
      <c r="O112" s="48"/>
      <c r="P112" s="48"/>
      <c r="Q112" s="48"/>
      <c r="R112" s="48"/>
      <c r="S112" s="48"/>
      <c r="T112" s="48"/>
      <c r="U112" s="48"/>
      <c r="V112" s="48"/>
      <c r="W112" s="48"/>
      <c r="X112" s="48"/>
      <c r="Y112" s="48"/>
      <c r="Z112" s="48"/>
    </row>
    <row r="113" ht="15.75" customHeight="1">
      <c r="A113" s="49"/>
      <c r="B113" s="49"/>
      <c r="C113" s="49"/>
      <c r="D113" s="49"/>
      <c r="E113" s="49"/>
      <c r="F113" s="49"/>
      <c r="G113" s="49"/>
      <c r="H113" s="49"/>
      <c r="I113" s="49"/>
      <c r="J113" s="49"/>
      <c r="K113" s="49"/>
      <c r="L113" s="49"/>
      <c r="M113" s="49"/>
      <c r="N113" s="49"/>
      <c r="O113" s="48"/>
      <c r="P113" s="48"/>
      <c r="Q113" s="48"/>
      <c r="R113" s="48"/>
      <c r="S113" s="48"/>
      <c r="T113" s="48"/>
      <c r="U113" s="48"/>
      <c r="V113" s="48"/>
      <c r="W113" s="48"/>
      <c r="X113" s="48"/>
      <c r="Y113" s="48"/>
      <c r="Z113" s="48"/>
    </row>
    <row r="114" ht="15.75" customHeight="1">
      <c r="A114" s="49"/>
      <c r="B114" s="49"/>
      <c r="C114" s="49"/>
      <c r="D114" s="49"/>
      <c r="E114" s="49"/>
      <c r="F114" s="49"/>
      <c r="G114" s="49"/>
      <c r="H114" s="49"/>
      <c r="I114" s="49"/>
      <c r="J114" s="49"/>
      <c r="K114" s="49"/>
      <c r="L114" s="49"/>
      <c r="M114" s="49"/>
      <c r="N114" s="49"/>
      <c r="O114" s="48"/>
      <c r="P114" s="48"/>
      <c r="Q114" s="48"/>
      <c r="R114" s="48"/>
      <c r="S114" s="48"/>
      <c r="T114" s="48"/>
      <c r="U114" s="48"/>
      <c r="V114" s="48"/>
      <c r="W114" s="48"/>
      <c r="X114" s="48"/>
      <c r="Y114" s="48"/>
      <c r="Z114" s="48"/>
    </row>
    <row r="115" ht="15.75" customHeight="1">
      <c r="A115" s="49"/>
      <c r="B115" s="49"/>
      <c r="C115" s="49"/>
      <c r="D115" s="49"/>
      <c r="E115" s="49"/>
      <c r="F115" s="49"/>
      <c r="G115" s="49"/>
      <c r="H115" s="49"/>
      <c r="I115" s="49"/>
      <c r="J115" s="49"/>
      <c r="K115" s="49"/>
      <c r="L115" s="49"/>
      <c r="M115" s="49"/>
      <c r="N115" s="49"/>
      <c r="O115" s="48"/>
      <c r="P115" s="48"/>
      <c r="Q115" s="48"/>
      <c r="R115" s="48"/>
      <c r="S115" s="48"/>
      <c r="T115" s="48"/>
      <c r="U115" s="48"/>
      <c r="V115" s="48"/>
      <c r="W115" s="48"/>
      <c r="X115" s="48"/>
      <c r="Y115" s="48"/>
      <c r="Z115" s="48"/>
    </row>
    <row r="116" ht="15.75" customHeight="1">
      <c r="A116" s="49"/>
      <c r="B116" s="49"/>
      <c r="C116" s="49"/>
      <c r="D116" s="49"/>
      <c r="E116" s="49"/>
      <c r="F116" s="49"/>
      <c r="G116" s="49"/>
      <c r="H116" s="49"/>
      <c r="I116" s="49"/>
      <c r="J116" s="49"/>
      <c r="K116" s="49"/>
      <c r="L116" s="49"/>
      <c r="M116" s="49"/>
      <c r="N116" s="49"/>
      <c r="O116" s="48"/>
      <c r="P116" s="48"/>
      <c r="Q116" s="48"/>
      <c r="R116" s="48"/>
      <c r="S116" s="48"/>
      <c r="T116" s="48"/>
      <c r="U116" s="48"/>
      <c r="V116" s="48"/>
      <c r="W116" s="48"/>
      <c r="X116" s="48"/>
      <c r="Y116" s="48"/>
      <c r="Z116" s="48"/>
    </row>
    <row r="117" ht="15.75" customHeight="1">
      <c r="A117" s="49"/>
      <c r="B117" s="49"/>
      <c r="C117" s="49"/>
      <c r="D117" s="49"/>
      <c r="E117" s="49"/>
      <c r="F117" s="49"/>
      <c r="G117" s="49"/>
      <c r="H117" s="49"/>
      <c r="I117" s="49"/>
      <c r="J117" s="49"/>
      <c r="K117" s="49"/>
      <c r="L117" s="49"/>
      <c r="M117" s="49"/>
      <c r="N117" s="49"/>
      <c r="O117" s="48"/>
      <c r="P117" s="48"/>
      <c r="Q117" s="48"/>
      <c r="R117" s="48"/>
      <c r="S117" s="48"/>
      <c r="T117" s="48"/>
      <c r="U117" s="48"/>
      <c r="V117" s="48"/>
      <c r="W117" s="48"/>
      <c r="X117" s="48"/>
      <c r="Y117" s="48"/>
      <c r="Z117" s="48"/>
    </row>
    <row r="118" ht="15.75" customHeight="1">
      <c r="A118" s="49"/>
      <c r="B118" s="49"/>
      <c r="C118" s="49"/>
      <c r="D118" s="49"/>
      <c r="E118" s="49"/>
      <c r="F118" s="49"/>
      <c r="G118" s="49"/>
      <c r="H118" s="49"/>
      <c r="I118" s="49"/>
      <c r="J118" s="49"/>
      <c r="K118" s="49"/>
      <c r="L118" s="49"/>
      <c r="M118" s="49"/>
      <c r="N118" s="49"/>
      <c r="O118" s="48"/>
      <c r="P118" s="48"/>
      <c r="Q118" s="48"/>
      <c r="R118" s="48"/>
      <c r="S118" s="48"/>
      <c r="T118" s="48"/>
      <c r="U118" s="48"/>
      <c r="V118" s="48"/>
      <c r="W118" s="48"/>
      <c r="X118" s="48"/>
      <c r="Y118" s="48"/>
      <c r="Z118" s="48"/>
    </row>
    <row r="119" ht="15.75" customHeight="1">
      <c r="A119" s="49"/>
      <c r="B119" s="49"/>
      <c r="C119" s="49"/>
      <c r="D119" s="49"/>
      <c r="E119" s="49"/>
      <c r="F119" s="49"/>
      <c r="G119" s="49"/>
      <c r="H119" s="49"/>
      <c r="I119" s="49"/>
      <c r="J119" s="49"/>
      <c r="K119" s="49"/>
      <c r="L119" s="49"/>
      <c r="M119" s="49"/>
      <c r="N119" s="49"/>
      <c r="O119" s="48"/>
      <c r="P119" s="48"/>
      <c r="Q119" s="48"/>
      <c r="R119" s="48"/>
      <c r="S119" s="48"/>
      <c r="T119" s="48"/>
      <c r="U119" s="48"/>
      <c r="V119" s="48"/>
      <c r="W119" s="48"/>
      <c r="X119" s="48"/>
      <c r="Y119" s="48"/>
      <c r="Z119" s="48"/>
    </row>
    <row r="120" ht="15.75" customHeight="1">
      <c r="A120" s="49"/>
      <c r="B120" s="49"/>
      <c r="C120" s="49"/>
      <c r="D120" s="49"/>
      <c r="E120" s="49"/>
      <c r="F120" s="49"/>
      <c r="G120" s="49"/>
      <c r="H120" s="49"/>
      <c r="I120" s="49"/>
      <c r="J120" s="49"/>
      <c r="K120" s="49"/>
      <c r="L120" s="49"/>
      <c r="M120" s="49"/>
      <c r="N120" s="49"/>
      <c r="O120" s="48"/>
      <c r="P120" s="48"/>
      <c r="Q120" s="48"/>
      <c r="R120" s="48"/>
      <c r="S120" s="48"/>
      <c r="T120" s="48"/>
      <c r="U120" s="48"/>
      <c r="V120" s="48"/>
      <c r="W120" s="48"/>
      <c r="X120" s="48"/>
      <c r="Y120" s="48"/>
      <c r="Z120" s="48"/>
    </row>
    <row r="121" ht="15.75" customHeight="1">
      <c r="A121" s="49"/>
      <c r="B121" s="49"/>
      <c r="C121" s="49"/>
      <c r="D121" s="49"/>
      <c r="E121" s="49"/>
      <c r="F121" s="49"/>
      <c r="G121" s="49"/>
      <c r="H121" s="49"/>
      <c r="I121" s="49"/>
      <c r="J121" s="49"/>
      <c r="K121" s="49"/>
      <c r="L121" s="49"/>
      <c r="M121" s="49"/>
      <c r="N121" s="49"/>
      <c r="O121" s="48"/>
      <c r="P121" s="48"/>
      <c r="Q121" s="48"/>
      <c r="R121" s="48"/>
      <c r="S121" s="48"/>
      <c r="T121" s="48"/>
      <c r="U121" s="48"/>
      <c r="V121" s="48"/>
      <c r="W121" s="48"/>
      <c r="X121" s="48"/>
      <c r="Y121" s="48"/>
      <c r="Z121" s="48"/>
    </row>
    <row r="122" ht="15.75" customHeight="1">
      <c r="A122" s="49"/>
      <c r="B122" s="49"/>
      <c r="C122" s="49"/>
      <c r="D122" s="49"/>
      <c r="E122" s="49"/>
      <c r="F122" s="49"/>
      <c r="G122" s="49"/>
      <c r="H122" s="49"/>
      <c r="I122" s="49"/>
      <c r="J122" s="49"/>
      <c r="K122" s="49"/>
      <c r="L122" s="49"/>
      <c r="M122" s="49"/>
      <c r="N122" s="49"/>
      <c r="O122" s="48"/>
      <c r="P122" s="48"/>
      <c r="Q122" s="48"/>
      <c r="R122" s="48"/>
      <c r="S122" s="48"/>
      <c r="T122" s="48"/>
      <c r="U122" s="48"/>
      <c r="V122" s="48"/>
      <c r="W122" s="48"/>
      <c r="X122" s="48"/>
      <c r="Y122" s="48"/>
      <c r="Z122" s="48"/>
    </row>
    <row r="123" ht="15.75" customHeight="1">
      <c r="A123" s="49"/>
      <c r="B123" s="49"/>
      <c r="C123" s="49"/>
      <c r="D123" s="49"/>
      <c r="E123" s="49"/>
      <c r="F123" s="49"/>
      <c r="G123" s="49"/>
      <c r="H123" s="49"/>
      <c r="I123" s="49"/>
      <c r="J123" s="49"/>
      <c r="K123" s="49"/>
      <c r="L123" s="49"/>
      <c r="M123" s="49"/>
      <c r="N123" s="49"/>
      <c r="O123" s="48"/>
      <c r="P123" s="48"/>
      <c r="Q123" s="48"/>
      <c r="R123" s="48"/>
      <c r="S123" s="48"/>
      <c r="T123" s="48"/>
      <c r="U123" s="48"/>
      <c r="V123" s="48"/>
      <c r="W123" s="48"/>
      <c r="X123" s="48"/>
      <c r="Y123" s="48"/>
      <c r="Z123" s="48"/>
    </row>
    <row r="124" ht="15.75" customHeight="1">
      <c r="A124" s="49"/>
      <c r="B124" s="49"/>
      <c r="C124" s="49"/>
      <c r="D124" s="49"/>
      <c r="E124" s="49"/>
      <c r="F124" s="49"/>
      <c r="G124" s="49"/>
      <c r="H124" s="49"/>
      <c r="I124" s="49"/>
      <c r="J124" s="49"/>
      <c r="K124" s="49"/>
      <c r="L124" s="49"/>
      <c r="M124" s="49"/>
      <c r="N124" s="49"/>
      <c r="O124" s="48"/>
      <c r="P124" s="48"/>
      <c r="Q124" s="48"/>
      <c r="R124" s="48"/>
      <c r="S124" s="48"/>
      <c r="T124" s="48"/>
      <c r="U124" s="48"/>
      <c r="V124" s="48"/>
      <c r="W124" s="48"/>
      <c r="X124" s="48"/>
      <c r="Y124" s="48"/>
      <c r="Z124" s="48"/>
    </row>
    <row r="125" ht="15.75" customHeight="1">
      <c r="A125" s="49"/>
      <c r="B125" s="49"/>
      <c r="C125" s="49"/>
      <c r="D125" s="49"/>
      <c r="E125" s="49"/>
      <c r="F125" s="49"/>
      <c r="G125" s="49"/>
      <c r="H125" s="49"/>
      <c r="I125" s="49"/>
      <c r="J125" s="49"/>
      <c r="K125" s="49"/>
      <c r="L125" s="49"/>
      <c r="M125" s="49"/>
      <c r="N125" s="49"/>
      <c r="O125" s="48"/>
      <c r="P125" s="48"/>
      <c r="Q125" s="48"/>
      <c r="R125" s="48"/>
      <c r="S125" s="48"/>
      <c r="T125" s="48"/>
      <c r="U125" s="48"/>
      <c r="V125" s="48"/>
      <c r="W125" s="48"/>
      <c r="X125" s="48"/>
      <c r="Y125" s="48"/>
      <c r="Z125" s="48"/>
    </row>
    <row r="126" ht="15.75" customHeight="1">
      <c r="A126" s="49"/>
      <c r="B126" s="49"/>
      <c r="C126" s="49"/>
      <c r="D126" s="49"/>
      <c r="E126" s="49"/>
      <c r="F126" s="49"/>
      <c r="G126" s="49"/>
      <c r="H126" s="49"/>
      <c r="I126" s="49"/>
      <c r="J126" s="49"/>
      <c r="K126" s="49"/>
      <c r="L126" s="49"/>
      <c r="M126" s="49"/>
      <c r="N126" s="49"/>
      <c r="O126" s="48"/>
      <c r="P126" s="48"/>
      <c r="Q126" s="48"/>
      <c r="R126" s="48"/>
      <c r="S126" s="48"/>
      <c r="T126" s="48"/>
      <c r="U126" s="48"/>
      <c r="V126" s="48"/>
      <c r="W126" s="48"/>
      <c r="X126" s="48"/>
      <c r="Y126" s="48"/>
      <c r="Z126" s="48"/>
    </row>
    <row r="127" ht="15.75" customHeight="1">
      <c r="A127" s="49"/>
      <c r="B127" s="49"/>
      <c r="C127" s="49"/>
      <c r="D127" s="49"/>
      <c r="E127" s="49"/>
      <c r="F127" s="49"/>
      <c r="G127" s="49"/>
      <c r="H127" s="49"/>
      <c r="I127" s="49"/>
      <c r="J127" s="49"/>
      <c r="K127" s="49"/>
      <c r="L127" s="49"/>
      <c r="M127" s="49"/>
      <c r="N127" s="49"/>
      <c r="O127" s="48"/>
      <c r="P127" s="48"/>
      <c r="Q127" s="48"/>
      <c r="R127" s="48"/>
      <c r="S127" s="48"/>
      <c r="T127" s="48"/>
      <c r="U127" s="48"/>
      <c r="V127" s="48"/>
      <c r="W127" s="48"/>
      <c r="X127" s="48"/>
      <c r="Y127" s="48"/>
      <c r="Z127" s="48"/>
    </row>
    <row r="128" ht="15.75" customHeight="1">
      <c r="A128" s="49"/>
      <c r="B128" s="49"/>
      <c r="C128" s="49"/>
      <c r="D128" s="49"/>
      <c r="E128" s="49"/>
      <c r="F128" s="49"/>
      <c r="G128" s="49"/>
      <c r="H128" s="49"/>
      <c r="I128" s="49"/>
      <c r="J128" s="49"/>
      <c r="K128" s="49"/>
      <c r="L128" s="49"/>
      <c r="M128" s="49"/>
      <c r="N128" s="49"/>
      <c r="O128" s="48"/>
      <c r="P128" s="48"/>
      <c r="Q128" s="48"/>
      <c r="R128" s="48"/>
      <c r="S128" s="48"/>
      <c r="T128" s="48"/>
      <c r="U128" s="48"/>
      <c r="V128" s="48"/>
      <c r="W128" s="48"/>
      <c r="X128" s="48"/>
      <c r="Y128" s="48"/>
      <c r="Z128" s="48"/>
    </row>
    <row r="129" ht="15.75" customHeight="1">
      <c r="A129" s="49"/>
      <c r="B129" s="49"/>
      <c r="C129" s="49"/>
      <c r="D129" s="49"/>
      <c r="E129" s="49"/>
      <c r="F129" s="49"/>
      <c r="G129" s="49"/>
      <c r="H129" s="49"/>
      <c r="I129" s="49"/>
      <c r="J129" s="49"/>
      <c r="K129" s="49"/>
      <c r="L129" s="49"/>
      <c r="M129" s="49"/>
      <c r="N129" s="49"/>
      <c r="O129" s="48"/>
      <c r="P129" s="48"/>
      <c r="Q129" s="48"/>
      <c r="R129" s="48"/>
      <c r="S129" s="48"/>
      <c r="T129" s="48"/>
      <c r="U129" s="48"/>
      <c r="V129" s="48"/>
      <c r="W129" s="48"/>
      <c r="X129" s="48"/>
      <c r="Y129" s="48"/>
      <c r="Z129" s="48"/>
    </row>
    <row r="130" ht="15.75" customHeight="1">
      <c r="A130" s="49"/>
      <c r="B130" s="49"/>
      <c r="C130" s="49"/>
      <c r="D130" s="49"/>
      <c r="E130" s="49"/>
      <c r="F130" s="49"/>
      <c r="G130" s="49"/>
      <c r="H130" s="49"/>
      <c r="I130" s="49"/>
      <c r="J130" s="49"/>
      <c r="K130" s="49"/>
      <c r="L130" s="49"/>
      <c r="M130" s="49"/>
      <c r="N130" s="49"/>
      <c r="O130" s="48"/>
      <c r="P130" s="48"/>
      <c r="Q130" s="48"/>
      <c r="R130" s="48"/>
      <c r="S130" s="48"/>
      <c r="T130" s="48"/>
      <c r="U130" s="48"/>
      <c r="V130" s="48"/>
      <c r="W130" s="48"/>
      <c r="X130" s="48"/>
      <c r="Y130" s="48"/>
      <c r="Z130" s="48"/>
    </row>
    <row r="131" ht="15.75" customHeight="1">
      <c r="A131" s="49"/>
      <c r="B131" s="49"/>
      <c r="C131" s="49"/>
      <c r="D131" s="49"/>
      <c r="E131" s="49"/>
      <c r="F131" s="49"/>
      <c r="G131" s="49"/>
      <c r="H131" s="49"/>
      <c r="I131" s="49"/>
      <c r="J131" s="49"/>
      <c r="K131" s="49"/>
      <c r="L131" s="49"/>
      <c r="M131" s="49"/>
      <c r="N131" s="49"/>
      <c r="O131" s="48"/>
      <c r="P131" s="48"/>
      <c r="Q131" s="48"/>
      <c r="R131" s="48"/>
      <c r="S131" s="48"/>
      <c r="T131" s="48"/>
      <c r="U131" s="48"/>
      <c r="V131" s="48"/>
      <c r="W131" s="48"/>
      <c r="X131" s="48"/>
      <c r="Y131" s="48"/>
      <c r="Z131" s="48"/>
    </row>
    <row r="132" ht="15.75" customHeight="1">
      <c r="A132" s="49"/>
      <c r="B132" s="49"/>
      <c r="C132" s="49"/>
      <c r="D132" s="49"/>
      <c r="E132" s="49"/>
      <c r="F132" s="49"/>
      <c r="G132" s="49"/>
      <c r="H132" s="49"/>
      <c r="I132" s="49"/>
      <c r="J132" s="49"/>
      <c r="K132" s="49"/>
      <c r="L132" s="49"/>
      <c r="M132" s="49"/>
      <c r="N132" s="49"/>
      <c r="O132" s="48"/>
      <c r="P132" s="48"/>
      <c r="Q132" s="48"/>
      <c r="R132" s="48"/>
      <c r="S132" s="48"/>
      <c r="T132" s="48"/>
      <c r="U132" s="48"/>
      <c r="V132" s="48"/>
      <c r="W132" s="48"/>
      <c r="X132" s="48"/>
      <c r="Y132" s="48"/>
      <c r="Z132" s="48"/>
    </row>
    <row r="133" ht="15.75" customHeight="1">
      <c r="A133" s="49"/>
      <c r="B133" s="49"/>
      <c r="C133" s="49"/>
      <c r="D133" s="49"/>
      <c r="E133" s="49"/>
      <c r="F133" s="49"/>
      <c r="G133" s="49"/>
      <c r="H133" s="49"/>
      <c r="I133" s="49"/>
      <c r="J133" s="49"/>
      <c r="K133" s="49"/>
      <c r="L133" s="49"/>
      <c r="M133" s="49"/>
      <c r="N133" s="49"/>
      <c r="O133" s="48"/>
      <c r="P133" s="48"/>
      <c r="Q133" s="48"/>
      <c r="R133" s="48"/>
      <c r="S133" s="48"/>
      <c r="T133" s="48"/>
      <c r="U133" s="48"/>
      <c r="V133" s="48"/>
      <c r="W133" s="48"/>
      <c r="X133" s="48"/>
      <c r="Y133" s="48"/>
      <c r="Z133" s="48"/>
    </row>
    <row r="134" ht="15.75" customHeight="1">
      <c r="A134" s="49"/>
      <c r="B134" s="49"/>
      <c r="C134" s="49"/>
      <c r="D134" s="49"/>
      <c r="E134" s="49"/>
      <c r="F134" s="49"/>
      <c r="G134" s="49"/>
      <c r="H134" s="49"/>
      <c r="I134" s="49"/>
      <c r="J134" s="49"/>
      <c r="K134" s="49"/>
      <c r="L134" s="49"/>
      <c r="M134" s="49"/>
      <c r="N134" s="49"/>
      <c r="O134" s="48"/>
      <c r="P134" s="48"/>
      <c r="Q134" s="48"/>
      <c r="R134" s="48"/>
      <c r="S134" s="48"/>
      <c r="T134" s="48"/>
      <c r="U134" s="48"/>
      <c r="V134" s="48"/>
      <c r="W134" s="48"/>
      <c r="X134" s="48"/>
      <c r="Y134" s="48"/>
      <c r="Z134" s="48"/>
    </row>
    <row r="135" ht="15.75" customHeight="1">
      <c r="A135" s="49"/>
      <c r="B135" s="49"/>
      <c r="C135" s="49"/>
      <c r="D135" s="49"/>
      <c r="E135" s="49"/>
      <c r="F135" s="49"/>
      <c r="G135" s="49"/>
      <c r="H135" s="49"/>
      <c r="I135" s="49"/>
      <c r="J135" s="49"/>
      <c r="K135" s="49"/>
      <c r="L135" s="49"/>
      <c r="M135" s="49"/>
      <c r="N135" s="49"/>
      <c r="O135" s="48"/>
      <c r="P135" s="48"/>
      <c r="Q135" s="48"/>
      <c r="R135" s="48"/>
      <c r="S135" s="48"/>
      <c r="T135" s="48"/>
      <c r="U135" s="48"/>
      <c r="V135" s="48"/>
      <c r="W135" s="48"/>
      <c r="X135" s="48"/>
      <c r="Y135" s="48"/>
      <c r="Z135" s="48"/>
    </row>
    <row r="136" ht="15.75" customHeight="1">
      <c r="A136" s="49"/>
      <c r="B136" s="49"/>
      <c r="C136" s="49"/>
      <c r="D136" s="49"/>
      <c r="E136" s="49"/>
      <c r="F136" s="49"/>
      <c r="G136" s="49"/>
      <c r="H136" s="49"/>
      <c r="I136" s="49"/>
      <c r="J136" s="49"/>
      <c r="K136" s="49"/>
      <c r="L136" s="49"/>
      <c r="M136" s="49"/>
      <c r="N136" s="49"/>
      <c r="O136" s="48"/>
      <c r="P136" s="48"/>
      <c r="Q136" s="48"/>
      <c r="R136" s="48"/>
      <c r="S136" s="48"/>
      <c r="T136" s="48"/>
      <c r="U136" s="48"/>
      <c r="V136" s="48"/>
      <c r="W136" s="48"/>
      <c r="X136" s="48"/>
      <c r="Y136" s="48"/>
      <c r="Z136" s="48"/>
    </row>
    <row r="137" ht="15.75" customHeight="1">
      <c r="A137" s="49"/>
      <c r="B137" s="49"/>
      <c r="C137" s="49"/>
      <c r="D137" s="49"/>
      <c r="E137" s="49"/>
      <c r="F137" s="49"/>
      <c r="G137" s="49"/>
      <c r="H137" s="49"/>
      <c r="I137" s="49"/>
      <c r="J137" s="49"/>
      <c r="K137" s="49"/>
      <c r="L137" s="49"/>
      <c r="M137" s="49"/>
      <c r="N137" s="49"/>
      <c r="O137" s="48"/>
      <c r="P137" s="48"/>
      <c r="Q137" s="48"/>
      <c r="R137" s="48"/>
      <c r="S137" s="48"/>
      <c r="T137" s="48"/>
      <c r="U137" s="48"/>
      <c r="V137" s="48"/>
      <c r="W137" s="48"/>
      <c r="X137" s="48"/>
      <c r="Y137" s="48"/>
      <c r="Z137" s="48"/>
    </row>
    <row r="138" ht="15.75" customHeight="1">
      <c r="A138" s="49"/>
      <c r="B138" s="49"/>
      <c r="C138" s="49"/>
      <c r="D138" s="49"/>
      <c r="E138" s="49"/>
      <c r="F138" s="49"/>
      <c r="G138" s="49"/>
      <c r="H138" s="49"/>
      <c r="I138" s="49"/>
      <c r="J138" s="49"/>
      <c r="K138" s="49"/>
      <c r="L138" s="49"/>
      <c r="M138" s="49"/>
      <c r="N138" s="49"/>
      <c r="O138" s="48"/>
      <c r="P138" s="48"/>
      <c r="Q138" s="48"/>
      <c r="R138" s="48"/>
      <c r="S138" s="48"/>
      <c r="T138" s="48"/>
      <c r="U138" s="48"/>
      <c r="V138" s="48"/>
      <c r="W138" s="48"/>
      <c r="X138" s="48"/>
      <c r="Y138" s="48"/>
      <c r="Z138" s="48"/>
    </row>
    <row r="139" ht="15.75" customHeight="1">
      <c r="A139" s="49"/>
      <c r="B139" s="49"/>
      <c r="C139" s="49"/>
      <c r="D139" s="49"/>
      <c r="E139" s="49"/>
      <c r="F139" s="49"/>
      <c r="G139" s="49"/>
      <c r="H139" s="49"/>
      <c r="I139" s="49"/>
      <c r="J139" s="49"/>
      <c r="K139" s="49"/>
      <c r="L139" s="49"/>
      <c r="M139" s="49"/>
      <c r="N139" s="49"/>
      <c r="O139" s="48"/>
      <c r="P139" s="48"/>
      <c r="Q139" s="48"/>
      <c r="R139" s="48"/>
      <c r="S139" s="48"/>
      <c r="T139" s="48"/>
      <c r="U139" s="48"/>
      <c r="V139" s="48"/>
      <c r="W139" s="48"/>
      <c r="X139" s="48"/>
      <c r="Y139" s="48"/>
      <c r="Z139" s="48"/>
    </row>
    <row r="140" ht="15.75" customHeight="1">
      <c r="A140" s="49"/>
      <c r="B140" s="49"/>
      <c r="C140" s="49"/>
      <c r="D140" s="49"/>
      <c r="E140" s="49"/>
      <c r="F140" s="49"/>
      <c r="G140" s="49"/>
      <c r="H140" s="49"/>
      <c r="I140" s="49"/>
      <c r="J140" s="49"/>
      <c r="K140" s="49"/>
      <c r="L140" s="49"/>
      <c r="M140" s="49"/>
      <c r="N140" s="49"/>
      <c r="O140" s="48"/>
      <c r="P140" s="48"/>
      <c r="Q140" s="48"/>
      <c r="R140" s="48"/>
      <c r="S140" s="48"/>
      <c r="T140" s="48"/>
      <c r="U140" s="48"/>
      <c r="V140" s="48"/>
      <c r="W140" s="48"/>
      <c r="X140" s="48"/>
      <c r="Y140" s="48"/>
      <c r="Z140" s="48"/>
    </row>
    <row r="141" ht="15.75" customHeight="1">
      <c r="A141" s="49"/>
      <c r="B141" s="49"/>
      <c r="C141" s="49"/>
      <c r="D141" s="49"/>
      <c r="E141" s="49"/>
      <c r="F141" s="49"/>
      <c r="G141" s="49"/>
      <c r="H141" s="49"/>
      <c r="I141" s="49"/>
      <c r="J141" s="49"/>
      <c r="K141" s="49"/>
      <c r="L141" s="49"/>
      <c r="M141" s="49"/>
      <c r="N141" s="49"/>
      <c r="O141" s="48"/>
      <c r="P141" s="48"/>
      <c r="Q141" s="48"/>
      <c r="R141" s="48"/>
      <c r="S141" s="48"/>
      <c r="T141" s="48"/>
      <c r="U141" s="48"/>
      <c r="V141" s="48"/>
      <c r="W141" s="48"/>
      <c r="X141" s="48"/>
      <c r="Y141" s="48"/>
      <c r="Z141" s="48"/>
    </row>
    <row r="142" ht="15.75" customHeight="1">
      <c r="A142" s="49"/>
      <c r="B142" s="49"/>
      <c r="C142" s="49"/>
      <c r="D142" s="49"/>
      <c r="E142" s="49"/>
      <c r="F142" s="49"/>
      <c r="G142" s="49"/>
      <c r="H142" s="49"/>
      <c r="I142" s="49"/>
      <c r="J142" s="49"/>
      <c r="K142" s="49"/>
      <c r="L142" s="49"/>
      <c r="M142" s="49"/>
      <c r="N142" s="49"/>
      <c r="O142" s="48"/>
      <c r="P142" s="48"/>
      <c r="Q142" s="48"/>
      <c r="R142" s="48"/>
      <c r="S142" s="48"/>
      <c r="T142" s="48"/>
      <c r="U142" s="48"/>
      <c r="V142" s="48"/>
      <c r="W142" s="48"/>
      <c r="X142" s="48"/>
      <c r="Y142" s="48"/>
      <c r="Z142" s="48"/>
    </row>
    <row r="143" ht="15.75" customHeight="1">
      <c r="A143" s="49"/>
      <c r="B143" s="49"/>
      <c r="C143" s="49"/>
      <c r="D143" s="49"/>
      <c r="E143" s="49"/>
      <c r="F143" s="49"/>
      <c r="G143" s="49"/>
      <c r="H143" s="49"/>
      <c r="I143" s="49"/>
      <c r="J143" s="49"/>
      <c r="K143" s="49"/>
      <c r="L143" s="49"/>
      <c r="M143" s="49"/>
      <c r="N143" s="49"/>
      <c r="O143" s="48"/>
      <c r="P143" s="48"/>
      <c r="Q143" s="48"/>
      <c r="R143" s="48"/>
      <c r="S143" s="48"/>
      <c r="T143" s="48"/>
      <c r="U143" s="48"/>
      <c r="V143" s="48"/>
      <c r="W143" s="48"/>
      <c r="X143" s="48"/>
      <c r="Y143" s="48"/>
      <c r="Z143" s="48"/>
    </row>
    <row r="144" ht="15.75" customHeight="1">
      <c r="A144" s="49"/>
      <c r="B144" s="49"/>
      <c r="C144" s="49"/>
      <c r="D144" s="49"/>
      <c r="E144" s="49"/>
      <c r="F144" s="49"/>
      <c r="G144" s="49"/>
      <c r="H144" s="49"/>
      <c r="I144" s="49"/>
      <c r="J144" s="49"/>
      <c r="K144" s="49"/>
      <c r="L144" s="49"/>
      <c r="M144" s="49"/>
      <c r="N144" s="49"/>
      <c r="O144" s="48"/>
      <c r="P144" s="48"/>
      <c r="Q144" s="48"/>
      <c r="R144" s="48"/>
      <c r="S144" s="48"/>
      <c r="T144" s="48"/>
      <c r="U144" s="48"/>
      <c r="V144" s="48"/>
      <c r="W144" s="48"/>
      <c r="X144" s="48"/>
      <c r="Y144" s="48"/>
      <c r="Z144" s="48"/>
    </row>
    <row r="145" ht="15.75" customHeight="1">
      <c r="A145" s="49"/>
      <c r="B145" s="49"/>
      <c r="C145" s="49"/>
      <c r="D145" s="49"/>
      <c r="E145" s="49"/>
      <c r="F145" s="49"/>
      <c r="G145" s="49"/>
      <c r="H145" s="49"/>
      <c r="I145" s="49"/>
      <c r="J145" s="49"/>
      <c r="K145" s="49"/>
      <c r="L145" s="49"/>
      <c r="M145" s="49"/>
      <c r="N145" s="49"/>
      <c r="O145" s="48"/>
      <c r="P145" s="48"/>
      <c r="Q145" s="48"/>
      <c r="R145" s="48"/>
      <c r="S145" s="48"/>
      <c r="T145" s="48"/>
      <c r="U145" s="48"/>
      <c r="V145" s="48"/>
      <c r="W145" s="48"/>
      <c r="X145" s="48"/>
      <c r="Y145" s="48"/>
      <c r="Z145" s="48"/>
    </row>
    <row r="146" ht="15.75" customHeight="1">
      <c r="A146" s="49"/>
      <c r="B146" s="49"/>
      <c r="C146" s="49"/>
      <c r="D146" s="49"/>
      <c r="E146" s="49"/>
      <c r="F146" s="49"/>
      <c r="G146" s="49"/>
      <c r="H146" s="49"/>
      <c r="I146" s="49"/>
      <c r="J146" s="49"/>
      <c r="K146" s="49"/>
      <c r="L146" s="49"/>
      <c r="M146" s="49"/>
      <c r="N146" s="49"/>
      <c r="O146" s="48"/>
      <c r="P146" s="48"/>
      <c r="Q146" s="48"/>
      <c r="R146" s="48"/>
      <c r="S146" s="48"/>
      <c r="T146" s="48"/>
      <c r="U146" s="48"/>
      <c r="V146" s="48"/>
      <c r="W146" s="48"/>
      <c r="X146" s="48"/>
      <c r="Y146" s="48"/>
      <c r="Z146" s="48"/>
    </row>
    <row r="147" ht="15.75" customHeight="1">
      <c r="A147" s="49"/>
      <c r="B147" s="49"/>
      <c r="C147" s="49"/>
      <c r="D147" s="49"/>
      <c r="E147" s="49"/>
      <c r="F147" s="49"/>
      <c r="G147" s="49"/>
      <c r="H147" s="49"/>
      <c r="I147" s="49"/>
      <c r="J147" s="49"/>
      <c r="K147" s="49"/>
      <c r="L147" s="49"/>
      <c r="M147" s="49"/>
      <c r="N147" s="49"/>
      <c r="O147" s="48"/>
      <c r="P147" s="48"/>
      <c r="Q147" s="48"/>
      <c r="R147" s="48"/>
      <c r="S147" s="48"/>
      <c r="T147" s="48"/>
      <c r="U147" s="48"/>
      <c r="V147" s="48"/>
      <c r="W147" s="48"/>
      <c r="X147" s="48"/>
      <c r="Y147" s="48"/>
      <c r="Z147" s="48"/>
    </row>
    <row r="148" ht="15.75" customHeight="1">
      <c r="A148" s="49"/>
      <c r="B148" s="49"/>
      <c r="C148" s="49"/>
      <c r="D148" s="49"/>
      <c r="E148" s="49"/>
      <c r="F148" s="49"/>
      <c r="G148" s="49"/>
      <c r="H148" s="49"/>
      <c r="I148" s="49"/>
      <c r="J148" s="49"/>
      <c r="K148" s="49"/>
      <c r="L148" s="49"/>
      <c r="M148" s="49"/>
      <c r="N148" s="49"/>
      <c r="O148" s="48"/>
      <c r="P148" s="48"/>
      <c r="Q148" s="48"/>
      <c r="R148" s="48"/>
      <c r="S148" s="48"/>
      <c r="T148" s="48"/>
      <c r="U148" s="48"/>
      <c r="V148" s="48"/>
      <c r="W148" s="48"/>
      <c r="X148" s="48"/>
      <c r="Y148" s="48"/>
      <c r="Z148" s="48"/>
    </row>
    <row r="149" ht="15.75" customHeight="1">
      <c r="A149" s="49"/>
      <c r="B149" s="49"/>
      <c r="C149" s="49"/>
      <c r="D149" s="49"/>
      <c r="E149" s="49"/>
      <c r="F149" s="49"/>
      <c r="G149" s="49"/>
      <c r="H149" s="49"/>
      <c r="I149" s="49"/>
      <c r="J149" s="49"/>
      <c r="K149" s="49"/>
      <c r="L149" s="49"/>
      <c r="M149" s="49"/>
      <c r="N149" s="49"/>
      <c r="O149" s="48"/>
      <c r="P149" s="48"/>
      <c r="Q149" s="48"/>
      <c r="R149" s="48"/>
      <c r="S149" s="48"/>
      <c r="T149" s="48"/>
      <c r="U149" s="48"/>
      <c r="V149" s="48"/>
      <c r="W149" s="48"/>
      <c r="X149" s="48"/>
      <c r="Y149" s="48"/>
      <c r="Z149" s="48"/>
    </row>
    <row r="150" ht="15.75" customHeight="1">
      <c r="A150" s="49"/>
      <c r="B150" s="49"/>
      <c r="C150" s="49"/>
      <c r="D150" s="49"/>
      <c r="E150" s="49"/>
      <c r="F150" s="49"/>
      <c r="G150" s="49"/>
      <c r="H150" s="49"/>
      <c r="I150" s="49"/>
      <c r="J150" s="49"/>
      <c r="K150" s="49"/>
      <c r="L150" s="49"/>
      <c r="M150" s="49"/>
      <c r="N150" s="49"/>
      <c r="O150" s="48"/>
      <c r="P150" s="48"/>
      <c r="Q150" s="48"/>
      <c r="R150" s="48"/>
      <c r="S150" s="48"/>
      <c r="T150" s="48"/>
      <c r="U150" s="48"/>
      <c r="V150" s="48"/>
      <c r="W150" s="48"/>
      <c r="X150" s="48"/>
      <c r="Y150" s="48"/>
      <c r="Z150" s="48"/>
    </row>
    <row r="151" ht="15.75" customHeight="1">
      <c r="A151" s="49"/>
      <c r="B151" s="49"/>
      <c r="C151" s="49"/>
      <c r="D151" s="49"/>
      <c r="E151" s="49"/>
      <c r="F151" s="49"/>
      <c r="G151" s="49"/>
      <c r="H151" s="49"/>
      <c r="I151" s="49"/>
      <c r="J151" s="49"/>
      <c r="K151" s="49"/>
      <c r="L151" s="49"/>
      <c r="M151" s="49"/>
      <c r="N151" s="49"/>
      <c r="O151" s="48"/>
      <c r="P151" s="48"/>
      <c r="Q151" s="48"/>
      <c r="R151" s="48"/>
      <c r="S151" s="48"/>
      <c r="T151" s="48"/>
      <c r="U151" s="48"/>
      <c r="V151" s="48"/>
      <c r="W151" s="48"/>
      <c r="X151" s="48"/>
      <c r="Y151" s="48"/>
      <c r="Z151" s="48"/>
    </row>
    <row r="152" ht="15.75" customHeight="1">
      <c r="A152" s="49"/>
      <c r="B152" s="49"/>
      <c r="C152" s="49"/>
      <c r="D152" s="49"/>
      <c r="E152" s="49"/>
      <c r="F152" s="49"/>
      <c r="G152" s="49"/>
      <c r="H152" s="49"/>
      <c r="I152" s="49"/>
      <c r="J152" s="49"/>
      <c r="K152" s="49"/>
      <c r="L152" s="49"/>
      <c r="M152" s="49"/>
      <c r="N152" s="49"/>
      <c r="O152" s="48"/>
      <c r="P152" s="48"/>
      <c r="Q152" s="48"/>
      <c r="R152" s="48"/>
      <c r="S152" s="48"/>
      <c r="T152" s="48"/>
      <c r="U152" s="48"/>
      <c r="V152" s="48"/>
      <c r="W152" s="48"/>
      <c r="X152" s="48"/>
      <c r="Y152" s="48"/>
      <c r="Z152" s="48"/>
    </row>
    <row r="153" ht="15.75" customHeight="1">
      <c r="A153" s="49"/>
      <c r="B153" s="49"/>
      <c r="C153" s="49"/>
      <c r="D153" s="49"/>
      <c r="E153" s="49"/>
      <c r="F153" s="49"/>
      <c r="G153" s="49"/>
      <c r="H153" s="49"/>
      <c r="I153" s="49"/>
      <c r="J153" s="49"/>
      <c r="K153" s="49"/>
      <c r="L153" s="49"/>
      <c r="M153" s="49"/>
      <c r="N153" s="49"/>
      <c r="O153" s="48"/>
      <c r="P153" s="48"/>
      <c r="Q153" s="48"/>
      <c r="R153" s="48"/>
      <c r="S153" s="48"/>
      <c r="T153" s="48"/>
      <c r="U153" s="48"/>
      <c r="V153" s="48"/>
      <c r="W153" s="48"/>
      <c r="X153" s="48"/>
      <c r="Y153" s="48"/>
      <c r="Z153" s="48"/>
    </row>
    <row r="154" ht="15.75" customHeight="1">
      <c r="A154" s="49"/>
      <c r="B154" s="49"/>
      <c r="C154" s="49"/>
      <c r="D154" s="49"/>
      <c r="E154" s="49"/>
      <c r="F154" s="49"/>
      <c r="G154" s="49"/>
      <c r="H154" s="49"/>
      <c r="I154" s="49"/>
      <c r="J154" s="49"/>
      <c r="K154" s="49"/>
      <c r="L154" s="49"/>
      <c r="M154" s="49"/>
      <c r="N154" s="49"/>
      <c r="O154" s="48"/>
      <c r="P154" s="48"/>
      <c r="Q154" s="48"/>
      <c r="R154" s="48"/>
      <c r="S154" s="48"/>
      <c r="T154" s="48"/>
      <c r="U154" s="48"/>
      <c r="V154" s="48"/>
      <c r="W154" s="48"/>
      <c r="X154" s="48"/>
      <c r="Y154" s="48"/>
      <c r="Z154" s="48"/>
    </row>
    <row r="155" ht="15.75" customHeight="1">
      <c r="A155" s="49"/>
      <c r="B155" s="49"/>
      <c r="C155" s="49"/>
      <c r="D155" s="49"/>
      <c r="E155" s="49"/>
      <c r="F155" s="49"/>
      <c r="G155" s="49"/>
      <c r="H155" s="49"/>
      <c r="I155" s="49"/>
      <c r="J155" s="49"/>
      <c r="K155" s="49"/>
      <c r="L155" s="49"/>
      <c r="M155" s="49"/>
      <c r="N155" s="49"/>
      <c r="O155" s="48"/>
      <c r="P155" s="48"/>
      <c r="Q155" s="48"/>
      <c r="R155" s="48"/>
      <c r="S155" s="48"/>
      <c r="T155" s="48"/>
      <c r="U155" s="48"/>
      <c r="V155" s="48"/>
      <c r="W155" s="48"/>
      <c r="X155" s="48"/>
      <c r="Y155" s="48"/>
      <c r="Z155" s="48"/>
    </row>
    <row r="156" ht="15.75" customHeight="1">
      <c r="A156" s="49"/>
      <c r="B156" s="49"/>
      <c r="C156" s="49"/>
      <c r="D156" s="49"/>
      <c r="E156" s="49"/>
      <c r="F156" s="49"/>
      <c r="G156" s="49"/>
      <c r="H156" s="49"/>
      <c r="I156" s="49"/>
      <c r="J156" s="49"/>
      <c r="K156" s="49"/>
      <c r="L156" s="49"/>
      <c r="M156" s="49"/>
      <c r="N156" s="49"/>
      <c r="O156" s="48"/>
      <c r="P156" s="48"/>
      <c r="Q156" s="48"/>
      <c r="R156" s="48"/>
      <c r="S156" s="48"/>
      <c r="T156" s="48"/>
      <c r="U156" s="48"/>
      <c r="V156" s="48"/>
      <c r="W156" s="48"/>
      <c r="X156" s="48"/>
      <c r="Y156" s="48"/>
      <c r="Z156" s="48"/>
    </row>
    <row r="157" ht="15.75" customHeight="1">
      <c r="A157" s="49"/>
      <c r="B157" s="49"/>
      <c r="C157" s="49"/>
      <c r="D157" s="49"/>
      <c r="E157" s="49"/>
      <c r="F157" s="49"/>
      <c r="G157" s="49"/>
      <c r="H157" s="49"/>
      <c r="I157" s="49"/>
      <c r="J157" s="49"/>
      <c r="K157" s="49"/>
      <c r="L157" s="49"/>
      <c r="M157" s="49"/>
      <c r="N157" s="49"/>
      <c r="O157" s="48"/>
      <c r="P157" s="48"/>
      <c r="Q157" s="48"/>
      <c r="R157" s="48"/>
      <c r="S157" s="48"/>
      <c r="T157" s="48"/>
      <c r="U157" s="48"/>
      <c r="V157" s="48"/>
      <c r="W157" s="48"/>
      <c r="X157" s="48"/>
      <c r="Y157" s="48"/>
      <c r="Z157" s="48"/>
    </row>
    <row r="158" ht="15.75" customHeight="1">
      <c r="A158" s="49"/>
      <c r="B158" s="49"/>
      <c r="C158" s="49"/>
      <c r="D158" s="49"/>
      <c r="E158" s="49"/>
      <c r="F158" s="49"/>
      <c r="G158" s="49"/>
      <c r="H158" s="49"/>
      <c r="I158" s="49"/>
      <c r="J158" s="49"/>
      <c r="K158" s="49"/>
      <c r="L158" s="49"/>
      <c r="M158" s="49"/>
      <c r="N158" s="49"/>
      <c r="O158" s="48"/>
      <c r="P158" s="48"/>
      <c r="Q158" s="48"/>
      <c r="R158" s="48"/>
      <c r="S158" s="48"/>
      <c r="T158" s="48"/>
      <c r="U158" s="48"/>
      <c r="V158" s="48"/>
      <c r="W158" s="48"/>
      <c r="X158" s="48"/>
      <c r="Y158" s="48"/>
      <c r="Z158" s="48"/>
    </row>
    <row r="159" ht="15.75" customHeight="1">
      <c r="A159" s="49"/>
      <c r="B159" s="49"/>
      <c r="C159" s="49"/>
      <c r="D159" s="49"/>
      <c r="E159" s="49"/>
      <c r="F159" s="49"/>
      <c r="G159" s="49"/>
      <c r="H159" s="49"/>
      <c r="I159" s="49"/>
      <c r="J159" s="49"/>
      <c r="K159" s="49"/>
      <c r="L159" s="49"/>
      <c r="M159" s="49"/>
      <c r="N159" s="49"/>
      <c r="O159" s="48"/>
      <c r="P159" s="48"/>
      <c r="Q159" s="48"/>
      <c r="R159" s="48"/>
      <c r="S159" s="48"/>
      <c r="T159" s="48"/>
      <c r="U159" s="48"/>
      <c r="V159" s="48"/>
      <c r="W159" s="48"/>
      <c r="X159" s="48"/>
      <c r="Y159" s="48"/>
      <c r="Z159" s="48"/>
    </row>
    <row r="160" ht="15.75" customHeight="1">
      <c r="A160" s="49"/>
      <c r="B160" s="49"/>
      <c r="C160" s="49"/>
      <c r="D160" s="49"/>
      <c r="E160" s="49"/>
      <c r="F160" s="49"/>
      <c r="G160" s="49"/>
      <c r="H160" s="49"/>
      <c r="I160" s="49"/>
      <c r="J160" s="49"/>
      <c r="K160" s="49"/>
      <c r="L160" s="49"/>
      <c r="M160" s="49"/>
      <c r="N160" s="49"/>
      <c r="O160" s="48"/>
      <c r="P160" s="48"/>
      <c r="Q160" s="48"/>
      <c r="R160" s="48"/>
      <c r="S160" s="48"/>
      <c r="T160" s="48"/>
      <c r="U160" s="48"/>
      <c r="V160" s="48"/>
      <c r="W160" s="48"/>
      <c r="X160" s="48"/>
      <c r="Y160" s="48"/>
      <c r="Z160" s="48"/>
    </row>
    <row r="161" ht="15.75" customHeight="1">
      <c r="A161" s="49"/>
      <c r="B161" s="49"/>
      <c r="C161" s="49"/>
      <c r="D161" s="49"/>
      <c r="E161" s="49"/>
      <c r="F161" s="49"/>
      <c r="G161" s="49"/>
      <c r="H161" s="49"/>
      <c r="I161" s="49"/>
      <c r="J161" s="49"/>
      <c r="K161" s="49"/>
      <c r="L161" s="49"/>
      <c r="M161" s="49"/>
      <c r="N161" s="49"/>
      <c r="O161" s="48"/>
      <c r="P161" s="48"/>
      <c r="Q161" s="48"/>
      <c r="R161" s="48"/>
      <c r="S161" s="48"/>
      <c r="T161" s="48"/>
      <c r="U161" s="48"/>
      <c r="V161" s="48"/>
      <c r="W161" s="48"/>
      <c r="X161" s="48"/>
      <c r="Y161" s="48"/>
      <c r="Z161" s="48"/>
    </row>
    <row r="162" ht="15.75" customHeight="1">
      <c r="A162" s="49"/>
      <c r="B162" s="49"/>
      <c r="C162" s="49"/>
      <c r="D162" s="49"/>
      <c r="E162" s="49"/>
      <c r="F162" s="49"/>
      <c r="G162" s="49"/>
      <c r="H162" s="49"/>
      <c r="I162" s="49"/>
      <c r="J162" s="49"/>
      <c r="K162" s="49"/>
      <c r="L162" s="49"/>
      <c r="M162" s="49"/>
      <c r="N162" s="49"/>
      <c r="O162" s="48"/>
      <c r="P162" s="48"/>
      <c r="Q162" s="48"/>
      <c r="R162" s="48"/>
      <c r="S162" s="48"/>
      <c r="T162" s="48"/>
      <c r="U162" s="48"/>
      <c r="V162" s="48"/>
      <c r="W162" s="48"/>
      <c r="X162" s="48"/>
      <c r="Y162" s="48"/>
      <c r="Z162" s="48"/>
    </row>
    <row r="163" ht="15.75" customHeight="1">
      <c r="A163" s="49"/>
      <c r="B163" s="49"/>
      <c r="C163" s="49"/>
      <c r="D163" s="49"/>
      <c r="E163" s="49"/>
      <c r="F163" s="49"/>
      <c r="G163" s="49"/>
      <c r="H163" s="49"/>
      <c r="I163" s="49"/>
      <c r="J163" s="49"/>
      <c r="K163" s="49"/>
      <c r="L163" s="49"/>
      <c r="M163" s="49"/>
      <c r="N163" s="49"/>
      <c r="O163" s="48"/>
      <c r="P163" s="48"/>
      <c r="Q163" s="48"/>
      <c r="R163" s="48"/>
      <c r="S163" s="48"/>
      <c r="T163" s="48"/>
      <c r="U163" s="48"/>
      <c r="V163" s="48"/>
      <c r="W163" s="48"/>
      <c r="X163" s="48"/>
      <c r="Y163" s="48"/>
      <c r="Z163" s="48"/>
    </row>
    <row r="164" ht="15.75" customHeight="1">
      <c r="A164" s="49"/>
      <c r="B164" s="49"/>
      <c r="C164" s="49"/>
      <c r="D164" s="49"/>
      <c r="E164" s="49"/>
      <c r="F164" s="49"/>
      <c r="G164" s="49"/>
      <c r="H164" s="49"/>
      <c r="I164" s="49"/>
      <c r="J164" s="49"/>
      <c r="K164" s="49"/>
      <c r="L164" s="49"/>
      <c r="M164" s="49"/>
      <c r="N164" s="49"/>
      <c r="O164" s="48"/>
      <c r="P164" s="48"/>
      <c r="Q164" s="48"/>
      <c r="R164" s="48"/>
      <c r="S164" s="48"/>
      <c r="T164" s="48"/>
      <c r="U164" s="48"/>
      <c r="V164" s="48"/>
      <c r="W164" s="48"/>
      <c r="X164" s="48"/>
      <c r="Y164" s="48"/>
      <c r="Z164" s="48"/>
    </row>
    <row r="165" ht="15.75" customHeight="1">
      <c r="A165" s="49"/>
      <c r="B165" s="49"/>
      <c r="C165" s="49"/>
      <c r="D165" s="49"/>
      <c r="E165" s="49"/>
      <c r="F165" s="49"/>
      <c r="G165" s="49"/>
      <c r="H165" s="49"/>
      <c r="I165" s="49"/>
      <c r="J165" s="49"/>
      <c r="K165" s="49"/>
      <c r="L165" s="49"/>
      <c r="M165" s="49"/>
      <c r="N165" s="49"/>
      <c r="O165" s="48"/>
      <c r="P165" s="48"/>
      <c r="Q165" s="48"/>
      <c r="R165" s="48"/>
      <c r="S165" s="48"/>
      <c r="T165" s="48"/>
      <c r="U165" s="48"/>
      <c r="V165" s="48"/>
      <c r="W165" s="48"/>
      <c r="X165" s="48"/>
      <c r="Y165" s="48"/>
      <c r="Z165" s="48"/>
    </row>
    <row r="166" ht="15.75" customHeight="1">
      <c r="A166" s="49"/>
      <c r="B166" s="49"/>
      <c r="C166" s="49"/>
      <c r="D166" s="49"/>
      <c r="E166" s="49"/>
      <c r="F166" s="49"/>
      <c r="G166" s="49"/>
      <c r="H166" s="49"/>
      <c r="I166" s="49"/>
      <c r="J166" s="49"/>
      <c r="K166" s="49"/>
      <c r="L166" s="49"/>
      <c r="M166" s="49"/>
      <c r="N166" s="49"/>
      <c r="O166" s="48"/>
      <c r="P166" s="48"/>
      <c r="Q166" s="48"/>
      <c r="R166" s="48"/>
      <c r="S166" s="48"/>
      <c r="T166" s="48"/>
      <c r="U166" s="48"/>
      <c r="V166" s="48"/>
      <c r="W166" s="48"/>
      <c r="X166" s="48"/>
      <c r="Y166" s="48"/>
      <c r="Z166" s="48"/>
    </row>
    <row r="167" ht="15.75" customHeight="1">
      <c r="A167" s="49"/>
      <c r="B167" s="49"/>
      <c r="C167" s="49"/>
      <c r="D167" s="49"/>
      <c r="E167" s="49"/>
      <c r="F167" s="49"/>
      <c r="G167" s="49"/>
      <c r="H167" s="49"/>
      <c r="I167" s="49"/>
      <c r="J167" s="49"/>
      <c r="K167" s="49"/>
      <c r="L167" s="49"/>
      <c r="M167" s="49"/>
      <c r="N167" s="49"/>
      <c r="O167" s="48"/>
      <c r="P167" s="48"/>
      <c r="Q167" s="48"/>
      <c r="R167" s="48"/>
      <c r="S167" s="48"/>
      <c r="T167" s="48"/>
      <c r="U167" s="48"/>
      <c r="V167" s="48"/>
      <c r="W167" s="48"/>
      <c r="X167" s="48"/>
      <c r="Y167" s="48"/>
      <c r="Z167" s="48"/>
    </row>
    <row r="168" ht="15.75" customHeight="1">
      <c r="A168" s="49"/>
      <c r="B168" s="49"/>
      <c r="C168" s="49"/>
      <c r="D168" s="49"/>
      <c r="E168" s="49"/>
      <c r="F168" s="49"/>
      <c r="G168" s="49"/>
      <c r="H168" s="49"/>
      <c r="I168" s="49"/>
      <c r="J168" s="49"/>
      <c r="K168" s="49"/>
      <c r="L168" s="49"/>
      <c r="M168" s="49"/>
      <c r="N168" s="49"/>
      <c r="O168" s="48"/>
      <c r="P168" s="48"/>
      <c r="Q168" s="48"/>
      <c r="R168" s="48"/>
      <c r="S168" s="48"/>
      <c r="T168" s="48"/>
      <c r="U168" s="48"/>
      <c r="V168" s="48"/>
      <c r="W168" s="48"/>
      <c r="X168" s="48"/>
      <c r="Y168" s="48"/>
      <c r="Z168" s="48"/>
    </row>
    <row r="169" ht="15.75" customHeight="1">
      <c r="A169" s="49"/>
      <c r="B169" s="49"/>
      <c r="C169" s="49"/>
      <c r="D169" s="49"/>
      <c r="E169" s="49"/>
      <c r="F169" s="49"/>
      <c r="G169" s="49"/>
      <c r="H169" s="49"/>
      <c r="I169" s="49"/>
      <c r="J169" s="49"/>
      <c r="K169" s="49"/>
      <c r="L169" s="49"/>
      <c r="M169" s="49"/>
      <c r="N169" s="49"/>
      <c r="O169" s="48"/>
      <c r="P169" s="48"/>
      <c r="Q169" s="48"/>
      <c r="R169" s="48"/>
      <c r="S169" s="48"/>
      <c r="T169" s="48"/>
      <c r="U169" s="48"/>
      <c r="V169" s="48"/>
      <c r="W169" s="48"/>
      <c r="X169" s="48"/>
      <c r="Y169" s="48"/>
      <c r="Z169" s="48"/>
    </row>
    <row r="170" ht="15.75" customHeight="1">
      <c r="A170" s="49"/>
      <c r="B170" s="49"/>
      <c r="C170" s="49"/>
      <c r="D170" s="49"/>
      <c r="E170" s="49"/>
      <c r="F170" s="49"/>
      <c r="G170" s="49"/>
      <c r="H170" s="49"/>
      <c r="I170" s="49"/>
      <c r="J170" s="49"/>
      <c r="K170" s="49"/>
      <c r="L170" s="49"/>
      <c r="M170" s="49"/>
      <c r="N170" s="49"/>
      <c r="O170" s="48"/>
      <c r="P170" s="48"/>
      <c r="Q170" s="48"/>
      <c r="R170" s="48"/>
      <c r="S170" s="48"/>
      <c r="T170" s="48"/>
      <c r="U170" s="48"/>
      <c r="V170" s="48"/>
      <c r="W170" s="48"/>
      <c r="X170" s="48"/>
      <c r="Y170" s="48"/>
      <c r="Z170" s="48"/>
    </row>
    <row r="171" ht="15.75" customHeight="1">
      <c r="A171" s="49"/>
      <c r="B171" s="49"/>
      <c r="C171" s="49"/>
      <c r="D171" s="49"/>
      <c r="E171" s="49"/>
      <c r="F171" s="49"/>
      <c r="G171" s="49"/>
      <c r="H171" s="49"/>
      <c r="I171" s="49"/>
      <c r="J171" s="49"/>
      <c r="K171" s="49"/>
      <c r="L171" s="49"/>
      <c r="M171" s="49"/>
      <c r="N171" s="49"/>
      <c r="O171" s="48"/>
      <c r="P171" s="48"/>
      <c r="Q171" s="48"/>
      <c r="R171" s="48"/>
      <c r="S171" s="48"/>
      <c r="T171" s="48"/>
      <c r="U171" s="48"/>
      <c r="V171" s="48"/>
      <c r="W171" s="48"/>
      <c r="X171" s="48"/>
      <c r="Y171" s="48"/>
      <c r="Z171" s="48"/>
    </row>
    <row r="172" ht="15.75" customHeight="1">
      <c r="A172" s="49"/>
      <c r="B172" s="49"/>
      <c r="C172" s="49"/>
      <c r="D172" s="49"/>
      <c r="E172" s="49"/>
      <c r="F172" s="49"/>
      <c r="G172" s="49"/>
      <c r="H172" s="49"/>
      <c r="I172" s="49"/>
      <c r="J172" s="49"/>
      <c r="K172" s="49"/>
      <c r="L172" s="49"/>
      <c r="M172" s="49"/>
      <c r="N172" s="49"/>
      <c r="O172" s="48"/>
      <c r="P172" s="48"/>
      <c r="Q172" s="48"/>
      <c r="R172" s="48"/>
      <c r="S172" s="48"/>
      <c r="T172" s="48"/>
      <c r="U172" s="48"/>
      <c r="V172" s="48"/>
      <c r="W172" s="48"/>
      <c r="X172" s="48"/>
      <c r="Y172" s="48"/>
      <c r="Z172" s="48"/>
    </row>
    <row r="173" ht="15.75" customHeight="1">
      <c r="A173" s="49"/>
      <c r="B173" s="49"/>
      <c r="C173" s="49"/>
      <c r="D173" s="49"/>
      <c r="E173" s="49"/>
      <c r="F173" s="49"/>
      <c r="G173" s="49"/>
      <c r="H173" s="49"/>
      <c r="I173" s="49"/>
      <c r="J173" s="49"/>
      <c r="K173" s="49"/>
      <c r="L173" s="49"/>
      <c r="M173" s="49"/>
      <c r="N173" s="49"/>
      <c r="O173" s="48"/>
      <c r="P173" s="48"/>
      <c r="Q173" s="48"/>
      <c r="R173" s="48"/>
      <c r="S173" s="48"/>
      <c r="T173" s="48"/>
      <c r="U173" s="48"/>
      <c r="V173" s="48"/>
      <c r="W173" s="48"/>
      <c r="X173" s="48"/>
      <c r="Y173" s="48"/>
      <c r="Z173" s="48"/>
    </row>
    <row r="174" ht="15.75" customHeight="1">
      <c r="A174" s="49"/>
      <c r="B174" s="49"/>
      <c r="C174" s="49"/>
      <c r="D174" s="49"/>
      <c r="E174" s="49"/>
      <c r="F174" s="49"/>
      <c r="G174" s="49"/>
      <c r="H174" s="49"/>
      <c r="I174" s="49"/>
      <c r="J174" s="49"/>
      <c r="K174" s="49"/>
      <c r="L174" s="49"/>
      <c r="M174" s="49"/>
      <c r="N174" s="49"/>
      <c r="O174" s="48"/>
      <c r="P174" s="48"/>
      <c r="Q174" s="48"/>
      <c r="R174" s="48"/>
      <c r="S174" s="48"/>
      <c r="T174" s="48"/>
      <c r="U174" s="48"/>
      <c r="V174" s="48"/>
      <c r="W174" s="48"/>
      <c r="X174" s="48"/>
      <c r="Y174" s="48"/>
      <c r="Z174" s="48"/>
    </row>
    <row r="175" ht="15.75" customHeight="1">
      <c r="A175" s="49"/>
      <c r="B175" s="49"/>
      <c r="C175" s="49"/>
      <c r="D175" s="49"/>
      <c r="E175" s="49"/>
      <c r="F175" s="49"/>
      <c r="G175" s="49"/>
      <c r="H175" s="49"/>
      <c r="I175" s="49"/>
      <c r="J175" s="49"/>
      <c r="K175" s="49"/>
      <c r="L175" s="49"/>
      <c r="M175" s="49"/>
      <c r="N175" s="49"/>
      <c r="O175" s="48"/>
      <c r="P175" s="48"/>
      <c r="Q175" s="48"/>
      <c r="R175" s="48"/>
      <c r="S175" s="48"/>
      <c r="T175" s="48"/>
      <c r="U175" s="48"/>
      <c r="V175" s="48"/>
      <c r="W175" s="48"/>
      <c r="X175" s="48"/>
      <c r="Y175" s="48"/>
      <c r="Z175" s="48"/>
    </row>
    <row r="176" ht="15.75" customHeight="1">
      <c r="A176" s="49"/>
      <c r="B176" s="49"/>
      <c r="C176" s="49"/>
      <c r="D176" s="49"/>
      <c r="E176" s="49"/>
      <c r="F176" s="49"/>
      <c r="G176" s="49"/>
      <c r="H176" s="49"/>
      <c r="I176" s="49"/>
      <c r="J176" s="49"/>
      <c r="K176" s="49"/>
      <c r="L176" s="49"/>
      <c r="M176" s="49"/>
      <c r="N176" s="49"/>
      <c r="O176" s="48"/>
      <c r="P176" s="48"/>
      <c r="Q176" s="48"/>
      <c r="R176" s="48"/>
      <c r="S176" s="48"/>
      <c r="T176" s="48"/>
      <c r="U176" s="48"/>
      <c r="V176" s="48"/>
      <c r="W176" s="48"/>
      <c r="X176" s="48"/>
      <c r="Y176" s="48"/>
      <c r="Z176" s="48"/>
    </row>
    <row r="177" ht="15.75" customHeight="1">
      <c r="A177" s="49"/>
      <c r="B177" s="49"/>
      <c r="C177" s="49"/>
      <c r="D177" s="49"/>
      <c r="E177" s="49"/>
      <c r="F177" s="49"/>
      <c r="G177" s="49"/>
      <c r="H177" s="49"/>
      <c r="I177" s="49"/>
      <c r="J177" s="49"/>
      <c r="K177" s="49"/>
      <c r="L177" s="49"/>
      <c r="M177" s="49"/>
      <c r="N177" s="49"/>
      <c r="O177" s="48"/>
      <c r="P177" s="48"/>
      <c r="Q177" s="48"/>
      <c r="R177" s="48"/>
      <c r="S177" s="48"/>
      <c r="T177" s="48"/>
      <c r="U177" s="48"/>
      <c r="V177" s="48"/>
      <c r="W177" s="48"/>
      <c r="X177" s="48"/>
      <c r="Y177" s="48"/>
      <c r="Z177" s="48"/>
    </row>
    <row r="178" ht="15.75" customHeight="1">
      <c r="A178" s="49"/>
      <c r="B178" s="49"/>
      <c r="C178" s="49"/>
      <c r="D178" s="49"/>
      <c r="E178" s="49"/>
      <c r="F178" s="49"/>
      <c r="G178" s="49"/>
      <c r="H178" s="49"/>
      <c r="I178" s="49"/>
      <c r="J178" s="49"/>
      <c r="K178" s="49"/>
      <c r="L178" s="49"/>
      <c r="M178" s="49"/>
      <c r="N178" s="49"/>
      <c r="O178" s="48"/>
      <c r="P178" s="48"/>
      <c r="Q178" s="48"/>
      <c r="R178" s="48"/>
      <c r="S178" s="48"/>
      <c r="T178" s="48"/>
      <c r="U178" s="48"/>
      <c r="V178" s="48"/>
      <c r="W178" s="48"/>
      <c r="X178" s="48"/>
      <c r="Y178" s="48"/>
      <c r="Z178" s="48"/>
    </row>
    <row r="179" ht="15.75" customHeight="1">
      <c r="A179" s="49"/>
      <c r="B179" s="49"/>
      <c r="C179" s="49"/>
      <c r="D179" s="49"/>
      <c r="E179" s="49"/>
      <c r="F179" s="49"/>
      <c r="G179" s="49"/>
      <c r="H179" s="49"/>
      <c r="I179" s="49"/>
      <c r="J179" s="49"/>
      <c r="K179" s="49"/>
      <c r="L179" s="49"/>
      <c r="M179" s="49"/>
      <c r="N179" s="49"/>
      <c r="O179" s="48"/>
      <c r="P179" s="48"/>
      <c r="Q179" s="48"/>
      <c r="R179" s="48"/>
      <c r="S179" s="48"/>
      <c r="T179" s="48"/>
      <c r="U179" s="48"/>
      <c r="V179" s="48"/>
      <c r="W179" s="48"/>
      <c r="X179" s="48"/>
      <c r="Y179" s="48"/>
      <c r="Z179" s="48"/>
    </row>
    <row r="180" ht="15.75" customHeight="1">
      <c r="A180" s="49"/>
      <c r="B180" s="49"/>
      <c r="C180" s="49"/>
      <c r="D180" s="49"/>
      <c r="E180" s="49"/>
      <c r="F180" s="49"/>
      <c r="G180" s="49"/>
      <c r="H180" s="49"/>
      <c r="I180" s="49"/>
      <c r="J180" s="49"/>
      <c r="K180" s="49"/>
      <c r="L180" s="49"/>
      <c r="M180" s="49"/>
      <c r="N180" s="49"/>
      <c r="O180" s="48"/>
      <c r="P180" s="48"/>
      <c r="Q180" s="48"/>
      <c r="R180" s="48"/>
      <c r="S180" s="48"/>
      <c r="T180" s="48"/>
      <c r="U180" s="48"/>
      <c r="V180" s="48"/>
      <c r="W180" s="48"/>
      <c r="X180" s="48"/>
      <c r="Y180" s="48"/>
      <c r="Z180" s="48"/>
    </row>
    <row r="181" ht="15.75" customHeight="1">
      <c r="A181" s="49"/>
      <c r="B181" s="49"/>
      <c r="C181" s="49"/>
      <c r="D181" s="49"/>
      <c r="E181" s="49"/>
      <c r="F181" s="49"/>
      <c r="G181" s="49"/>
      <c r="H181" s="49"/>
      <c r="I181" s="49"/>
      <c r="J181" s="49"/>
      <c r="K181" s="49"/>
      <c r="L181" s="49"/>
      <c r="M181" s="49"/>
      <c r="N181" s="49"/>
      <c r="O181" s="48"/>
      <c r="P181" s="48"/>
      <c r="Q181" s="48"/>
      <c r="R181" s="48"/>
      <c r="S181" s="48"/>
      <c r="T181" s="48"/>
      <c r="U181" s="48"/>
      <c r="V181" s="48"/>
      <c r="W181" s="48"/>
      <c r="X181" s="48"/>
      <c r="Y181" s="48"/>
      <c r="Z181" s="48"/>
    </row>
    <row r="182" ht="15.75" customHeight="1">
      <c r="A182" s="49"/>
      <c r="B182" s="49"/>
      <c r="C182" s="49"/>
      <c r="D182" s="49"/>
      <c r="E182" s="49"/>
      <c r="F182" s="49"/>
      <c r="G182" s="49"/>
      <c r="H182" s="49"/>
      <c r="I182" s="49"/>
      <c r="J182" s="49"/>
      <c r="K182" s="49"/>
      <c r="L182" s="49"/>
      <c r="M182" s="49"/>
      <c r="N182" s="49"/>
      <c r="O182" s="48"/>
      <c r="P182" s="48"/>
      <c r="Q182" s="48"/>
      <c r="R182" s="48"/>
      <c r="S182" s="48"/>
      <c r="T182" s="48"/>
      <c r="U182" s="48"/>
      <c r="V182" s="48"/>
      <c r="W182" s="48"/>
      <c r="X182" s="48"/>
      <c r="Y182" s="48"/>
      <c r="Z182" s="48"/>
    </row>
    <row r="183" ht="15.75" customHeight="1">
      <c r="A183" s="49"/>
      <c r="B183" s="49"/>
      <c r="C183" s="49"/>
      <c r="D183" s="49"/>
      <c r="E183" s="49"/>
      <c r="F183" s="49"/>
      <c r="G183" s="49"/>
      <c r="H183" s="49"/>
      <c r="I183" s="49"/>
      <c r="J183" s="49"/>
      <c r="K183" s="49"/>
      <c r="L183" s="49"/>
      <c r="M183" s="49"/>
      <c r="N183" s="49"/>
      <c r="O183" s="48"/>
      <c r="P183" s="48"/>
      <c r="Q183" s="48"/>
      <c r="R183" s="48"/>
      <c r="S183" s="48"/>
      <c r="T183" s="48"/>
      <c r="U183" s="48"/>
      <c r="V183" s="48"/>
      <c r="W183" s="48"/>
      <c r="X183" s="48"/>
      <c r="Y183" s="48"/>
      <c r="Z183" s="48"/>
    </row>
    <row r="184" ht="15.75" customHeight="1">
      <c r="A184" s="49"/>
      <c r="B184" s="49"/>
      <c r="C184" s="49"/>
      <c r="D184" s="49"/>
      <c r="E184" s="49"/>
      <c r="F184" s="49"/>
      <c r="G184" s="49"/>
      <c r="H184" s="49"/>
      <c r="I184" s="49"/>
      <c r="J184" s="49"/>
      <c r="K184" s="49"/>
      <c r="L184" s="49"/>
      <c r="M184" s="49"/>
      <c r="N184" s="49"/>
      <c r="O184" s="48"/>
      <c r="P184" s="48"/>
      <c r="Q184" s="48"/>
      <c r="R184" s="48"/>
      <c r="S184" s="48"/>
      <c r="T184" s="48"/>
      <c r="U184" s="48"/>
      <c r="V184" s="48"/>
      <c r="W184" s="48"/>
      <c r="X184" s="48"/>
      <c r="Y184" s="48"/>
      <c r="Z184" s="48"/>
    </row>
    <row r="185" ht="15.75" customHeight="1">
      <c r="A185" s="49"/>
      <c r="B185" s="49"/>
      <c r="C185" s="49"/>
      <c r="D185" s="49"/>
      <c r="E185" s="49"/>
      <c r="F185" s="49"/>
      <c r="G185" s="49"/>
      <c r="H185" s="49"/>
      <c r="I185" s="49"/>
      <c r="J185" s="49"/>
      <c r="K185" s="49"/>
      <c r="L185" s="49"/>
      <c r="M185" s="49"/>
      <c r="N185" s="49"/>
      <c r="O185" s="48"/>
      <c r="P185" s="48"/>
      <c r="Q185" s="48"/>
      <c r="R185" s="48"/>
      <c r="S185" s="48"/>
      <c r="T185" s="48"/>
      <c r="U185" s="48"/>
      <c r="V185" s="48"/>
      <c r="W185" s="48"/>
      <c r="X185" s="48"/>
      <c r="Y185" s="48"/>
      <c r="Z185" s="48"/>
    </row>
    <row r="186" ht="15.75" customHeight="1">
      <c r="A186" s="49"/>
      <c r="B186" s="49"/>
      <c r="C186" s="49"/>
      <c r="D186" s="49"/>
      <c r="E186" s="49"/>
      <c r="F186" s="49"/>
      <c r="G186" s="49"/>
      <c r="H186" s="49"/>
      <c r="I186" s="49"/>
      <c r="J186" s="49"/>
      <c r="K186" s="49"/>
      <c r="L186" s="49"/>
      <c r="M186" s="49"/>
      <c r="N186" s="49"/>
      <c r="O186" s="48"/>
      <c r="P186" s="48"/>
      <c r="Q186" s="48"/>
      <c r="R186" s="48"/>
      <c r="S186" s="48"/>
      <c r="T186" s="48"/>
      <c r="U186" s="48"/>
      <c r="V186" s="48"/>
      <c r="W186" s="48"/>
      <c r="X186" s="48"/>
      <c r="Y186" s="48"/>
      <c r="Z186" s="48"/>
    </row>
    <row r="187" ht="15.75" customHeight="1">
      <c r="A187" s="49"/>
      <c r="B187" s="49"/>
      <c r="C187" s="49"/>
      <c r="D187" s="49"/>
      <c r="E187" s="49"/>
      <c r="F187" s="49"/>
      <c r="G187" s="49"/>
      <c r="H187" s="49"/>
      <c r="I187" s="49"/>
      <c r="J187" s="49"/>
      <c r="K187" s="49"/>
      <c r="L187" s="49"/>
      <c r="M187" s="49"/>
      <c r="N187" s="49"/>
      <c r="O187" s="48"/>
      <c r="P187" s="48"/>
      <c r="Q187" s="48"/>
      <c r="R187" s="48"/>
      <c r="S187" s="48"/>
      <c r="T187" s="48"/>
      <c r="U187" s="48"/>
      <c r="V187" s="48"/>
      <c r="W187" s="48"/>
      <c r="X187" s="48"/>
      <c r="Y187" s="48"/>
      <c r="Z187" s="48"/>
    </row>
    <row r="188" ht="15.75" customHeight="1">
      <c r="A188" s="49"/>
      <c r="B188" s="49"/>
      <c r="C188" s="49"/>
      <c r="D188" s="49"/>
      <c r="E188" s="49"/>
      <c r="F188" s="49"/>
      <c r="G188" s="49"/>
      <c r="H188" s="49"/>
      <c r="I188" s="49"/>
      <c r="J188" s="49"/>
      <c r="K188" s="49"/>
      <c r="L188" s="49"/>
      <c r="M188" s="49"/>
      <c r="N188" s="49"/>
      <c r="O188" s="48"/>
      <c r="P188" s="48"/>
      <c r="Q188" s="48"/>
      <c r="R188" s="48"/>
      <c r="S188" s="48"/>
      <c r="T188" s="48"/>
      <c r="U188" s="48"/>
      <c r="V188" s="48"/>
      <c r="W188" s="48"/>
      <c r="X188" s="48"/>
      <c r="Y188" s="48"/>
      <c r="Z188" s="48"/>
    </row>
    <row r="189" ht="15.75" customHeight="1">
      <c r="A189" s="49"/>
      <c r="B189" s="49"/>
      <c r="C189" s="49"/>
      <c r="D189" s="49"/>
      <c r="E189" s="49"/>
      <c r="F189" s="49"/>
      <c r="G189" s="49"/>
      <c r="H189" s="49"/>
      <c r="I189" s="49"/>
      <c r="J189" s="49"/>
      <c r="K189" s="49"/>
      <c r="L189" s="49"/>
      <c r="M189" s="49"/>
      <c r="N189" s="49"/>
      <c r="O189" s="48"/>
      <c r="P189" s="48"/>
      <c r="Q189" s="48"/>
      <c r="R189" s="48"/>
      <c r="S189" s="48"/>
      <c r="T189" s="48"/>
      <c r="U189" s="48"/>
      <c r="V189" s="48"/>
      <c r="W189" s="48"/>
      <c r="X189" s="48"/>
      <c r="Y189" s="48"/>
      <c r="Z189" s="48"/>
    </row>
    <row r="190" ht="15.75" customHeight="1">
      <c r="A190" s="49"/>
      <c r="B190" s="49"/>
      <c r="C190" s="49"/>
      <c r="D190" s="49"/>
      <c r="E190" s="49"/>
      <c r="F190" s="49"/>
      <c r="G190" s="49"/>
      <c r="H190" s="49"/>
      <c r="I190" s="49"/>
      <c r="J190" s="49"/>
      <c r="K190" s="49"/>
      <c r="L190" s="49"/>
      <c r="M190" s="49"/>
      <c r="N190" s="49"/>
      <c r="O190" s="48"/>
      <c r="P190" s="48"/>
      <c r="Q190" s="48"/>
      <c r="R190" s="48"/>
      <c r="S190" s="48"/>
      <c r="T190" s="48"/>
      <c r="U190" s="48"/>
      <c r="V190" s="48"/>
      <c r="W190" s="48"/>
      <c r="X190" s="48"/>
      <c r="Y190" s="48"/>
      <c r="Z190" s="48"/>
    </row>
    <row r="191" ht="15.75" customHeight="1">
      <c r="A191" s="49"/>
      <c r="B191" s="49"/>
      <c r="C191" s="49"/>
      <c r="D191" s="49"/>
      <c r="E191" s="49"/>
      <c r="F191" s="49"/>
      <c r="G191" s="49"/>
      <c r="H191" s="49"/>
      <c r="I191" s="49"/>
      <c r="J191" s="49"/>
      <c r="K191" s="49"/>
      <c r="L191" s="49"/>
      <c r="M191" s="49"/>
      <c r="N191" s="49"/>
      <c r="O191" s="48"/>
      <c r="P191" s="48"/>
      <c r="Q191" s="48"/>
      <c r="R191" s="48"/>
      <c r="S191" s="48"/>
      <c r="T191" s="48"/>
      <c r="U191" s="48"/>
      <c r="V191" s="48"/>
      <c r="W191" s="48"/>
      <c r="X191" s="48"/>
      <c r="Y191" s="48"/>
      <c r="Z191" s="48"/>
    </row>
    <row r="192" ht="15.75" customHeight="1">
      <c r="A192" s="49"/>
      <c r="B192" s="49"/>
      <c r="C192" s="49"/>
      <c r="D192" s="49"/>
      <c r="E192" s="49"/>
      <c r="F192" s="49"/>
      <c r="G192" s="49"/>
      <c r="H192" s="49"/>
      <c r="I192" s="49"/>
      <c r="J192" s="49"/>
      <c r="K192" s="49"/>
      <c r="L192" s="49"/>
      <c r="M192" s="49"/>
      <c r="N192" s="49"/>
      <c r="O192" s="48"/>
      <c r="P192" s="48"/>
      <c r="Q192" s="48"/>
      <c r="R192" s="48"/>
      <c r="S192" s="48"/>
      <c r="T192" s="48"/>
      <c r="U192" s="48"/>
      <c r="V192" s="48"/>
      <c r="W192" s="48"/>
      <c r="X192" s="48"/>
      <c r="Y192" s="48"/>
      <c r="Z192" s="48"/>
    </row>
    <row r="193" ht="15.75" customHeight="1">
      <c r="A193" s="49"/>
      <c r="B193" s="49"/>
      <c r="C193" s="49"/>
      <c r="D193" s="49"/>
      <c r="E193" s="49"/>
      <c r="F193" s="49"/>
      <c r="G193" s="49"/>
      <c r="H193" s="49"/>
      <c r="I193" s="49"/>
      <c r="J193" s="49"/>
      <c r="K193" s="49"/>
      <c r="L193" s="49"/>
      <c r="M193" s="49"/>
      <c r="N193" s="49"/>
      <c r="O193" s="48"/>
      <c r="P193" s="48"/>
      <c r="Q193" s="48"/>
      <c r="R193" s="48"/>
      <c r="S193" s="48"/>
      <c r="T193" s="48"/>
      <c r="U193" s="48"/>
      <c r="V193" s="48"/>
      <c r="W193" s="48"/>
      <c r="X193" s="48"/>
      <c r="Y193" s="48"/>
      <c r="Z193" s="48"/>
    </row>
    <row r="194" ht="15.75" customHeight="1">
      <c r="A194" s="49"/>
      <c r="B194" s="49"/>
      <c r="C194" s="49"/>
      <c r="D194" s="49"/>
      <c r="E194" s="49"/>
      <c r="F194" s="49"/>
      <c r="G194" s="49"/>
      <c r="H194" s="49"/>
      <c r="I194" s="49"/>
      <c r="J194" s="49"/>
      <c r="K194" s="49"/>
      <c r="L194" s="49"/>
      <c r="M194" s="49"/>
      <c r="N194" s="49"/>
      <c r="O194" s="48"/>
      <c r="P194" s="48"/>
      <c r="Q194" s="48"/>
      <c r="R194" s="48"/>
      <c r="S194" s="48"/>
      <c r="T194" s="48"/>
      <c r="U194" s="48"/>
      <c r="V194" s="48"/>
      <c r="W194" s="48"/>
      <c r="X194" s="48"/>
      <c r="Y194" s="48"/>
      <c r="Z194" s="48"/>
    </row>
    <row r="195" ht="15.75" customHeight="1">
      <c r="A195" s="49"/>
      <c r="B195" s="49"/>
      <c r="C195" s="49"/>
      <c r="D195" s="49"/>
      <c r="E195" s="49"/>
      <c r="F195" s="49"/>
      <c r="G195" s="49"/>
      <c r="H195" s="49"/>
      <c r="I195" s="49"/>
      <c r="J195" s="49"/>
      <c r="K195" s="49"/>
      <c r="L195" s="49"/>
      <c r="M195" s="49"/>
      <c r="N195" s="49"/>
      <c r="O195" s="48"/>
      <c r="P195" s="48"/>
      <c r="Q195" s="48"/>
      <c r="R195" s="48"/>
      <c r="S195" s="48"/>
      <c r="T195" s="48"/>
      <c r="U195" s="48"/>
      <c r="V195" s="48"/>
      <c r="W195" s="48"/>
      <c r="X195" s="48"/>
      <c r="Y195" s="48"/>
      <c r="Z195" s="48"/>
    </row>
    <row r="196" ht="15.75" customHeight="1">
      <c r="A196" s="49"/>
      <c r="B196" s="49"/>
      <c r="C196" s="49"/>
      <c r="D196" s="49"/>
      <c r="E196" s="49"/>
      <c r="F196" s="49"/>
      <c r="G196" s="49"/>
      <c r="H196" s="49"/>
      <c r="I196" s="49"/>
      <c r="J196" s="49"/>
      <c r="K196" s="49"/>
      <c r="L196" s="49"/>
      <c r="M196" s="49"/>
      <c r="N196" s="49"/>
      <c r="O196" s="48"/>
      <c r="P196" s="48"/>
      <c r="Q196" s="48"/>
      <c r="R196" s="48"/>
      <c r="S196" s="48"/>
      <c r="T196" s="48"/>
      <c r="U196" s="48"/>
      <c r="V196" s="48"/>
      <c r="W196" s="48"/>
      <c r="X196" s="48"/>
      <c r="Y196" s="48"/>
      <c r="Z196" s="48"/>
    </row>
    <row r="197" ht="15.75" customHeight="1">
      <c r="A197" s="49"/>
      <c r="B197" s="49"/>
      <c r="C197" s="49"/>
      <c r="D197" s="49"/>
      <c r="E197" s="49"/>
      <c r="F197" s="49"/>
      <c r="G197" s="49"/>
      <c r="H197" s="49"/>
      <c r="I197" s="49"/>
      <c r="J197" s="49"/>
      <c r="K197" s="49"/>
      <c r="L197" s="49"/>
      <c r="M197" s="49"/>
      <c r="N197" s="49"/>
      <c r="O197" s="48"/>
      <c r="P197" s="48"/>
      <c r="Q197" s="48"/>
      <c r="R197" s="48"/>
      <c r="S197" s="48"/>
      <c r="T197" s="48"/>
      <c r="U197" s="48"/>
      <c r="V197" s="48"/>
      <c r="W197" s="48"/>
      <c r="X197" s="48"/>
      <c r="Y197" s="48"/>
      <c r="Z197" s="48"/>
    </row>
    <row r="198" ht="15.75" customHeight="1">
      <c r="A198" s="49"/>
      <c r="B198" s="49"/>
      <c r="C198" s="49"/>
      <c r="D198" s="49"/>
      <c r="E198" s="49"/>
      <c r="F198" s="49"/>
      <c r="G198" s="49"/>
      <c r="H198" s="49"/>
      <c r="I198" s="49"/>
      <c r="J198" s="49"/>
      <c r="K198" s="49"/>
      <c r="L198" s="49"/>
      <c r="M198" s="49"/>
      <c r="N198" s="49"/>
      <c r="O198" s="48"/>
      <c r="P198" s="48"/>
      <c r="Q198" s="48"/>
      <c r="R198" s="48"/>
      <c r="S198" s="48"/>
      <c r="T198" s="48"/>
      <c r="U198" s="48"/>
      <c r="V198" s="48"/>
      <c r="W198" s="48"/>
      <c r="X198" s="48"/>
      <c r="Y198" s="48"/>
      <c r="Z198" s="48"/>
    </row>
    <row r="199" ht="15.75" customHeight="1">
      <c r="A199" s="49"/>
      <c r="B199" s="49"/>
      <c r="C199" s="49"/>
      <c r="D199" s="49"/>
      <c r="E199" s="49"/>
      <c r="F199" s="49"/>
      <c r="G199" s="49"/>
      <c r="H199" s="49"/>
      <c r="I199" s="49"/>
      <c r="J199" s="49"/>
      <c r="K199" s="49"/>
      <c r="L199" s="49"/>
      <c r="M199" s="49"/>
      <c r="N199" s="49"/>
      <c r="O199" s="48"/>
      <c r="P199" s="48"/>
      <c r="Q199" s="48"/>
      <c r="R199" s="48"/>
      <c r="S199" s="48"/>
      <c r="T199" s="48"/>
      <c r="U199" s="48"/>
      <c r="V199" s="48"/>
      <c r="W199" s="48"/>
      <c r="X199" s="48"/>
      <c r="Y199" s="48"/>
      <c r="Z199" s="48"/>
    </row>
    <row r="200" ht="15.75" customHeight="1">
      <c r="A200" s="49"/>
      <c r="B200" s="49"/>
      <c r="C200" s="49"/>
      <c r="D200" s="49"/>
      <c r="E200" s="49"/>
      <c r="F200" s="49"/>
      <c r="G200" s="49"/>
      <c r="H200" s="49"/>
      <c r="I200" s="49"/>
      <c r="J200" s="49"/>
      <c r="K200" s="49"/>
      <c r="L200" s="49"/>
      <c r="M200" s="49"/>
      <c r="N200" s="49"/>
      <c r="O200" s="48"/>
      <c r="P200" s="48"/>
      <c r="Q200" s="48"/>
      <c r="R200" s="48"/>
      <c r="S200" s="48"/>
      <c r="T200" s="48"/>
      <c r="U200" s="48"/>
      <c r="V200" s="48"/>
      <c r="W200" s="48"/>
      <c r="X200" s="48"/>
      <c r="Y200" s="48"/>
      <c r="Z200" s="48"/>
    </row>
    <row r="201" ht="15.75" customHeight="1">
      <c r="A201" s="49"/>
      <c r="B201" s="49"/>
      <c r="C201" s="49"/>
      <c r="D201" s="49"/>
      <c r="E201" s="49"/>
      <c r="F201" s="49"/>
      <c r="G201" s="49"/>
      <c r="H201" s="49"/>
      <c r="I201" s="49"/>
      <c r="J201" s="49"/>
      <c r="K201" s="49"/>
      <c r="L201" s="49"/>
      <c r="M201" s="49"/>
      <c r="N201" s="49"/>
      <c r="O201" s="48"/>
      <c r="P201" s="48"/>
      <c r="Q201" s="48"/>
      <c r="R201" s="48"/>
      <c r="S201" s="48"/>
      <c r="T201" s="48"/>
      <c r="U201" s="48"/>
      <c r="V201" s="48"/>
      <c r="W201" s="48"/>
      <c r="X201" s="48"/>
      <c r="Y201" s="48"/>
      <c r="Z201" s="48"/>
    </row>
    <row r="202" ht="15.75" customHeight="1">
      <c r="A202" s="49"/>
      <c r="B202" s="49"/>
      <c r="C202" s="49"/>
      <c r="D202" s="49"/>
      <c r="E202" s="49"/>
      <c r="F202" s="49"/>
      <c r="G202" s="49"/>
      <c r="H202" s="49"/>
      <c r="I202" s="49"/>
      <c r="J202" s="49"/>
      <c r="K202" s="49"/>
      <c r="L202" s="49"/>
      <c r="M202" s="49"/>
      <c r="N202" s="49"/>
      <c r="O202" s="48"/>
      <c r="P202" s="48"/>
      <c r="Q202" s="48"/>
      <c r="R202" s="48"/>
      <c r="S202" s="48"/>
      <c r="T202" s="48"/>
      <c r="U202" s="48"/>
      <c r="V202" s="48"/>
      <c r="W202" s="48"/>
      <c r="X202" s="48"/>
      <c r="Y202" s="48"/>
      <c r="Z202" s="48"/>
    </row>
    <row r="203" ht="15.75" customHeight="1">
      <c r="A203" s="49"/>
      <c r="B203" s="49"/>
      <c r="C203" s="49"/>
      <c r="D203" s="49"/>
      <c r="E203" s="49"/>
      <c r="F203" s="49"/>
      <c r="G203" s="49"/>
      <c r="H203" s="49"/>
      <c r="I203" s="49"/>
      <c r="J203" s="49"/>
      <c r="K203" s="49"/>
      <c r="L203" s="49"/>
      <c r="M203" s="49"/>
      <c r="N203" s="49"/>
      <c r="O203" s="48"/>
      <c r="P203" s="48"/>
      <c r="Q203" s="48"/>
      <c r="R203" s="48"/>
      <c r="S203" s="48"/>
      <c r="T203" s="48"/>
      <c r="U203" s="48"/>
      <c r="V203" s="48"/>
      <c r="W203" s="48"/>
      <c r="X203" s="48"/>
      <c r="Y203" s="48"/>
      <c r="Z203" s="48"/>
    </row>
    <row r="204" ht="15.75" customHeight="1">
      <c r="A204" s="49"/>
      <c r="B204" s="49"/>
      <c r="C204" s="49"/>
      <c r="D204" s="49"/>
      <c r="E204" s="49"/>
      <c r="F204" s="49"/>
      <c r="G204" s="49"/>
      <c r="H204" s="49"/>
      <c r="I204" s="49"/>
      <c r="J204" s="49"/>
      <c r="K204" s="49"/>
      <c r="L204" s="49"/>
      <c r="M204" s="49"/>
      <c r="N204" s="49"/>
      <c r="O204" s="48"/>
      <c r="P204" s="48"/>
      <c r="Q204" s="48"/>
      <c r="R204" s="48"/>
      <c r="S204" s="48"/>
      <c r="T204" s="48"/>
      <c r="U204" s="48"/>
      <c r="V204" s="48"/>
      <c r="W204" s="48"/>
      <c r="X204" s="48"/>
      <c r="Y204" s="48"/>
      <c r="Z204" s="48"/>
    </row>
    <row r="205" ht="15.75" customHeight="1">
      <c r="A205" s="49"/>
      <c r="B205" s="49"/>
      <c r="C205" s="49"/>
      <c r="D205" s="49"/>
      <c r="E205" s="49"/>
      <c r="F205" s="49"/>
      <c r="G205" s="49"/>
      <c r="H205" s="49"/>
      <c r="I205" s="49"/>
      <c r="J205" s="49"/>
      <c r="K205" s="49"/>
      <c r="L205" s="49"/>
      <c r="M205" s="49"/>
      <c r="N205" s="49"/>
      <c r="O205" s="48"/>
      <c r="P205" s="48"/>
      <c r="Q205" s="48"/>
      <c r="R205" s="48"/>
      <c r="S205" s="48"/>
      <c r="T205" s="48"/>
      <c r="U205" s="48"/>
      <c r="V205" s="48"/>
      <c r="W205" s="48"/>
      <c r="X205" s="48"/>
      <c r="Y205" s="48"/>
      <c r="Z205" s="48"/>
    </row>
    <row r="206" ht="15.75" customHeight="1">
      <c r="A206" s="49"/>
      <c r="B206" s="49"/>
      <c r="C206" s="49"/>
      <c r="D206" s="49"/>
      <c r="E206" s="49"/>
      <c r="F206" s="49"/>
      <c r="G206" s="49"/>
      <c r="H206" s="49"/>
      <c r="I206" s="49"/>
      <c r="J206" s="49"/>
      <c r="K206" s="49"/>
      <c r="L206" s="49"/>
      <c r="M206" s="49"/>
      <c r="N206" s="49"/>
      <c r="O206" s="48"/>
      <c r="P206" s="48"/>
      <c r="Q206" s="48"/>
      <c r="R206" s="48"/>
      <c r="S206" s="48"/>
      <c r="T206" s="48"/>
      <c r="U206" s="48"/>
      <c r="V206" s="48"/>
      <c r="W206" s="48"/>
      <c r="X206" s="48"/>
      <c r="Y206" s="48"/>
      <c r="Z206" s="48"/>
    </row>
    <row r="207" ht="15.75" customHeight="1">
      <c r="A207" s="49"/>
      <c r="B207" s="49"/>
      <c r="C207" s="49"/>
      <c r="D207" s="49"/>
      <c r="E207" s="49"/>
      <c r="F207" s="49"/>
      <c r="G207" s="49"/>
      <c r="H207" s="49"/>
      <c r="I207" s="49"/>
      <c r="J207" s="49"/>
      <c r="K207" s="49"/>
      <c r="L207" s="49"/>
      <c r="M207" s="49"/>
      <c r="N207" s="49"/>
      <c r="O207" s="48"/>
      <c r="P207" s="48"/>
      <c r="Q207" s="48"/>
      <c r="R207" s="48"/>
      <c r="S207" s="48"/>
      <c r="T207" s="48"/>
      <c r="U207" s="48"/>
      <c r="V207" s="48"/>
      <c r="W207" s="48"/>
      <c r="X207" s="48"/>
      <c r="Y207" s="48"/>
      <c r="Z207" s="48"/>
    </row>
    <row r="208" ht="15.75" customHeight="1">
      <c r="A208" s="49"/>
      <c r="B208" s="49"/>
      <c r="C208" s="49"/>
      <c r="D208" s="49"/>
      <c r="E208" s="49"/>
      <c r="F208" s="49"/>
      <c r="G208" s="49"/>
      <c r="H208" s="49"/>
      <c r="I208" s="49"/>
      <c r="J208" s="49"/>
      <c r="K208" s="49"/>
      <c r="L208" s="49"/>
      <c r="M208" s="49"/>
      <c r="N208" s="49"/>
      <c r="O208" s="48"/>
      <c r="P208" s="48"/>
      <c r="Q208" s="48"/>
      <c r="R208" s="48"/>
      <c r="S208" s="48"/>
      <c r="T208" s="48"/>
      <c r="U208" s="48"/>
      <c r="V208" s="48"/>
      <c r="W208" s="48"/>
      <c r="X208" s="48"/>
      <c r="Y208" s="48"/>
      <c r="Z208" s="48"/>
    </row>
    <row r="209" ht="15.75" customHeight="1">
      <c r="A209" s="49"/>
      <c r="B209" s="49"/>
      <c r="C209" s="49"/>
      <c r="D209" s="49"/>
      <c r="E209" s="49"/>
      <c r="F209" s="49"/>
      <c r="G209" s="49"/>
      <c r="H209" s="49"/>
      <c r="I209" s="49"/>
      <c r="J209" s="49"/>
      <c r="K209" s="49"/>
      <c r="L209" s="49"/>
      <c r="M209" s="49"/>
      <c r="N209" s="49"/>
      <c r="O209" s="48"/>
      <c r="P209" s="48"/>
      <c r="Q209" s="48"/>
      <c r="R209" s="48"/>
      <c r="S209" s="48"/>
      <c r="T209" s="48"/>
      <c r="U209" s="48"/>
      <c r="V209" s="48"/>
      <c r="W209" s="48"/>
      <c r="X209" s="48"/>
      <c r="Y209" s="48"/>
      <c r="Z209" s="48"/>
    </row>
    <row r="210" ht="15.75" customHeight="1">
      <c r="A210" s="49"/>
      <c r="B210" s="49"/>
      <c r="C210" s="49"/>
      <c r="D210" s="49"/>
      <c r="E210" s="49"/>
      <c r="F210" s="49"/>
      <c r="G210" s="49"/>
      <c r="H210" s="49"/>
      <c r="I210" s="49"/>
      <c r="J210" s="49"/>
      <c r="K210" s="49"/>
      <c r="L210" s="49"/>
      <c r="M210" s="49"/>
      <c r="N210" s="49"/>
      <c r="O210" s="48"/>
      <c r="P210" s="48"/>
      <c r="Q210" s="48"/>
      <c r="R210" s="48"/>
      <c r="S210" s="48"/>
      <c r="T210" s="48"/>
      <c r="U210" s="48"/>
      <c r="V210" s="48"/>
      <c r="W210" s="48"/>
      <c r="X210" s="48"/>
      <c r="Y210" s="48"/>
      <c r="Z210" s="48"/>
    </row>
    <row r="211" ht="15.75" customHeight="1">
      <c r="A211" s="49"/>
      <c r="B211" s="49"/>
      <c r="C211" s="49"/>
      <c r="D211" s="49"/>
      <c r="E211" s="49"/>
      <c r="F211" s="49"/>
      <c r="G211" s="49"/>
      <c r="H211" s="49"/>
      <c r="I211" s="49"/>
      <c r="J211" s="49"/>
      <c r="K211" s="49"/>
      <c r="L211" s="49"/>
      <c r="M211" s="49"/>
      <c r="N211" s="49"/>
      <c r="O211" s="48"/>
      <c r="P211" s="48"/>
      <c r="Q211" s="48"/>
      <c r="R211" s="48"/>
      <c r="S211" s="48"/>
      <c r="T211" s="48"/>
      <c r="U211" s="48"/>
      <c r="V211" s="48"/>
      <c r="W211" s="48"/>
      <c r="X211" s="48"/>
      <c r="Y211" s="48"/>
      <c r="Z211" s="48"/>
    </row>
    <row r="212" ht="15.75" customHeight="1">
      <c r="A212" s="49"/>
      <c r="B212" s="49"/>
      <c r="C212" s="49"/>
      <c r="D212" s="49"/>
      <c r="E212" s="49"/>
      <c r="F212" s="49"/>
      <c r="G212" s="49"/>
      <c r="H212" s="49"/>
      <c r="I212" s="49"/>
      <c r="J212" s="49"/>
      <c r="K212" s="49"/>
      <c r="L212" s="49"/>
      <c r="M212" s="49"/>
      <c r="N212" s="49"/>
      <c r="O212" s="48"/>
      <c r="P212" s="48"/>
      <c r="Q212" s="48"/>
      <c r="R212" s="48"/>
      <c r="S212" s="48"/>
      <c r="T212" s="48"/>
      <c r="U212" s="48"/>
      <c r="V212" s="48"/>
      <c r="W212" s="48"/>
      <c r="X212" s="48"/>
      <c r="Y212" s="48"/>
      <c r="Z212" s="48"/>
    </row>
    <row r="213" ht="15.75" customHeight="1">
      <c r="A213" s="49"/>
      <c r="B213" s="49"/>
      <c r="C213" s="49"/>
      <c r="D213" s="49"/>
      <c r="E213" s="49"/>
      <c r="F213" s="49"/>
      <c r="G213" s="49"/>
      <c r="H213" s="49"/>
      <c r="I213" s="49"/>
      <c r="J213" s="49"/>
      <c r="K213" s="49"/>
      <c r="L213" s="49"/>
      <c r="M213" s="49"/>
      <c r="N213" s="49"/>
      <c r="O213" s="48"/>
      <c r="P213" s="48"/>
      <c r="Q213" s="48"/>
      <c r="R213" s="48"/>
      <c r="S213" s="48"/>
      <c r="T213" s="48"/>
      <c r="U213" s="48"/>
      <c r="V213" s="48"/>
      <c r="W213" s="48"/>
      <c r="X213" s="48"/>
      <c r="Y213" s="48"/>
      <c r="Z213" s="48"/>
    </row>
    <row r="214" ht="15.75" customHeight="1">
      <c r="A214" s="49"/>
      <c r="B214" s="49"/>
      <c r="C214" s="49"/>
      <c r="D214" s="49"/>
      <c r="E214" s="49"/>
      <c r="F214" s="49"/>
      <c r="G214" s="49"/>
      <c r="H214" s="49"/>
      <c r="I214" s="49"/>
      <c r="J214" s="49"/>
      <c r="K214" s="49"/>
      <c r="L214" s="49"/>
      <c r="M214" s="49"/>
      <c r="N214" s="49"/>
      <c r="O214" s="48"/>
      <c r="P214" s="48"/>
      <c r="Q214" s="48"/>
      <c r="R214" s="48"/>
      <c r="S214" s="48"/>
      <c r="T214" s="48"/>
      <c r="U214" s="48"/>
      <c r="V214" s="48"/>
      <c r="W214" s="48"/>
      <c r="X214" s="48"/>
      <c r="Y214" s="48"/>
      <c r="Z214" s="48"/>
    </row>
    <row r="215" ht="15.75" customHeight="1">
      <c r="A215" s="49"/>
      <c r="B215" s="49"/>
      <c r="C215" s="49"/>
      <c r="D215" s="49"/>
      <c r="E215" s="49"/>
      <c r="F215" s="49"/>
      <c r="G215" s="49"/>
      <c r="H215" s="49"/>
      <c r="I215" s="49"/>
      <c r="J215" s="49"/>
      <c r="K215" s="49"/>
      <c r="L215" s="49"/>
      <c r="M215" s="49"/>
      <c r="N215" s="49"/>
      <c r="O215" s="48"/>
      <c r="P215" s="48"/>
      <c r="Q215" s="48"/>
      <c r="R215" s="48"/>
      <c r="S215" s="48"/>
      <c r="T215" s="48"/>
      <c r="U215" s="48"/>
      <c r="V215" s="48"/>
      <c r="W215" s="48"/>
      <c r="X215" s="48"/>
      <c r="Y215" s="48"/>
      <c r="Z215" s="48"/>
    </row>
    <row r="216" ht="15.75" customHeight="1">
      <c r="A216" s="49"/>
      <c r="B216" s="49"/>
      <c r="C216" s="49"/>
      <c r="D216" s="49"/>
      <c r="E216" s="49"/>
      <c r="F216" s="49"/>
      <c r="G216" s="49"/>
      <c r="H216" s="49"/>
      <c r="I216" s="49"/>
      <c r="J216" s="49"/>
      <c r="K216" s="49"/>
      <c r="L216" s="49"/>
      <c r="M216" s="49"/>
      <c r="N216" s="49"/>
      <c r="O216" s="48"/>
      <c r="P216" s="48"/>
      <c r="Q216" s="48"/>
      <c r="R216" s="48"/>
      <c r="S216" s="48"/>
      <c r="T216" s="48"/>
      <c r="U216" s="48"/>
      <c r="V216" s="48"/>
      <c r="W216" s="48"/>
      <c r="X216" s="48"/>
      <c r="Y216" s="48"/>
      <c r="Z216" s="48"/>
    </row>
    <row r="217" ht="15.75" customHeight="1">
      <c r="A217" s="49"/>
      <c r="B217" s="49"/>
      <c r="C217" s="49"/>
      <c r="D217" s="49"/>
      <c r="E217" s="49"/>
      <c r="F217" s="49"/>
      <c r="G217" s="49"/>
      <c r="H217" s="49"/>
      <c r="I217" s="49"/>
      <c r="J217" s="49"/>
      <c r="K217" s="49"/>
      <c r="L217" s="49"/>
      <c r="M217" s="49"/>
      <c r="N217" s="49"/>
      <c r="O217" s="48"/>
      <c r="P217" s="48"/>
      <c r="Q217" s="48"/>
      <c r="R217" s="48"/>
      <c r="S217" s="48"/>
      <c r="T217" s="48"/>
      <c r="U217" s="48"/>
      <c r="V217" s="48"/>
      <c r="W217" s="48"/>
      <c r="X217" s="48"/>
      <c r="Y217" s="48"/>
      <c r="Z217" s="48"/>
    </row>
    <row r="218" ht="15.75" customHeight="1">
      <c r="A218" s="49"/>
      <c r="B218" s="49"/>
      <c r="C218" s="49"/>
      <c r="D218" s="49"/>
      <c r="E218" s="49"/>
      <c r="F218" s="49"/>
      <c r="G218" s="49"/>
      <c r="H218" s="49"/>
      <c r="I218" s="49"/>
      <c r="J218" s="49"/>
      <c r="K218" s="49"/>
      <c r="L218" s="49"/>
      <c r="M218" s="49"/>
      <c r="N218" s="49"/>
      <c r="O218" s="48"/>
      <c r="P218" s="48"/>
      <c r="Q218" s="48"/>
      <c r="R218" s="48"/>
      <c r="S218" s="48"/>
      <c r="T218" s="48"/>
      <c r="U218" s="48"/>
      <c r="V218" s="48"/>
      <c r="W218" s="48"/>
      <c r="X218" s="48"/>
      <c r="Y218" s="48"/>
      <c r="Z218" s="48"/>
    </row>
    <row r="219" ht="15.75" customHeight="1">
      <c r="A219" s="49"/>
      <c r="B219" s="49"/>
      <c r="C219" s="49"/>
      <c r="D219" s="49"/>
      <c r="E219" s="49"/>
      <c r="F219" s="49"/>
      <c r="G219" s="49"/>
      <c r="H219" s="49"/>
      <c r="I219" s="49"/>
      <c r="J219" s="49"/>
      <c r="K219" s="49"/>
      <c r="L219" s="49"/>
      <c r="M219" s="49"/>
      <c r="N219" s="49"/>
      <c r="O219" s="48"/>
      <c r="P219" s="48"/>
      <c r="Q219" s="48"/>
      <c r="R219" s="48"/>
      <c r="S219" s="48"/>
      <c r="T219" s="48"/>
      <c r="U219" s="48"/>
      <c r="V219" s="48"/>
      <c r="W219" s="48"/>
      <c r="X219" s="48"/>
      <c r="Y219" s="48"/>
      <c r="Z219" s="48"/>
    </row>
    <row r="220" ht="15.75" customHeight="1">
      <c r="A220" s="49"/>
      <c r="B220" s="49"/>
      <c r="C220" s="49"/>
      <c r="D220" s="49"/>
      <c r="E220" s="49"/>
      <c r="F220" s="49"/>
      <c r="G220" s="49"/>
      <c r="H220" s="49"/>
      <c r="I220" s="49"/>
      <c r="J220" s="49"/>
      <c r="K220" s="49"/>
      <c r="L220" s="49"/>
      <c r="M220" s="49"/>
      <c r="N220" s="49"/>
      <c r="O220" s="48"/>
      <c r="P220" s="48"/>
      <c r="Q220" s="48"/>
      <c r="R220" s="48"/>
      <c r="S220" s="48"/>
      <c r="T220" s="48"/>
      <c r="U220" s="48"/>
      <c r="V220" s="48"/>
      <c r="W220" s="48"/>
      <c r="X220" s="48"/>
      <c r="Y220" s="48"/>
      <c r="Z220" s="48"/>
    </row>
    <row r="221" ht="15.75" customHeight="1">
      <c r="A221" s="49"/>
      <c r="B221" s="49"/>
      <c r="C221" s="49"/>
      <c r="D221" s="49"/>
      <c r="E221" s="49"/>
      <c r="F221" s="49"/>
      <c r="G221" s="49"/>
      <c r="H221" s="49"/>
      <c r="I221" s="49"/>
      <c r="J221" s="49"/>
      <c r="K221" s="49"/>
      <c r="L221" s="49"/>
      <c r="M221" s="49"/>
      <c r="N221" s="49"/>
      <c r="O221" s="48"/>
      <c r="P221" s="48"/>
      <c r="Q221" s="48"/>
      <c r="R221" s="48"/>
      <c r="S221" s="48"/>
      <c r="T221" s="48"/>
      <c r="U221" s="48"/>
      <c r="V221" s="48"/>
      <c r="W221" s="48"/>
      <c r="X221" s="48"/>
      <c r="Y221" s="48"/>
      <c r="Z221" s="48"/>
    </row>
    <row r="222" ht="15.75" customHeight="1">
      <c r="A222" s="49"/>
      <c r="B222" s="49"/>
      <c r="C222" s="49"/>
      <c r="D222" s="49"/>
      <c r="E222" s="49"/>
      <c r="F222" s="49"/>
      <c r="G222" s="49"/>
      <c r="H222" s="49"/>
      <c r="I222" s="49"/>
      <c r="J222" s="49"/>
      <c r="K222" s="49"/>
      <c r="L222" s="49"/>
      <c r="M222" s="49"/>
      <c r="N222" s="49"/>
      <c r="O222" s="48"/>
      <c r="P222" s="48"/>
      <c r="Q222" s="48"/>
      <c r="R222" s="48"/>
      <c r="S222" s="48"/>
      <c r="T222" s="48"/>
      <c r="U222" s="48"/>
      <c r="V222" s="48"/>
      <c r="W222" s="48"/>
      <c r="X222" s="48"/>
      <c r="Y222" s="48"/>
      <c r="Z222" s="48"/>
    </row>
    <row r="223" ht="15.75" customHeight="1">
      <c r="A223" s="49"/>
      <c r="B223" s="49"/>
      <c r="C223" s="49"/>
      <c r="D223" s="49"/>
      <c r="E223" s="49"/>
      <c r="F223" s="49"/>
      <c r="G223" s="49"/>
      <c r="H223" s="49"/>
      <c r="I223" s="49"/>
      <c r="J223" s="49"/>
      <c r="K223" s="49"/>
      <c r="L223" s="49"/>
      <c r="M223" s="49"/>
      <c r="N223" s="49"/>
      <c r="O223" s="48"/>
      <c r="P223" s="48"/>
      <c r="Q223" s="48"/>
      <c r="R223" s="48"/>
      <c r="S223" s="48"/>
      <c r="T223" s="48"/>
      <c r="U223" s="48"/>
      <c r="V223" s="48"/>
      <c r="W223" s="48"/>
      <c r="X223" s="48"/>
      <c r="Y223" s="48"/>
      <c r="Z223" s="48"/>
    </row>
    <row r="224" ht="15.75" customHeight="1">
      <c r="A224" s="49"/>
      <c r="B224" s="49"/>
      <c r="C224" s="49"/>
      <c r="D224" s="49"/>
      <c r="E224" s="49"/>
      <c r="F224" s="49"/>
      <c r="G224" s="49"/>
      <c r="H224" s="49"/>
      <c r="I224" s="49"/>
      <c r="J224" s="49"/>
      <c r="K224" s="49"/>
      <c r="L224" s="49"/>
      <c r="M224" s="49"/>
      <c r="N224" s="49"/>
      <c r="O224" s="48"/>
      <c r="P224" s="48"/>
      <c r="Q224" s="48"/>
      <c r="R224" s="48"/>
      <c r="S224" s="48"/>
      <c r="T224" s="48"/>
      <c r="U224" s="48"/>
      <c r="V224" s="48"/>
      <c r="W224" s="48"/>
      <c r="X224" s="48"/>
      <c r="Y224" s="48"/>
      <c r="Z224" s="48"/>
    </row>
    <row r="225" ht="15.75" customHeight="1">
      <c r="A225" s="49"/>
      <c r="B225" s="49"/>
      <c r="C225" s="49"/>
      <c r="D225" s="49"/>
      <c r="E225" s="49"/>
      <c r="F225" s="49"/>
      <c r="G225" s="49"/>
      <c r="H225" s="49"/>
      <c r="I225" s="49"/>
      <c r="J225" s="49"/>
      <c r="K225" s="49"/>
      <c r="L225" s="49"/>
      <c r="M225" s="49"/>
      <c r="N225" s="49"/>
      <c r="O225" s="48"/>
      <c r="P225" s="48"/>
      <c r="Q225" s="48"/>
      <c r="R225" s="48"/>
      <c r="S225" s="48"/>
      <c r="T225" s="48"/>
      <c r="U225" s="48"/>
      <c r="V225" s="48"/>
      <c r="W225" s="48"/>
      <c r="X225" s="48"/>
      <c r="Y225" s="48"/>
      <c r="Z225" s="48"/>
    </row>
    <row r="226" ht="15.75" customHeight="1">
      <c r="A226" s="49"/>
      <c r="B226" s="49"/>
      <c r="C226" s="49"/>
      <c r="D226" s="49"/>
      <c r="E226" s="49"/>
      <c r="F226" s="49"/>
      <c r="G226" s="49"/>
      <c r="H226" s="49"/>
      <c r="I226" s="49"/>
      <c r="J226" s="49"/>
      <c r="K226" s="49"/>
      <c r="L226" s="49"/>
      <c r="M226" s="49"/>
      <c r="N226" s="49"/>
      <c r="O226" s="48"/>
      <c r="P226" s="48"/>
      <c r="Q226" s="48"/>
      <c r="R226" s="48"/>
      <c r="S226" s="48"/>
      <c r="T226" s="48"/>
      <c r="U226" s="48"/>
      <c r="V226" s="48"/>
      <c r="W226" s="48"/>
      <c r="X226" s="48"/>
      <c r="Y226" s="48"/>
      <c r="Z226" s="48"/>
    </row>
    <row r="227" ht="15.75" customHeight="1">
      <c r="A227" s="49"/>
      <c r="B227" s="49"/>
      <c r="C227" s="49"/>
      <c r="D227" s="49"/>
      <c r="E227" s="49"/>
      <c r="F227" s="49"/>
      <c r="G227" s="49"/>
      <c r="H227" s="49"/>
      <c r="I227" s="49"/>
      <c r="J227" s="49"/>
      <c r="K227" s="49"/>
      <c r="L227" s="49"/>
      <c r="M227" s="49"/>
      <c r="N227" s="49"/>
      <c r="O227" s="48"/>
      <c r="P227" s="48"/>
      <c r="Q227" s="48"/>
      <c r="R227" s="48"/>
      <c r="S227" s="48"/>
      <c r="T227" s="48"/>
      <c r="U227" s="48"/>
      <c r="V227" s="48"/>
      <c r="W227" s="48"/>
      <c r="X227" s="48"/>
      <c r="Y227" s="48"/>
      <c r="Z227" s="48"/>
    </row>
    <row r="228" ht="15.75" customHeight="1">
      <c r="A228" s="49"/>
      <c r="B228" s="49"/>
      <c r="C228" s="49"/>
      <c r="D228" s="49"/>
      <c r="E228" s="49"/>
      <c r="F228" s="49"/>
      <c r="G228" s="49"/>
      <c r="H228" s="49"/>
      <c r="I228" s="49"/>
      <c r="J228" s="49"/>
      <c r="K228" s="49"/>
      <c r="L228" s="49"/>
      <c r="M228" s="49"/>
      <c r="N228" s="49"/>
      <c r="O228" s="48"/>
      <c r="P228" s="48"/>
      <c r="Q228" s="48"/>
      <c r="R228" s="48"/>
      <c r="S228" s="48"/>
      <c r="T228" s="48"/>
      <c r="U228" s="48"/>
      <c r="V228" s="48"/>
      <c r="W228" s="48"/>
      <c r="X228" s="48"/>
      <c r="Y228" s="48"/>
      <c r="Z228" s="48"/>
    </row>
    <row r="229" ht="15.75" customHeight="1">
      <c r="A229" s="49"/>
      <c r="B229" s="49"/>
      <c r="C229" s="49"/>
      <c r="D229" s="49"/>
      <c r="E229" s="49"/>
      <c r="F229" s="49"/>
      <c r="G229" s="49"/>
      <c r="H229" s="49"/>
      <c r="I229" s="49"/>
      <c r="J229" s="49"/>
      <c r="K229" s="49"/>
      <c r="L229" s="49"/>
      <c r="M229" s="49"/>
      <c r="N229" s="49"/>
      <c r="O229" s="48"/>
      <c r="P229" s="48"/>
      <c r="Q229" s="48"/>
      <c r="R229" s="48"/>
      <c r="S229" s="48"/>
      <c r="T229" s="48"/>
      <c r="U229" s="48"/>
      <c r="V229" s="48"/>
      <c r="W229" s="48"/>
      <c r="X229" s="48"/>
      <c r="Y229" s="48"/>
      <c r="Z229" s="48"/>
    </row>
    <row r="230" ht="15.75" customHeight="1">
      <c r="A230" s="49"/>
      <c r="B230" s="49"/>
      <c r="C230" s="49"/>
      <c r="D230" s="49"/>
      <c r="E230" s="49"/>
      <c r="F230" s="49"/>
      <c r="G230" s="49"/>
      <c r="H230" s="49"/>
      <c r="I230" s="49"/>
      <c r="J230" s="49"/>
      <c r="K230" s="49"/>
      <c r="L230" s="49"/>
      <c r="M230" s="49"/>
      <c r="N230" s="49"/>
      <c r="O230" s="48"/>
      <c r="P230" s="48"/>
      <c r="Q230" s="48"/>
      <c r="R230" s="48"/>
      <c r="S230" s="48"/>
      <c r="T230" s="48"/>
      <c r="U230" s="48"/>
      <c r="V230" s="48"/>
      <c r="W230" s="48"/>
      <c r="X230" s="48"/>
      <c r="Y230" s="48"/>
      <c r="Z230" s="48"/>
    </row>
    <row r="231" ht="15.75" customHeight="1">
      <c r="A231" s="49"/>
      <c r="B231" s="49"/>
      <c r="C231" s="49"/>
      <c r="D231" s="49"/>
      <c r="E231" s="49"/>
      <c r="F231" s="49"/>
      <c r="G231" s="49"/>
      <c r="H231" s="49"/>
      <c r="I231" s="49"/>
      <c r="J231" s="49"/>
      <c r="K231" s="49"/>
      <c r="L231" s="49"/>
      <c r="M231" s="49"/>
      <c r="N231" s="49"/>
      <c r="O231" s="48"/>
      <c r="P231" s="48"/>
      <c r="Q231" s="48"/>
      <c r="R231" s="48"/>
      <c r="S231" s="48"/>
      <c r="T231" s="48"/>
      <c r="U231" s="48"/>
      <c r="V231" s="48"/>
      <c r="W231" s="48"/>
      <c r="X231" s="48"/>
      <c r="Y231" s="48"/>
      <c r="Z231" s="48"/>
    </row>
    <row r="232" ht="15.75" customHeight="1">
      <c r="A232" s="49"/>
      <c r="B232" s="49"/>
      <c r="C232" s="49"/>
      <c r="D232" s="49"/>
      <c r="E232" s="49"/>
      <c r="F232" s="49"/>
      <c r="G232" s="49"/>
      <c r="H232" s="49"/>
      <c r="I232" s="49"/>
      <c r="J232" s="49"/>
      <c r="K232" s="49"/>
      <c r="L232" s="49"/>
      <c r="M232" s="49"/>
      <c r="N232" s="49"/>
      <c r="O232" s="48"/>
      <c r="P232" s="48"/>
      <c r="Q232" s="48"/>
      <c r="R232" s="48"/>
      <c r="S232" s="48"/>
      <c r="T232" s="48"/>
      <c r="U232" s="48"/>
      <c r="V232" s="48"/>
      <c r="W232" s="48"/>
      <c r="X232" s="48"/>
      <c r="Y232" s="48"/>
      <c r="Z232" s="48"/>
    </row>
    <row r="233" ht="15.75" customHeight="1">
      <c r="A233" s="49"/>
      <c r="B233" s="49"/>
      <c r="C233" s="49"/>
      <c r="D233" s="49"/>
      <c r="E233" s="49"/>
      <c r="F233" s="49"/>
      <c r="G233" s="49"/>
      <c r="H233" s="49"/>
      <c r="I233" s="49"/>
      <c r="J233" s="49"/>
      <c r="K233" s="49"/>
      <c r="L233" s="49"/>
      <c r="M233" s="49"/>
      <c r="N233" s="49"/>
      <c r="O233" s="48"/>
      <c r="P233" s="48"/>
      <c r="Q233" s="48"/>
      <c r="R233" s="48"/>
      <c r="S233" s="48"/>
      <c r="T233" s="48"/>
      <c r="U233" s="48"/>
      <c r="V233" s="48"/>
      <c r="W233" s="48"/>
      <c r="X233" s="48"/>
      <c r="Y233" s="48"/>
      <c r="Z233" s="48"/>
    </row>
    <row r="234" ht="15.75" customHeight="1">
      <c r="A234" s="49"/>
      <c r="B234" s="49"/>
      <c r="C234" s="49"/>
      <c r="D234" s="49"/>
      <c r="E234" s="49"/>
      <c r="F234" s="49"/>
      <c r="G234" s="49"/>
      <c r="H234" s="49"/>
      <c r="I234" s="49"/>
      <c r="J234" s="49"/>
      <c r="K234" s="49"/>
      <c r="L234" s="49"/>
      <c r="M234" s="49"/>
      <c r="N234" s="49"/>
      <c r="O234" s="48"/>
      <c r="P234" s="48"/>
      <c r="Q234" s="48"/>
      <c r="R234" s="48"/>
      <c r="S234" s="48"/>
      <c r="T234" s="48"/>
      <c r="U234" s="48"/>
      <c r="V234" s="48"/>
      <c r="W234" s="48"/>
      <c r="X234" s="48"/>
      <c r="Y234" s="48"/>
      <c r="Z234" s="48"/>
    </row>
    <row r="235" ht="15.75" customHeight="1">
      <c r="A235" s="49"/>
      <c r="B235" s="49"/>
      <c r="C235" s="49"/>
      <c r="D235" s="49"/>
      <c r="E235" s="49"/>
      <c r="F235" s="49"/>
      <c r="G235" s="49"/>
      <c r="H235" s="49"/>
      <c r="I235" s="49"/>
      <c r="J235" s="49"/>
      <c r="K235" s="49"/>
      <c r="L235" s="49"/>
      <c r="M235" s="49"/>
      <c r="N235" s="49"/>
      <c r="O235" s="48"/>
      <c r="P235" s="48"/>
      <c r="Q235" s="48"/>
      <c r="R235" s="48"/>
      <c r="S235" s="48"/>
      <c r="T235" s="48"/>
      <c r="U235" s="48"/>
      <c r="V235" s="48"/>
      <c r="W235" s="48"/>
      <c r="X235" s="48"/>
      <c r="Y235" s="48"/>
      <c r="Z235" s="48"/>
    </row>
    <row r="236" ht="15.75" customHeight="1">
      <c r="A236" s="49"/>
      <c r="B236" s="49"/>
      <c r="C236" s="49"/>
      <c r="D236" s="49"/>
      <c r="E236" s="49"/>
      <c r="F236" s="49"/>
      <c r="G236" s="49"/>
      <c r="H236" s="49"/>
      <c r="I236" s="49"/>
      <c r="J236" s="49"/>
      <c r="K236" s="49"/>
      <c r="L236" s="49"/>
      <c r="M236" s="49"/>
      <c r="N236" s="49"/>
      <c r="O236" s="48"/>
      <c r="P236" s="48"/>
      <c r="Q236" s="48"/>
      <c r="R236" s="48"/>
      <c r="S236" s="48"/>
      <c r="T236" s="48"/>
      <c r="U236" s="48"/>
      <c r="V236" s="48"/>
      <c r="W236" s="48"/>
      <c r="X236" s="48"/>
      <c r="Y236" s="48"/>
      <c r="Z236" s="48"/>
    </row>
    <row r="237" ht="15.75" customHeight="1">
      <c r="A237" s="49"/>
      <c r="B237" s="49"/>
      <c r="C237" s="49"/>
      <c r="D237" s="49"/>
      <c r="E237" s="49"/>
      <c r="F237" s="49"/>
      <c r="G237" s="49"/>
      <c r="H237" s="49"/>
      <c r="I237" s="49"/>
      <c r="J237" s="49"/>
      <c r="K237" s="49"/>
      <c r="L237" s="49"/>
      <c r="M237" s="49"/>
      <c r="N237" s="49"/>
      <c r="O237" s="48"/>
      <c r="P237" s="48"/>
      <c r="Q237" s="48"/>
      <c r="R237" s="48"/>
      <c r="S237" s="48"/>
      <c r="T237" s="48"/>
      <c r="U237" s="48"/>
      <c r="V237" s="48"/>
      <c r="W237" s="48"/>
      <c r="X237" s="48"/>
      <c r="Y237" s="48"/>
      <c r="Z237" s="48"/>
    </row>
    <row r="238" ht="15.75" customHeight="1">
      <c r="A238" s="49"/>
      <c r="B238" s="49"/>
      <c r="C238" s="49"/>
      <c r="D238" s="49"/>
      <c r="E238" s="49"/>
      <c r="F238" s="49"/>
      <c r="G238" s="49"/>
      <c r="H238" s="49"/>
      <c r="I238" s="49"/>
      <c r="J238" s="49"/>
      <c r="K238" s="49"/>
      <c r="L238" s="49"/>
      <c r="M238" s="49"/>
      <c r="N238" s="49"/>
      <c r="O238" s="48"/>
      <c r="P238" s="48"/>
      <c r="Q238" s="48"/>
      <c r="R238" s="48"/>
      <c r="S238" s="48"/>
      <c r="T238" s="48"/>
      <c r="U238" s="48"/>
      <c r="V238" s="48"/>
      <c r="W238" s="48"/>
      <c r="X238" s="48"/>
      <c r="Y238" s="48"/>
      <c r="Z238" s="48"/>
    </row>
    <row r="239" ht="15.75" customHeight="1">
      <c r="A239" s="49"/>
      <c r="B239" s="49"/>
      <c r="C239" s="49"/>
      <c r="D239" s="49"/>
      <c r="E239" s="49"/>
      <c r="F239" s="49"/>
      <c r="G239" s="49"/>
      <c r="H239" s="49"/>
      <c r="I239" s="49"/>
      <c r="J239" s="49"/>
      <c r="K239" s="49"/>
      <c r="L239" s="49"/>
      <c r="M239" s="49"/>
      <c r="N239" s="49"/>
      <c r="O239" s="48"/>
      <c r="P239" s="48"/>
      <c r="Q239" s="48"/>
      <c r="R239" s="48"/>
      <c r="S239" s="48"/>
      <c r="T239" s="48"/>
      <c r="U239" s="48"/>
      <c r="V239" s="48"/>
      <c r="W239" s="48"/>
      <c r="X239" s="48"/>
      <c r="Y239" s="48"/>
      <c r="Z239" s="48"/>
    </row>
    <row r="240" ht="15.75" customHeight="1">
      <c r="A240" s="49"/>
      <c r="B240" s="49"/>
      <c r="C240" s="49"/>
      <c r="D240" s="49"/>
      <c r="E240" s="49"/>
      <c r="F240" s="49"/>
      <c r="G240" s="49"/>
      <c r="H240" s="49"/>
      <c r="I240" s="49"/>
      <c r="J240" s="49"/>
      <c r="K240" s="49"/>
      <c r="L240" s="49"/>
      <c r="M240" s="49"/>
      <c r="N240" s="49"/>
      <c r="O240" s="48"/>
      <c r="P240" s="48"/>
      <c r="Q240" s="48"/>
      <c r="R240" s="48"/>
      <c r="S240" s="48"/>
      <c r="T240" s="48"/>
      <c r="U240" s="48"/>
      <c r="V240" s="48"/>
      <c r="W240" s="48"/>
      <c r="X240" s="48"/>
      <c r="Y240" s="48"/>
      <c r="Z240" s="48"/>
    </row>
    <row r="241" ht="15.75" customHeight="1">
      <c r="A241" s="49"/>
      <c r="B241" s="49"/>
      <c r="C241" s="49"/>
      <c r="D241" s="49"/>
      <c r="E241" s="49"/>
      <c r="F241" s="49"/>
      <c r="G241" s="49"/>
      <c r="H241" s="49"/>
      <c r="I241" s="49"/>
      <c r="J241" s="49"/>
      <c r="K241" s="49"/>
      <c r="L241" s="49"/>
      <c r="M241" s="49"/>
      <c r="N241" s="49"/>
      <c r="O241" s="48"/>
      <c r="P241" s="48"/>
      <c r="Q241" s="48"/>
      <c r="R241" s="48"/>
      <c r="S241" s="48"/>
      <c r="T241" s="48"/>
      <c r="U241" s="48"/>
      <c r="V241" s="48"/>
      <c r="W241" s="48"/>
      <c r="X241" s="48"/>
      <c r="Y241" s="48"/>
      <c r="Z241" s="48"/>
    </row>
    <row r="242" ht="15.75" customHeight="1">
      <c r="A242" s="49"/>
      <c r="B242" s="49"/>
      <c r="C242" s="49"/>
      <c r="D242" s="49"/>
      <c r="E242" s="49"/>
      <c r="F242" s="49"/>
      <c r="G242" s="49"/>
      <c r="H242" s="49"/>
      <c r="I242" s="49"/>
      <c r="J242" s="49"/>
      <c r="K242" s="49"/>
      <c r="L242" s="49"/>
      <c r="M242" s="49"/>
      <c r="N242" s="49"/>
      <c r="O242" s="48"/>
      <c r="P242" s="48"/>
      <c r="Q242" s="48"/>
      <c r="R242" s="48"/>
      <c r="S242" s="48"/>
      <c r="T242" s="48"/>
      <c r="U242" s="48"/>
      <c r="V242" s="48"/>
      <c r="W242" s="48"/>
      <c r="X242" s="48"/>
      <c r="Y242" s="48"/>
      <c r="Z242" s="48"/>
    </row>
    <row r="243" ht="15.75" customHeight="1">
      <c r="A243" s="49"/>
      <c r="B243" s="49"/>
      <c r="C243" s="49"/>
      <c r="D243" s="49"/>
      <c r="E243" s="49"/>
      <c r="F243" s="49"/>
      <c r="G243" s="49"/>
      <c r="H243" s="49"/>
      <c r="I243" s="49"/>
      <c r="J243" s="49"/>
      <c r="K243" s="49"/>
      <c r="L243" s="49"/>
      <c r="M243" s="49"/>
      <c r="N243" s="49"/>
      <c r="O243" s="48"/>
      <c r="P243" s="48"/>
      <c r="Q243" s="48"/>
      <c r="R243" s="48"/>
      <c r="S243" s="48"/>
      <c r="T243" s="48"/>
      <c r="U243" s="48"/>
      <c r="V243" s="48"/>
      <c r="W243" s="48"/>
      <c r="X243" s="48"/>
      <c r="Y243" s="48"/>
      <c r="Z243" s="48"/>
    </row>
    <row r="244" ht="15.75" customHeight="1">
      <c r="A244" s="49"/>
      <c r="B244" s="49"/>
      <c r="C244" s="49"/>
      <c r="D244" s="49"/>
      <c r="E244" s="49"/>
      <c r="F244" s="49"/>
      <c r="G244" s="49"/>
      <c r="H244" s="49"/>
      <c r="I244" s="49"/>
      <c r="J244" s="49"/>
      <c r="K244" s="49"/>
      <c r="L244" s="49"/>
      <c r="M244" s="49"/>
      <c r="N244" s="49"/>
      <c r="O244" s="48"/>
      <c r="P244" s="48"/>
      <c r="Q244" s="48"/>
      <c r="R244" s="48"/>
      <c r="S244" s="48"/>
      <c r="T244" s="48"/>
      <c r="U244" s="48"/>
      <c r="V244" s="48"/>
      <c r="W244" s="48"/>
      <c r="X244" s="48"/>
      <c r="Y244" s="48"/>
      <c r="Z244" s="48"/>
    </row>
    <row r="245" ht="15.75" customHeight="1">
      <c r="A245" s="49"/>
      <c r="B245" s="49"/>
      <c r="C245" s="49"/>
      <c r="D245" s="49"/>
      <c r="E245" s="49"/>
      <c r="F245" s="49"/>
      <c r="G245" s="49"/>
      <c r="H245" s="49"/>
      <c r="I245" s="49"/>
      <c r="J245" s="49"/>
      <c r="K245" s="49"/>
      <c r="L245" s="49"/>
      <c r="M245" s="49"/>
      <c r="N245" s="49"/>
      <c r="O245" s="48"/>
      <c r="P245" s="48"/>
      <c r="Q245" s="48"/>
      <c r="R245" s="48"/>
      <c r="S245" s="48"/>
      <c r="T245" s="48"/>
      <c r="U245" s="48"/>
      <c r="V245" s="48"/>
      <c r="W245" s="48"/>
      <c r="X245" s="48"/>
      <c r="Y245" s="48"/>
      <c r="Z245" s="48"/>
    </row>
    <row r="246" ht="15.75" customHeight="1">
      <c r="A246" s="49"/>
      <c r="B246" s="49"/>
      <c r="C246" s="49"/>
      <c r="D246" s="49"/>
      <c r="E246" s="49"/>
      <c r="F246" s="49"/>
      <c r="G246" s="49"/>
      <c r="H246" s="49"/>
      <c r="I246" s="49"/>
      <c r="J246" s="49"/>
      <c r="K246" s="49"/>
      <c r="L246" s="49"/>
      <c r="M246" s="49"/>
      <c r="N246" s="49"/>
      <c r="O246" s="48"/>
      <c r="P246" s="48"/>
      <c r="Q246" s="48"/>
      <c r="R246" s="48"/>
      <c r="S246" s="48"/>
      <c r="T246" s="48"/>
      <c r="U246" s="48"/>
      <c r="V246" s="48"/>
      <c r="W246" s="48"/>
      <c r="X246" s="48"/>
      <c r="Y246" s="48"/>
      <c r="Z246" s="48"/>
    </row>
    <row r="247" ht="15.75" customHeight="1">
      <c r="A247" s="49"/>
      <c r="B247" s="49"/>
      <c r="C247" s="49"/>
      <c r="D247" s="49"/>
      <c r="E247" s="49"/>
      <c r="F247" s="49"/>
      <c r="G247" s="49"/>
      <c r="H247" s="49"/>
      <c r="I247" s="49"/>
      <c r="J247" s="49"/>
      <c r="K247" s="49"/>
      <c r="L247" s="49"/>
      <c r="M247" s="49"/>
      <c r="N247" s="49"/>
      <c r="O247" s="48"/>
      <c r="P247" s="48"/>
      <c r="Q247" s="48"/>
      <c r="R247" s="48"/>
      <c r="S247" s="48"/>
      <c r="T247" s="48"/>
      <c r="U247" s="48"/>
      <c r="V247" s="48"/>
      <c r="W247" s="48"/>
      <c r="X247" s="48"/>
      <c r="Y247" s="48"/>
      <c r="Z247" s="48"/>
    </row>
    <row r="248" ht="15.75" customHeight="1">
      <c r="A248" s="49"/>
      <c r="B248" s="49"/>
      <c r="C248" s="49"/>
      <c r="D248" s="49"/>
      <c r="E248" s="49"/>
      <c r="F248" s="49"/>
      <c r="G248" s="49"/>
      <c r="H248" s="49"/>
      <c r="I248" s="49"/>
      <c r="J248" s="49"/>
      <c r="K248" s="49"/>
      <c r="L248" s="49"/>
      <c r="M248" s="49"/>
      <c r="N248" s="49"/>
      <c r="O248" s="48"/>
      <c r="P248" s="48"/>
      <c r="Q248" s="48"/>
      <c r="R248" s="48"/>
      <c r="S248" s="48"/>
      <c r="T248" s="48"/>
      <c r="U248" s="48"/>
      <c r="V248" s="48"/>
      <c r="W248" s="48"/>
      <c r="X248" s="48"/>
      <c r="Y248" s="48"/>
      <c r="Z248" s="48"/>
    </row>
    <row r="249" ht="15.75" customHeight="1">
      <c r="A249" s="49"/>
      <c r="B249" s="49"/>
      <c r="C249" s="49"/>
      <c r="D249" s="49"/>
      <c r="E249" s="49"/>
      <c r="F249" s="49"/>
      <c r="G249" s="49"/>
      <c r="H249" s="49"/>
      <c r="I249" s="49"/>
      <c r="J249" s="49"/>
      <c r="K249" s="49"/>
      <c r="L249" s="49"/>
      <c r="M249" s="49"/>
      <c r="N249" s="49"/>
      <c r="O249" s="48"/>
      <c r="P249" s="48"/>
      <c r="Q249" s="48"/>
      <c r="R249" s="48"/>
      <c r="S249" s="48"/>
      <c r="T249" s="48"/>
      <c r="U249" s="48"/>
      <c r="V249" s="48"/>
      <c r="W249" s="48"/>
      <c r="X249" s="48"/>
      <c r="Y249" s="48"/>
      <c r="Z249" s="48"/>
    </row>
    <row r="250" ht="15.75" customHeight="1">
      <c r="A250" s="49"/>
      <c r="B250" s="49"/>
      <c r="C250" s="49"/>
      <c r="D250" s="49"/>
      <c r="E250" s="49"/>
      <c r="F250" s="49"/>
      <c r="G250" s="49"/>
      <c r="H250" s="49"/>
      <c r="I250" s="49"/>
      <c r="J250" s="49"/>
      <c r="K250" s="49"/>
      <c r="L250" s="49"/>
      <c r="M250" s="49"/>
      <c r="N250" s="49"/>
      <c r="O250" s="48"/>
      <c r="P250" s="48"/>
      <c r="Q250" s="48"/>
      <c r="R250" s="48"/>
      <c r="S250" s="48"/>
      <c r="T250" s="48"/>
      <c r="U250" s="48"/>
      <c r="V250" s="48"/>
      <c r="W250" s="48"/>
      <c r="X250" s="48"/>
      <c r="Y250" s="48"/>
      <c r="Z250" s="48"/>
    </row>
    <row r="251" ht="15.75" customHeight="1">
      <c r="A251" s="49"/>
      <c r="B251" s="49"/>
      <c r="C251" s="49"/>
      <c r="D251" s="49"/>
      <c r="E251" s="49"/>
      <c r="F251" s="49"/>
      <c r="G251" s="49"/>
      <c r="H251" s="49"/>
      <c r="I251" s="49"/>
      <c r="J251" s="49"/>
      <c r="K251" s="49"/>
      <c r="L251" s="49"/>
      <c r="M251" s="49"/>
      <c r="N251" s="49"/>
      <c r="O251" s="48"/>
      <c r="P251" s="48"/>
      <c r="Q251" s="48"/>
      <c r="R251" s="48"/>
      <c r="S251" s="48"/>
      <c r="T251" s="48"/>
      <c r="U251" s="48"/>
      <c r="V251" s="48"/>
      <c r="W251" s="48"/>
      <c r="X251" s="48"/>
      <c r="Y251" s="48"/>
      <c r="Z251" s="48"/>
    </row>
    <row r="252" ht="15.75" customHeight="1">
      <c r="A252" s="49"/>
      <c r="B252" s="49"/>
      <c r="C252" s="49"/>
      <c r="D252" s="49"/>
      <c r="E252" s="49"/>
      <c r="F252" s="49"/>
      <c r="G252" s="49"/>
      <c r="H252" s="49"/>
      <c r="I252" s="49"/>
      <c r="J252" s="49"/>
      <c r="K252" s="49"/>
      <c r="L252" s="49"/>
      <c r="M252" s="49"/>
      <c r="N252" s="49"/>
      <c r="O252" s="48"/>
      <c r="P252" s="48"/>
      <c r="Q252" s="48"/>
      <c r="R252" s="48"/>
      <c r="S252" s="48"/>
      <c r="T252" s="48"/>
      <c r="U252" s="48"/>
      <c r="V252" s="48"/>
      <c r="W252" s="48"/>
      <c r="X252" s="48"/>
      <c r="Y252" s="48"/>
      <c r="Z252" s="48"/>
    </row>
    <row r="253" ht="15.75" customHeight="1">
      <c r="A253" s="49"/>
      <c r="B253" s="49"/>
      <c r="C253" s="49"/>
      <c r="D253" s="49"/>
      <c r="E253" s="49"/>
      <c r="F253" s="49"/>
      <c r="G253" s="49"/>
      <c r="H253" s="49"/>
      <c r="I253" s="49"/>
      <c r="J253" s="49"/>
      <c r="K253" s="49"/>
      <c r="L253" s="49"/>
      <c r="M253" s="49"/>
      <c r="N253" s="49"/>
      <c r="O253" s="48"/>
      <c r="P253" s="48"/>
      <c r="Q253" s="48"/>
      <c r="R253" s="48"/>
      <c r="S253" s="48"/>
      <c r="T253" s="48"/>
      <c r="U253" s="48"/>
      <c r="V253" s="48"/>
      <c r="W253" s="48"/>
      <c r="X253" s="48"/>
      <c r="Y253" s="48"/>
      <c r="Z253" s="48"/>
    </row>
    <row r="254" ht="15.75" customHeight="1">
      <c r="A254" s="49"/>
      <c r="B254" s="49"/>
      <c r="C254" s="49"/>
      <c r="D254" s="49"/>
      <c r="E254" s="49"/>
      <c r="F254" s="49"/>
      <c r="G254" s="49"/>
      <c r="H254" s="49"/>
      <c r="I254" s="49"/>
      <c r="J254" s="49"/>
      <c r="K254" s="49"/>
      <c r="L254" s="49"/>
      <c r="M254" s="49"/>
      <c r="N254" s="49"/>
      <c r="O254" s="48"/>
      <c r="P254" s="48"/>
      <c r="Q254" s="48"/>
      <c r="R254" s="48"/>
      <c r="S254" s="48"/>
      <c r="T254" s="48"/>
      <c r="U254" s="48"/>
      <c r="V254" s="48"/>
      <c r="W254" s="48"/>
      <c r="X254" s="48"/>
      <c r="Y254" s="48"/>
      <c r="Z254" s="48"/>
    </row>
    <row r="255" ht="15.75" customHeight="1">
      <c r="A255" s="49"/>
      <c r="B255" s="49"/>
      <c r="C255" s="49"/>
      <c r="D255" s="49"/>
      <c r="E255" s="49"/>
      <c r="F255" s="49"/>
      <c r="G255" s="49"/>
      <c r="H255" s="49"/>
      <c r="I255" s="49"/>
      <c r="J255" s="49"/>
      <c r="K255" s="49"/>
      <c r="L255" s="49"/>
      <c r="M255" s="49"/>
      <c r="N255" s="49"/>
      <c r="O255" s="48"/>
      <c r="P255" s="48"/>
      <c r="Q255" s="48"/>
      <c r="R255" s="48"/>
      <c r="S255" s="48"/>
      <c r="T255" s="48"/>
      <c r="U255" s="48"/>
      <c r="V255" s="48"/>
      <c r="W255" s="48"/>
      <c r="X255" s="48"/>
      <c r="Y255" s="48"/>
      <c r="Z255" s="48"/>
    </row>
    <row r="256" ht="15.75" customHeight="1">
      <c r="A256" s="49"/>
      <c r="B256" s="49"/>
      <c r="C256" s="49"/>
      <c r="D256" s="49"/>
      <c r="E256" s="49"/>
      <c r="F256" s="49"/>
      <c r="G256" s="49"/>
      <c r="H256" s="49"/>
      <c r="I256" s="49"/>
      <c r="J256" s="49"/>
      <c r="K256" s="49"/>
      <c r="L256" s="49"/>
      <c r="M256" s="49"/>
      <c r="N256" s="49"/>
      <c r="O256" s="48"/>
      <c r="P256" s="48"/>
      <c r="Q256" s="48"/>
      <c r="R256" s="48"/>
      <c r="S256" s="48"/>
      <c r="T256" s="48"/>
      <c r="U256" s="48"/>
      <c r="V256" s="48"/>
      <c r="W256" s="48"/>
      <c r="X256" s="48"/>
      <c r="Y256" s="48"/>
      <c r="Z256" s="48"/>
    </row>
    <row r="257" ht="15.75" customHeight="1">
      <c r="A257" s="49"/>
      <c r="B257" s="49"/>
      <c r="C257" s="49"/>
      <c r="D257" s="49"/>
      <c r="E257" s="49"/>
      <c r="F257" s="49"/>
      <c r="G257" s="49"/>
      <c r="H257" s="49"/>
      <c r="I257" s="49"/>
      <c r="J257" s="49"/>
      <c r="K257" s="49"/>
      <c r="L257" s="49"/>
      <c r="M257" s="49"/>
      <c r="N257" s="49"/>
      <c r="O257" s="48"/>
      <c r="P257" s="48"/>
      <c r="Q257" s="48"/>
      <c r="R257" s="48"/>
      <c r="S257" s="48"/>
      <c r="T257" s="48"/>
      <c r="U257" s="48"/>
      <c r="V257" s="48"/>
      <c r="W257" s="48"/>
      <c r="X257" s="48"/>
      <c r="Y257" s="48"/>
      <c r="Z257" s="48"/>
    </row>
    <row r="258" ht="15.75" customHeight="1">
      <c r="A258" s="49"/>
      <c r="B258" s="49"/>
      <c r="C258" s="49"/>
      <c r="D258" s="49"/>
      <c r="E258" s="49"/>
      <c r="F258" s="49"/>
      <c r="G258" s="49"/>
      <c r="H258" s="49"/>
      <c r="I258" s="49"/>
      <c r="J258" s="49"/>
      <c r="K258" s="49"/>
      <c r="L258" s="49"/>
      <c r="M258" s="49"/>
      <c r="N258" s="49"/>
      <c r="O258" s="48"/>
      <c r="P258" s="48"/>
      <c r="Q258" s="48"/>
      <c r="R258" s="48"/>
      <c r="S258" s="48"/>
      <c r="T258" s="48"/>
      <c r="U258" s="48"/>
      <c r="V258" s="48"/>
      <c r="W258" s="48"/>
      <c r="X258" s="48"/>
      <c r="Y258" s="48"/>
      <c r="Z258" s="48"/>
    </row>
    <row r="259" ht="15.75" customHeight="1">
      <c r="A259" s="49"/>
      <c r="B259" s="49"/>
      <c r="C259" s="49"/>
      <c r="D259" s="49"/>
      <c r="E259" s="49"/>
      <c r="F259" s="49"/>
      <c r="G259" s="49"/>
      <c r="H259" s="49"/>
      <c r="I259" s="49"/>
      <c r="J259" s="49"/>
      <c r="K259" s="49"/>
      <c r="L259" s="49"/>
      <c r="M259" s="49"/>
      <c r="N259" s="49"/>
      <c r="O259" s="48"/>
      <c r="P259" s="48"/>
      <c r="Q259" s="48"/>
      <c r="R259" s="48"/>
      <c r="S259" s="48"/>
      <c r="T259" s="48"/>
      <c r="U259" s="48"/>
      <c r="V259" s="48"/>
      <c r="W259" s="48"/>
      <c r="X259" s="48"/>
      <c r="Y259" s="48"/>
      <c r="Z259" s="48"/>
    </row>
    <row r="260" ht="15.75" customHeight="1">
      <c r="A260" s="49"/>
      <c r="B260" s="49"/>
      <c r="C260" s="49"/>
      <c r="D260" s="49"/>
      <c r="E260" s="49"/>
      <c r="F260" s="49"/>
      <c r="G260" s="49"/>
      <c r="H260" s="49"/>
      <c r="I260" s="49"/>
      <c r="J260" s="49"/>
      <c r="K260" s="49"/>
      <c r="L260" s="49"/>
      <c r="M260" s="49"/>
      <c r="N260" s="49"/>
      <c r="O260" s="48"/>
      <c r="P260" s="48"/>
      <c r="Q260" s="48"/>
      <c r="R260" s="48"/>
      <c r="S260" s="48"/>
      <c r="T260" s="48"/>
      <c r="U260" s="48"/>
      <c r="V260" s="48"/>
      <c r="W260" s="48"/>
      <c r="X260" s="48"/>
      <c r="Y260" s="48"/>
      <c r="Z260" s="48"/>
    </row>
    <row r="261" ht="15.75" customHeight="1">
      <c r="A261" s="49"/>
      <c r="B261" s="49"/>
      <c r="C261" s="49"/>
      <c r="D261" s="49"/>
      <c r="E261" s="49"/>
      <c r="F261" s="49"/>
      <c r="G261" s="49"/>
      <c r="H261" s="49"/>
      <c r="I261" s="49"/>
      <c r="J261" s="49"/>
      <c r="K261" s="49"/>
      <c r="L261" s="49"/>
      <c r="M261" s="49"/>
      <c r="N261" s="49"/>
      <c r="O261" s="48"/>
      <c r="P261" s="48"/>
      <c r="Q261" s="48"/>
      <c r="R261" s="48"/>
      <c r="S261" s="48"/>
      <c r="T261" s="48"/>
      <c r="U261" s="48"/>
      <c r="V261" s="48"/>
      <c r="W261" s="48"/>
      <c r="X261" s="48"/>
      <c r="Y261" s="48"/>
      <c r="Z261" s="48"/>
    </row>
    <row r="262" ht="15.75" customHeight="1">
      <c r="A262" s="49"/>
      <c r="B262" s="49"/>
      <c r="C262" s="49"/>
      <c r="D262" s="49"/>
      <c r="E262" s="49"/>
      <c r="F262" s="49"/>
      <c r="G262" s="49"/>
      <c r="H262" s="49"/>
      <c r="I262" s="49"/>
      <c r="J262" s="49"/>
      <c r="K262" s="49"/>
      <c r="L262" s="49"/>
      <c r="M262" s="49"/>
      <c r="N262" s="49"/>
      <c r="O262" s="48"/>
      <c r="P262" s="48"/>
      <c r="Q262" s="48"/>
      <c r="R262" s="48"/>
      <c r="S262" s="48"/>
      <c r="T262" s="48"/>
      <c r="U262" s="48"/>
      <c r="V262" s="48"/>
      <c r="W262" s="48"/>
      <c r="X262" s="48"/>
      <c r="Y262" s="48"/>
      <c r="Z262" s="48"/>
    </row>
    <row r="263" ht="15.75" customHeight="1">
      <c r="A263" s="49"/>
      <c r="B263" s="49"/>
      <c r="C263" s="49"/>
      <c r="D263" s="49"/>
      <c r="E263" s="49"/>
      <c r="F263" s="49"/>
      <c r="G263" s="49"/>
      <c r="H263" s="49"/>
      <c r="I263" s="49"/>
      <c r="J263" s="49"/>
      <c r="K263" s="49"/>
      <c r="L263" s="49"/>
      <c r="M263" s="49"/>
      <c r="N263" s="49"/>
      <c r="O263" s="48"/>
      <c r="P263" s="48"/>
      <c r="Q263" s="48"/>
      <c r="R263" s="48"/>
      <c r="S263" s="48"/>
      <c r="T263" s="48"/>
      <c r="U263" s="48"/>
      <c r="V263" s="48"/>
      <c r="W263" s="48"/>
      <c r="X263" s="48"/>
      <c r="Y263" s="48"/>
      <c r="Z263" s="48"/>
    </row>
    <row r="264" ht="15.75" customHeight="1">
      <c r="A264" s="49"/>
      <c r="B264" s="49"/>
      <c r="C264" s="49"/>
      <c r="D264" s="49"/>
      <c r="E264" s="49"/>
      <c r="F264" s="49"/>
      <c r="G264" s="49"/>
      <c r="H264" s="49"/>
      <c r="I264" s="49"/>
      <c r="J264" s="49"/>
      <c r="K264" s="49"/>
      <c r="L264" s="49"/>
      <c r="M264" s="49"/>
      <c r="N264" s="49"/>
      <c r="O264" s="48"/>
      <c r="P264" s="48"/>
      <c r="Q264" s="48"/>
      <c r="R264" s="48"/>
      <c r="S264" s="48"/>
      <c r="T264" s="48"/>
      <c r="U264" s="48"/>
      <c r="V264" s="48"/>
      <c r="W264" s="48"/>
      <c r="X264" s="48"/>
      <c r="Y264" s="48"/>
      <c r="Z264" s="48"/>
    </row>
    <row r="265" ht="15.75" customHeight="1">
      <c r="A265" s="49"/>
      <c r="B265" s="49"/>
      <c r="C265" s="49"/>
      <c r="D265" s="49"/>
      <c r="E265" s="49"/>
      <c r="F265" s="49"/>
      <c r="G265" s="49"/>
      <c r="H265" s="49"/>
      <c r="I265" s="49"/>
      <c r="J265" s="49"/>
      <c r="K265" s="49"/>
      <c r="L265" s="49"/>
      <c r="M265" s="49"/>
      <c r="N265" s="49"/>
      <c r="O265" s="48"/>
      <c r="P265" s="48"/>
      <c r="Q265" s="48"/>
      <c r="R265" s="48"/>
      <c r="S265" s="48"/>
      <c r="T265" s="48"/>
      <c r="U265" s="48"/>
      <c r="V265" s="48"/>
      <c r="W265" s="48"/>
      <c r="X265" s="48"/>
      <c r="Y265" s="48"/>
      <c r="Z265" s="48"/>
    </row>
    <row r="266" ht="15.75" customHeight="1">
      <c r="A266" s="49"/>
      <c r="B266" s="49"/>
      <c r="C266" s="49"/>
      <c r="D266" s="49"/>
      <c r="E266" s="49"/>
      <c r="F266" s="49"/>
      <c r="G266" s="49"/>
      <c r="H266" s="49"/>
      <c r="I266" s="49"/>
      <c r="J266" s="49"/>
      <c r="K266" s="49"/>
      <c r="L266" s="49"/>
      <c r="M266" s="49"/>
      <c r="N266" s="49"/>
      <c r="O266" s="48"/>
      <c r="P266" s="48"/>
      <c r="Q266" s="48"/>
      <c r="R266" s="48"/>
      <c r="S266" s="48"/>
      <c r="T266" s="48"/>
      <c r="U266" s="48"/>
      <c r="V266" s="48"/>
      <c r="W266" s="48"/>
      <c r="X266" s="48"/>
      <c r="Y266" s="48"/>
      <c r="Z266" s="48"/>
    </row>
    <row r="267" ht="15.75" customHeight="1">
      <c r="A267" s="49"/>
      <c r="B267" s="49"/>
      <c r="C267" s="49"/>
      <c r="D267" s="49"/>
      <c r="E267" s="49"/>
      <c r="F267" s="49"/>
      <c r="G267" s="49"/>
      <c r="H267" s="49"/>
      <c r="I267" s="49"/>
      <c r="J267" s="49"/>
      <c r="K267" s="49"/>
      <c r="L267" s="49"/>
      <c r="M267" s="49"/>
      <c r="N267" s="49"/>
      <c r="O267" s="48"/>
      <c r="P267" s="48"/>
      <c r="Q267" s="48"/>
      <c r="R267" s="48"/>
      <c r="S267" s="48"/>
      <c r="T267" s="48"/>
      <c r="U267" s="48"/>
      <c r="V267" s="48"/>
      <c r="W267" s="48"/>
      <c r="X267" s="48"/>
      <c r="Y267" s="48"/>
      <c r="Z267" s="48"/>
    </row>
    <row r="268" ht="15.75" customHeight="1">
      <c r="A268" s="49"/>
      <c r="B268" s="49"/>
      <c r="C268" s="49"/>
      <c r="D268" s="49"/>
      <c r="E268" s="49"/>
      <c r="F268" s="49"/>
      <c r="G268" s="49"/>
      <c r="H268" s="49"/>
      <c r="I268" s="49"/>
      <c r="J268" s="49"/>
      <c r="K268" s="49"/>
      <c r="L268" s="49"/>
      <c r="M268" s="49"/>
      <c r="N268" s="49"/>
      <c r="O268" s="48"/>
      <c r="P268" s="48"/>
      <c r="Q268" s="48"/>
      <c r="R268" s="48"/>
      <c r="S268" s="48"/>
      <c r="T268" s="48"/>
      <c r="U268" s="48"/>
      <c r="V268" s="48"/>
      <c r="W268" s="48"/>
      <c r="X268" s="48"/>
      <c r="Y268" s="48"/>
      <c r="Z268" s="48"/>
    </row>
    <row r="269" ht="15.75" customHeight="1">
      <c r="A269" s="49"/>
      <c r="B269" s="49"/>
      <c r="C269" s="49"/>
      <c r="D269" s="49"/>
      <c r="E269" s="49"/>
      <c r="F269" s="49"/>
      <c r="G269" s="49"/>
      <c r="H269" s="49"/>
      <c r="I269" s="49"/>
      <c r="J269" s="49"/>
      <c r="K269" s="49"/>
      <c r="L269" s="49"/>
      <c r="M269" s="49"/>
      <c r="N269" s="49"/>
      <c r="O269" s="48"/>
      <c r="P269" s="48"/>
      <c r="Q269" s="48"/>
      <c r="R269" s="48"/>
      <c r="S269" s="48"/>
      <c r="T269" s="48"/>
      <c r="U269" s="48"/>
      <c r="V269" s="48"/>
      <c r="W269" s="48"/>
      <c r="X269" s="48"/>
      <c r="Y269" s="48"/>
      <c r="Z269" s="48"/>
    </row>
    <row r="270" ht="15.75" customHeight="1">
      <c r="A270" s="49"/>
      <c r="B270" s="49"/>
      <c r="C270" s="49"/>
      <c r="D270" s="49"/>
      <c r="E270" s="49"/>
      <c r="F270" s="49"/>
      <c r="G270" s="49"/>
      <c r="H270" s="49"/>
      <c r="I270" s="49"/>
      <c r="J270" s="49"/>
      <c r="K270" s="49"/>
      <c r="L270" s="49"/>
      <c r="M270" s="49"/>
      <c r="N270" s="49"/>
      <c r="O270" s="48"/>
      <c r="P270" s="48"/>
      <c r="Q270" s="48"/>
      <c r="R270" s="48"/>
      <c r="S270" s="48"/>
      <c r="T270" s="48"/>
      <c r="U270" s="48"/>
      <c r="V270" s="48"/>
      <c r="W270" s="48"/>
      <c r="X270" s="48"/>
      <c r="Y270" s="48"/>
      <c r="Z270" s="48"/>
    </row>
    <row r="271" ht="15.75" customHeight="1">
      <c r="A271" s="49"/>
      <c r="B271" s="49"/>
      <c r="C271" s="49"/>
      <c r="D271" s="49"/>
      <c r="E271" s="49"/>
      <c r="F271" s="49"/>
      <c r="G271" s="49"/>
      <c r="H271" s="49"/>
      <c r="I271" s="49"/>
      <c r="J271" s="49"/>
      <c r="K271" s="49"/>
      <c r="L271" s="49"/>
      <c r="M271" s="49"/>
      <c r="N271" s="49"/>
      <c r="O271" s="48"/>
      <c r="P271" s="48"/>
      <c r="Q271" s="48"/>
      <c r="R271" s="48"/>
      <c r="S271" s="48"/>
      <c r="T271" s="48"/>
      <c r="U271" s="48"/>
      <c r="V271" s="48"/>
      <c r="W271" s="48"/>
      <c r="X271" s="48"/>
      <c r="Y271" s="48"/>
      <c r="Z271" s="48"/>
    </row>
    <row r="272" ht="15.75" customHeight="1">
      <c r="A272" s="49"/>
      <c r="B272" s="49"/>
      <c r="C272" s="49"/>
      <c r="D272" s="49"/>
      <c r="E272" s="49"/>
      <c r="F272" s="49"/>
      <c r="G272" s="49"/>
      <c r="H272" s="49"/>
      <c r="I272" s="49"/>
      <c r="J272" s="49"/>
      <c r="K272" s="49"/>
      <c r="L272" s="49"/>
      <c r="M272" s="49"/>
      <c r="N272" s="49"/>
      <c r="O272" s="48"/>
      <c r="P272" s="48"/>
      <c r="Q272" s="48"/>
      <c r="R272" s="48"/>
      <c r="S272" s="48"/>
      <c r="T272" s="48"/>
      <c r="U272" s="48"/>
      <c r="V272" s="48"/>
      <c r="W272" s="48"/>
      <c r="X272" s="48"/>
      <c r="Y272" s="48"/>
      <c r="Z272" s="48"/>
    </row>
    <row r="273" ht="15.75" customHeight="1">
      <c r="A273" s="49"/>
      <c r="B273" s="49"/>
      <c r="C273" s="49"/>
      <c r="D273" s="49"/>
      <c r="E273" s="49"/>
      <c r="F273" s="49"/>
      <c r="G273" s="49"/>
      <c r="H273" s="49"/>
      <c r="I273" s="49"/>
      <c r="J273" s="49"/>
      <c r="K273" s="49"/>
      <c r="L273" s="49"/>
      <c r="M273" s="49"/>
      <c r="N273" s="49"/>
      <c r="O273" s="48"/>
      <c r="P273" s="48"/>
      <c r="Q273" s="48"/>
      <c r="R273" s="48"/>
      <c r="S273" s="48"/>
      <c r="T273" s="48"/>
      <c r="U273" s="48"/>
      <c r="V273" s="48"/>
      <c r="W273" s="48"/>
      <c r="X273" s="48"/>
      <c r="Y273" s="48"/>
      <c r="Z273" s="48"/>
    </row>
    <row r="274" ht="15.75" customHeight="1">
      <c r="A274" s="49"/>
      <c r="B274" s="49"/>
      <c r="C274" s="49"/>
      <c r="D274" s="49"/>
      <c r="E274" s="49"/>
      <c r="F274" s="49"/>
      <c r="G274" s="49"/>
      <c r="H274" s="49"/>
      <c r="I274" s="49"/>
      <c r="J274" s="49"/>
      <c r="K274" s="49"/>
      <c r="L274" s="49"/>
      <c r="M274" s="49"/>
      <c r="N274" s="49"/>
      <c r="O274" s="48"/>
      <c r="P274" s="48"/>
      <c r="Q274" s="48"/>
      <c r="R274" s="48"/>
      <c r="S274" s="48"/>
      <c r="T274" s="48"/>
      <c r="U274" s="48"/>
      <c r="V274" s="48"/>
      <c r="W274" s="48"/>
      <c r="X274" s="48"/>
      <c r="Y274" s="48"/>
      <c r="Z274" s="48"/>
    </row>
    <row r="275" ht="15.75" customHeight="1">
      <c r="A275" s="49"/>
      <c r="B275" s="49"/>
      <c r="C275" s="49"/>
      <c r="D275" s="49"/>
      <c r="E275" s="49"/>
      <c r="F275" s="49"/>
      <c r="G275" s="49"/>
      <c r="H275" s="49"/>
      <c r="I275" s="49"/>
      <c r="J275" s="49"/>
      <c r="K275" s="49"/>
      <c r="L275" s="49"/>
      <c r="M275" s="49"/>
      <c r="N275" s="49"/>
      <c r="O275" s="48"/>
      <c r="P275" s="48"/>
      <c r="Q275" s="48"/>
      <c r="R275" s="48"/>
      <c r="S275" s="48"/>
      <c r="T275" s="48"/>
      <c r="U275" s="48"/>
      <c r="V275" s="48"/>
      <c r="W275" s="48"/>
      <c r="X275" s="48"/>
      <c r="Y275" s="48"/>
      <c r="Z275" s="48"/>
    </row>
    <row r="276" ht="15.75" customHeight="1">
      <c r="A276" s="49"/>
      <c r="B276" s="49"/>
      <c r="C276" s="49"/>
      <c r="D276" s="49"/>
      <c r="E276" s="49"/>
      <c r="F276" s="49"/>
      <c r="G276" s="49"/>
      <c r="H276" s="49"/>
      <c r="I276" s="49"/>
      <c r="J276" s="49"/>
      <c r="K276" s="49"/>
      <c r="L276" s="49"/>
      <c r="M276" s="49"/>
      <c r="N276" s="49"/>
      <c r="O276" s="48"/>
      <c r="P276" s="48"/>
      <c r="Q276" s="48"/>
      <c r="R276" s="48"/>
      <c r="S276" s="48"/>
      <c r="T276" s="48"/>
      <c r="U276" s="48"/>
      <c r="V276" s="48"/>
      <c r="W276" s="48"/>
      <c r="X276" s="48"/>
      <c r="Y276" s="48"/>
      <c r="Z276" s="48"/>
    </row>
    <row r="277" ht="15.75" customHeight="1">
      <c r="A277" s="49"/>
      <c r="B277" s="49"/>
      <c r="C277" s="49"/>
      <c r="D277" s="49"/>
      <c r="E277" s="49"/>
      <c r="F277" s="49"/>
      <c r="G277" s="49"/>
      <c r="H277" s="49"/>
      <c r="I277" s="49"/>
      <c r="J277" s="49"/>
      <c r="K277" s="49"/>
      <c r="L277" s="49"/>
      <c r="M277" s="49"/>
      <c r="N277" s="49"/>
      <c r="O277" s="48"/>
      <c r="P277" s="48"/>
      <c r="Q277" s="48"/>
      <c r="R277" s="48"/>
      <c r="S277" s="48"/>
      <c r="T277" s="48"/>
      <c r="U277" s="48"/>
      <c r="V277" s="48"/>
      <c r="W277" s="48"/>
      <c r="X277" s="48"/>
      <c r="Y277" s="48"/>
      <c r="Z277" s="48"/>
    </row>
    <row r="278" ht="15.75" customHeight="1">
      <c r="A278" s="49"/>
      <c r="B278" s="49"/>
      <c r="C278" s="49"/>
      <c r="D278" s="49"/>
      <c r="E278" s="49"/>
      <c r="F278" s="49"/>
      <c r="G278" s="49"/>
      <c r="H278" s="49"/>
      <c r="I278" s="49"/>
      <c r="J278" s="49"/>
      <c r="K278" s="49"/>
      <c r="L278" s="49"/>
      <c r="M278" s="49"/>
      <c r="N278" s="49"/>
      <c r="O278" s="48"/>
      <c r="P278" s="48"/>
      <c r="Q278" s="48"/>
      <c r="R278" s="48"/>
      <c r="S278" s="48"/>
      <c r="T278" s="48"/>
      <c r="U278" s="48"/>
      <c r="V278" s="48"/>
      <c r="W278" s="48"/>
      <c r="X278" s="48"/>
      <c r="Y278" s="48"/>
      <c r="Z278" s="48"/>
    </row>
    <row r="279" ht="15.75" customHeight="1">
      <c r="A279" s="49"/>
      <c r="B279" s="49"/>
      <c r="C279" s="49"/>
      <c r="D279" s="49"/>
      <c r="E279" s="49"/>
      <c r="F279" s="49"/>
      <c r="G279" s="49"/>
      <c r="H279" s="49"/>
      <c r="I279" s="49"/>
      <c r="J279" s="49"/>
      <c r="K279" s="49"/>
      <c r="L279" s="49"/>
      <c r="M279" s="49"/>
      <c r="N279" s="49"/>
      <c r="O279" s="48"/>
      <c r="P279" s="48"/>
      <c r="Q279" s="48"/>
      <c r="R279" s="48"/>
      <c r="S279" s="48"/>
      <c r="T279" s="48"/>
      <c r="U279" s="48"/>
      <c r="V279" s="48"/>
      <c r="W279" s="48"/>
      <c r="X279" s="48"/>
      <c r="Y279" s="48"/>
      <c r="Z279" s="48"/>
    </row>
    <row r="280" ht="15.75" customHeight="1">
      <c r="A280" s="49"/>
      <c r="B280" s="49"/>
      <c r="C280" s="49"/>
      <c r="D280" s="49"/>
      <c r="E280" s="49"/>
      <c r="F280" s="49"/>
      <c r="G280" s="49"/>
      <c r="H280" s="49"/>
      <c r="I280" s="49"/>
      <c r="J280" s="49"/>
      <c r="K280" s="49"/>
      <c r="L280" s="49"/>
      <c r="M280" s="49"/>
      <c r="N280" s="49"/>
      <c r="O280" s="48"/>
      <c r="P280" s="48"/>
      <c r="Q280" s="48"/>
      <c r="R280" s="48"/>
      <c r="S280" s="48"/>
      <c r="T280" s="48"/>
      <c r="U280" s="48"/>
      <c r="V280" s="48"/>
      <c r="W280" s="48"/>
      <c r="X280" s="48"/>
      <c r="Y280" s="48"/>
      <c r="Z280" s="48"/>
    </row>
    <row r="281" ht="15.75" customHeight="1">
      <c r="A281" s="49"/>
      <c r="B281" s="49"/>
      <c r="C281" s="49"/>
      <c r="D281" s="49"/>
      <c r="E281" s="49"/>
      <c r="F281" s="49"/>
      <c r="G281" s="49"/>
      <c r="H281" s="49"/>
      <c r="I281" s="49"/>
      <c r="J281" s="49"/>
      <c r="K281" s="49"/>
      <c r="L281" s="49"/>
      <c r="M281" s="49"/>
      <c r="N281" s="49"/>
      <c r="O281" s="48"/>
      <c r="P281" s="48"/>
      <c r="Q281" s="48"/>
      <c r="R281" s="48"/>
      <c r="S281" s="48"/>
      <c r="T281" s="48"/>
      <c r="U281" s="48"/>
      <c r="V281" s="48"/>
      <c r="W281" s="48"/>
      <c r="X281" s="48"/>
      <c r="Y281" s="48"/>
      <c r="Z281" s="48"/>
    </row>
    <row r="282" ht="15.75" customHeight="1">
      <c r="A282" s="49"/>
      <c r="B282" s="49"/>
      <c r="C282" s="49"/>
      <c r="D282" s="49"/>
      <c r="E282" s="49"/>
      <c r="F282" s="49"/>
      <c r="G282" s="49"/>
      <c r="H282" s="49"/>
      <c r="I282" s="49"/>
      <c r="J282" s="49"/>
      <c r="K282" s="49"/>
      <c r="L282" s="49"/>
      <c r="M282" s="49"/>
      <c r="N282" s="49"/>
      <c r="O282" s="48"/>
      <c r="P282" s="48"/>
      <c r="Q282" s="48"/>
      <c r="R282" s="48"/>
      <c r="S282" s="48"/>
      <c r="T282" s="48"/>
      <c r="U282" s="48"/>
      <c r="V282" s="48"/>
      <c r="W282" s="48"/>
      <c r="X282" s="48"/>
      <c r="Y282" s="48"/>
      <c r="Z282" s="48"/>
    </row>
    <row r="283" ht="15.75" customHeight="1">
      <c r="A283" s="49"/>
      <c r="B283" s="49"/>
      <c r="C283" s="49"/>
      <c r="D283" s="49"/>
      <c r="E283" s="49"/>
      <c r="F283" s="49"/>
      <c r="G283" s="49"/>
      <c r="H283" s="49"/>
      <c r="I283" s="49"/>
      <c r="J283" s="49"/>
      <c r="K283" s="49"/>
      <c r="L283" s="49"/>
      <c r="M283" s="49"/>
      <c r="N283" s="49"/>
      <c r="O283" s="48"/>
      <c r="P283" s="48"/>
      <c r="Q283" s="48"/>
      <c r="R283" s="48"/>
      <c r="S283" s="48"/>
      <c r="T283" s="48"/>
      <c r="U283" s="48"/>
      <c r="V283" s="48"/>
      <c r="W283" s="48"/>
      <c r="X283" s="48"/>
      <c r="Y283" s="48"/>
      <c r="Z283" s="48"/>
    </row>
    <row r="284" ht="15.75" customHeight="1">
      <c r="A284" s="49"/>
      <c r="B284" s="49"/>
      <c r="C284" s="49"/>
      <c r="D284" s="49"/>
      <c r="E284" s="49"/>
      <c r="F284" s="49"/>
      <c r="G284" s="49"/>
      <c r="H284" s="49"/>
      <c r="I284" s="49"/>
      <c r="J284" s="49"/>
      <c r="K284" s="49"/>
      <c r="L284" s="49"/>
      <c r="M284" s="49"/>
      <c r="N284" s="49"/>
      <c r="O284" s="48"/>
      <c r="P284" s="48"/>
      <c r="Q284" s="48"/>
      <c r="R284" s="48"/>
      <c r="S284" s="48"/>
      <c r="T284" s="48"/>
      <c r="U284" s="48"/>
      <c r="V284" s="48"/>
      <c r="W284" s="48"/>
      <c r="X284" s="48"/>
      <c r="Y284" s="48"/>
      <c r="Z284" s="48"/>
    </row>
    <row r="285" ht="15.75" customHeight="1">
      <c r="A285" s="49"/>
      <c r="B285" s="49"/>
      <c r="C285" s="49"/>
      <c r="D285" s="49"/>
      <c r="E285" s="49"/>
      <c r="F285" s="49"/>
      <c r="G285" s="49"/>
      <c r="H285" s="49"/>
      <c r="I285" s="49"/>
      <c r="J285" s="49"/>
      <c r="K285" s="49"/>
      <c r="L285" s="49"/>
      <c r="M285" s="49"/>
      <c r="N285" s="49"/>
      <c r="O285" s="48"/>
      <c r="P285" s="48"/>
      <c r="Q285" s="48"/>
      <c r="R285" s="48"/>
      <c r="S285" s="48"/>
      <c r="T285" s="48"/>
      <c r="U285" s="48"/>
      <c r="V285" s="48"/>
      <c r="W285" s="48"/>
      <c r="X285" s="48"/>
      <c r="Y285" s="48"/>
      <c r="Z285" s="48"/>
    </row>
    <row r="286" ht="15.75" customHeight="1">
      <c r="A286" s="49"/>
      <c r="B286" s="49"/>
      <c r="C286" s="49"/>
      <c r="D286" s="49"/>
      <c r="E286" s="49"/>
      <c r="F286" s="49"/>
      <c r="G286" s="49"/>
      <c r="H286" s="49"/>
      <c r="I286" s="49"/>
      <c r="J286" s="49"/>
      <c r="K286" s="49"/>
      <c r="L286" s="49"/>
      <c r="M286" s="49"/>
      <c r="N286" s="49"/>
      <c r="O286" s="48"/>
      <c r="P286" s="48"/>
      <c r="Q286" s="48"/>
      <c r="R286" s="48"/>
      <c r="S286" s="48"/>
      <c r="T286" s="48"/>
      <c r="U286" s="48"/>
      <c r="V286" s="48"/>
      <c r="W286" s="48"/>
      <c r="X286" s="48"/>
      <c r="Y286" s="48"/>
      <c r="Z286" s="48"/>
    </row>
    <row r="287" ht="15.75" customHeight="1">
      <c r="A287" s="49"/>
      <c r="B287" s="49"/>
      <c r="C287" s="49"/>
      <c r="D287" s="49"/>
      <c r="E287" s="49"/>
      <c r="F287" s="49"/>
      <c r="G287" s="49"/>
      <c r="H287" s="49"/>
      <c r="I287" s="49"/>
      <c r="J287" s="49"/>
      <c r="K287" s="49"/>
      <c r="L287" s="49"/>
      <c r="M287" s="49"/>
      <c r="N287" s="49"/>
      <c r="O287" s="48"/>
      <c r="P287" s="48"/>
      <c r="Q287" s="48"/>
      <c r="R287" s="48"/>
      <c r="S287" s="48"/>
      <c r="T287" s="48"/>
      <c r="U287" s="48"/>
      <c r="V287" s="48"/>
      <c r="W287" s="48"/>
      <c r="X287" s="48"/>
      <c r="Y287" s="48"/>
      <c r="Z287" s="48"/>
    </row>
    <row r="288" ht="15.75" customHeight="1">
      <c r="A288" s="49"/>
      <c r="B288" s="49"/>
      <c r="C288" s="49"/>
      <c r="D288" s="49"/>
      <c r="E288" s="49"/>
      <c r="F288" s="49"/>
      <c r="G288" s="49"/>
      <c r="H288" s="49"/>
      <c r="I288" s="49"/>
      <c r="J288" s="49"/>
      <c r="K288" s="49"/>
      <c r="L288" s="49"/>
      <c r="M288" s="49"/>
      <c r="N288" s="49"/>
      <c r="O288" s="48"/>
      <c r="P288" s="48"/>
      <c r="Q288" s="48"/>
      <c r="R288" s="48"/>
      <c r="S288" s="48"/>
      <c r="T288" s="48"/>
      <c r="U288" s="48"/>
      <c r="V288" s="48"/>
      <c r="W288" s="48"/>
      <c r="X288" s="48"/>
      <c r="Y288" s="48"/>
      <c r="Z288" s="48"/>
    </row>
    <row r="289" ht="15.75" customHeight="1">
      <c r="A289" s="49"/>
      <c r="B289" s="49"/>
      <c r="C289" s="49"/>
      <c r="D289" s="49"/>
      <c r="E289" s="49"/>
      <c r="F289" s="49"/>
      <c r="G289" s="49"/>
      <c r="H289" s="49"/>
      <c r="I289" s="49"/>
      <c r="J289" s="49"/>
      <c r="K289" s="49"/>
      <c r="L289" s="49"/>
      <c r="M289" s="49"/>
      <c r="N289" s="49"/>
      <c r="O289" s="48"/>
      <c r="P289" s="48"/>
      <c r="Q289" s="48"/>
      <c r="R289" s="48"/>
      <c r="S289" s="48"/>
      <c r="T289" s="48"/>
      <c r="U289" s="48"/>
      <c r="V289" s="48"/>
      <c r="W289" s="48"/>
      <c r="X289" s="48"/>
      <c r="Y289" s="48"/>
      <c r="Z289" s="48"/>
    </row>
    <row r="290" ht="15.75" customHeight="1">
      <c r="A290" s="49"/>
      <c r="B290" s="49"/>
      <c r="C290" s="49"/>
      <c r="D290" s="49"/>
      <c r="E290" s="49"/>
      <c r="F290" s="49"/>
      <c r="G290" s="49"/>
      <c r="H290" s="49"/>
      <c r="I290" s="49"/>
      <c r="J290" s="49"/>
      <c r="K290" s="49"/>
      <c r="L290" s="49"/>
      <c r="M290" s="49"/>
      <c r="N290" s="49"/>
      <c r="O290" s="48"/>
      <c r="P290" s="48"/>
      <c r="Q290" s="48"/>
      <c r="R290" s="48"/>
      <c r="S290" s="48"/>
      <c r="T290" s="48"/>
      <c r="U290" s="48"/>
      <c r="V290" s="48"/>
      <c r="W290" s="48"/>
      <c r="X290" s="48"/>
      <c r="Y290" s="48"/>
      <c r="Z290" s="48"/>
    </row>
    <row r="291" ht="15.75" customHeight="1">
      <c r="A291" s="49"/>
      <c r="B291" s="49"/>
      <c r="C291" s="49"/>
      <c r="D291" s="49"/>
      <c r="E291" s="49"/>
      <c r="F291" s="49"/>
      <c r="G291" s="49"/>
      <c r="H291" s="49"/>
      <c r="I291" s="49"/>
      <c r="J291" s="49"/>
      <c r="K291" s="49"/>
      <c r="L291" s="49"/>
      <c r="M291" s="49"/>
      <c r="N291" s="49"/>
      <c r="O291" s="48"/>
      <c r="P291" s="48"/>
      <c r="Q291" s="48"/>
      <c r="R291" s="48"/>
      <c r="S291" s="48"/>
      <c r="T291" s="48"/>
      <c r="U291" s="48"/>
      <c r="V291" s="48"/>
      <c r="W291" s="48"/>
      <c r="X291" s="48"/>
      <c r="Y291" s="48"/>
      <c r="Z291" s="48"/>
    </row>
    <row r="292" ht="15.75" customHeight="1">
      <c r="A292" s="49"/>
      <c r="B292" s="49"/>
      <c r="C292" s="49"/>
      <c r="D292" s="49"/>
      <c r="E292" s="49"/>
      <c r="F292" s="49"/>
      <c r="G292" s="49"/>
      <c r="H292" s="49"/>
      <c r="I292" s="49"/>
      <c r="J292" s="49"/>
      <c r="K292" s="49"/>
      <c r="L292" s="49"/>
      <c r="M292" s="49"/>
      <c r="N292" s="49"/>
      <c r="O292" s="48"/>
      <c r="P292" s="48"/>
      <c r="Q292" s="48"/>
      <c r="R292" s="48"/>
      <c r="S292" s="48"/>
      <c r="T292" s="48"/>
      <c r="U292" s="48"/>
      <c r="V292" s="48"/>
      <c r="W292" s="48"/>
      <c r="X292" s="48"/>
      <c r="Y292" s="48"/>
      <c r="Z292" s="48"/>
    </row>
    <row r="293" ht="15.75" customHeight="1">
      <c r="A293" s="49"/>
      <c r="B293" s="49"/>
      <c r="C293" s="49"/>
      <c r="D293" s="49"/>
      <c r="E293" s="49"/>
      <c r="F293" s="49"/>
      <c r="G293" s="49"/>
      <c r="H293" s="49"/>
      <c r="I293" s="49"/>
      <c r="J293" s="49"/>
      <c r="K293" s="49"/>
      <c r="L293" s="49"/>
      <c r="M293" s="49"/>
      <c r="N293" s="49"/>
      <c r="O293" s="48"/>
      <c r="P293" s="48"/>
      <c r="Q293" s="48"/>
      <c r="R293" s="48"/>
      <c r="S293" s="48"/>
      <c r="T293" s="48"/>
      <c r="U293" s="48"/>
      <c r="V293" s="48"/>
      <c r="W293" s="48"/>
      <c r="X293" s="48"/>
      <c r="Y293" s="48"/>
      <c r="Z293" s="48"/>
    </row>
    <row r="294" ht="15.75" customHeight="1">
      <c r="A294" s="49"/>
      <c r="B294" s="49"/>
      <c r="C294" s="49"/>
      <c r="D294" s="49"/>
      <c r="E294" s="49"/>
      <c r="F294" s="49"/>
      <c r="G294" s="49"/>
      <c r="H294" s="49"/>
      <c r="I294" s="49"/>
      <c r="J294" s="49"/>
      <c r="K294" s="49"/>
      <c r="L294" s="49"/>
      <c r="M294" s="49"/>
      <c r="N294" s="49"/>
      <c r="O294" s="48"/>
      <c r="P294" s="48"/>
      <c r="Q294" s="48"/>
      <c r="R294" s="48"/>
      <c r="S294" s="48"/>
      <c r="T294" s="48"/>
      <c r="U294" s="48"/>
      <c r="V294" s="48"/>
      <c r="W294" s="48"/>
      <c r="X294" s="48"/>
      <c r="Y294" s="48"/>
      <c r="Z294" s="48"/>
    </row>
    <row r="295" ht="15.75" customHeight="1">
      <c r="A295" s="49"/>
      <c r="B295" s="49"/>
      <c r="C295" s="49"/>
      <c r="D295" s="49"/>
      <c r="E295" s="49"/>
      <c r="F295" s="49"/>
      <c r="G295" s="49"/>
      <c r="H295" s="49"/>
      <c r="I295" s="49"/>
      <c r="J295" s="49"/>
      <c r="K295" s="49"/>
      <c r="L295" s="49"/>
      <c r="M295" s="49"/>
      <c r="N295" s="49"/>
      <c r="O295" s="48"/>
      <c r="P295" s="48"/>
      <c r="Q295" s="48"/>
      <c r="R295" s="48"/>
      <c r="S295" s="48"/>
      <c r="T295" s="48"/>
      <c r="U295" s="48"/>
      <c r="V295" s="48"/>
      <c r="W295" s="48"/>
      <c r="X295" s="48"/>
      <c r="Y295" s="48"/>
      <c r="Z295" s="48"/>
    </row>
    <row r="296" ht="15.75" customHeight="1">
      <c r="A296" s="49"/>
      <c r="B296" s="49"/>
      <c r="C296" s="49"/>
      <c r="D296" s="49"/>
      <c r="E296" s="49"/>
      <c r="F296" s="49"/>
      <c r="G296" s="49"/>
      <c r="H296" s="49"/>
      <c r="I296" s="49"/>
      <c r="J296" s="49"/>
      <c r="K296" s="49"/>
      <c r="L296" s="49"/>
      <c r="M296" s="49"/>
      <c r="N296" s="49"/>
      <c r="O296" s="48"/>
      <c r="P296" s="48"/>
      <c r="Q296" s="48"/>
      <c r="R296" s="48"/>
      <c r="S296" s="48"/>
      <c r="T296" s="48"/>
      <c r="U296" s="48"/>
      <c r="V296" s="48"/>
      <c r="W296" s="48"/>
      <c r="X296" s="48"/>
      <c r="Y296" s="48"/>
      <c r="Z296" s="48"/>
    </row>
    <row r="297" ht="15.75" customHeight="1">
      <c r="A297" s="49"/>
      <c r="B297" s="49"/>
      <c r="C297" s="49"/>
      <c r="D297" s="49"/>
      <c r="E297" s="49"/>
      <c r="F297" s="49"/>
      <c r="G297" s="49"/>
      <c r="H297" s="49"/>
      <c r="I297" s="49"/>
      <c r="J297" s="49"/>
      <c r="K297" s="49"/>
      <c r="L297" s="49"/>
      <c r="M297" s="49"/>
      <c r="N297" s="49"/>
      <c r="O297" s="48"/>
      <c r="P297" s="48"/>
      <c r="Q297" s="48"/>
      <c r="R297" s="48"/>
      <c r="S297" s="48"/>
      <c r="T297" s="48"/>
      <c r="U297" s="48"/>
      <c r="V297" s="48"/>
      <c r="W297" s="48"/>
      <c r="X297" s="48"/>
      <c r="Y297" s="48"/>
      <c r="Z297" s="48"/>
    </row>
    <row r="298" ht="15.75" customHeight="1">
      <c r="A298" s="49"/>
      <c r="B298" s="49"/>
      <c r="C298" s="49"/>
      <c r="D298" s="49"/>
      <c r="E298" s="49"/>
      <c r="F298" s="49"/>
      <c r="G298" s="49"/>
      <c r="H298" s="49"/>
      <c r="I298" s="49"/>
      <c r="J298" s="49"/>
      <c r="K298" s="49"/>
      <c r="L298" s="49"/>
      <c r="M298" s="49"/>
      <c r="N298" s="49"/>
      <c r="O298" s="48"/>
      <c r="P298" s="48"/>
      <c r="Q298" s="48"/>
      <c r="R298" s="48"/>
      <c r="S298" s="48"/>
      <c r="T298" s="48"/>
      <c r="U298" s="48"/>
      <c r="V298" s="48"/>
      <c r="W298" s="48"/>
      <c r="X298" s="48"/>
      <c r="Y298" s="48"/>
      <c r="Z298" s="48"/>
    </row>
    <row r="299" ht="15.75" customHeight="1">
      <c r="A299" s="49"/>
      <c r="B299" s="49"/>
      <c r="C299" s="49"/>
      <c r="D299" s="49"/>
      <c r="E299" s="49"/>
      <c r="F299" s="49"/>
      <c r="G299" s="49"/>
      <c r="H299" s="49"/>
      <c r="I299" s="49"/>
      <c r="J299" s="49"/>
      <c r="K299" s="49"/>
      <c r="L299" s="49"/>
      <c r="M299" s="49"/>
      <c r="N299" s="49"/>
      <c r="O299" s="48"/>
      <c r="P299" s="48"/>
      <c r="Q299" s="48"/>
      <c r="R299" s="48"/>
      <c r="S299" s="48"/>
      <c r="T299" s="48"/>
      <c r="U299" s="48"/>
      <c r="V299" s="48"/>
      <c r="W299" s="48"/>
      <c r="X299" s="48"/>
      <c r="Y299" s="48"/>
      <c r="Z299" s="48"/>
    </row>
    <row r="300" ht="15.75" customHeight="1">
      <c r="A300" s="49"/>
      <c r="B300" s="49"/>
      <c r="C300" s="49"/>
      <c r="D300" s="49"/>
      <c r="E300" s="49"/>
      <c r="F300" s="49"/>
      <c r="G300" s="49"/>
      <c r="H300" s="49"/>
      <c r="I300" s="49"/>
      <c r="J300" s="49"/>
      <c r="K300" s="49"/>
      <c r="L300" s="49"/>
      <c r="M300" s="49"/>
      <c r="N300" s="49"/>
      <c r="O300" s="48"/>
      <c r="P300" s="48"/>
      <c r="Q300" s="48"/>
      <c r="R300" s="48"/>
      <c r="S300" s="48"/>
      <c r="T300" s="48"/>
      <c r="U300" s="48"/>
      <c r="V300" s="48"/>
      <c r="W300" s="48"/>
      <c r="X300" s="48"/>
      <c r="Y300" s="48"/>
      <c r="Z300" s="48"/>
    </row>
    <row r="301" ht="15.75" customHeight="1">
      <c r="A301" s="49"/>
      <c r="B301" s="49"/>
      <c r="C301" s="49"/>
      <c r="D301" s="49"/>
      <c r="E301" s="49"/>
      <c r="F301" s="49"/>
      <c r="G301" s="49"/>
      <c r="H301" s="49"/>
      <c r="I301" s="49"/>
      <c r="J301" s="49"/>
      <c r="K301" s="49"/>
      <c r="L301" s="49"/>
      <c r="M301" s="49"/>
      <c r="N301" s="49"/>
      <c r="O301" s="48"/>
      <c r="P301" s="48"/>
      <c r="Q301" s="48"/>
      <c r="R301" s="48"/>
      <c r="S301" s="48"/>
      <c r="T301" s="48"/>
      <c r="U301" s="48"/>
      <c r="V301" s="48"/>
      <c r="W301" s="48"/>
      <c r="X301" s="48"/>
      <c r="Y301" s="48"/>
      <c r="Z301" s="48"/>
    </row>
    <row r="302" ht="15.75" customHeight="1">
      <c r="A302" s="49"/>
      <c r="B302" s="49"/>
      <c r="C302" s="49"/>
      <c r="D302" s="49"/>
      <c r="E302" s="49"/>
      <c r="F302" s="49"/>
      <c r="G302" s="49"/>
      <c r="H302" s="49"/>
      <c r="I302" s="49"/>
      <c r="J302" s="49"/>
      <c r="K302" s="49"/>
      <c r="L302" s="49"/>
      <c r="M302" s="49"/>
      <c r="N302" s="49"/>
      <c r="O302" s="48"/>
      <c r="P302" s="48"/>
      <c r="Q302" s="48"/>
      <c r="R302" s="48"/>
      <c r="S302" s="48"/>
      <c r="T302" s="48"/>
      <c r="U302" s="48"/>
      <c r="V302" s="48"/>
      <c r="W302" s="48"/>
      <c r="X302" s="48"/>
      <c r="Y302" s="48"/>
      <c r="Z302" s="48"/>
    </row>
    <row r="303" ht="15.75" customHeight="1">
      <c r="A303" s="49"/>
      <c r="B303" s="49"/>
      <c r="C303" s="49"/>
      <c r="D303" s="49"/>
      <c r="E303" s="49"/>
      <c r="F303" s="49"/>
      <c r="G303" s="49"/>
      <c r="H303" s="49"/>
      <c r="I303" s="49"/>
      <c r="J303" s="49"/>
      <c r="K303" s="49"/>
      <c r="L303" s="49"/>
      <c r="M303" s="49"/>
      <c r="N303" s="49"/>
      <c r="O303" s="48"/>
      <c r="P303" s="48"/>
      <c r="Q303" s="48"/>
      <c r="R303" s="48"/>
      <c r="S303" s="48"/>
      <c r="T303" s="48"/>
      <c r="U303" s="48"/>
      <c r="V303" s="48"/>
      <c r="W303" s="48"/>
      <c r="X303" s="48"/>
      <c r="Y303" s="48"/>
      <c r="Z303" s="48"/>
    </row>
    <row r="304" ht="15.75" customHeight="1">
      <c r="A304" s="49"/>
      <c r="B304" s="49"/>
      <c r="C304" s="49"/>
      <c r="D304" s="49"/>
      <c r="E304" s="49"/>
      <c r="F304" s="49"/>
      <c r="G304" s="49"/>
      <c r="H304" s="49"/>
      <c r="I304" s="49"/>
      <c r="J304" s="49"/>
      <c r="K304" s="49"/>
      <c r="L304" s="49"/>
      <c r="M304" s="49"/>
      <c r="N304" s="49"/>
      <c r="O304" s="48"/>
      <c r="P304" s="48"/>
      <c r="Q304" s="48"/>
      <c r="R304" s="48"/>
      <c r="S304" s="48"/>
      <c r="T304" s="48"/>
      <c r="U304" s="48"/>
      <c r="V304" s="48"/>
      <c r="W304" s="48"/>
      <c r="X304" s="48"/>
      <c r="Y304" s="48"/>
      <c r="Z304" s="48"/>
    </row>
    <row r="305" ht="15.75" customHeight="1">
      <c r="A305" s="49"/>
      <c r="B305" s="49"/>
      <c r="C305" s="49"/>
      <c r="D305" s="49"/>
      <c r="E305" s="49"/>
      <c r="F305" s="49"/>
      <c r="G305" s="49"/>
      <c r="H305" s="49"/>
      <c r="I305" s="49"/>
      <c r="J305" s="49"/>
      <c r="K305" s="49"/>
      <c r="L305" s="49"/>
      <c r="M305" s="49"/>
      <c r="N305" s="49"/>
      <c r="O305" s="48"/>
      <c r="P305" s="48"/>
      <c r="Q305" s="48"/>
      <c r="R305" s="48"/>
      <c r="S305" s="48"/>
      <c r="T305" s="48"/>
      <c r="U305" s="48"/>
      <c r="V305" s="48"/>
      <c r="W305" s="48"/>
      <c r="X305" s="48"/>
      <c r="Y305" s="48"/>
      <c r="Z305" s="48"/>
    </row>
    <row r="306" ht="15.75" customHeight="1">
      <c r="A306" s="49"/>
      <c r="B306" s="49"/>
      <c r="C306" s="49"/>
      <c r="D306" s="49"/>
      <c r="E306" s="49"/>
      <c r="F306" s="49"/>
      <c r="G306" s="49"/>
      <c r="H306" s="49"/>
      <c r="I306" s="49"/>
      <c r="J306" s="49"/>
      <c r="K306" s="49"/>
      <c r="L306" s="49"/>
      <c r="M306" s="49"/>
      <c r="N306" s="49"/>
      <c r="O306" s="48"/>
      <c r="P306" s="48"/>
      <c r="Q306" s="48"/>
      <c r="R306" s="48"/>
      <c r="S306" s="48"/>
      <c r="T306" s="48"/>
      <c r="U306" s="48"/>
      <c r="V306" s="48"/>
      <c r="W306" s="48"/>
      <c r="X306" s="48"/>
      <c r="Y306" s="48"/>
      <c r="Z306" s="48"/>
    </row>
    <row r="307" ht="15.75" customHeight="1">
      <c r="A307" s="49"/>
      <c r="B307" s="49"/>
      <c r="C307" s="49"/>
      <c r="D307" s="49"/>
      <c r="E307" s="49"/>
      <c r="F307" s="49"/>
      <c r="G307" s="49"/>
      <c r="H307" s="49"/>
      <c r="I307" s="49"/>
      <c r="J307" s="49"/>
      <c r="K307" s="49"/>
      <c r="L307" s="49"/>
      <c r="M307" s="49"/>
      <c r="N307" s="49"/>
      <c r="O307" s="48"/>
      <c r="P307" s="48"/>
      <c r="Q307" s="48"/>
      <c r="R307" s="48"/>
      <c r="S307" s="48"/>
      <c r="T307" s="48"/>
      <c r="U307" s="48"/>
      <c r="V307" s="48"/>
      <c r="W307" s="48"/>
      <c r="X307" s="48"/>
      <c r="Y307" s="48"/>
      <c r="Z307" s="48"/>
    </row>
    <row r="308" ht="15.75" customHeight="1">
      <c r="A308" s="49"/>
      <c r="B308" s="49"/>
      <c r="C308" s="49"/>
      <c r="D308" s="49"/>
      <c r="E308" s="49"/>
      <c r="F308" s="49"/>
      <c r="G308" s="49"/>
      <c r="H308" s="49"/>
      <c r="I308" s="49"/>
      <c r="J308" s="49"/>
      <c r="K308" s="49"/>
      <c r="L308" s="49"/>
      <c r="M308" s="49"/>
      <c r="N308" s="49"/>
      <c r="O308" s="48"/>
      <c r="P308" s="48"/>
      <c r="Q308" s="48"/>
      <c r="R308" s="48"/>
      <c r="S308" s="48"/>
      <c r="T308" s="48"/>
      <c r="U308" s="48"/>
      <c r="V308" s="48"/>
      <c r="W308" s="48"/>
      <c r="X308" s="48"/>
      <c r="Y308" s="48"/>
      <c r="Z308" s="48"/>
    </row>
    <row r="309" ht="15.75" customHeight="1">
      <c r="A309" s="49"/>
      <c r="B309" s="49"/>
      <c r="C309" s="49"/>
      <c r="D309" s="49"/>
      <c r="E309" s="49"/>
      <c r="F309" s="49"/>
      <c r="G309" s="49"/>
      <c r="H309" s="49"/>
      <c r="I309" s="49"/>
      <c r="J309" s="49"/>
      <c r="K309" s="49"/>
      <c r="L309" s="49"/>
      <c r="M309" s="49"/>
      <c r="N309" s="49"/>
      <c r="O309" s="48"/>
      <c r="P309" s="48"/>
      <c r="Q309" s="48"/>
      <c r="R309" s="48"/>
      <c r="S309" s="48"/>
      <c r="T309" s="48"/>
      <c r="U309" s="48"/>
      <c r="V309" s="48"/>
      <c r="W309" s="48"/>
      <c r="X309" s="48"/>
      <c r="Y309" s="48"/>
      <c r="Z309" s="48"/>
    </row>
    <row r="310" ht="15.75" customHeight="1">
      <c r="A310" s="49"/>
      <c r="B310" s="49"/>
      <c r="C310" s="49"/>
      <c r="D310" s="49"/>
      <c r="E310" s="49"/>
      <c r="F310" s="49"/>
      <c r="G310" s="49"/>
      <c r="H310" s="49"/>
      <c r="I310" s="49"/>
      <c r="J310" s="49"/>
      <c r="K310" s="49"/>
      <c r="L310" s="49"/>
      <c r="M310" s="49"/>
      <c r="N310" s="49"/>
      <c r="O310" s="48"/>
      <c r="P310" s="48"/>
      <c r="Q310" s="48"/>
      <c r="R310" s="48"/>
      <c r="S310" s="48"/>
      <c r="T310" s="48"/>
      <c r="U310" s="48"/>
      <c r="V310" s="48"/>
      <c r="W310" s="48"/>
      <c r="X310" s="48"/>
      <c r="Y310" s="48"/>
      <c r="Z310" s="48"/>
    </row>
    <row r="311" ht="15.75" customHeight="1">
      <c r="A311" s="49"/>
      <c r="B311" s="49"/>
      <c r="C311" s="49"/>
      <c r="D311" s="49"/>
      <c r="E311" s="49"/>
      <c r="F311" s="49"/>
      <c r="G311" s="49"/>
      <c r="H311" s="49"/>
      <c r="I311" s="49"/>
      <c r="J311" s="49"/>
      <c r="K311" s="49"/>
      <c r="L311" s="49"/>
      <c r="M311" s="49"/>
      <c r="N311" s="49"/>
      <c r="O311" s="48"/>
      <c r="P311" s="48"/>
      <c r="Q311" s="48"/>
      <c r="R311" s="48"/>
      <c r="S311" s="48"/>
      <c r="T311" s="48"/>
      <c r="U311" s="48"/>
      <c r="V311" s="48"/>
      <c r="W311" s="48"/>
      <c r="X311" s="48"/>
      <c r="Y311" s="48"/>
      <c r="Z311" s="48"/>
    </row>
    <row r="312" ht="15.75" customHeight="1">
      <c r="A312" s="49"/>
      <c r="B312" s="49"/>
      <c r="C312" s="49"/>
      <c r="D312" s="49"/>
      <c r="E312" s="49"/>
      <c r="F312" s="49"/>
      <c r="G312" s="49"/>
      <c r="H312" s="49"/>
      <c r="I312" s="49"/>
      <c r="J312" s="49"/>
      <c r="K312" s="49"/>
      <c r="L312" s="49"/>
      <c r="M312" s="49"/>
      <c r="N312" s="49"/>
      <c r="O312" s="48"/>
      <c r="P312" s="48"/>
      <c r="Q312" s="48"/>
      <c r="R312" s="48"/>
      <c r="S312" s="48"/>
      <c r="T312" s="48"/>
      <c r="U312" s="48"/>
      <c r="V312" s="48"/>
      <c r="W312" s="48"/>
      <c r="X312" s="48"/>
      <c r="Y312" s="48"/>
      <c r="Z312" s="48"/>
    </row>
    <row r="313" ht="15.75" customHeight="1">
      <c r="A313" s="49"/>
      <c r="B313" s="49"/>
      <c r="C313" s="49"/>
      <c r="D313" s="49"/>
      <c r="E313" s="49"/>
      <c r="F313" s="49"/>
      <c r="G313" s="49"/>
      <c r="H313" s="49"/>
      <c r="I313" s="49"/>
      <c r="J313" s="49"/>
      <c r="K313" s="49"/>
      <c r="L313" s="49"/>
      <c r="M313" s="49"/>
      <c r="N313" s="49"/>
      <c r="O313" s="48"/>
      <c r="P313" s="48"/>
      <c r="Q313" s="48"/>
      <c r="R313" s="48"/>
      <c r="S313" s="48"/>
      <c r="T313" s="48"/>
      <c r="U313" s="48"/>
      <c r="V313" s="48"/>
      <c r="W313" s="48"/>
      <c r="X313" s="48"/>
      <c r="Y313" s="48"/>
      <c r="Z313" s="48"/>
    </row>
    <row r="314" ht="15.75" customHeight="1">
      <c r="A314" s="49"/>
      <c r="B314" s="49"/>
      <c r="C314" s="49"/>
      <c r="D314" s="49"/>
      <c r="E314" s="49"/>
      <c r="F314" s="49"/>
      <c r="G314" s="49"/>
      <c r="H314" s="49"/>
      <c r="I314" s="49"/>
      <c r="J314" s="49"/>
      <c r="K314" s="49"/>
      <c r="L314" s="49"/>
      <c r="M314" s="49"/>
      <c r="N314" s="49"/>
      <c r="O314" s="48"/>
      <c r="P314" s="48"/>
      <c r="Q314" s="48"/>
      <c r="R314" s="48"/>
      <c r="S314" s="48"/>
      <c r="T314" s="48"/>
      <c r="U314" s="48"/>
      <c r="V314" s="48"/>
      <c r="W314" s="48"/>
      <c r="X314" s="48"/>
      <c r="Y314" s="48"/>
      <c r="Z314" s="48"/>
    </row>
    <row r="315" ht="15.75" customHeight="1">
      <c r="A315" s="49"/>
      <c r="B315" s="49"/>
      <c r="C315" s="49"/>
      <c r="D315" s="49"/>
      <c r="E315" s="49"/>
      <c r="F315" s="49"/>
      <c r="G315" s="49"/>
      <c r="H315" s="49"/>
      <c r="I315" s="49"/>
      <c r="J315" s="49"/>
      <c r="K315" s="49"/>
      <c r="L315" s="49"/>
      <c r="M315" s="49"/>
      <c r="N315" s="49"/>
      <c r="O315" s="48"/>
      <c r="P315" s="48"/>
      <c r="Q315" s="48"/>
      <c r="R315" s="48"/>
      <c r="S315" s="48"/>
      <c r="T315" s="48"/>
      <c r="U315" s="48"/>
      <c r="V315" s="48"/>
      <c r="W315" s="48"/>
      <c r="X315" s="48"/>
      <c r="Y315" s="48"/>
      <c r="Z315" s="48"/>
    </row>
    <row r="316" ht="15.75" customHeight="1">
      <c r="A316" s="49"/>
      <c r="B316" s="49"/>
      <c r="C316" s="49"/>
      <c r="D316" s="49"/>
      <c r="E316" s="49"/>
      <c r="F316" s="49"/>
      <c r="G316" s="49"/>
      <c r="H316" s="49"/>
      <c r="I316" s="49"/>
      <c r="J316" s="49"/>
      <c r="K316" s="49"/>
      <c r="L316" s="49"/>
      <c r="M316" s="49"/>
      <c r="N316" s="49"/>
      <c r="O316" s="48"/>
      <c r="P316" s="48"/>
      <c r="Q316" s="48"/>
      <c r="R316" s="48"/>
      <c r="S316" s="48"/>
      <c r="T316" s="48"/>
      <c r="U316" s="48"/>
      <c r="V316" s="48"/>
      <c r="W316" s="48"/>
      <c r="X316" s="48"/>
      <c r="Y316" s="48"/>
      <c r="Z316" s="48"/>
    </row>
    <row r="317" ht="15.75" customHeight="1">
      <c r="A317" s="49"/>
      <c r="B317" s="49"/>
      <c r="C317" s="49"/>
      <c r="D317" s="49"/>
      <c r="E317" s="49"/>
      <c r="F317" s="49"/>
      <c r="G317" s="49"/>
      <c r="H317" s="49"/>
      <c r="I317" s="49"/>
      <c r="J317" s="49"/>
      <c r="K317" s="49"/>
      <c r="L317" s="49"/>
      <c r="M317" s="49"/>
      <c r="N317" s="49"/>
      <c r="O317" s="48"/>
      <c r="P317" s="48"/>
      <c r="Q317" s="48"/>
      <c r="R317" s="48"/>
      <c r="S317" s="48"/>
      <c r="T317" s="48"/>
      <c r="U317" s="48"/>
      <c r="V317" s="48"/>
      <c r="W317" s="48"/>
      <c r="X317" s="48"/>
      <c r="Y317" s="48"/>
      <c r="Z317" s="48"/>
    </row>
    <row r="318" ht="15.75" customHeight="1">
      <c r="A318" s="49"/>
      <c r="B318" s="49"/>
      <c r="C318" s="49"/>
      <c r="D318" s="49"/>
      <c r="E318" s="49"/>
      <c r="F318" s="49"/>
      <c r="G318" s="49"/>
      <c r="H318" s="49"/>
      <c r="I318" s="49"/>
      <c r="J318" s="49"/>
      <c r="K318" s="49"/>
      <c r="L318" s="49"/>
      <c r="M318" s="49"/>
      <c r="N318" s="49"/>
      <c r="O318" s="48"/>
      <c r="P318" s="48"/>
      <c r="Q318" s="48"/>
      <c r="R318" s="48"/>
      <c r="S318" s="48"/>
      <c r="T318" s="48"/>
      <c r="U318" s="48"/>
      <c r="V318" s="48"/>
      <c r="W318" s="48"/>
      <c r="X318" s="48"/>
      <c r="Y318" s="48"/>
      <c r="Z318" s="48"/>
    </row>
    <row r="319" ht="15.75" customHeight="1">
      <c r="A319" s="49"/>
      <c r="B319" s="49"/>
      <c r="C319" s="49"/>
      <c r="D319" s="49"/>
      <c r="E319" s="49"/>
      <c r="F319" s="49"/>
      <c r="G319" s="49"/>
      <c r="H319" s="49"/>
      <c r="I319" s="49"/>
      <c r="J319" s="49"/>
      <c r="K319" s="49"/>
      <c r="L319" s="49"/>
      <c r="M319" s="49"/>
      <c r="N319" s="49"/>
      <c r="O319" s="48"/>
      <c r="P319" s="48"/>
      <c r="Q319" s="48"/>
      <c r="R319" s="48"/>
      <c r="S319" s="48"/>
      <c r="T319" s="48"/>
      <c r="U319" s="48"/>
      <c r="V319" s="48"/>
      <c r="W319" s="48"/>
      <c r="X319" s="48"/>
      <c r="Y319" s="48"/>
      <c r="Z319" s="48"/>
    </row>
    <row r="320" ht="15.75" customHeight="1">
      <c r="A320" s="49"/>
      <c r="B320" s="49"/>
      <c r="C320" s="49"/>
      <c r="D320" s="49"/>
      <c r="E320" s="49"/>
      <c r="F320" s="49"/>
      <c r="G320" s="49"/>
      <c r="H320" s="49"/>
      <c r="I320" s="49"/>
      <c r="J320" s="49"/>
      <c r="K320" s="49"/>
      <c r="L320" s="49"/>
      <c r="M320" s="49"/>
      <c r="N320" s="49"/>
      <c r="O320" s="48"/>
      <c r="P320" s="48"/>
      <c r="Q320" s="48"/>
      <c r="R320" s="48"/>
      <c r="S320" s="48"/>
      <c r="T320" s="48"/>
      <c r="U320" s="48"/>
      <c r="V320" s="48"/>
      <c r="W320" s="48"/>
      <c r="X320" s="48"/>
      <c r="Y320" s="48"/>
      <c r="Z320" s="48"/>
    </row>
    <row r="321" ht="15.75" customHeight="1">
      <c r="A321" s="49"/>
      <c r="B321" s="49"/>
      <c r="C321" s="49"/>
      <c r="D321" s="49"/>
      <c r="E321" s="49"/>
      <c r="F321" s="49"/>
      <c r="G321" s="49"/>
      <c r="H321" s="49"/>
      <c r="I321" s="49"/>
      <c r="J321" s="49"/>
      <c r="K321" s="49"/>
      <c r="L321" s="49"/>
      <c r="M321" s="49"/>
      <c r="N321" s="49"/>
      <c r="O321" s="48"/>
      <c r="P321" s="48"/>
      <c r="Q321" s="48"/>
      <c r="R321" s="48"/>
      <c r="S321" s="48"/>
      <c r="T321" s="48"/>
      <c r="U321" s="48"/>
      <c r="V321" s="48"/>
      <c r="W321" s="48"/>
      <c r="X321" s="48"/>
      <c r="Y321" s="48"/>
      <c r="Z321" s="48"/>
    </row>
    <row r="322" ht="15.75" customHeight="1">
      <c r="A322" s="49"/>
      <c r="B322" s="49"/>
      <c r="C322" s="49"/>
      <c r="D322" s="49"/>
      <c r="E322" s="49"/>
      <c r="F322" s="49"/>
      <c r="G322" s="49"/>
      <c r="H322" s="49"/>
      <c r="I322" s="49"/>
      <c r="J322" s="49"/>
      <c r="K322" s="49"/>
      <c r="L322" s="49"/>
      <c r="M322" s="49"/>
      <c r="N322" s="49"/>
      <c r="O322" s="48"/>
      <c r="P322" s="48"/>
      <c r="Q322" s="48"/>
      <c r="R322" s="48"/>
      <c r="S322" s="48"/>
      <c r="T322" s="48"/>
      <c r="U322" s="48"/>
      <c r="V322" s="48"/>
      <c r="W322" s="48"/>
      <c r="X322" s="48"/>
      <c r="Y322" s="48"/>
      <c r="Z322" s="48"/>
    </row>
    <row r="323" ht="15.75" customHeight="1">
      <c r="A323" s="49"/>
      <c r="B323" s="49"/>
      <c r="C323" s="49"/>
      <c r="D323" s="49"/>
      <c r="E323" s="49"/>
      <c r="F323" s="49"/>
      <c r="G323" s="49"/>
      <c r="H323" s="49"/>
      <c r="I323" s="49"/>
      <c r="J323" s="49"/>
      <c r="K323" s="49"/>
      <c r="L323" s="49"/>
      <c r="M323" s="49"/>
      <c r="N323" s="49"/>
      <c r="O323" s="48"/>
      <c r="P323" s="48"/>
      <c r="Q323" s="48"/>
      <c r="R323" s="48"/>
      <c r="S323" s="48"/>
      <c r="T323" s="48"/>
      <c r="U323" s="48"/>
      <c r="V323" s="48"/>
      <c r="W323" s="48"/>
      <c r="X323" s="48"/>
      <c r="Y323" s="48"/>
      <c r="Z323" s="48"/>
    </row>
    <row r="324" ht="15.75" customHeight="1">
      <c r="A324" s="49"/>
      <c r="B324" s="49"/>
      <c r="C324" s="49"/>
      <c r="D324" s="49"/>
      <c r="E324" s="49"/>
      <c r="F324" s="49"/>
      <c r="G324" s="49"/>
      <c r="H324" s="49"/>
      <c r="I324" s="49"/>
      <c r="J324" s="49"/>
      <c r="K324" s="49"/>
      <c r="L324" s="49"/>
      <c r="M324" s="49"/>
      <c r="N324" s="49"/>
      <c r="O324" s="48"/>
      <c r="P324" s="48"/>
      <c r="Q324" s="48"/>
      <c r="R324" s="48"/>
      <c r="S324" s="48"/>
      <c r="T324" s="48"/>
      <c r="U324" s="48"/>
      <c r="V324" s="48"/>
      <c r="W324" s="48"/>
      <c r="X324" s="48"/>
      <c r="Y324" s="48"/>
      <c r="Z324" s="48"/>
    </row>
    <row r="325" ht="15.75" customHeight="1">
      <c r="A325" s="49"/>
      <c r="B325" s="49"/>
      <c r="C325" s="49"/>
      <c r="D325" s="49"/>
      <c r="E325" s="49"/>
      <c r="F325" s="49"/>
      <c r="G325" s="49"/>
      <c r="H325" s="49"/>
      <c r="I325" s="49"/>
      <c r="J325" s="49"/>
      <c r="K325" s="49"/>
      <c r="L325" s="49"/>
      <c r="M325" s="49"/>
      <c r="N325" s="49"/>
      <c r="O325" s="48"/>
      <c r="P325" s="48"/>
      <c r="Q325" s="48"/>
      <c r="R325" s="48"/>
      <c r="S325" s="48"/>
      <c r="T325" s="48"/>
      <c r="U325" s="48"/>
      <c r="V325" s="48"/>
      <c r="W325" s="48"/>
      <c r="X325" s="48"/>
      <c r="Y325" s="48"/>
      <c r="Z325" s="48"/>
    </row>
    <row r="326" ht="15.75" customHeight="1">
      <c r="A326" s="49"/>
      <c r="B326" s="49"/>
      <c r="C326" s="49"/>
      <c r="D326" s="49"/>
      <c r="E326" s="49"/>
      <c r="F326" s="49"/>
      <c r="G326" s="49"/>
      <c r="H326" s="49"/>
      <c r="I326" s="49"/>
      <c r="J326" s="49"/>
      <c r="K326" s="49"/>
      <c r="L326" s="49"/>
      <c r="M326" s="49"/>
      <c r="N326" s="49"/>
      <c r="O326" s="48"/>
      <c r="P326" s="48"/>
      <c r="Q326" s="48"/>
      <c r="R326" s="48"/>
      <c r="S326" s="48"/>
      <c r="T326" s="48"/>
      <c r="U326" s="48"/>
      <c r="V326" s="48"/>
      <c r="W326" s="48"/>
      <c r="X326" s="48"/>
      <c r="Y326" s="48"/>
      <c r="Z326" s="48"/>
    </row>
    <row r="327" ht="15.75" customHeight="1">
      <c r="A327" s="49"/>
      <c r="B327" s="49"/>
      <c r="C327" s="49"/>
      <c r="D327" s="49"/>
      <c r="E327" s="49"/>
      <c r="F327" s="49"/>
      <c r="G327" s="49"/>
      <c r="H327" s="49"/>
      <c r="I327" s="49"/>
      <c r="J327" s="49"/>
      <c r="K327" s="49"/>
      <c r="L327" s="49"/>
      <c r="M327" s="49"/>
      <c r="N327" s="49"/>
      <c r="O327" s="48"/>
      <c r="P327" s="48"/>
      <c r="Q327" s="48"/>
      <c r="R327" s="48"/>
      <c r="S327" s="48"/>
      <c r="T327" s="48"/>
      <c r="U327" s="48"/>
      <c r="V327" s="48"/>
      <c r="W327" s="48"/>
      <c r="X327" s="48"/>
      <c r="Y327" s="48"/>
      <c r="Z327" s="48"/>
    </row>
    <row r="328" ht="15.75" customHeight="1">
      <c r="A328" s="49"/>
      <c r="B328" s="49"/>
      <c r="C328" s="49"/>
      <c r="D328" s="49"/>
      <c r="E328" s="49"/>
      <c r="F328" s="49"/>
      <c r="G328" s="49"/>
      <c r="H328" s="49"/>
      <c r="I328" s="49"/>
      <c r="J328" s="49"/>
      <c r="K328" s="49"/>
      <c r="L328" s="49"/>
      <c r="M328" s="49"/>
      <c r="N328" s="49"/>
      <c r="O328" s="48"/>
      <c r="P328" s="48"/>
      <c r="Q328" s="48"/>
      <c r="R328" s="48"/>
      <c r="S328" s="48"/>
      <c r="T328" s="48"/>
      <c r="U328" s="48"/>
      <c r="V328" s="48"/>
      <c r="W328" s="48"/>
      <c r="X328" s="48"/>
      <c r="Y328" s="48"/>
      <c r="Z328" s="48"/>
    </row>
    <row r="329" ht="15.75" customHeight="1">
      <c r="A329" s="49"/>
      <c r="B329" s="49"/>
      <c r="C329" s="49"/>
      <c r="D329" s="49"/>
      <c r="E329" s="49"/>
      <c r="F329" s="49"/>
      <c r="G329" s="49"/>
      <c r="H329" s="49"/>
      <c r="I329" s="49"/>
      <c r="J329" s="49"/>
      <c r="K329" s="49"/>
      <c r="L329" s="49"/>
      <c r="M329" s="49"/>
      <c r="N329" s="49"/>
      <c r="O329" s="48"/>
      <c r="P329" s="48"/>
      <c r="Q329" s="48"/>
      <c r="R329" s="48"/>
      <c r="S329" s="48"/>
      <c r="T329" s="48"/>
      <c r="U329" s="48"/>
      <c r="V329" s="48"/>
      <c r="W329" s="48"/>
      <c r="X329" s="48"/>
      <c r="Y329" s="48"/>
      <c r="Z329" s="48"/>
    </row>
    <row r="330" ht="15.75" customHeight="1">
      <c r="A330" s="49"/>
      <c r="B330" s="49"/>
      <c r="C330" s="49"/>
      <c r="D330" s="49"/>
      <c r="E330" s="49"/>
      <c r="F330" s="49"/>
      <c r="G330" s="49"/>
      <c r="H330" s="49"/>
      <c r="I330" s="49"/>
      <c r="J330" s="49"/>
      <c r="K330" s="49"/>
      <c r="L330" s="49"/>
      <c r="M330" s="49"/>
      <c r="N330" s="49"/>
      <c r="O330" s="48"/>
      <c r="P330" s="48"/>
      <c r="Q330" s="48"/>
      <c r="R330" s="48"/>
      <c r="S330" s="48"/>
      <c r="T330" s="48"/>
      <c r="U330" s="48"/>
      <c r="V330" s="48"/>
      <c r="W330" s="48"/>
      <c r="X330" s="48"/>
      <c r="Y330" s="48"/>
      <c r="Z330" s="48"/>
    </row>
    <row r="331" ht="15.75" customHeight="1">
      <c r="A331" s="49"/>
      <c r="B331" s="49"/>
      <c r="C331" s="49"/>
      <c r="D331" s="49"/>
      <c r="E331" s="49"/>
      <c r="F331" s="49"/>
      <c r="G331" s="49"/>
      <c r="H331" s="49"/>
      <c r="I331" s="49"/>
      <c r="J331" s="49"/>
      <c r="K331" s="49"/>
      <c r="L331" s="49"/>
      <c r="M331" s="49"/>
      <c r="N331" s="49"/>
      <c r="O331" s="48"/>
      <c r="P331" s="48"/>
      <c r="Q331" s="48"/>
      <c r="R331" s="48"/>
      <c r="S331" s="48"/>
      <c r="T331" s="48"/>
      <c r="U331" s="48"/>
      <c r="V331" s="48"/>
      <c r="W331" s="48"/>
      <c r="X331" s="48"/>
      <c r="Y331" s="48"/>
      <c r="Z331" s="48"/>
    </row>
    <row r="332" ht="15.75" customHeight="1">
      <c r="A332" s="49"/>
      <c r="B332" s="49"/>
      <c r="C332" s="49"/>
      <c r="D332" s="49"/>
      <c r="E332" s="49"/>
      <c r="F332" s="49"/>
      <c r="G332" s="49"/>
      <c r="H332" s="49"/>
      <c r="I332" s="49"/>
      <c r="J332" s="49"/>
      <c r="K332" s="49"/>
      <c r="L332" s="49"/>
      <c r="M332" s="49"/>
      <c r="N332" s="49"/>
      <c r="O332" s="48"/>
      <c r="P332" s="48"/>
      <c r="Q332" s="48"/>
      <c r="R332" s="48"/>
      <c r="S332" s="48"/>
      <c r="T332" s="48"/>
      <c r="U332" s="48"/>
      <c r="V332" s="48"/>
      <c r="W332" s="48"/>
      <c r="X332" s="48"/>
      <c r="Y332" s="48"/>
      <c r="Z332" s="48"/>
    </row>
    <row r="333" ht="15.75" customHeight="1">
      <c r="A333" s="49"/>
      <c r="B333" s="49"/>
      <c r="C333" s="49"/>
      <c r="D333" s="49"/>
      <c r="E333" s="49"/>
      <c r="F333" s="49"/>
      <c r="G333" s="49"/>
      <c r="H333" s="49"/>
      <c r="I333" s="49"/>
      <c r="J333" s="49"/>
      <c r="K333" s="49"/>
      <c r="L333" s="49"/>
      <c r="M333" s="49"/>
      <c r="N333" s="49"/>
      <c r="O333" s="48"/>
      <c r="P333" s="48"/>
      <c r="Q333" s="48"/>
      <c r="R333" s="48"/>
      <c r="S333" s="48"/>
      <c r="T333" s="48"/>
      <c r="U333" s="48"/>
      <c r="V333" s="48"/>
      <c r="W333" s="48"/>
      <c r="X333" s="48"/>
      <c r="Y333" s="48"/>
      <c r="Z333" s="48"/>
    </row>
    <row r="334" ht="15.75" customHeight="1">
      <c r="A334" s="49"/>
      <c r="B334" s="49"/>
      <c r="C334" s="49"/>
      <c r="D334" s="49"/>
      <c r="E334" s="49"/>
      <c r="F334" s="49"/>
      <c r="G334" s="49"/>
      <c r="H334" s="49"/>
      <c r="I334" s="49"/>
      <c r="J334" s="49"/>
      <c r="K334" s="49"/>
      <c r="L334" s="49"/>
      <c r="M334" s="49"/>
      <c r="N334" s="49"/>
      <c r="O334" s="48"/>
      <c r="P334" s="48"/>
      <c r="Q334" s="48"/>
      <c r="R334" s="48"/>
      <c r="S334" s="48"/>
      <c r="T334" s="48"/>
      <c r="U334" s="48"/>
      <c r="V334" s="48"/>
      <c r="W334" s="48"/>
      <c r="X334" s="48"/>
      <c r="Y334" s="48"/>
      <c r="Z334" s="48"/>
    </row>
    <row r="335" ht="15.75" customHeight="1">
      <c r="A335" s="49"/>
      <c r="B335" s="49"/>
      <c r="C335" s="49"/>
      <c r="D335" s="49"/>
      <c r="E335" s="49"/>
      <c r="F335" s="49"/>
      <c r="G335" s="49"/>
      <c r="H335" s="49"/>
      <c r="I335" s="49"/>
      <c r="J335" s="49"/>
      <c r="K335" s="49"/>
      <c r="L335" s="49"/>
      <c r="M335" s="49"/>
      <c r="N335" s="49"/>
      <c r="O335" s="48"/>
      <c r="P335" s="48"/>
      <c r="Q335" s="48"/>
      <c r="R335" s="48"/>
      <c r="S335" s="48"/>
      <c r="T335" s="48"/>
      <c r="U335" s="48"/>
      <c r="V335" s="48"/>
      <c r="W335" s="48"/>
      <c r="X335" s="48"/>
      <c r="Y335" s="48"/>
      <c r="Z335" s="48"/>
    </row>
    <row r="336" ht="15.75" customHeight="1">
      <c r="A336" s="49"/>
      <c r="B336" s="49"/>
      <c r="C336" s="49"/>
      <c r="D336" s="49"/>
      <c r="E336" s="49"/>
      <c r="F336" s="49"/>
      <c r="G336" s="49"/>
      <c r="H336" s="49"/>
      <c r="I336" s="49"/>
      <c r="J336" s="49"/>
      <c r="K336" s="49"/>
      <c r="L336" s="49"/>
      <c r="M336" s="49"/>
      <c r="N336" s="49"/>
      <c r="O336" s="48"/>
      <c r="P336" s="48"/>
      <c r="Q336" s="48"/>
      <c r="R336" s="48"/>
      <c r="S336" s="48"/>
      <c r="T336" s="48"/>
      <c r="U336" s="48"/>
      <c r="V336" s="48"/>
      <c r="W336" s="48"/>
      <c r="X336" s="48"/>
      <c r="Y336" s="48"/>
      <c r="Z336" s="48"/>
    </row>
    <row r="337" ht="15.75" customHeight="1">
      <c r="A337" s="49"/>
      <c r="B337" s="49"/>
      <c r="C337" s="49"/>
      <c r="D337" s="49"/>
      <c r="E337" s="49"/>
      <c r="F337" s="49"/>
      <c r="G337" s="49"/>
      <c r="H337" s="49"/>
      <c r="I337" s="49"/>
      <c r="J337" s="49"/>
      <c r="K337" s="49"/>
      <c r="L337" s="49"/>
      <c r="M337" s="49"/>
      <c r="N337" s="49"/>
      <c r="O337" s="48"/>
      <c r="P337" s="48"/>
      <c r="Q337" s="48"/>
      <c r="R337" s="48"/>
      <c r="S337" s="48"/>
      <c r="T337" s="48"/>
      <c r="U337" s="48"/>
      <c r="V337" s="48"/>
      <c r="W337" s="48"/>
      <c r="X337" s="48"/>
      <c r="Y337" s="48"/>
      <c r="Z337" s="48"/>
    </row>
    <row r="338" ht="15.75" customHeight="1">
      <c r="A338" s="49"/>
      <c r="B338" s="49"/>
      <c r="C338" s="49"/>
      <c r="D338" s="49"/>
      <c r="E338" s="49"/>
      <c r="F338" s="49"/>
      <c r="G338" s="49"/>
      <c r="H338" s="49"/>
      <c r="I338" s="49"/>
      <c r="J338" s="49"/>
      <c r="K338" s="49"/>
      <c r="L338" s="49"/>
      <c r="M338" s="49"/>
      <c r="N338" s="49"/>
      <c r="O338" s="48"/>
      <c r="P338" s="48"/>
      <c r="Q338" s="48"/>
      <c r="R338" s="48"/>
      <c r="S338" s="48"/>
      <c r="T338" s="48"/>
      <c r="U338" s="48"/>
      <c r="V338" s="48"/>
      <c r="W338" s="48"/>
      <c r="X338" s="48"/>
      <c r="Y338" s="48"/>
      <c r="Z338" s="48"/>
    </row>
    <row r="339" ht="15.75" customHeight="1">
      <c r="A339" s="49"/>
      <c r="B339" s="49"/>
      <c r="C339" s="49"/>
      <c r="D339" s="49"/>
      <c r="E339" s="49"/>
      <c r="F339" s="49"/>
      <c r="G339" s="49"/>
      <c r="H339" s="49"/>
      <c r="I339" s="49"/>
      <c r="J339" s="49"/>
      <c r="K339" s="49"/>
      <c r="L339" s="49"/>
      <c r="M339" s="49"/>
      <c r="N339" s="49"/>
      <c r="O339" s="48"/>
      <c r="P339" s="48"/>
      <c r="Q339" s="48"/>
      <c r="R339" s="48"/>
      <c r="S339" s="48"/>
      <c r="T339" s="48"/>
      <c r="U339" s="48"/>
      <c r="V339" s="48"/>
      <c r="W339" s="48"/>
      <c r="X339" s="48"/>
      <c r="Y339" s="48"/>
      <c r="Z339" s="48"/>
    </row>
    <row r="340" ht="15.75" customHeight="1">
      <c r="A340" s="49"/>
      <c r="B340" s="49"/>
      <c r="C340" s="49"/>
      <c r="D340" s="49"/>
      <c r="E340" s="49"/>
      <c r="F340" s="49"/>
      <c r="G340" s="49"/>
      <c r="H340" s="49"/>
      <c r="I340" s="49"/>
      <c r="J340" s="49"/>
      <c r="K340" s="49"/>
      <c r="L340" s="49"/>
      <c r="M340" s="49"/>
      <c r="N340" s="49"/>
      <c r="O340" s="48"/>
      <c r="P340" s="48"/>
      <c r="Q340" s="48"/>
      <c r="R340" s="48"/>
      <c r="S340" s="48"/>
      <c r="T340" s="48"/>
      <c r="U340" s="48"/>
      <c r="V340" s="48"/>
      <c r="W340" s="48"/>
      <c r="X340" s="48"/>
      <c r="Y340" s="48"/>
      <c r="Z340" s="48"/>
    </row>
    <row r="341" ht="15.75" customHeight="1">
      <c r="A341" s="49"/>
      <c r="B341" s="49"/>
      <c r="C341" s="49"/>
      <c r="D341" s="49"/>
      <c r="E341" s="49"/>
      <c r="F341" s="49"/>
      <c r="G341" s="49"/>
      <c r="H341" s="49"/>
      <c r="I341" s="49"/>
      <c r="J341" s="49"/>
      <c r="K341" s="49"/>
      <c r="L341" s="49"/>
      <c r="M341" s="49"/>
      <c r="N341" s="49"/>
      <c r="O341" s="48"/>
      <c r="P341" s="48"/>
      <c r="Q341" s="48"/>
      <c r="R341" s="48"/>
      <c r="S341" s="48"/>
      <c r="T341" s="48"/>
      <c r="U341" s="48"/>
      <c r="V341" s="48"/>
      <c r="W341" s="48"/>
      <c r="X341" s="48"/>
      <c r="Y341" s="48"/>
      <c r="Z341" s="48"/>
    </row>
    <row r="342" ht="15.75" customHeight="1">
      <c r="A342" s="49"/>
      <c r="B342" s="49"/>
      <c r="C342" s="49"/>
      <c r="D342" s="49"/>
      <c r="E342" s="49"/>
      <c r="F342" s="49"/>
      <c r="G342" s="49"/>
      <c r="H342" s="49"/>
      <c r="I342" s="49"/>
      <c r="J342" s="49"/>
      <c r="K342" s="49"/>
      <c r="L342" s="49"/>
      <c r="M342" s="49"/>
      <c r="N342" s="49"/>
      <c r="O342" s="48"/>
      <c r="P342" s="48"/>
      <c r="Q342" s="48"/>
      <c r="R342" s="48"/>
      <c r="S342" s="48"/>
      <c r="T342" s="48"/>
      <c r="U342" s="48"/>
      <c r="V342" s="48"/>
      <c r="W342" s="48"/>
      <c r="X342" s="48"/>
      <c r="Y342" s="48"/>
      <c r="Z342" s="48"/>
    </row>
    <row r="343" ht="15.75" customHeight="1">
      <c r="A343" s="49"/>
      <c r="B343" s="49"/>
      <c r="C343" s="49"/>
      <c r="D343" s="49"/>
      <c r="E343" s="49"/>
      <c r="F343" s="49"/>
      <c r="G343" s="49"/>
      <c r="H343" s="49"/>
      <c r="I343" s="49"/>
      <c r="J343" s="49"/>
      <c r="K343" s="49"/>
      <c r="L343" s="49"/>
      <c r="M343" s="49"/>
      <c r="N343" s="49"/>
      <c r="O343" s="48"/>
      <c r="P343" s="48"/>
      <c r="Q343" s="48"/>
      <c r="R343" s="48"/>
      <c r="S343" s="48"/>
      <c r="T343" s="48"/>
      <c r="U343" s="48"/>
      <c r="V343" s="48"/>
      <c r="W343" s="48"/>
      <c r="X343" s="48"/>
      <c r="Y343" s="48"/>
      <c r="Z343" s="48"/>
    </row>
    <row r="344" ht="15.75" customHeight="1">
      <c r="A344" s="49"/>
      <c r="B344" s="49"/>
      <c r="C344" s="49"/>
      <c r="D344" s="49"/>
      <c r="E344" s="49"/>
      <c r="F344" s="49"/>
      <c r="G344" s="49"/>
      <c r="H344" s="49"/>
      <c r="I344" s="49"/>
      <c r="J344" s="49"/>
      <c r="K344" s="49"/>
      <c r="L344" s="49"/>
      <c r="M344" s="49"/>
      <c r="N344" s="49"/>
      <c r="O344" s="48"/>
      <c r="P344" s="48"/>
      <c r="Q344" s="48"/>
      <c r="R344" s="48"/>
      <c r="S344" s="48"/>
      <c r="T344" s="48"/>
      <c r="U344" s="48"/>
      <c r="V344" s="48"/>
      <c r="W344" s="48"/>
      <c r="X344" s="48"/>
      <c r="Y344" s="48"/>
      <c r="Z344" s="48"/>
    </row>
    <row r="345" ht="15.75" customHeight="1">
      <c r="A345" s="49"/>
      <c r="B345" s="49"/>
      <c r="C345" s="49"/>
      <c r="D345" s="49"/>
      <c r="E345" s="49"/>
      <c r="F345" s="49"/>
      <c r="G345" s="49"/>
      <c r="H345" s="49"/>
      <c r="I345" s="49"/>
      <c r="J345" s="49"/>
      <c r="K345" s="49"/>
      <c r="L345" s="49"/>
      <c r="M345" s="49"/>
      <c r="N345" s="49"/>
      <c r="O345" s="48"/>
      <c r="P345" s="48"/>
      <c r="Q345" s="48"/>
      <c r="R345" s="48"/>
      <c r="S345" s="48"/>
      <c r="T345" s="48"/>
      <c r="U345" s="48"/>
      <c r="V345" s="48"/>
      <c r="W345" s="48"/>
      <c r="X345" s="48"/>
      <c r="Y345" s="48"/>
      <c r="Z345" s="48"/>
    </row>
    <row r="346" ht="15.75" customHeight="1">
      <c r="A346" s="49"/>
      <c r="B346" s="49"/>
      <c r="C346" s="49"/>
      <c r="D346" s="49"/>
      <c r="E346" s="49"/>
      <c r="F346" s="49"/>
      <c r="G346" s="49"/>
      <c r="H346" s="49"/>
      <c r="I346" s="49"/>
      <c r="J346" s="49"/>
      <c r="K346" s="49"/>
      <c r="L346" s="49"/>
      <c r="M346" s="49"/>
      <c r="N346" s="49"/>
      <c r="O346" s="48"/>
      <c r="P346" s="48"/>
      <c r="Q346" s="48"/>
      <c r="R346" s="48"/>
      <c r="S346" s="48"/>
      <c r="T346" s="48"/>
      <c r="U346" s="48"/>
      <c r="V346" s="48"/>
      <c r="W346" s="48"/>
      <c r="X346" s="48"/>
      <c r="Y346" s="48"/>
      <c r="Z346" s="48"/>
    </row>
    <row r="347" ht="15.75" customHeight="1">
      <c r="A347" s="49"/>
      <c r="B347" s="49"/>
      <c r="C347" s="49"/>
      <c r="D347" s="49"/>
      <c r="E347" s="49"/>
      <c r="F347" s="49"/>
      <c r="G347" s="49"/>
      <c r="H347" s="49"/>
      <c r="I347" s="49"/>
      <c r="J347" s="49"/>
      <c r="K347" s="49"/>
      <c r="L347" s="49"/>
      <c r="M347" s="49"/>
      <c r="N347" s="49"/>
      <c r="O347" s="48"/>
      <c r="P347" s="48"/>
      <c r="Q347" s="48"/>
      <c r="R347" s="48"/>
      <c r="S347" s="48"/>
      <c r="T347" s="48"/>
      <c r="U347" s="48"/>
      <c r="V347" s="48"/>
      <c r="W347" s="48"/>
      <c r="X347" s="48"/>
      <c r="Y347" s="48"/>
      <c r="Z347" s="48"/>
    </row>
    <row r="348" ht="15.75" customHeight="1">
      <c r="A348" s="49"/>
      <c r="B348" s="49"/>
      <c r="C348" s="49"/>
      <c r="D348" s="49"/>
      <c r="E348" s="49"/>
      <c r="F348" s="49"/>
      <c r="G348" s="49"/>
      <c r="H348" s="49"/>
      <c r="I348" s="49"/>
      <c r="J348" s="49"/>
      <c r="K348" s="49"/>
      <c r="L348" s="49"/>
      <c r="M348" s="49"/>
      <c r="N348" s="49"/>
      <c r="O348" s="48"/>
      <c r="P348" s="48"/>
      <c r="Q348" s="48"/>
      <c r="R348" s="48"/>
      <c r="S348" s="48"/>
      <c r="T348" s="48"/>
      <c r="U348" s="48"/>
      <c r="V348" s="48"/>
      <c r="W348" s="48"/>
      <c r="X348" s="48"/>
      <c r="Y348" s="48"/>
      <c r="Z348" s="48"/>
    </row>
    <row r="349" ht="15.75" customHeight="1">
      <c r="A349" s="49"/>
      <c r="B349" s="49"/>
      <c r="C349" s="49"/>
      <c r="D349" s="49"/>
      <c r="E349" s="49"/>
      <c r="F349" s="49"/>
      <c r="G349" s="49"/>
      <c r="H349" s="49"/>
      <c r="I349" s="49"/>
      <c r="J349" s="49"/>
      <c r="K349" s="49"/>
      <c r="L349" s="49"/>
      <c r="M349" s="49"/>
      <c r="N349" s="49"/>
      <c r="O349" s="48"/>
      <c r="P349" s="48"/>
      <c r="Q349" s="48"/>
      <c r="R349" s="48"/>
      <c r="S349" s="48"/>
      <c r="T349" s="48"/>
      <c r="U349" s="48"/>
      <c r="V349" s="48"/>
      <c r="W349" s="48"/>
      <c r="X349" s="48"/>
      <c r="Y349" s="48"/>
      <c r="Z349" s="48"/>
    </row>
    <row r="350" ht="15.75" customHeight="1">
      <c r="A350" s="49"/>
      <c r="B350" s="49"/>
      <c r="C350" s="49"/>
      <c r="D350" s="49"/>
      <c r="E350" s="49"/>
      <c r="F350" s="49"/>
      <c r="G350" s="49"/>
      <c r="H350" s="49"/>
      <c r="I350" s="49"/>
      <c r="J350" s="49"/>
      <c r="K350" s="49"/>
      <c r="L350" s="49"/>
      <c r="M350" s="49"/>
      <c r="N350" s="49"/>
      <c r="O350" s="48"/>
      <c r="P350" s="48"/>
      <c r="Q350" s="48"/>
      <c r="R350" s="48"/>
      <c r="S350" s="48"/>
      <c r="T350" s="48"/>
      <c r="U350" s="48"/>
      <c r="V350" s="48"/>
      <c r="W350" s="48"/>
      <c r="X350" s="48"/>
      <c r="Y350" s="48"/>
      <c r="Z350" s="48"/>
    </row>
    <row r="351" ht="15.75" customHeight="1">
      <c r="A351" s="49"/>
      <c r="B351" s="49"/>
      <c r="C351" s="49"/>
      <c r="D351" s="49"/>
      <c r="E351" s="49"/>
      <c r="F351" s="49"/>
      <c r="G351" s="49"/>
      <c r="H351" s="49"/>
      <c r="I351" s="49"/>
      <c r="J351" s="49"/>
      <c r="K351" s="49"/>
      <c r="L351" s="49"/>
      <c r="M351" s="49"/>
      <c r="N351" s="49"/>
      <c r="O351" s="48"/>
      <c r="P351" s="48"/>
      <c r="Q351" s="48"/>
      <c r="R351" s="48"/>
      <c r="S351" s="48"/>
      <c r="T351" s="48"/>
      <c r="U351" s="48"/>
      <c r="V351" s="48"/>
      <c r="W351" s="48"/>
      <c r="X351" s="48"/>
      <c r="Y351" s="48"/>
      <c r="Z351" s="48"/>
    </row>
    <row r="352" ht="15.75" customHeight="1">
      <c r="A352" s="49"/>
      <c r="B352" s="49"/>
      <c r="C352" s="49"/>
      <c r="D352" s="49"/>
      <c r="E352" s="49"/>
      <c r="F352" s="49"/>
      <c r="G352" s="49"/>
      <c r="H352" s="49"/>
      <c r="I352" s="49"/>
      <c r="J352" s="49"/>
      <c r="K352" s="49"/>
      <c r="L352" s="49"/>
      <c r="M352" s="49"/>
      <c r="N352" s="49"/>
      <c r="O352" s="48"/>
      <c r="P352" s="48"/>
      <c r="Q352" s="48"/>
      <c r="R352" s="48"/>
      <c r="S352" s="48"/>
      <c r="T352" s="48"/>
      <c r="U352" s="48"/>
      <c r="V352" s="48"/>
      <c r="W352" s="48"/>
      <c r="X352" s="48"/>
      <c r="Y352" s="48"/>
      <c r="Z352" s="48"/>
    </row>
    <row r="353" ht="15.75" customHeight="1">
      <c r="A353" s="49"/>
      <c r="B353" s="49"/>
      <c r="C353" s="49"/>
      <c r="D353" s="49"/>
      <c r="E353" s="49"/>
      <c r="F353" s="49"/>
      <c r="G353" s="49"/>
      <c r="H353" s="49"/>
      <c r="I353" s="49"/>
      <c r="J353" s="49"/>
      <c r="K353" s="49"/>
      <c r="L353" s="49"/>
      <c r="M353" s="49"/>
      <c r="N353" s="49"/>
      <c r="O353" s="48"/>
      <c r="P353" s="48"/>
      <c r="Q353" s="48"/>
      <c r="R353" s="48"/>
      <c r="S353" s="48"/>
      <c r="T353" s="48"/>
      <c r="U353" s="48"/>
      <c r="V353" s="48"/>
      <c r="W353" s="48"/>
      <c r="X353" s="48"/>
      <c r="Y353" s="48"/>
      <c r="Z353" s="48"/>
    </row>
    <row r="354" ht="15.75" customHeight="1">
      <c r="A354" s="49"/>
      <c r="B354" s="49"/>
      <c r="C354" s="49"/>
      <c r="D354" s="49"/>
      <c r="E354" s="49"/>
      <c r="F354" s="49"/>
      <c r="G354" s="49"/>
      <c r="H354" s="49"/>
      <c r="I354" s="49"/>
      <c r="J354" s="49"/>
      <c r="K354" s="49"/>
      <c r="L354" s="49"/>
      <c r="M354" s="49"/>
      <c r="N354" s="49"/>
      <c r="O354" s="48"/>
      <c r="P354" s="48"/>
      <c r="Q354" s="48"/>
      <c r="R354" s="48"/>
      <c r="S354" s="48"/>
      <c r="T354" s="48"/>
      <c r="U354" s="48"/>
      <c r="V354" s="48"/>
      <c r="W354" s="48"/>
      <c r="X354" s="48"/>
      <c r="Y354" s="48"/>
      <c r="Z354" s="48"/>
    </row>
    <row r="355" ht="15.75" customHeight="1">
      <c r="A355" s="49"/>
      <c r="B355" s="49"/>
      <c r="C355" s="49"/>
      <c r="D355" s="49"/>
      <c r="E355" s="49"/>
      <c r="F355" s="49"/>
      <c r="G355" s="49"/>
      <c r="H355" s="49"/>
      <c r="I355" s="49"/>
      <c r="J355" s="49"/>
      <c r="K355" s="49"/>
      <c r="L355" s="49"/>
      <c r="M355" s="49"/>
      <c r="N355" s="49"/>
      <c r="O355" s="48"/>
      <c r="P355" s="48"/>
      <c r="Q355" s="48"/>
      <c r="R355" s="48"/>
      <c r="S355" s="48"/>
      <c r="T355" s="48"/>
      <c r="U355" s="48"/>
      <c r="V355" s="48"/>
      <c r="W355" s="48"/>
      <c r="X355" s="48"/>
      <c r="Y355" s="48"/>
      <c r="Z355" s="48"/>
    </row>
    <row r="356" ht="15.75" customHeight="1">
      <c r="A356" s="49"/>
      <c r="B356" s="49"/>
      <c r="C356" s="49"/>
      <c r="D356" s="49"/>
      <c r="E356" s="49"/>
      <c r="F356" s="49"/>
      <c r="G356" s="49"/>
      <c r="H356" s="49"/>
      <c r="I356" s="49"/>
      <c r="J356" s="49"/>
      <c r="K356" s="49"/>
      <c r="L356" s="49"/>
      <c r="M356" s="49"/>
      <c r="N356" s="49"/>
      <c r="O356" s="48"/>
      <c r="P356" s="48"/>
      <c r="Q356" s="48"/>
      <c r="R356" s="48"/>
      <c r="S356" s="48"/>
      <c r="T356" s="48"/>
      <c r="U356" s="48"/>
      <c r="V356" s="48"/>
      <c r="W356" s="48"/>
      <c r="X356" s="48"/>
      <c r="Y356" s="48"/>
      <c r="Z356" s="48"/>
    </row>
    <row r="357" ht="15.75" customHeight="1">
      <c r="A357" s="49"/>
      <c r="B357" s="49"/>
      <c r="C357" s="49"/>
      <c r="D357" s="49"/>
      <c r="E357" s="49"/>
      <c r="F357" s="49"/>
      <c r="G357" s="49"/>
      <c r="H357" s="49"/>
      <c r="I357" s="49"/>
      <c r="J357" s="49"/>
      <c r="K357" s="49"/>
      <c r="L357" s="49"/>
      <c r="M357" s="49"/>
      <c r="N357" s="49"/>
      <c r="O357" s="48"/>
      <c r="P357" s="48"/>
      <c r="Q357" s="48"/>
      <c r="R357" s="48"/>
      <c r="S357" s="48"/>
      <c r="T357" s="48"/>
      <c r="U357" s="48"/>
      <c r="V357" s="48"/>
      <c r="W357" s="48"/>
      <c r="X357" s="48"/>
      <c r="Y357" s="48"/>
      <c r="Z357" s="48"/>
    </row>
    <row r="358" ht="15.75" customHeight="1">
      <c r="A358" s="49"/>
      <c r="B358" s="49"/>
      <c r="C358" s="49"/>
      <c r="D358" s="49"/>
      <c r="E358" s="49"/>
      <c r="F358" s="49"/>
      <c r="G358" s="49"/>
      <c r="H358" s="49"/>
      <c r="I358" s="49"/>
      <c r="J358" s="49"/>
      <c r="K358" s="49"/>
      <c r="L358" s="49"/>
      <c r="M358" s="49"/>
      <c r="N358" s="49"/>
      <c r="O358" s="48"/>
      <c r="P358" s="48"/>
      <c r="Q358" s="48"/>
      <c r="R358" s="48"/>
      <c r="S358" s="48"/>
      <c r="T358" s="48"/>
      <c r="U358" s="48"/>
      <c r="V358" s="48"/>
      <c r="W358" s="48"/>
      <c r="X358" s="48"/>
      <c r="Y358" s="48"/>
      <c r="Z358" s="48"/>
    </row>
    <row r="359" ht="15.75" customHeight="1">
      <c r="A359" s="49"/>
      <c r="B359" s="49"/>
      <c r="C359" s="49"/>
      <c r="D359" s="49"/>
      <c r="E359" s="49"/>
      <c r="F359" s="49"/>
      <c r="G359" s="49"/>
      <c r="H359" s="49"/>
      <c r="I359" s="49"/>
      <c r="J359" s="49"/>
      <c r="K359" s="49"/>
      <c r="L359" s="49"/>
      <c r="M359" s="49"/>
      <c r="N359" s="49"/>
      <c r="O359" s="48"/>
      <c r="P359" s="48"/>
      <c r="Q359" s="48"/>
      <c r="R359" s="48"/>
      <c r="S359" s="48"/>
      <c r="T359" s="48"/>
      <c r="U359" s="48"/>
      <c r="V359" s="48"/>
      <c r="W359" s="48"/>
      <c r="X359" s="48"/>
      <c r="Y359" s="48"/>
      <c r="Z359" s="48"/>
    </row>
    <row r="360" ht="15.75" customHeight="1">
      <c r="A360" s="49"/>
      <c r="B360" s="49"/>
      <c r="C360" s="49"/>
      <c r="D360" s="49"/>
      <c r="E360" s="49"/>
      <c r="F360" s="49"/>
      <c r="G360" s="49"/>
      <c r="H360" s="49"/>
      <c r="I360" s="49"/>
      <c r="J360" s="49"/>
      <c r="K360" s="49"/>
      <c r="L360" s="49"/>
      <c r="M360" s="49"/>
      <c r="N360" s="49"/>
      <c r="O360" s="48"/>
      <c r="P360" s="48"/>
      <c r="Q360" s="48"/>
      <c r="R360" s="48"/>
      <c r="S360" s="48"/>
      <c r="T360" s="48"/>
      <c r="U360" s="48"/>
      <c r="V360" s="48"/>
      <c r="W360" s="48"/>
      <c r="X360" s="48"/>
      <c r="Y360" s="48"/>
      <c r="Z360" s="48"/>
    </row>
    <row r="361" ht="15.75" customHeight="1">
      <c r="A361" s="49"/>
      <c r="B361" s="49"/>
      <c r="C361" s="49"/>
      <c r="D361" s="49"/>
      <c r="E361" s="49"/>
      <c r="F361" s="49"/>
      <c r="G361" s="49"/>
      <c r="H361" s="49"/>
      <c r="I361" s="49"/>
      <c r="J361" s="49"/>
      <c r="K361" s="49"/>
      <c r="L361" s="49"/>
      <c r="M361" s="49"/>
      <c r="N361" s="49"/>
      <c r="O361" s="48"/>
      <c r="P361" s="48"/>
      <c r="Q361" s="48"/>
      <c r="R361" s="48"/>
      <c r="S361" s="48"/>
      <c r="T361" s="48"/>
      <c r="U361" s="48"/>
      <c r="V361" s="48"/>
      <c r="W361" s="48"/>
      <c r="X361" s="48"/>
      <c r="Y361" s="48"/>
      <c r="Z361" s="48"/>
    </row>
    <row r="362" ht="15.75" customHeight="1">
      <c r="A362" s="49"/>
      <c r="B362" s="49"/>
      <c r="C362" s="49"/>
      <c r="D362" s="49"/>
      <c r="E362" s="49"/>
      <c r="F362" s="49"/>
      <c r="G362" s="49"/>
      <c r="H362" s="49"/>
      <c r="I362" s="49"/>
      <c r="J362" s="49"/>
      <c r="K362" s="49"/>
      <c r="L362" s="49"/>
      <c r="M362" s="49"/>
      <c r="N362" s="49"/>
      <c r="O362" s="48"/>
      <c r="P362" s="48"/>
      <c r="Q362" s="48"/>
      <c r="R362" s="48"/>
      <c r="S362" s="48"/>
      <c r="T362" s="48"/>
      <c r="U362" s="48"/>
      <c r="V362" s="48"/>
      <c r="W362" s="48"/>
      <c r="X362" s="48"/>
      <c r="Y362" s="48"/>
      <c r="Z362" s="48"/>
    </row>
    <row r="363" ht="15.75" customHeight="1">
      <c r="A363" s="49"/>
      <c r="B363" s="49"/>
      <c r="C363" s="49"/>
      <c r="D363" s="49"/>
      <c r="E363" s="49"/>
      <c r="F363" s="49"/>
      <c r="G363" s="49"/>
      <c r="H363" s="49"/>
      <c r="I363" s="49"/>
      <c r="J363" s="49"/>
      <c r="K363" s="49"/>
      <c r="L363" s="49"/>
      <c r="M363" s="49"/>
      <c r="N363" s="49"/>
      <c r="O363" s="48"/>
      <c r="P363" s="48"/>
      <c r="Q363" s="48"/>
      <c r="R363" s="48"/>
      <c r="S363" s="48"/>
      <c r="T363" s="48"/>
      <c r="U363" s="48"/>
      <c r="V363" s="48"/>
      <c r="W363" s="48"/>
      <c r="X363" s="48"/>
      <c r="Y363" s="48"/>
      <c r="Z363" s="48"/>
    </row>
    <row r="364" ht="15.75" customHeight="1">
      <c r="A364" s="49"/>
      <c r="B364" s="49"/>
      <c r="C364" s="49"/>
      <c r="D364" s="49"/>
      <c r="E364" s="49"/>
      <c r="F364" s="49"/>
      <c r="G364" s="49"/>
      <c r="H364" s="49"/>
      <c r="I364" s="49"/>
      <c r="J364" s="49"/>
      <c r="K364" s="49"/>
      <c r="L364" s="49"/>
      <c r="M364" s="49"/>
      <c r="N364" s="49"/>
      <c r="O364" s="48"/>
      <c r="P364" s="48"/>
      <c r="Q364" s="48"/>
      <c r="R364" s="48"/>
      <c r="S364" s="48"/>
      <c r="T364" s="48"/>
      <c r="U364" s="48"/>
      <c r="V364" s="48"/>
      <c r="W364" s="48"/>
      <c r="X364" s="48"/>
      <c r="Y364" s="48"/>
      <c r="Z364" s="48"/>
    </row>
    <row r="365" ht="15.75" customHeight="1">
      <c r="A365" s="49"/>
      <c r="B365" s="49"/>
      <c r="C365" s="49"/>
      <c r="D365" s="49"/>
      <c r="E365" s="49"/>
      <c r="F365" s="49"/>
      <c r="G365" s="49"/>
      <c r="H365" s="49"/>
      <c r="I365" s="49"/>
      <c r="J365" s="49"/>
      <c r="K365" s="49"/>
      <c r="L365" s="49"/>
      <c r="M365" s="49"/>
      <c r="N365" s="49"/>
      <c r="O365" s="48"/>
      <c r="P365" s="48"/>
      <c r="Q365" s="48"/>
      <c r="R365" s="48"/>
      <c r="S365" s="48"/>
      <c r="T365" s="48"/>
      <c r="U365" s="48"/>
      <c r="V365" s="48"/>
      <c r="W365" s="48"/>
      <c r="X365" s="48"/>
      <c r="Y365" s="48"/>
      <c r="Z365" s="48"/>
    </row>
    <row r="366" ht="15.75" customHeight="1">
      <c r="A366" s="49"/>
      <c r="B366" s="49"/>
      <c r="C366" s="49"/>
      <c r="D366" s="49"/>
      <c r="E366" s="49"/>
      <c r="F366" s="49"/>
      <c r="G366" s="49"/>
      <c r="H366" s="49"/>
      <c r="I366" s="49"/>
      <c r="J366" s="49"/>
      <c r="K366" s="49"/>
      <c r="L366" s="49"/>
      <c r="M366" s="49"/>
      <c r="N366" s="49"/>
      <c r="O366" s="48"/>
      <c r="P366" s="48"/>
      <c r="Q366" s="48"/>
      <c r="R366" s="48"/>
      <c r="S366" s="48"/>
      <c r="T366" s="48"/>
      <c r="U366" s="48"/>
      <c r="V366" s="48"/>
      <c r="W366" s="48"/>
      <c r="X366" s="48"/>
      <c r="Y366" s="48"/>
      <c r="Z366" s="48"/>
    </row>
    <row r="367" ht="15.75" customHeight="1">
      <c r="A367" s="49"/>
      <c r="B367" s="49"/>
      <c r="C367" s="49"/>
      <c r="D367" s="49"/>
      <c r="E367" s="49"/>
      <c r="F367" s="49"/>
      <c r="G367" s="49"/>
      <c r="H367" s="49"/>
      <c r="I367" s="49"/>
      <c r="J367" s="49"/>
      <c r="K367" s="49"/>
      <c r="L367" s="49"/>
      <c r="M367" s="49"/>
      <c r="N367" s="49"/>
      <c r="O367" s="48"/>
      <c r="P367" s="48"/>
      <c r="Q367" s="48"/>
      <c r="R367" s="48"/>
      <c r="S367" s="48"/>
      <c r="T367" s="48"/>
      <c r="U367" s="48"/>
      <c r="V367" s="48"/>
      <c r="W367" s="48"/>
      <c r="X367" s="48"/>
      <c r="Y367" s="48"/>
      <c r="Z367" s="48"/>
    </row>
    <row r="368" ht="15.75" customHeight="1">
      <c r="A368" s="49"/>
      <c r="B368" s="49"/>
      <c r="C368" s="49"/>
      <c r="D368" s="49"/>
      <c r="E368" s="49"/>
      <c r="F368" s="49"/>
      <c r="G368" s="49"/>
      <c r="H368" s="49"/>
      <c r="I368" s="49"/>
      <c r="J368" s="49"/>
      <c r="K368" s="49"/>
      <c r="L368" s="49"/>
      <c r="M368" s="49"/>
      <c r="N368" s="49"/>
      <c r="O368" s="48"/>
      <c r="P368" s="48"/>
      <c r="Q368" s="48"/>
      <c r="R368" s="48"/>
      <c r="S368" s="48"/>
      <c r="T368" s="48"/>
      <c r="U368" s="48"/>
      <c r="V368" s="48"/>
      <c r="W368" s="48"/>
      <c r="X368" s="48"/>
      <c r="Y368" s="48"/>
      <c r="Z368" s="48"/>
    </row>
    <row r="369" ht="15.75" customHeight="1">
      <c r="A369" s="49"/>
      <c r="B369" s="49"/>
      <c r="C369" s="49"/>
      <c r="D369" s="49"/>
      <c r="E369" s="49"/>
      <c r="F369" s="49"/>
      <c r="G369" s="49"/>
      <c r="H369" s="49"/>
      <c r="I369" s="49"/>
      <c r="J369" s="49"/>
      <c r="K369" s="49"/>
      <c r="L369" s="49"/>
      <c r="M369" s="49"/>
      <c r="N369" s="49"/>
      <c r="O369" s="48"/>
      <c r="P369" s="48"/>
      <c r="Q369" s="48"/>
      <c r="R369" s="48"/>
      <c r="S369" s="48"/>
      <c r="T369" s="48"/>
      <c r="U369" s="48"/>
      <c r="V369" s="48"/>
      <c r="W369" s="48"/>
      <c r="X369" s="48"/>
      <c r="Y369" s="48"/>
      <c r="Z369" s="48"/>
    </row>
    <row r="370" ht="15.75" customHeight="1">
      <c r="A370" s="49"/>
      <c r="B370" s="49"/>
      <c r="C370" s="49"/>
      <c r="D370" s="49"/>
      <c r="E370" s="49"/>
      <c r="F370" s="49"/>
      <c r="G370" s="49"/>
      <c r="H370" s="49"/>
      <c r="I370" s="49"/>
      <c r="J370" s="49"/>
      <c r="K370" s="49"/>
      <c r="L370" s="49"/>
      <c r="M370" s="49"/>
      <c r="N370" s="49"/>
      <c r="O370" s="48"/>
      <c r="P370" s="48"/>
      <c r="Q370" s="48"/>
      <c r="R370" s="48"/>
      <c r="S370" s="48"/>
      <c r="T370" s="48"/>
      <c r="U370" s="48"/>
      <c r="V370" s="48"/>
      <c r="W370" s="48"/>
      <c r="X370" s="48"/>
      <c r="Y370" s="48"/>
      <c r="Z370" s="48"/>
    </row>
    <row r="371" ht="15.75" customHeight="1">
      <c r="A371" s="49"/>
      <c r="B371" s="49"/>
      <c r="C371" s="49"/>
      <c r="D371" s="49"/>
      <c r="E371" s="49"/>
      <c r="F371" s="49"/>
      <c r="G371" s="49"/>
      <c r="H371" s="49"/>
      <c r="I371" s="49"/>
      <c r="J371" s="49"/>
      <c r="K371" s="49"/>
      <c r="L371" s="49"/>
      <c r="M371" s="49"/>
      <c r="N371" s="49"/>
      <c r="O371" s="48"/>
      <c r="P371" s="48"/>
      <c r="Q371" s="48"/>
      <c r="R371" s="48"/>
      <c r="S371" s="48"/>
      <c r="T371" s="48"/>
      <c r="U371" s="48"/>
      <c r="V371" s="48"/>
      <c r="W371" s="48"/>
      <c r="X371" s="48"/>
      <c r="Y371" s="48"/>
      <c r="Z371" s="48"/>
    </row>
    <row r="372" ht="15.75" customHeight="1">
      <c r="A372" s="49"/>
      <c r="B372" s="49"/>
      <c r="C372" s="49"/>
      <c r="D372" s="49"/>
      <c r="E372" s="49"/>
      <c r="F372" s="49"/>
      <c r="G372" s="49"/>
      <c r="H372" s="49"/>
      <c r="I372" s="49"/>
      <c r="J372" s="49"/>
      <c r="K372" s="49"/>
      <c r="L372" s="49"/>
      <c r="M372" s="49"/>
      <c r="N372" s="49"/>
      <c r="O372" s="48"/>
      <c r="P372" s="48"/>
      <c r="Q372" s="48"/>
      <c r="R372" s="48"/>
      <c r="S372" s="48"/>
      <c r="T372" s="48"/>
      <c r="U372" s="48"/>
      <c r="V372" s="48"/>
      <c r="W372" s="48"/>
      <c r="X372" s="48"/>
      <c r="Y372" s="48"/>
      <c r="Z372" s="48"/>
    </row>
    <row r="373" ht="15.75" customHeight="1">
      <c r="A373" s="49"/>
      <c r="B373" s="49"/>
      <c r="C373" s="49"/>
      <c r="D373" s="49"/>
      <c r="E373" s="49"/>
      <c r="F373" s="49"/>
      <c r="G373" s="49"/>
      <c r="H373" s="49"/>
      <c r="I373" s="49"/>
      <c r="J373" s="49"/>
      <c r="K373" s="49"/>
      <c r="L373" s="49"/>
      <c r="M373" s="49"/>
      <c r="N373" s="49"/>
      <c r="O373" s="48"/>
      <c r="P373" s="48"/>
      <c r="Q373" s="48"/>
      <c r="R373" s="48"/>
      <c r="S373" s="48"/>
      <c r="T373" s="48"/>
      <c r="U373" s="48"/>
      <c r="V373" s="48"/>
      <c r="W373" s="48"/>
      <c r="X373" s="48"/>
      <c r="Y373" s="48"/>
      <c r="Z373" s="48"/>
    </row>
    <row r="374" ht="15.75" customHeight="1">
      <c r="A374" s="49"/>
      <c r="B374" s="49"/>
      <c r="C374" s="49"/>
      <c r="D374" s="49"/>
      <c r="E374" s="49"/>
      <c r="F374" s="49"/>
      <c r="G374" s="49"/>
      <c r="H374" s="49"/>
      <c r="I374" s="49"/>
      <c r="J374" s="49"/>
      <c r="K374" s="49"/>
      <c r="L374" s="49"/>
      <c r="M374" s="49"/>
      <c r="N374" s="49"/>
      <c r="O374" s="48"/>
      <c r="P374" s="48"/>
      <c r="Q374" s="48"/>
      <c r="R374" s="48"/>
      <c r="S374" s="48"/>
      <c r="T374" s="48"/>
      <c r="U374" s="48"/>
      <c r="V374" s="48"/>
      <c r="W374" s="48"/>
      <c r="X374" s="48"/>
      <c r="Y374" s="48"/>
      <c r="Z374" s="48"/>
    </row>
    <row r="375" ht="15.75" customHeight="1">
      <c r="A375" s="49"/>
      <c r="B375" s="49"/>
      <c r="C375" s="49"/>
      <c r="D375" s="49"/>
      <c r="E375" s="49"/>
      <c r="F375" s="49"/>
      <c r="G375" s="49"/>
      <c r="H375" s="49"/>
      <c r="I375" s="49"/>
      <c r="J375" s="49"/>
      <c r="K375" s="49"/>
      <c r="L375" s="49"/>
      <c r="M375" s="49"/>
      <c r="N375" s="49"/>
      <c r="O375" s="48"/>
      <c r="P375" s="48"/>
      <c r="Q375" s="48"/>
      <c r="R375" s="48"/>
      <c r="S375" s="48"/>
      <c r="T375" s="48"/>
      <c r="U375" s="48"/>
      <c r="V375" s="48"/>
      <c r="W375" s="48"/>
      <c r="X375" s="48"/>
      <c r="Y375" s="48"/>
      <c r="Z375" s="48"/>
    </row>
    <row r="376" ht="15.75" customHeight="1">
      <c r="A376" s="49"/>
      <c r="B376" s="49"/>
      <c r="C376" s="49"/>
      <c r="D376" s="49"/>
      <c r="E376" s="49"/>
      <c r="F376" s="49"/>
      <c r="G376" s="49"/>
      <c r="H376" s="49"/>
      <c r="I376" s="49"/>
      <c r="J376" s="49"/>
      <c r="K376" s="49"/>
      <c r="L376" s="49"/>
      <c r="M376" s="49"/>
      <c r="N376" s="49"/>
      <c r="O376" s="48"/>
      <c r="P376" s="48"/>
      <c r="Q376" s="48"/>
      <c r="R376" s="48"/>
      <c r="S376" s="48"/>
      <c r="T376" s="48"/>
      <c r="U376" s="48"/>
      <c r="V376" s="48"/>
      <c r="W376" s="48"/>
      <c r="X376" s="48"/>
      <c r="Y376" s="48"/>
      <c r="Z376" s="48"/>
    </row>
    <row r="377" ht="15.75" customHeight="1">
      <c r="A377" s="49"/>
      <c r="B377" s="49"/>
      <c r="C377" s="49"/>
      <c r="D377" s="49"/>
      <c r="E377" s="49"/>
      <c r="F377" s="49"/>
      <c r="G377" s="49"/>
      <c r="H377" s="49"/>
      <c r="I377" s="49"/>
      <c r="J377" s="49"/>
      <c r="K377" s="49"/>
      <c r="L377" s="49"/>
      <c r="M377" s="49"/>
      <c r="N377" s="49"/>
      <c r="O377" s="48"/>
      <c r="P377" s="48"/>
      <c r="Q377" s="48"/>
      <c r="R377" s="48"/>
      <c r="S377" s="48"/>
      <c r="T377" s="48"/>
      <c r="U377" s="48"/>
      <c r="V377" s="48"/>
      <c r="W377" s="48"/>
      <c r="X377" s="48"/>
      <c r="Y377" s="48"/>
      <c r="Z377" s="48"/>
    </row>
    <row r="378" ht="15.75" customHeight="1">
      <c r="A378" s="49"/>
      <c r="B378" s="49"/>
      <c r="C378" s="49"/>
      <c r="D378" s="49"/>
      <c r="E378" s="49"/>
      <c r="F378" s="49"/>
      <c r="G378" s="49"/>
      <c r="H378" s="49"/>
      <c r="I378" s="49"/>
      <c r="J378" s="49"/>
      <c r="K378" s="49"/>
      <c r="L378" s="49"/>
      <c r="M378" s="49"/>
      <c r="N378" s="49"/>
      <c r="O378" s="48"/>
      <c r="P378" s="48"/>
      <c r="Q378" s="48"/>
      <c r="R378" s="48"/>
      <c r="S378" s="48"/>
      <c r="T378" s="48"/>
      <c r="U378" s="48"/>
      <c r="V378" s="48"/>
      <c r="W378" s="48"/>
      <c r="X378" s="48"/>
      <c r="Y378" s="48"/>
      <c r="Z378" s="48"/>
    </row>
    <row r="379" ht="15.75" customHeight="1">
      <c r="A379" s="49"/>
      <c r="B379" s="49"/>
      <c r="C379" s="49"/>
      <c r="D379" s="49"/>
      <c r="E379" s="49"/>
      <c r="F379" s="49"/>
      <c r="G379" s="49"/>
      <c r="H379" s="49"/>
      <c r="I379" s="49"/>
      <c r="J379" s="49"/>
      <c r="K379" s="49"/>
      <c r="L379" s="49"/>
      <c r="M379" s="49"/>
      <c r="N379" s="49"/>
      <c r="O379" s="48"/>
      <c r="P379" s="48"/>
      <c r="Q379" s="48"/>
      <c r="R379" s="48"/>
      <c r="S379" s="48"/>
      <c r="T379" s="48"/>
      <c r="U379" s="48"/>
      <c r="V379" s="48"/>
      <c r="W379" s="48"/>
      <c r="X379" s="48"/>
      <c r="Y379" s="48"/>
      <c r="Z379" s="48"/>
    </row>
    <row r="380" ht="15.75" customHeight="1">
      <c r="A380" s="49"/>
      <c r="B380" s="49"/>
      <c r="C380" s="49"/>
      <c r="D380" s="49"/>
      <c r="E380" s="49"/>
      <c r="F380" s="49"/>
      <c r="G380" s="49"/>
      <c r="H380" s="49"/>
      <c r="I380" s="49"/>
      <c r="J380" s="49"/>
      <c r="K380" s="49"/>
      <c r="L380" s="49"/>
      <c r="M380" s="49"/>
      <c r="N380" s="49"/>
      <c r="O380" s="48"/>
      <c r="P380" s="48"/>
      <c r="Q380" s="48"/>
      <c r="R380" s="48"/>
      <c r="S380" s="48"/>
      <c r="T380" s="48"/>
      <c r="U380" s="48"/>
      <c r="V380" s="48"/>
      <c r="W380" s="48"/>
      <c r="X380" s="48"/>
      <c r="Y380" s="48"/>
      <c r="Z380" s="48"/>
    </row>
    <row r="381" ht="15.75" customHeight="1">
      <c r="A381" s="49"/>
      <c r="B381" s="49"/>
      <c r="C381" s="49"/>
      <c r="D381" s="49"/>
      <c r="E381" s="49"/>
      <c r="F381" s="49"/>
      <c r="G381" s="49"/>
      <c r="H381" s="49"/>
      <c r="I381" s="49"/>
      <c r="J381" s="49"/>
      <c r="K381" s="49"/>
      <c r="L381" s="49"/>
      <c r="M381" s="49"/>
      <c r="N381" s="49"/>
      <c r="O381" s="48"/>
      <c r="P381" s="48"/>
      <c r="Q381" s="48"/>
      <c r="R381" s="48"/>
      <c r="S381" s="48"/>
      <c r="T381" s="48"/>
      <c r="U381" s="48"/>
      <c r="V381" s="48"/>
      <c r="W381" s="48"/>
      <c r="X381" s="48"/>
      <c r="Y381" s="48"/>
      <c r="Z381" s="48"/>
    </row>
    <row r="382" ht="15.75" customHeight="1">
      <c r="A382" s="49"/>
      <c r="B382" s="49"/>
      <c r="C382" s="49"/>
      <c r="D382" s="49"/>
      <c r="E382" s="49"/>
      <c r="F382" s="49"/>
      <c r="G382" s="49"/>
      <c r="H382" s="49"/>
      <c r="I382" s="49"/>
      <c r="J382" s="49"/>
      <c r="K382" s="49"/>
      <c r="L382" s="49"/>
      <c r="M382" s="49"/>
      <c r="N382" s="49"/>
      <c r="O382" s="48"/>
      <c r="P382" s="48"/>
      <c r="Q382" s="48"/>
      <c r="R382" s="48"/>
      <c r="S382" s="48"/>
      <c r="T382" s="48"/>
      <c r="U382" s="48"/>
      <c r="V382" s="48"/>
      <c r="W382" s="48"/>
      <c r="X382" s="48"/>
      <c r="Y382" s="48"/>
      <c r="Z382" s="48"/>
    </row>
    <row r="383" ht="15.75" customHeight="1">
      <c r="A383" s="49"/>
      <c r="B383" s="49"/>
      <c r="C383" s="49"/>
      <c r="D383" s="49"/>
      <c r="E383" s="49"/>
      <c r="F383" s="49"/>
      <c r="G383" s="49"/>
      <c r="H383" s="49"/>
      <c r="I383" s="49"/>
      <c r="J383" s="49"/>
      <c r="K383" s="49"/>
      <c r="L383" s="49"/>
      <c r="M383" s="49"/>
      <c r="N383" s="49"/>
      <c r="O383" s="48"/>
      <c r="P383" s="48"/>
      <c r="Q383" s="48"/>
      <c r="R383" s="48"/>
      <c r="S383" s="48"/>
      <c r="T383" s="48"/>
      <c r="U383" s="48"/>
      <c r="V383" s="48"/>
      <c r="W383" s="48"/>
      <c r="X383" s="48"/>
      <c r="Y383" s="48"/>
      <c r="Z383" s="48"/>
    </row>
    <row r="384" ht="15.75" customHeight="1">
      <c r="A384" s="49"/>
      <c r="B384" s="49"/>
      <c r="C384" s="49"/>
      <c r="D384" s="49"/>
      <c r="E384" s="49"/>
      <c r="F384" s="49"/>
      <c r="G384" s="49"/>
      <c r="H384" s="49"/>
      <c r="I384" s="49"/>
      <c r="J384" s="49"/>
      <c r="K384" s="49"/>
      <c r="L384" s="49"/>
      <c r="M384" s="49"/>
      <c r="N384" s="49"/>
      <c r="O384" s="48"/>
      <c r="P384" s="48"/>
      <c r="Q384" s="48"/>
      <c r="R384" s="48"/>
      <c r="S384" s="48"/>
      <c r="T384" s="48"/>
      <c r="U384" s="48"/>
      <c r="V384" s="48"/>
      <c r="W384" s="48"/>
      <c r="X384" s="48"/>
      <c r="Y384" s="48"/>
      <c r="Z384" s="48"/>
    </row>
    <row r="385" ht="15.75" customHeight="1">
      <c r="A385" s="49"/>
      <c r="B385" s="49"/>
      <c r="C385" s="49"/>
      <c r="D385" s="49"/>
      <c r="E385" s="49"/>
      <c r="F385" s="49"/>
      <c r="G385" s="49"/>
      <c r="H385" s="49"/>
      <c r="I385" s="49"/>
      <c r="J385" s="49"/>
      <c r="K385" s="49"/>
      <c r="L385" s="49"/>
      <c r="M385" s="49"/>
      <c r="N385" s="49"/>
      <c r="O385" s="48"/>
      <c r="P385" s="48"/>
      <c r="Q385" s="48"/>
      <c r="R385" s="48"/>
      <c r="S385" s="48"/>
      <c r="T385" s="48"/>
      <c r="U385" s="48"/>
      <c r="V385" s="48"/>
      <c r="W385" s="48"/>
      <c r="X385" s="48"/>
      <c r="Y385" s="48"/>
      <c r="Z385" s="48"/>
    </row>
    <row r="386" ht="15.75" customHeight="1">
      <c r="A386" s="49"/>
      <c r="B386" s="49"/>
      <c r="C386" s="49"/>
      <c r="D386" s="49"/>
      <c r="E386" s="49"/>
      <c r="F386" s="49"/>
      <c r="G386" s="49"/>
      <c r="H386" s="49"/>
      <c r="I386" s="49"/>
      <c r="J386" s="49"/>
      <c r="K386" s="49"/>
      <c r="L386" s="49"/>
      <c r="M386" s="49"/>
      <c r="N386" s="49"/>
      <c r="O386" s="48"/>
      <c r="P386" s="48"/>
      <c r="Q386" s="48"/>
      <c r="R386" s="48"/>
      <c r="S386" s="48"/>
      <c r="T386" s="48"/>
      <c r="U386" s="48"/>
      <c r="V386" s="48"/>
      <c r="W386" s="48"/>
      <c r="X386" s="48"/>
      <c r="Y386" s="48"/>
      <c r="Z386" s="48"/>
    </row>
    <row r="387" ht="15.75" customHeight="1">
      <c r="A387" s="49"/>
      <c r="B387" s="49"/>
      <c r="C387" s="49"/>
      <c r="D387" s="49"/>
      <c r="E387" s="49"/>
      <c r="F387" s="49"/>
      <c r="G387" s="49"/>
      <c r="H387" s="49"/>
      <c r="I387" s="49"/>
      <c r="J387" s="49"/>
      <c r="K387" s="49"/>
      <c r="L387" s="49"/>
      <c r="M387" s="49"/>
      <c r="N387" s="49"/>
      <c r="O387" s="48"/>
      <c r="P387" s="48"/>
      <c r="Q387" s="48"/>
      <c r="R387" s="48"/>
      <c r="S387" s="48"/>
      <c r="T387" s="48"/>
      <c r="U387" s="48"/>
      <c r="V387" s="48"/>
      <c r="W387" s="48"/>
      <c r="X387" s="48"/>
      <c r="Y387" s="48"/>
      <c r="Z387" s="48"/>
    </row>
    <row r="388" ht="15.75" customHeight="1">
      <c r="A388" s="49"/>
      <c r="B388" s="49"/>
      <c r="C388" s="49"/>
      <c r="D388" s="49"/>
      <c r="E388" s="49"/>
      <c r="F388" s="49"/>
      <c r="G388" s="49"/>
      <c r="H388" s="49"/>
      <c r="I388" s="49"/>
      <c r="J388" s="49"/>
      <c r="K388" s="49"/>
      <c r="L388" s="49"/>
      <c r="M388" s="49"/>
      <c r="N388" s="49"/>
      <c r="O388" s="48"/>
      <c r="P388" s="48"/>
      <c r="Q388" s="48"/>
      <c r="R388" s="48"/>
      <c r="S388" s="48"/>
      <c r="T388" s="48"/>
      <c r="U388" s="48"/>
      <c r="V388" s="48"/>
      <c r="W388" s="48"/>
      <c r="X388" s="48"/>
      <c r="Y388" s="48"/>
      <c r="Z388" s="48"/>
    </row>
    <row r="389" ht="15.75" customHeight="1">
      <c r="A389" s="49"/>
      <c r="B389" s="49"/>
      <c r="C389" s="49"/>
      <c r="D389" s="49"/>
      <c r="E389" s="49"/>
      <c r="F389" s="49"/>
      <c r="G389" s="49"/>
      <c r="H389" s="49"/>
      <c r="I389" s="49"/>
      <c r="J389" s="49"/>
      <c r="K389" s="49"/>
      <c r="L389" s="49"/>
      <c r="M389" s="49"/>
      <c r="N389" s="49"/>
      <c r="O389" s="48"/>
      <c r="P389" s="48"/>
      <c r="Q389" s="48"/>
      <c r="R389" s="48"/>
      <c r="S389" s="48"/>
      <c r="T389" s="48"/>
      <c r="U389" s="48"/>
      <c r="V389" s="48"/>
      <c r="W389" s="48"/>
      <c r="X389" s="48"/>
      <c r="Y389" s="48"/>
      <c r="Z389" s="48"/>
    </row>
    <row r="390" ht="15.75" customHeight="1">
      <c r="A390" s="49"/>
      <c r="B390" s="49"/>
      <c r="C390" s="49"/>
      <c r="D390" s="49"/>
      <c r="E390" s="49"/>
      <c r="F390" s="49"/>
      <c r="G390" s="49"/>
      <c r="H390" s="49"/>
      <c r="I390" s="49"/>
      <c r="J390" s="49"/>
      <c r="K390" s="49"/>
      <c r="L390" s="49"/>
      <c r="M390" s="49"/>
      <c r="N390" s="49"/>
      <c r="O390" s="48"/>
      <c r="P390" s="48"/>
      <c r="Q390" s="48"/>
      <c r="R390" s="48"/>
      <c r="S390" s="48"/>
      <c r="T390" s="48"/>
      <c r="U390" s="48"/>
      <c r="V390" s="48"/>
      <c r="W390" s="48"/>
      <c r="X390" s="48"/>
      <c r="Y390" s="48"/>
      <c r="Z390" s="48"/>
    </row>
    <row r="391" ht="15.75" customHeight="1">
      <c r="A391" s="49"/>
      <c r="B391" s="49"/>
      <c r="C391" s="49"/>
      <c r="D391" s="49"/>
      <c r="E391" s="49"/>
      <c r="F391" s="49"/>
      <c r="G391" s="49"/>
      <c r="H391" s="49"/>
      <c r="I391" s="49"/>
      <c r="J391" s="49"/>
      <c r="K391" s="49"/>
      <c r="L391" s="49"/>
      <c r="M391" s="49"/>
      <c r="N391" s="49"/>
      <c r="O391" s="48"/>
      <c r="P391" s="48"/>
      <c r="Q391" s="48"/>
      <c r="R391" s="48"/>
      <c r="S391" s="48"/>
      <c r="T391" s="48"/>
      <c r="U391" s="48"/>
      <c r="V391" s="48"/>
      <c r="W391" s="48"/>
      <c r="X391" s="48"/>
      <c r="Y391" s="48"/>
      <c r="Z391" s="48"/>
    </row>
    <row r="392" ht="15.75" customHeight="1">
      <c r="A392" s="49"/>
      <c r="B392" s="49"/>
      <c r="C392" s="49"/>
      <c r="D392" s="49"/>
      <c r="E392" s="49"/>
      <c r="F392" s="49"/>
      <c r="G392" s="49"/>
      <c r="H392" s="49"/>
      <c r="I392" s="49"/>
      <c r="J392" s="49"/>
      <c r="K392" s="49"/>
      <c r="L392" s="49"/>
      <c r="M392" s="49"/>
      <c r="N392" s="49"/>
      <c r="O392" s="48"/>
      <c r="P392" s="48"/>
      <c r="Q392" s="48"/>
      <c r="R392" s="48"/>
      <c r="S392" s="48"/>
      <c r="T392" s="48"/>
      <c r="U392" s="48"/>
      <c r="V392" s="48"/>
      <c r="W392" s="48"/>
      <c r="X392" s="48"/>
      <c r="Y392" s="48"/>
      <c r="Z392" s="48"/>
    </row>
    <row r="393" ht="15.75" customHeight="1">
      <c r="A393" s="49"/>
      <c r="B393" s="49"/>
      <c r="C393" s="49"/>
      <c r="D393" s="49"/>
      <c r="E393" s="49"/>
      <c r="F393" s="49"/>
      <c r="G393" s="49"/>
      <c r="H393" s="49"/>
      <c r="I393" s="49"/>
      <c r="J393" s="49"/>
      <c r="K393" s="49"/>
      <c r="L393" s="49"/>
      <c r="M393" s="49"/>
      <c r="N393" s="49"/>
      <c r="O393" s="48"/>
      <c r="P393" s="48"/>
      <c r="Q393" s="48"/>
      <c r="R393" s="48"/>
      <c r="S393" s="48"/>
      <c r="T393" s="48"/>
      <c r="U393" s="48"/>
      <c r="V393" s="48"/>
      <c r="W393" s="48"/>
      <c r="X393" s="48"/>
      <c r="Y393" s="48"/>
      <c r="Z393" s="48"/>
    </row>
    <row r="394" ht="15.75" customHeight="1">
      <c r="A394" s="49"/>
      <c r="B394" s="49"/>
      <c r="C394" s="49"/>
      <c r="D394" s="49"/>
      <c r="E394" s="49"/>
      <c r="F394" s="49"/>
      <c r="G394" s="49"/>
      <c r="H394" s="49"/>
      <c r="I394" s="49"/>
      <c r="J394" s="49"/>
      <c r="K394" s="49"/>
      <c r="L394" s="49"/>
      <c r="M394" s="49"/>
      <c r="N394" s="49"/>
      <c r="O394" s="48"/>
      <c r="P394" s="48"/>
      <c r="Q394" s="48"/>
      <c r="R394" s="48"/>
      <c r="S394" s="48"/>
      <c r="T394" s="48"/>
      <c r="U394" s="48"/>
      <c r="V394" s="48"/>
      <c r="W394" s="48"/>
      <c r="X394" s="48"/>
      <c r="Y394" s="48"/>
      <c r="Z394" s="48"/>
    </row>
    <row r="395" ht="15.75" customHeight="1">
      <c r="A395" s="49"/>
      <c r="B395" s="49"/>
      <c r="C395" s="49"/>
      <c r="D395" s="49"/>
      <c r="E395" s="49"/>
      <c r="F395" s="49"/>
      <c r="G395" s="49"/>
      <c r="H395" s="49"/>
      <c r="I395" s="49"/>
      <c r="J395" s="49"/>
      <c r="K395" s="49"/>
      <c r="L395" s="49"/>
      <c r="M395" s="49"/>
      <c r="N395" s="49"/>
      <c r="O395" s="48"/>
      <c r="P395" s="48"/>
      <c r="Q395" s="48"/>
      <c r="R395" s="48"/>
      <c r="S395" s="48"/>
      <c r="T395" s="48"/>
      <c r="U395" s="48"/>
      <c r="V395" s="48"/>
      <c r="W395" s="48"/>
      <c r="X395" s="48"/>
      <c r="Y395" s="48"/>
      <c r="Z395" s="48"/>
    </row>
    <row r="396" ht="15.75" customHeight="1">
      <c r="A396" s="49"/>
      <c r="B396" s="49"/>
      <c r="C396" s="49"/>
      <c r="D396" s="49"/>
      <c r="E396" s="49"/>
      <c r="F396" s="49"/>
      <c r="G396" s="49"/>
      <c r="H396" s="49"/>
      <c r="I396" s="49"/>
      <c r="J396" s="49"/>
      <c r="K396" s="49"/>
      <c r="L396" s="49"/>
      <c r="M396" s="49"/>
      <c r="N396" s="49"/>
      <c r="O396" s="48"/>
      <c r="P396" s="48"/>
      <c r="Q396" s="48"/>
      <c r="R396" s="48"/>
      <c r="S396" s="48"/>
      <c r="T396" s="48"/>
      <c r="U396" s="48"/>
      <c r="V396" s="48"/>
      <c r="W396" s="48"/>
      <c r="X396" s="48"/>
      <c r="Y396" s="48"/>
      <c r="Z396" s="48"/>
    </row>
    <row r="397" ht="15.75" customHeight="1">
      <c r="A397" s="49"/>
      <c r="B397" s="49"/>
      <c r="C397" s="49"/>
      <c r="D397" s="49"/>
      <c r="E397" s="49"/>
      <c r="F397" s="49"/>
      <c r="G397" s="49"/>
      <c r="H397" s="49"/>
      <c r="I397" s="49"/>
      <c r="J397" s="49"/>
      <c r="K397" s="49"/>
      <c r="L397" s="49"/>
      <c r="M397" s="49"/>
      <c r="N397" s="49"/>
      <c r="O397" s="48"/>
      <c r="P397" s="48"/>
      <c r="Q397" s="48"/>
      <c r="R397" s="48"/>
      <c r="S397" s="48"/>
      <c r="T397" s="48"/>
      <c r="U397" s="48"/>
      <c r="V397" s="48"/>
      <c r="W397" s="48"/>
      <c r="X397" s="48"/>
      <c r="Y397" s="48"/>
      <c r="Z397" s="48"/>
    </row>
    <row r="398" ht="15.75" customHeight="1">
      <c r="A398" s="49"/>
      <c r="B398" s="49"/>
      <c r="C398" s="49"/>
      <c r="D398" s="49"/>
      <c r="E398" s="49"/>
      <c r="F398" s="49"/>
      <c r="G398" s="49"/>
      <c r="H398" s="49"/>
      <c r="I398" s="49"/>
      <c r="J398" s="49"/>
      <c r="K398" s="49"/>
      <c r="L398" s="49"/>
      <c r="M398" s="49"/>
      <c r="N398" s="49"/>
      <c r="O398" s="48"/>
      <c r="P398" s="48"/>
      <c r="Q398" s="48"/>
      <c r="R398" s="48"/>
      <c r="S398" s="48"/>
      <c r="T398" s="48"/>
      <c r="U398" s="48"/>
      <c r="V398" s="48"/>
      <c r="W398" s="48"/>
      <c r="X398" s="48"/>
      <c r="Y398" s="48"/>
      <c r="Z398" s="48"/>
    </row>
    <row r="399" ht="15.75" customHeight="1">
      <c r="A399" s="49"/>
      <c r="B399" s="49"/>
      <c r="C399" s="49"/>
      <c r="D399" s="49"/>
      <c r="E399" s="49"/>
      <c r="F399" s="49"/>
      <c r="G399" s="49"/>
      <c r="H399" s="49"/>
      <c r="I399" s="49"/>
      <c r="J399" s="49"/>
      <c r="K399" s="49"/>
      <c r="L399" s="49"/>
      <c r="M399" s="49"/>
      <c r="N399" s="49"/>
      <c r="O399" s="48"/>
      <c r="P399" s="48"/>
      <c r="Q399" s="48"/>
      <c r="R399" s="48"/>
      <c r="S399" s="48"/>
      <c r="T399" s="48"/>
      <c r="U399" s="48"/>
      <c r="V399" s="48"/>
      <c r="W399" s="48"/>
      <c r="X399" s="48"/>
      <c r="Y399" s="48"/>
      <c r="Z399" s="48"/>
    </row>
    <row r="400" ht="15.75" customHeight="1">
      <c r="A400" s="49"/>
      <c r="B400" s="49"/>
      <c r="C400" s="49"/>
      <c r="D400" s="49"/>
      <c r="E400" s="49"/>
      <c r="F400" s="49"/>
      <c r="G400" s="49"/>
      <c r="H400" s="49"/>
      <c r="I400" s="49"/>
      <c r="J400" s="49"/>
      <c r="K400" s="49"/>
      <c r="L400" s="49"/>
      <c r="M400" s="49"/>
      <c r="N400" s="49"/>
      <c r="O400" s="48"/>
      <c r="P400" s="48"/>
      <c r="Q400" s="48"/>
      <c r="R400" s="48"/>
      <c r="S400" s="48"/>
      <c r="T400" s="48"/>
      <c r="U400" s="48"/>
      <c r="V400" s="48"/>
      <c r="W400" s="48"/>
      <c r="X400" s="48"/>
      <c r="Y400" s="48"/>
      <c r="Z400" s="48"/>
    </row>
    <row r="401" ht="15.75" customHeight="1">
      <c r="A401" s="49"/>
      <c r="B401" s="49"/>
      <c r="C401" s="49"/>
      <c r="D401" s="49"/>
      <c r="E401" s="49"/>
      <c r="F401" s="49"/>
      <c r="G401" s="49"/>
      <c r="H401" s="49"/>
      <c r="I401" s="49"/>
      <c r="J401" s="49"/>
      <c r="K401" s="49"/>
      <c r="L401" s="49"/>
      <c r="M401" s="49"/>
      <c r="N401" s="49"/>
      <c r="O401" s="48"/>
      <c r="P401" s="48"/>
      <c r="Q401" s="48"/>
      <c r="R401" s="48"/>
      <c r="S401" s="48"/>
      <c r="T401" s="48"/>
      <c r="U401" s="48"/>
      <c r="V401" s="48"/>
      <c r="W401" s="48"/>
      <c r="X401" s="48"/>
      <c r="Y401" s="48"/>
      <c r="Z401" s="48"/>
    </row>
    <row r="402" ht="15.75" customHeight="1">
      <c r="A402" s="49"/>
      <c r="B402" s="49"/>
      <c r="C402" s="49"/>
      <c r="D402" s="49"/>
      <c r="E402" s="49"/>
      <c r="F402" s="49"/>
      <c r="G402" s="49"/>
      <c r="H402" s="49"/>
      <c r="I402" s="49"/>
      <c r="J402" s="49"/>
      <c r="K402" s="49"/>
      <c r="L402" s="49"/>
      <c r="M402" s="49"/>
      <c r="N402" s="49"/>
      <c r="O402" s="48"/>
      <c r="P402" s="48"/>
      <c r="Q402" s="48"/>
      <c r="R402" s="48"/>
      <c r="S402" s="48"/>
      <c r="T402" s="48"/>
      <c r="U402" s="48"/>
      <c r="V402" s="48"/>
      <c r="W402" s="48"/>
      <c r="X402" s="48"/>
      <c r="Y402" s="48"/>
      <c r="Z402" s="48"/>
    </row>
    <row r="403" ht="15.75" customHeight="1">
      <c r="A403" s="49"/>
      <c r="B403" s="49"/>
      <c r="C403" s="49"/>
      <c r="D403" s="49"/>
      <c r="E403" s="49"/>
      <c r="F403" s="49"/>
      <c r="G403" s="49"/>
      <c r="H403" s="49"/>
      <c r="I403" s="49"/>
      <c r="J403" s="49"/>
      <c r="K403" s="49"/>
      <c r="L403" s="49"/>
      <c r="M403" s="49"/>
      <c r="N403" s="49"/>
      <c r="O403" s="48"/>
      <c r="P403" s="48"/>
      <c r="Q403" s="48"/>
      <c r="R403" s="48"/>
      <c r="S403" s="48"/>
      <c r="T403" s="48"/>
      <c r="U403" s="48"/>
      <c r="V403" s="48"/>
      <c r="W403" s="48"/>
      <c r="X403" s="48"/>
      <c r="Y403" s="48"/>
      <c r="Z403" s="48"/>
    </row>
    <row r="404" ht="15.75" customHeight="1">
      <c r="A404" s="49"/>
      <c r="B404" s="49"/>
      <c r="C404" s="49"/>
      <c r="D404" s="49"/>
      <c r="E404" s="49"/>
      <c r="F404" s="49"/>
      <c r="G404" s="49"/>
      <c r="H404" s="49"/>
      <c r="I404" s="49"/>
      <c r="J404" s="49"/>
      <c r="K404" s="49"/>
      <c r="L404" s="49"/>
      <c r="M404" s="49"/>
      <c r="N404" s="49"/>
      <c r="O404" s="48"/>
      <c r="P404" s="48"/>
      <c r="Q404" s="48"/>
      <c r="R404" s="48"/>
      <c r="S404" s="48"/>
      <c r="T404" s="48"/>
      <c r="U404" s="48"/>
      <c r="V404" s="48"/>
      <c r="W404" s="48"/>
      <c r="X404" s="48"/>
      <c r="Y404" s="48"/>
      <c r="Z404" s="48"/>
    </row>
    <row r="405" ht="15.75" customHeight="1">
      <c r="A405" s="49"/>
      <c r="B405" s="49"/>
      <c r="C405" s="49"/>
      <c r="D405" s="49"/>
      <c r="E405" s="49"/>
      <c r="F405" s="49"/>
      <c r="G405" s="49"/>
      <c r="H405" s="49"/>
      <c r="I405" s="49"/>
      <c r="J405" s="49"/>
      <c r="K405" s="49"/>
      <c r="L405" s="49"/>
      <c r="M405" s="49"/>
      <c r="N405" s="49"/>
      <c r="O405" s="48"/>
      <c r="P405" s="48"/>
      <c r="Q405" s="48"/>
      <c r="R405" s="48"/>
      <c r="S405" s="48"/>
      <c r="T405" s="48"/>
      <c r="U405" s="48"/>
      <c r="V405" s="48"/>
      <c r="W405" s="48"/>
      <c r="X405" s="48"/>
      <c r="Y405" s="48"/>
      <c r="Z405" s="48"/>
    </row>
    <row r="406" ht="15.75" customHeight="1">
      <c r="A406" s="49"/>
      <c r="B406" s="49"/>
      <c r="C406" s="49"/>
      <c r="D406" s="49"/>
      <c r="E406" s="49"/>
      <c r="F406" s="49"/>
      <c r="G406" s="49"/>
      <c r="H406" s="49"/>
      <c r="I406" s="49"/>
      <c r="J406" s="49"/>
      <c r="K406" s="49"/>
      <c r="L406" s="49"/>
      <c r="M406" s="49"/>
      <c r="N406" s="49"/>
      <c r="O406" s="48"/>
      <c r="P406" s="48"/>
      <c r="Q406" s="48"/>
      <c r="R406" s="48"/>
      <c r="S406" s="48"/>
      <c r="T406" s="48"/>
      <c r="U406" s="48"/>
      <c r="V406" s="48"/>
      <c r="W406" s="48"/>
      <c r="X406" s="48"/>
      <c r="Y406" s="48"/>
      <c r="Z406" s="48"/>
    </row>
    <row r="407" ht="15.75" customHeight="1">
      <c r="A407" s="49"/>
      <c r="B407" s="49"/>
      <c r="C407" s="49"/>
      <c r="D407" s="49"/>
      <c r="E407" s="49"/>
      <c r="F407" s="49"/>
      <c r="G407" s="49"/>
      <c r="H407" s="49"/>
      <c r="I407" s="49"/>
      <c r="J407" s="49"/>
      <c r="K407" s="49"/>
      <c r="L407" s="49"/>
      <c r="M407" s="49"/>
      <c r="N407" s="49"/>
      <c r="O407" s="48"/>
      <c r="P407" s="48"/>
      <c r="Q407" s="48"/>
      <c r="R407" s="48"/>
      <c r="S407" s="48"/>
      <c r="T407" s="48"/>
      <c r="U407" s="48"/>
      <c r="V407" s="48"/>
      <c r="W407" s="48"/>
      <c r="X407" s="48"/>
      <c r="Y407" s="48"/>
      <c r="Z407" s="48"/>
    </row>
    <row r="408" ht="15.75" customHeight="1">
      <c r="A408" s="49"/>
      <c r="B408" s="49"/>
      <c r="C408" s="49"/>
      <c r="D408" s="49"/>
      <c r="E408" s="49"/>
      <c r="F408" s="49"/>
      <c r="G408" s="49"/>
      <c r="H408" s="49"/>
      <c r="I408" s="49"/>
      <c r="J408" s="49"/>
      <c r="K408" s="49"/>
      <c r="L408" s="49"/>
      <c r="M408" s="49"/>
      <c r="N408" s="49"/>
      <c r="O408" s="48"/>
      <c r="P408" s="48"/>
      <c r="Q408" s="48"/>
      <c r="R408" s="48"/>
      <c r="S408" s="48"/>
      <c r="T408" s="48"/>
      <c r="U408" s="48"/>
      <c r="V408" s="48"/>
      <c r="W408" s="48"/>
      <c r="X408" s="48"/>
      <c r="Y408" s="48"/>
      <c r="Z408" s="48"/>
    </row>
    <row r="409" ht="15.75" customHeight="1">
      <c r="A409" s="49"/>
      <c r="B409" s="49"/>
      <c r="C409" s="49"/>
      <c r="D409" s="49"/>
      <c r="E409" s="49"/>
      <c r="F409" s="49"/>
      <c r="G409" s="49"/>
      <c r="H409" s="49"/>
      <c r="I409" s="49"/>
      <c r="J409" s="49"/>
      <c r="K409" s="49"/>
      <c r="L409" s="49"/>
      <c r="M409" s="49"/>
      <c r="N409" s="49"/>
      <c r="O409" s="48"/>
      <c r="P409" s="48"/>
      <c r="Q409" s="48"/>
      <c r="R409" s="48"/>
      <c r="S409" s="48"/>
      <c r="T409" s="48"/>
      <c r="U409" s="48"/>
      <c r="V409" s="48"/>
      <c r="W409" s="48"/>
      <c r="X409" s="48"/>
      <c r="Y409" s="48"/>
      <c r="Z409" s="48"/>
    </row>
    <row r="410" ht="15.75" customHeight="1">
      <c r="A410" s="49"/>
      <c r="B410" s="49"/>
      <c r="C410" s="49"/>
      <c r="D410" s="49"/>
      <c r="E410" s="49"/>
      <c r="F410" s="49"/>
      <c r="G410" s="49"/>
      <c r="H410" s="49"/>
      <c r="I410" s="49"/>
      <c r="J410" s="49"/>
      <c r="K410" s="49"/>
      <c r="L410" s="49"/>
      <c r="M410" s="49"/>
      <c r="N410" s="49"/>
      <c r="O410" s="48"/>
      <c r="P410" s="48"/>
      <c r="Q410" s="48"/>
      <c r="R410" s="48"/>
      <c r="S410" s="48"/>
      <c r="T410" s="48"/>
      <c r="U410" s="48"/>
      <c r="V410" s="48"/>
      <c r="W410" s="48"/>
      <c r="X410" s="48"/>
      <c r="Y410" s="48"/>
      <c r="Z410" s="48"/>
    </row>
    <row r="411" ht="15.75" customHeight="1">
      <c r="A411" s="49"/>
      <c r="B411" s="49"/>
      <c r="C411" s="49"/>
      <c r="D411" s="49"/>
      <c r="E411" s="49"/>
      <c r="F411" s="49"/>
      <c r="G411" s="49"/>
      <c r="H411" s="49"/>
      <c r="I411" s="49"/>
      <c r="J411" s="49"/>
      <c r="K411" s="49"/>
      <c r="L411" s="49"/>
      <c r="M411" s="49"/>
      <c r="N411" s="49"/>
      <c r="O411" s="48"/>
      <c r="P411" s="48"/>
      <c r="Q411" s="48"/>
      <c r="R411" s="48"/>
      <c r="S411" s="48"/>
      <c r="T411" s="48"/>
      <c r="U411" s="48"/>
      <c r="V411" s="48"/>
      <c r="W411" s="48"/>
      <c r="X411" s="48"/>
      <c r="Y411" s="48"/>
      <c r="Z411" s="48"/>
    </row>
    <row r="412" ht="15.75" customHeight="1">
      <c r="A412" s="49"/>
      <c r="B412" s="49"/>
      <c r="C412" s="49"/>
      <c r="D412" s="49"/>
      <c r="E412" s="49"/>
      <c r="F412" s="49"/>
      <c r="G412" s="49"/>
      <c r="H412" s="49"/>
      <c r="I412" s="49"/>
      <c r="J412" s="49"/>
      <c r="K412" s="49"/>
      <c r="L412" s="49"/>
      <c r="M412" s="49"/>
      <c r="N412" s="49"/>
      <c r="O412" s="48"/>
      <c r="P412" s="48"/>
      <c r="Q412" s="48"/>
      <c r="R412" s="48"/>
      <c r="S412" s="48"/>
      <c r="T412" s="48"/>
      <c r="U412" s="48"/>
      <c r="V412" s="48"/>
      <c r="W412" s="48"/>
      <c r="X412" s="48"/>
      <c r="Y412" s="48"/>
      <c r="Z412" s="48"/>
    </row>
    <row r="413" ht="15.75" customHeight="1">
      <c r="A413" s="49"/>
      <c r="B413" s="49"/>
      <c r="C413" s="49"/>
      <c r="D413" s="49"/>
      <c r="E413" s="49"/>
      <c r="F413" s="49"/>
      <c r="G413" s="49"/>
      <c r="H413" s="49"/>
      <c r="I413" s="49"/>
      <c r="J413" s="49"/>
      <c r="K413" s="49"/>
      <c r="L413" s="49"/>
      <c r="M413" s="49"/>
      <c r="N413" s="49"/>
      <c r="O413" s="48"/>
      <c r="P413" s="48"/>
      <c r="Q413" s="48"/>
      <c r="R413" s="48"/>
      <c r="S413" s="48"/>
      <c r="T413" s="48"/>
      <c r="U413" s="48"/>
      <c r="V413" s="48"/>
      <c r="W413" s="48"/>
      <c r="X413" s="48"/>
      <c r="Y413" s="48"/>
      <c r="Z413" s="48"/>
    </row>
    <row r="414" ht="15.75" customHeight="1">
      <c r="A414" s="49"/>
      <c r="B414" s="49"/>
      <c r="C414" s="49"/>
      <c r="D414" s="49"/>
      <c r="E414" s="49"/>
      <c r="F414" s="49"/>
      <c r="G414" s="49"/>
      <c r="H414" s="49"/>
      <c r="I414" s="49"/>
      <c r="J414" s="49"/>
      <c r="K414" s="49"/>
      <c r="L414" s="49"/>
      <c r="M414" s="49"/>
      <c r="N414" s="49"/>
      <c r="O414" s="48"/>
      <c r="P414" s="48"/>
      <c r="Q414" s="48"/>
      <c r="R414" s="48"/>
      <c r="S414" s="48"/>
      <c r="T414" s="48"/>
      <c r="U414" s="48"/>
      <c r="V414" s="48"/>
      <c r="W414" s="48"/>
      <c r="X414" s="48"/>
      <c r="Y414" s="48"/>
      <c r="Z414" s="48"/>
    </row>
    <row r="415" ht="15.75" customHeight="1">
      <c r="A415" s="49"/>
      <c r="B415" s="49"/>
      <c r="C415" s="49"/>
      <c r="D415" s="49"/>
      <c r="E415" s="49"/>
      <c r="F415" s="49"/>
      <c r="G415" s="49"/>
      <c r="H415" s="49"/>
      <c r="I415" s="49"/>
      <c r="J415" s="49"/>
      <c r="K415" s="49"/>
      <c r="L415" s="49"/>
      <c r="M415" s="49"/>
      <c r="N415" s="49"/>
      <c r="O415" s="48"/>
      <c r="P415" s="48"/>
      <c r="Q415" s="48"/>
      <c r="R415" s="48"/>
      <c r="S415" s="48"/>
      <c r="T415" s="48"/>
      <c r="U415" s="48"/>
      <c r="V415" s="48"/>
      <c r="W415" s="48"/>
      <c r="X415" s="48"/>
      <c r="Y415" s="48"/>
      <c r="Z415" s="48"/>
    </row>
    <row r="416" ht="15.75" customHeight="1">
      <c r="A416" s="49"/>
      <c r="B416" s="49"/>
      <c r="C416" s="49"/>
      <c r="D416" s="49"/>
      <c r="E416" s="49"/>
      <c r="F416" s="49"/>
      <c r="G416" s="49"/>
      <c r="H416" s="49"/>
      <c r="I416" s="49"/>
      <c r="J416" s="49"/>
      <c r="K416" s="49"/>
      <c r="L416" s="49"/>
      <c r="M416" s="49"/>
      <c r="N416" s="49"/>
      <c r="O416" s="48"/>
      <c r="P416" s="48"/>
      <c r="Q416" s="48"/>
      <c r="R416" s="48"/>
      <c r="S416" s="48"/>
      <c r="T416" s="48"/>
      <c r="U416" s="48"/>
      <c r="V416" s="48"/>
      <c r="W416" s="48"/>
      <c r="X416" s="48"/>
      <c r="Y416" s="48"/>
      <c r="Z416" s="48"/>
    </row>
    <row r="417" ht="15.75" customHeight="1">
      <c r="A417" s="49"/>
      <c r="B417" s="49"/>
      <c r="C417" s="49"/>
      <c r="D417" s="49"/>
      <c r="E417" s="49"/>
      <c r="F417" s="49"/>
      <c r="G417" s="49"/>
      <c r="H417" s="49"/>
      <c r="I417" s="49"/>
      <c r="J417" s="49"/>
      <c r="K417" s="49"/>
      <c r="L417" s="49"/>
      <c r="M417" s="49"/>
      <c r="N417" s="49"/>
      <c r="O417" s="48"/>
      <c r="P417" s="48"/>
      <c r="Q417" s="48"/>
      <c r="R417" s="48"/>
      <c r="S417" s="48"/>
      <c r="T417" s="48"/>
      <c r="U417" s="48"/>
      <c r="V417" s="48"/>
      <c r="W417" s="48"/>
      <c r="X417" s="48"/>
      <c r="Y417" s="48"/>
      <c r="Z417" s="48"/>
    </row>
    <row r="418" ht="15.75" customHeight="1">
      <c r="A418" s="49"/>
      <c r="B418" s="49"/>
      <c r="C418" s="49"/>
      <c r="D418" s="49"/>
      <c r="E418" s="49"/>
      <c r="F418" s="49"/>
      <c r="G418" s="49"/>
      <c r="H418" s="49"/>
      <c r="I418" s="49"/>
      <c r="J418" s="49"/>
      <c r="K418" s="49"/>
      <c r="L418" s="49"/>
      <c r="M418" s="49"/>
      <c r="N418" s="49"/>
      <c r="O418" s="48"/>
      <c r="P418" s="48"/>
      <c r="Q418" s="48"/>
      <c r="R418" s="48"/>
      <c r="S418" s="48"/>
      <c r="T418" s="48"/>
      <c r="U418" s="48"/>
      <c r="V418" s="48"/>
      <c r="W418" s="48"/>
      <c r="X418" s="48"/>
      <c r="Y418" s="48"/>
      <c r="Z418" s="48"/>
    </row>
    <row r="419" ht="15.75" customHeight="1">
      <c r="A419" s="49"/>
      <c r="B419" s="49"/>
      <c r="C419" s="49"/>
      <c r="D419" s="49"/>
      <c r="E419" s="49"/>
      <c r="F419" s="49"/>
      <c r="G419" s="49"/>
      <c r="H419" s="49"/>
      <c r="I419" s="49"/>
      <c r="J419" s="49"/>
      <c r="K419" s="49"/>
      <c r="L419" s="49"/>
      <c r="M419" s="49"/>
      <c r="N419" s="49"/>
      <c r="O419" s="48"/>
      <c r="P419" s="48"/>
      <c r="Q419" s="48"/>
      <c r="R419" s="48"/>
      <c r="S419" s="48"/>
      <c r="T419" s="48"/>
      <c r="U419" s="48"/>
      <c r="V419" s="48"/>
      <c r="W419" s="48"/>
      <c r="X419" s="48"/>
      <c r="Y419" s="48"/>
      <c r="Z419" s="48"/>
    </row>
    <row r="420" ht="15.75" customHeight="1">
      <c r="A420" s="49"/>
      <c r="B420" s="49"/>
      <c r="C420" s="49"/>
      <c r="D420" s="49"/>
      <c r="E420" s="49"/>
      <c r="F420" s="49"/>
      <c r="G420" s="49"/>
      <c r="H420" s="49"/>
      <c r="I420" s="49"/>
      <c r="J420" s="49"/>
      <c r="K420" s="49"/>
      <c r="L420" s="49"/>
      <c r="M420" s="49"/>
      <c r="N420" s="49"/>
      <c r="O420" s="48"/>
      <c r="P420" s="48"/>
      <c r="Q420" s="48"/>
      <c r="R420" s="48"/>
      <c r="S420" s="48"/>
      <c r="T420" s="48"/>
      <c r="U420" s="48"/>
      <c r="V420" s="48"/>
      <c r="W420" s="48"/>
      <c r="X420" s="48"/>
      <c r="Y420" s="48"/>
      <c r="Z420" s="48"/>
    </row>
    <row r="421" ht="15.75" customHeight="1">
      <c r="A421" s="49"/>
      <c r="B421" s="49"/>
      <c r="C421" s="49"/>
      <c r="D421" s="49"/>
      <c r="E421" s="49"/>
      <c r="F421" s="49"/>
      <c r="G421" s="49"/>
      <c r="H421" s="49"/>
      <c r="I421" s="49"/>
      <c r="J421" s="49"/>
      <c r="K421" s="49"/>
      <c r="L421" s="49"/>
      <c r="M421" s="49"/>
      <c r="N421" s="49"/>
      <c r="O421" s="48"/>
      <c r="P421" s="48"/>
      <c r="Q421" s="48"/>
      <c r="R421" s="48"/>
      <c r="S421" s="48"/>
      <c r="T421" s="48"/>
      <c r="U421" s="48"/>
      <c r="V421" s="48"/>
      <c r="W421" s="48"/>
      <c r="X421" s="48"/>
      <c r="Y421" s="48"/>
      <c r="Z421" s="48"/>
    </row>
    <row r="422" ht="15.75" customHeight="1">
      <c r="A422" s="49"/>
      <c r="B422" s="49"/>
      <c r="C422" s="49"/>
      <c r="D422" s="49"/>
      <c r="E422" s="49"/>
      <c r="F422" s="49"/>
      <c r="G422" s="49"/>
      <c r="H422" s="49"/>
      <c r="I422" s="49"/>
      <c r="J422" s="49"/>
      <c r="K422" s="49"/>
      <c r="L422" s="49"/>
      <c r="M422" s="49"/>
      <c r="N422" s="49"/>
      <c r="O422" s="48"/>
      <c r="P422" s="48"/>
      <c r="Q422" s="48"/>
      <c r="R422" s="48"/>
      <c r="S422" s="48"/>
      <c r="T422" s="48"/>
      <c r="U422" s="48"/>
      <c r="V422" s="48"/>
      <c r="W422" s="48"/>
      <c r="X422" s="48"/>
      <c r="Y422" s="48"/>
      <c r="Z422" s="48"/>
    </row>
    <row r="423" ht="15.75" customHeight="1">
      <c r="A423" s="49"/>
      <c r="B423" s="49"/>
      <c r="C423" s="49"/>
      <c r="D423" s="49"/>
      <c r="E423" s="49"/>
      <c r="F423" s="49"/>
      <c r="G423" s="49"/>
      <c r="H423" s="49"/>
      <c r="I423" s="49"/>
      <c r="J423" s="49"/>
      <c r="K423" s="49"/>
      <c r="L423" s="49"/>
      <c r="M423" s="49"/>
      <c r="N423" s="49"/>
      <c r="O423" s="48"/>
      <c r="P423" s="48"/>
      <c r="Q423" s="48"/>
      <c r="R423" s="48"/>
      <c r="S423" s="48"/>
      <c r="T423" s="48"/>
      <c r="U423" s="48"/>
      <c r="V423" s="48"/>
      <c r="W423" s="48"/>
      <c r="X423" s="48"/>
      <c r="Y423" s="48"/>
      <c r="Z423" s="48"/>
    </row>
    <row r="424" ht="15.75" customHeight="1">
      <c r="A424" s="49"/>
      <c r="B424" s="49"/>
      <c r="C424" s="49"/>
      <c r="D424" s="49"/>
      <c r="E424" s="49"/>
      <c r="F424" s="49"/>
      <c r="G424" s="49"/>
      <c r="H424" s="49"/>
      <c r="I424" s="49"/>
      <c r="J424" s="49"/>
      <c r="K424" s="49"/>
      <c r="L424" s="49"/>
      <c r="M424" s="49"/>
      <c r="N424" s="49"/>
      <c r="O424" s="48"/>
      <c r="P424" s="48"/>
      <c r="Q424" s="48"/>
      <c r="R424" s="48"/>
      <c r="S424" s="48"/>
      <c r="T424" s="48"/>
      <c r="U424" s="48"/>
      <c r="V424" s="48"/>
      <c r="W424" s="48"/>
      <c r="X424" s="48"/>
      <c r="Y424" s="48"/>
      <c r="Z424" s="48"/>
    </row>
    <row r="425" ht="15.75" customHeight="1">
      <c r="A425" s="49"/>
      <c r="B425" s="49"/>
      <c r="C425" s="49"/>
      <c r="D425" s="49"/>
      <c r="E425" s="49"/>
      <c r="F425" s="49"/>
      <c r="G425" s="49"/>
      <c r="H425" s="49"/>
      <c r="I425" s="49"/>
      <c r="J425" s="49"/>
      <c r="K425" s="49"/>
      <c r="L425" s="49"/>
      <c r="M425" s="49"/>
      <c r="N425" s="49"/>
      <c r="O425" s="48"/>
      <c r="P425" s="48"/>
      <c r="Q425" s="48"/>
      <c r="R425" s="48"/>
      <c r="S425" s="48"/>
      <c r="T425" s="48"/>
      <c r="U425" s="48"/>
      <c r="V425" s="48"/>
      <c r="W425" s="48"/>
      <c r="X425" s="48"/>
      <c r="Y425" s="48"/>
      <c r="Z425" s="48"/>
    </row>
    <row r="426" ht="15.75" customHeight="1">
      <c r="A426" s="49"/>
      <c r="B426" s="49"/>
      <c r="C426" s="49"/>
      <c r="D426" s="49"/>
      <c r="E426" s="49"/>
      <c r="F426" s="49"/>
      <c r="G426" s="49"/>
      <c r="H426" s="49"/>
      <c r="I426" s="49"/>
      <c r="J426" s="49"/>
      <c r="K426" s="49"/>
      <c r="L426" s="49"/>
      <c r="M426" s="49"/>
      <c r="N426" s="49"/>
      <c r="O426" s="48"/>
      <c r="P426" s="48"/>
      <c r="Q426" s="48"/>
      <c r="R426" s="48"/>
      <c r="S426" s="48"/>
      <c r="T426" s="48"/>
      <c r="U426" s="48"/>
      <c r="V426" s="48"/>
      <c r="W426" s="48"/>
      <c r="X426" s="48"/>
      <c r="Y426" s="48"/>
      <c r="Z426" s="48"/>
    </row>
    <row r="427" ht="15.75" customHeight="1">
      <c r="A427" s="49"/>
      <c r="B427" s="49"/>
      <c r="C427" s="49"/>
      <c r="D427" s="49"/>
      <c r="E427" s="49"/>
      <c r="F427" s="49"/>
      <c r="G427" s="49"/>
      <c r="H427" s="49"/>
      <c r="I427" s="49"/>
      <c r="J427" s="49"/>
      <c r="K427" s="49"/>
      <c r="L427" s="49"/>
      <c r="M427" s="49"/>
      <c r="N427" s="49"/>
      <c r="O427" s="48"/>
      <c r="P427" s="48"/>
      <c r="Q427" s="48"/>
      <c r="R427" s="48"/>
      <c r="S427" s="48"/>
      <c r="T427" s="48"/>
      <c r="U427" s="48"/>
      <c r="V427" s="48"/>
      <c r="W427" s="48"/>
      <c r="X427" s="48"/>
      <c r="Y427" s="48"/>
      <c r="Z427" s="48"/>
    </row>
    <row r="428" ht="15.75" customHeight="1">
      <c r="A428" s="49"/>
      <c r="B428" s="49"/>
      <c r="C428" s="49"/>
      <c r="D428" s="49"/>
      <c r="E428" s="49"/>
      <c r="F428" s="49"/>
      <c r="G428" s="49"/>
      <c r="H428" s="49"/>
      <c r="I428" s="49"/>
      <c r="J428" s="49"/>
      <c r="K428" s="49"/>
      <c r="L428" s="49"/>
      <c r="M428" s="49"/>
      <c r="N428" s="49"/>
      <c r="O428" s="48"/>
      <c r="P428" s="48"/>
      <c r="Q428" s="48"/>
      <c r="R428" s="48"/>
      <c r="S428" s="48"/>
      <c r="T428" s="48"/>
      <c r="U428" s="48"/>
      <c r="V428" s="48"/>
      <c r="W428" s="48"/>
      <c r="X428" s="48"/>
      <c r="Y428" s="48"/>
      <c r="Z428" s="48"/>
    </row>
    <row r="429" ht="15.75" customHeight="1">
      <c r="A429" s="49"/>
      <c r="B429" s="49"/>
      <c r="C429" s="49"/>
      <c r="D429" s="49"/>
      <c r="E429" s="49"/>
      <c r="F429" s="49"/>
      <c r="G429" s="49"/>
      <c r="H429" s="49"/>
      <c r="I429" s="49"/>
      <c r="J429" s="49"/>
      <c r="K429" s="49"/>
      <c r="L429" s="49"/>
      <c r="M429" s="49"/>
      <c r="N429" s="49"/>
      <c r="O429" s="48"/>
      <c r="P429" s="48"/>
      <c r="Q429" s="48"/>
      <c r="R429" s="48"/>
      <c r="S429" s="48"/>
      <c r="T429" s="48"/>
      <c r="U429" s="48"/>
      <c r="V429" s="48"/>
      <c r="W429" s="48"/>
      <c r="X429" s="48"/>
      <c r="Y429" s="48"/>
      <c r="Z429" s="48"/>
    </row>
    <row r="430" ht="15.75" customHeight="1">
      <c r="A430" s="49"/>
      <c r="B430" s="49"/>
      <c r="C430" s="49"/>
      <c r="D430" s="49"/>
      <c r="E430" s="49"/>
      <c r="F430" s="49"/>
      <c r="G430" s="49"/>
      <c r="H430" s="49"/>
      <c r="I430" s="49"/>
      <c r="J430" s="49"/>
      <c r="K430" s="49"/>
      <c r="L430" s="49"/>
      <c r="M430" s="49"/>
      <c r="N430" s="49"/>
      <c r="O430" s="48"/>
      <c r="P430" s="48"/>
      <c r="Q430" s="48"/>
      <c r="R430" s="48"/>
      <c r="S430" s="48"/>
      <c r="T430" s="48"/>
      <c r="U430" s="48"/>
      <c r="V430" s="48"/>
      <c r="W430" s="48"/>
      <c r="X430" s="48"/>
      <c r="Y430" s="48"/>
      <c r="Z430" s="48"/>
    </row>
    <row r="431" ht="15.75" customHeight="1">
      <c r="A431" s="49"/>
      <c r="B431" s="49"/>
      <c r="C431" s="49"/>
      <c r="D431" s="49"/>
      <c r="E431" s="49"/>
      <c r="F431" s="49"/>
      <c r="G431" s="49"/>
      <c r="H431" s="49"/>
      <c r="I431" s="49"/>
      <c r="J431" s="49"/>
      <c r="K431" s="49"/>
      <c r="L431" s="49"/>
      <c r="M431" s="49"/>
      <c r="N431" s="49"/>
      <c r="O431" s="48"/>
      <c r="P431" s="48"/>
      <c r="Q431" s="48"/>
      <c r="R431" s="48"/>
      <c r="S431" s="48"/>
      <c r="T431" s="48"/>
      <c r="U431" s="48"/>
      <c r="V431" s="48"/>
      <c r="W431" s="48"/>
      <c r="X431" s="48"/>
      <c r="Y431" s="48"/>
      <c r="Z431" s="48"/>
    </row>
    <row r="432" ht="15.75" customHeight="1">
      <c r="A432" s="49"/>
      <c r="B432" s="49"/>
      <c r="C432" s="49"/>
      <c r="D432" s="49"/>
      <c r="E432" s="49"/>
      <c r="F432" s="49"/>
      <c r="G432" s="49"/>
      <c r="H432" s="49"/>
      <c r="I432" s="49"/>
      <c r="J432" s="49"/>
      <c r="K432" s="49"/>
      <c r="L432" s="49"/>
      <c r="M432" s="49"/>
      <c r="N432" s="49"/>
      <c r="O432" s="48"/>
      <c r="P432" s="48"/>
      <c r="Q432" s="48"/>
      <c r="R432" s="48"/>
      <c r="S432" s="48"/>
      <c r="T432" s="48"/>
      <c r="U432" s="48"/>
      <c r="V432" s="48"/>
      <c r="W432" s="48"/>
      <c r="X432" s="48"/>
      <c r="Y432" s="48"/>
      <c r="Z432" s="48"/>
    </row>
    <row r="433" ht="15.75" customHeight="1">
      <c r="A433" s="49"/>
      <c r="B433" s="49"/>
      <c r="C433" s="49"/>
      <c r="D433" s="49"/>
      <c r="E433" s="49"/>
      <c r="F433" s="49"/>
      <c r="G433" s="49"/>
      <c r="H433" s="49"/>
      <c r="I433" s="49"/>
      <c r="J433" s="49"/>
      <c r="K433" s="49"/>
      <c r="L433" s="49"/>
      <c r="M433" s="49"/>
      <c r="N433" s="49"/>
      <c r="O433" s="48"/>
      <c r="P433" s="48"/>
      <c r="Q433" s="48"/>
      <c r="R433" s="48"/>
      <c r="S433" s="48"/>
      <c r="T433" s="48"/>
      <c r="U433" s="48"/>
      <c r="V433" s="48"/>
      <c r="W433" s="48"/>
      <c r="X433" s="48"/>
      <c r="Y433" s="48"/>
      <c r="Z433" s="48"/>
    </row>
    <row r="434" ht="15.75" customHeight="1">
      <c r="A434" s="49"/>
      <c r="B434" s="49"/>
      <c r="C434" s="49"/>
      <c r="D434" s="49"/>
      <c r="E434" s="49"/>
      <c r="F434" s="49"/>
      <c r="G434" s="49"/>
      <c r="H434" s="49"/>
      <c r="I434" s="49"/>
      <c r="J434" s="49"/>
      <c r="K434" s="49"/>
      <c r="L434" s="49"/>
      <c r="M434" s="49"/>
      <c r="N434" s="49"/>
      <c r="O434" s="48"/>
      <c r="P434" s="48"/>
      <c r="Q434" s="48"/>
      <c r="R434" s="48"/>
      <c r="S434" s="48"/>
      <c r="T434" s="48"/>
      <c r="U434" s="48"/>
      <c r="V434" s="48"/>
      <c r="W434" s="48"/>
      <c r="X434" s="48"/>
      <c r="Y434" s="48"/>
      <c r="Z434" s="48"/>
    </row>
    <row r="435" ht="15.75" customHeight="1">
      <c r="A435" s="49"/>
      <c r="B435" s="49"/>
      <c r="C435" s="49"/>
      <c r="D435" s="49"/>
      <c r="E435" s="49"/>
      <c r="F435" s="49"/>
      <c r="G435" s="49"/>
      <c r="H435" s="49"/>
      <c r="I435" s="49"/>
      <c r="J435" s="49"/>
      <c r="K435" s="49"/>
      <c r="L435" s="49"/>
      <c r="M435" s="49"/>
      <c r="N435" s="49"/>
      <c r="O435" s="48"/>
      <c r="P435" s="48"/>
      <c r="Q435" s="48"/>
      <c r="R435" s="48"/>
      <c r="S435" s="48"/>
      <c r="T435" s="48"/>
      <c r="U435" s="48"/>
      <c r="V435" s="48"/>
      <c r="W435" s="48"/>
      <c r="X435" s="48"/>
      <c r="Y435" s="48"/>
      <c r="Z435" s="48"/>
    </row>
    <row r="436" ht="15.75" customHeight="1">
      <c r="A436" s="49"/>
      <c r="B436" s="49"/>
      <c r="C436" s="49"/>
      <c r="D436" s="49"/>
      <c r="E436" s="49"/>
      <c r="F436" s="49"/>
      <c r="G436" s="49"/>
      <c r="H436" s="49"/>
      <c r="I436" s="49"/>
      <c r="J436" s="49"/>
      <c r="K436" s="49"/>
      <c r="L436" s="49"/>
      <c r="M436" s="49"/>
      <c r="N436" s="49"/>
      <c r="O436" s="48"/>
      <c r="P436" s="48"/>
      <c r="Q436" s="48"/>
      <c r="R436" s="48"/>
      <c r="S436" s="48"/>
      <c r="T436" s="48"/>
      <c r="U436" s="48"/>
      <c r="V436" s="48"/>
      <c r="W436" s="48"/>
      <c r="X436" s="48"/>
      <c r="Y436" s="48"/>
      <c r="Z436" s="48"/>
    </row>
    <row r="437" ht="15.75" customHeight="1">
      <c r="A437" s="49"/>
      <c r="B437" s="49"/>
      <c r="C437" s="49"/>
      <c r="D437" s="49"/>
      <c r="E437" s="49"/>
      <c r="F437" s="49"/>
      <c r="G437" s="49"/>
      <c r="H437" s="49"/>
      <c r="I437" s="49"/>
      <c r="J437" s="49"/>
      <c r="K437" s="49"/>
      <c r="L437" s="49"/>
      <c r="M437" s="49"/>
      <c r="N437" s="49"/>
      <c r="O437" s="48"/>
      <c r="P437" s="48"/>
      <c r="Q437" s="48"/>
      <c r="R437" s="48"/>
      <c r="S437" s="48"/>
      <c r="T437" s="48"/>
      <c r="U437" s="48"/>
      <c r="V437" s="48"/>
      <c r="W437" s="48"/>
      <c r="X437" s="48"/>
      <c r="Y437" s="48"/>
      <c r="Z437" s="48"/>
    </row>
    <row r="438" ht="15.75" customHeight="1">
      <c r="A438" s="49"/>
      <c r="B438" s="49"/>
      <c r="C438" s="49"/>
      <c r="D438" s="49"/>
      <c r="E438" s="49"/>
      <c r="F438" s="49"/>
      <c r="G438" s="49"/>
      <c r="H438" s="49"/>
      <c r="I438" s="49"/>
      <c r="J438" s="49"/>
      <c r="K438" s="49"/>
      <c r="L438" s="49"/>
      <c r="M438" s="49"/>
      <c r="N438" s="49"/>
      <c r="O438" s="48"/>
      <c r="P438" s="48"/>
      <c r="Q438" s="48"/>
      <c r="R438" s="48"/>
      <c r="S438" s="48"/>
      <c r="T438" s="48"/>
      <c r="U438" s="48"/>
      <c r="V438" s="48"/>
      <c r="W438" s="48"/>
      <c r="X438" s="48"/>
      <c r="Y438" s="48"/>
      <c r="Z438" s="48"/>
    </row>
    <row r="439" ht="15.75" customHeight="1">
      <c r="A439" s="49"/>
      <c r="B439" s="49"/>
      <c r="C439" s="49"/>
      <c r="D439" s="49"/>
      <c r="E439" s="49"/>
      <c r="F439" s="49"/>
      <c r="G439" s="49"/>
      <c r="H439" s="49"/>
      <c r="I439" s="49"/>
      <c r="J439" s="49"/>
      <c r="K439" s="49"/>
      <c r="L439" s="49"/>
      <c r="M439" s="49"/>
      <c r="N439" s="49"/>
      <c r="O439" s="48"/>
      <c r="P439" s="48"/>
      <c r="Q439" s="48"/>
      <c r="R439" s="48"/>
      <c r="S439" s="48"/>
      <c r="T439" s="48"/>
      <c r="U439" s="48"/>
      <c r="V439" s="48"/>
      <c r="W439" s="48"/>
      <c r="X439" s="48"/>
      <c r="Y439" s="48"/>
      <c r="Z439" s="48"/>
    </row>
    <row r="440" ht="15.75" customHeight="1">
      <c r="A440" s="49"/>
      <c r="B440" s="49"/>
      <c r="C440" s="49"/>
      <c r="D440" s="49"/>
      <c r="E440" s="49"/>
      <c r="F440" s="49"/>
      <c r="G440" s="49"/>
      <c r="H440" s="49"/>
      <c r="I440" s="49"/>
      <c r="J440" s="49"/>
      <c r="K440" s="49"/>
      <c r="L440" s="49"/>
      <c r="M440" s="49"/>
      <c r="N440" s="49"/>
      <c r="O440" s="48"/>
      <c r="P440" s="48"/>
      <c r="Q440" s="48"/>
      <c r="R440" s="48"/>
      <c r="S440" s="48"/>
      <c r="T440" s="48"/>
      <c r="U440" s="48"/>
      <c r="V440" s="48"/>
      <c r="W440" s="48"/>
      <c r="X440" s="48"/>
      <c r="Y440" s="48"/>
      <c r="Z440" s="48"/>
    </row>
    <row r="441" ht="15.75" customHeight="1">
      <c r="A441" s="49"/>
      <c r="B441" s="49"/>
      <c r="C441" s="49"/>
      <c r="D441" s="49"/>
      <c r="E441" s="49"/>
      <c r="F441" s="49"/>
      <c r="G441" s="49"/>
      <c r="H441" s="49"/>
      <c r="I441" s="49"/>
      <c r="J441" s="49"/>
      <c r="K441" s="49"/>
      <c r="L441" s="49"/>
      <c r="M441" s="49"/>
      <c r="N441" s="49"/>
      <c r="O441" s="48"/>
      <c r="P441" s="48"/>
      <c r="Q441" s="48"/>
      <c r="R441" s="48"/>
      <c r="S441" s="48"/>
      <c r="T441" s="48"/>
      <c r="U441" s="48"/>
      <c r="V441" s="48"/>
      <c r="W441" s="48"/>
      <c r="X441" s="48"/>
      <c r="Y441" s="48"/>
      <c r="Z441" s="48"/>
    </row>
    <row r="442" ht="15.75" customHeight="1">
      <c r="A442" s="49"/>
      <c r="B442" s="49"/>
      <c r="C442" s="49"/>
      <c r="D442" s="49"/>
      <c r="E442" s="49"/>
      <c r="F442" s="49"/>
      <c r="G442" s="49"/>
      <c r="H442" s="49"/>
      <c r="I442" s="49"/>
      <c r="J442" s="49"/>
      <c r="K442" s="49"/>
      <c r="L442" s="49"/>
      <c r="M442" s="49"/>
      <c r="N442" s="49"/>
      <c r="O442" s="48"/>
      <c r="P442" s="48"/>
      <c r="Q442" s="48"/>
      <c r="R442" s="48"/>
      <c r="S442" s="48"/>
      <c r="T442" s="48"/>
      <c r="U442" s="48"/>
      <c r="V442" s="48"/>
      <c r="W442" s="48"/>
      <c r="X442" s="48"/>
      <c r="Y442" s="48"/>
      <c r="Z442" s="48"/>
    </row>
    <row r="443" ht="15.75" customHeight="1">
      <c r="A443" s="49"/>
      <c r="B443" s="49"/>
      <c r="C443" s="49"/>
      <c r="D443" s="49"/>
      <c r="E443" s="49"/>
      <c r="F443" s="49"/>
      <c r="G443" s="49"/>
      <c r="H443" s="49"/>
      <c r="I443" s="49"/>
      <c r="J443" s="49"/>
      <c r="K443" s="49"/>
      <c r="L443" s="49"/>
      <c r="M443" s="49"/>
      <c r="N443" s="49"/>
      <c r="O443" s="48"/>
      <c r="P443" s="48"/>
      <c r="Q443" s="48"/>
      <c r="R443" s="48"/>
      <c r="S443" s="48"/>
      <c r="T443" s="48"/>
      <c r="U443" s="48"/>
      <c r="V443" s="48"/>
      <c r="W443" s="48"/>
      <c r="X443" s="48"/>
      <c r="Y443" s="48"/>
      <c r="Z443" s="48"/>
    </row>
    <row r="444" ht="15.75" customHeight="1">
      <c r="A444" s="49"/>
      <c r="B444" s="49"/>
      <c r="C444" s="49"/>
      <c r="D444" s="49"/>
      <c r="E444" s="49"/>
      <c r="F444" s="49"/>
      <c r="G444" s="49"/>
      <c r="H444" s="49"/>
      <c r="I444" s="49"/>
      <c r="J444" s="49"/>
      <c r="K444" s="49"/>
      <c r="L444" s="49"/>
      <c r="M444" s="49"/>
      <c r="N444" s="49"/>
      <c r="O444" s="48"/>
      <c r="P444" s="48"/>
      <c r="Q444" s="48"/>
      <c r="R444" s="48"/>
      <c r="S444" s="48"/>
      <c r="T444" s="48"/>
      <c r="U444" s="48"/>
      <c r="V444" s="48"/>
      <c r="W444" s="48"/>
      <c r="X444" s="48"/>
      <c r="Y444" s="48"/>
      <c r="Z444" s="48"/>
    </row>
    <row r="445" ht="15.75" customHeight="1">
      <c r="A445" s="49"/>
      <c r="B445" s="49"/>
      <c r="C445" s="49"/>
      <c r="D445" s="49"/>
      <c r="E445" s="49"/>
      <c r="F445" s="49"/>
      <c r="G445" s="49"/>
      <c r="H445" s="49"/>
      <c r="I445" s="49"/>
      <c r="J445" s="49"/>
      <c r="K445" s="49"/>
      <c r="L445" s="49"/>
      <c r="M445" s="49"/>
      <c r="N445" s="49"/>
      <c r="O445" s="48"/>
      <c r="P445" s="48"/>
      <c r="Q445" s="48"/>
      <c r="R445" s="48"/>
      <c r="S445" s="48"/>
      <c r="T445" s="48"/>
      <c r="U445" s="48"/>
      <c r="V445" s="48"/>
      <c r="W445" s="48"/>
      <c r="X445" s="48"/>
      <c r="Y445" s="48"/>
      <c r="Z445" s="48"/>
    </row>
    <row r="446" ht="15.75" customHeight="1">
      <c r="A446" s="49"/>
      <c r="B446" s="49"/>
      <c r="C446" s="49"/>
      <c r="D446" s="49"/>
      <c r="E446" s="49"/>
      <c r="F446" s="49"/>
      <c r="G446" s="49"/>
      <c r="H446" s="49"/>
      <c r="I446" s="49"/>
      <c r="J446" s="49"/>
      <c r="K446" s="49"/>
      <c r="L446" s="49"/>
      <c r="M446" s="49"/>
      <c r="N446" s="49"/>
      <c r="O446" s="48"/>
      <c r="P446" s="48"/>
      <c r="Q446" s="48"/>
      <c r="R446" s="48"/>
      <c r="S446" s="48"/>
      <c r="T446" s="48"/>
      <c r="U446" s="48"/>
      <c r="V446" s="48"/>
      <c r="W446" s="48"/>
      <c r="X446" s="48"/>
      <c r="Y446" s="48"/>
      <c r="Z446" s="48"/>
    </row>
    <row r="447" ht="15.75" customHeight="1">
      <c r="A447" s="49"/>
      <c r="B447" s="49"/>
      <c r="C447" s="49"/>
      <c r="D447" s="49"/>
      <c r="E447" s="49"/>
      <c r="F447" s="49"/>
      <c r="G447" s="49"/>
      <c r="H447" s="49"/>
      <c r="I447" s="49"/>
      <c r="J447" s="49"/>
      <c r="K447" s="49"/>
      <c r="L447" s="49"/>
      <c r="M447" s="49"/>
      <c r="N447" s="49"/>
      <c r="O447" s="48"/>
      <c r="P447" s="48"/>
      <c r="Q447" s="48"/>
      <c r="R447" s="48"/>
      <c r="S447" s="48"/>
      <c r="T447" s="48"/>
      <c r="U447" s="48"/>
      <c r="V447" s="48"/>
      <c r="W447" s="48"/>
      <c r="X447" s="48"/>
      <c r="Y447" s="48"/>
      <c r="Z447" s="48"/>
    </row>
    <row r="448" ht="15.75" customHeight="1">
      <c r="A448" s="49"/>
      <c r="B448" s="49"/>
      <c r="C448" s="49"/>
      <c r="D448" s="49"/>
      <c r="E448" s="49"/>
      <c r="F448" s="49"/>
      <c r="G448" s="49"/>
      <c r="H448" s="49"/>
      <c r="I448" s="49"/>
      <c r="J448" s="49"/>
      <c r="K448" s="49"/>
      <c r="L448" s="49"/>
      <c r="M448" s="49"/>
      <c r="N448" s="49"/>
      <c r="O448" s="48"/>
      <c r="P448" s="48"/>
      <c r="Q448" s="48"/>
      <c r="R448" s="48"/>
      <c r="S448" s="48"/>
      <c r="T448" s="48"/>
      <c r="U448" s="48"/>
      <c r="V448" s="48"/>
      <c r="W448" s="48"/>
      <c r="X448" s="48"/>
      <c r="Y448" s="48"/>
      <c r="Z448" s="48"/>
    </row>
    <row r="449" ht="15.75" customHeight="1">
      <c r="A449" s="49"/>
      <c r="B449" s="49"/>
      <c r="C449" s="49"/>
      <c r="D449" s="49"/>
      <c r="E449" s="49"/>
      <c r="F449" s="49"/>
      <c r="G449" s="49"/>
      <c r="H449" s="49"/>
      <c r="I449" s="49"/>
      <c r="J449" s="49"/>
      <c r="K449" s="49"/>
      <c r="L449" s="49"/>
      <c r="M449" s="49"/>
      <c r="N449" s="49"/>
      <c r="O449" s="48"/>
      <c r="P449" s="48"/>
      <c r="Q449" s="48"/>
      <c r="R449" s="48"/>
      <c r="S449" s="48"/>
      <c r="T449" s="48"/>
      <c r="U449" s="48"/>
      <c r="V449" s="48"/>
      <c r="W449" s="48"/>
      <c r="X449" s="48"/>
      <c r="Y449" s="48"/>
      <c r="Z449" s="48"/>
    </row>
    <row r="450" ht="15.75" customHeight="1">
      <c r="A450" s="49"/>
      <c r="B450" s="49"/>
      <c r="C450" s="49"/>
      <c r="D450" s="49"/>
      <c r="E450" s="49"/>
      <c r="F450" s="49"/>
      <c r="G450" s="49"/>
      <c r="H450" s="49"/>
      <c r="I450" s="49"/>
      <c r="J450" s="49"/>
      <c r="K450" s="49"/>
      <c r="L450" s="49"/>
      <c r="M450" s="49"/>
      <c r="N450" s="49"/>
      <c r="O450" s="48"/>
      <c r="P450" s="48"/>
      <c r="Q450" s="48"/>
      <c r="R450" s="48"/>
      <c r="S450" s="48"/>
      <c r="T450" s="48"/>
      <c r="U450" s="48"/>
      <c r="V450" s="48"/>
      <c r="W450" s="48"/>
      <c r="X450" s="48"/>
      <c r="Y450" s="48"/>
      <c r="Z450" s="48"/>
    </row>
    <row r="451" ht="15.75" customHeight="1">
      <c r="A451" s="49"/>
      <c r="B451" s="49"/>
      <c r="C451" s="49"/>
      <c r="D451" s="49"/>
      <c r="E451" s="49"/>
      <c r="F451" s="49"/>
      <c r="G451" s="49"/>
      <c r="H451" s="49"/>
      <c r="I451" s="49"/>
      <c r="J451" s="49"/>
      <c r="K451" s="49"/>
      <c r="L451" s="49"/>
      <c r="M451" s="49"/>
      <c r="N451" s="49"/>
      <c r="O451" s="48"/>
      <c r="P451" s="48"/>
      <c r="Q451" s="48"/>
      <c r="R451" s="48"/>
      <c r="S451" s="48"/>
      <c r="T451" s="48"/>
      <c r="U451" s="48"/>
      <c r="V451" s="48"/>
      <c r="W451" s="48"/>
      <c r="X451" s="48"/>
      <c r="Y451" s="48"/>
      <c r="Z451" s="48"/>
    </row>
    <row r="452" ht="15.75" customHeight="1">
      <c r="A452" s="49"/>
      <c r="B452" s="49"/>
      <c r="C452" s="49"/>
      <c r="D452" s="49"/>
      <c r="E452" s="49"/>
      <c r="F452" s="49"/>
      <c r="G452" s="49"/>
      <c r="H452" s="49"/>
      <c r="I452" s="49"/>
      <c r="J452" s="49"/>
      <c r="K452" s="49"/>
      <c r="L452" s="49"/>
      <c r="M452" s="49"/>
      <c r="N452" s="49"/>
      <c r="O452" s="48"/>
      <c r="P452" s="48"/>
      <c r="Q452" s="48"/>
      <c r="R452" s="48"/>
      <c r="S452" s="48"/>
      <c r="T452" s="48"/>
      <c r="U452" s="48"/>
      <c r="V452" s="48"/>
      <c r="W452" s="48"/>
      <c r="X452" s="48"/>
      <c r="Y452" s="48"/>
      <c r="Z452" s="48"/>
    </row>
    <row r="453" ht="15.75" customHeight="1">
      <c r="A453" s="49"/>
      <c r="B453" s="49"/>
      <c r="C453" s="49"/>
      <c r="D453" s="49"/>
      <c r="E453" s="49"/>
      <c r="F453" s="49"/>
      <c r="G453" s="49"/>
      <c r="H453" s="49"/>
      <c r="I453" s="49"/>
      <c r="J453" s="49"/>
      <c r="K453" s="49"/>
      <c r="L453" s="49"/>
      <c r="M453" s="49"/>
      <c r="N453" s="49"/>
      <c r="O453" s="48"/>
      <c r="P453" s="48"/>
      <c r="Q453" s="48"/>
      <c r="R453" s="48"/>
      <c r="S453" s="48"/>
      <c r="T453" s="48"/>
      <c r="U453" s="48"/>
      <c r="V453" s="48"/>
      <c r="W453" s="48"/>
      <c r="X453" s="48"/>
      <c r="Y453" s="48"/>
      <c r="Z453" s="48"/>
    </row>
    <row r="454" ht="15.75" customHeight="1">
      <c r="A454" s="49"/>
      <c r="B454" s="49"/>
      <c r="C454" s="49"/>
      <c r="D454" s="49"/>
      <c r="E454" s="49"/>
      <c r="F454" s="49"/>
      <c r="G454" s="49"/>
      <c r="H454" s="49"/>
      <c r="I454" s="49"/>
      <c r="J454" s="49"/>
      <c r="K454" s="49"/>
      <c r="L454" s="49"/>
      <c r="M454" s="49"/>
      <c r="N454" s="49"/>
      <c r="O454" s="48"/>
      <c r="P454" s="48"/>
      <c r="Q454" s="48"/>
      <c r="R454" s="48"/>
      <c r="S454" s="48"/>
      <c r="T454" s="48"/>
      <c r="U454" s="48"/>
      <c r="V454" s="48"/>
      <c r="W454" s="48"/>
      <c r="X454" s="48"/>
      <c r="Y454" s="48"/>
      <c r="Z454" s="48"/>
    </row>
    <row r="455" ht="15.75" customHeight="1">
      <c r="A455" s="49"/>
      <c r="B455" s="49"/>
      <c r="C455" s="49"/>
      <c r="D455" s="49"/>
      <c r="E455" s="49"/>
      <c r="F455" s="49"/>
      <c r="G455" s="49"/>
      <c r="H455" s="49"/>
      <c r="I455" s="49"/>
      <c r="J455" s="49"/>
      <c r="K455" s="49"/>
      <c r="L455" s="49"/>
      <c r="M455" s="49"/>
      <c r="N455" s="49"/>
      <c r="O455" s="48"/>
      <c r="P455" s="48"/>
      <c r="Q455" s="48"/>
      <c r="R455" s="48"/>
      <c r="S455" s="48"/>
      <c r="T455" s="48"/>
      <c r="U455" s="48"/>
      <c r="V455" s="48"/>
      <c r="W455" s="48"/>
      <c r="X455" s="48"/>
      <c r="Y455" s="48"/>
      <c r="Z455" s="48"/>
    </row>
    <row r="456" ht="15.75" customHeight="1">
      <c r="A456" s="49"/>
      <c r="B456" s="49"/>
      <c r="C456" s="49"/>
      <c r="D456" s="49"/>
      <c r="E456" s="49"/>
      <c r="F456" s="49"/>
      <c r="G456" s="49"/>
      <c r="H456" s="49"/>
      <c r="I456" s="49"/>
      <c r="J456" s="49"/>
      <c r="K456" s="49"/>
      <c r="L456" s="49"/>
      <c r="M456" s="49"/>
      <c r="N456" s="49"/>
      <c r="O456" s="48"/>
      <c r="P456" s="48"/>
      <c r="Q456" s="48"/>
      <c r="R456" s="48"/>
      <c r="S456" s="48"/>
      <c r="T456" s="48"/>
      <c r="U456" s="48"/>
      <c r="V456" s="48"/>
      <c r="W456" s="48"/>
      <c r="X456" s="48"/>
      <c r="Y456" s="48"/>
      <c r="Z456" s="48"/>
    </row>
    <row r="457" ht="15.75" customHeight="1">
      <c r="A457" s="49"/>
      <c r="B457" s="49"/>
      <c r="C457" s="49"/>
      <c r="D457" s="49"/>
      <c r="E457" s="49"/>
      <c r="F457" s="49"/>
      <c r="G457" s="49"/>
      <c r="H457" s="49"/>
      <c r="I457" s="49"/>
      <c r="J457" s="49"/>
      <c r="K457" s="49"/>
      <c r="L457" s="49"/>
      <c r="M457" s="49"/>
      <c r="N457" s="49"/>
      <c r="O457" s="48"/>
      <c r="P457" s="48"/>
      <c r="Q457" s="48"/>
      <c r="R457" s="48"/>
      <c r="S457" s="48"/>
      <c r="T457" s="48"/>
      <c r="U457" s="48"/>
      <c r="V457" s="48"/>
      <c r="W457" s="48"/>
      <c r="X457" s="48"/>
      <c r="Y457" s="48"/>
      <c r="Z457" s="48"/>
    </row>
    <row r="458" ht="15.75" customHeight="1">
      <c r="A458" s="49"/>
      <c r="B458" s="49"/>
      <c r="C458" s="49"/>
      <c r="D458" s="49"/>
      <c r="E458" s="49"/>
      <c r="F458" s="49"/>
      <c r="G458" s="49"/>
      <c r="H458" s="49"/>
      <c r="I458" s="49"/>
      <c r="J458" s="49"/>
      <c r="K458" s="49"/>
      <c r="L458" s="49"/>
      <c r="M458" s="49"/>
      <c r="N458" s="49"/>
      <c r="O458" s="48"/>
      <c r="P458" s="48"/>
      <c r="Q458" s="48"/>
      <c r="R458" s="48"/>
      <c r="S458" s="48"/>
      <c r="T458" s="48"/>
      <c r="U458" s="48"/>
      <c r="V458" s="48"/>
      <c r="W458" s="48"/>
      <c r="X458" s="48"/>
      <c r="Y458" s="48"/>
      <c r="Z458" s="48"/>
    </row>
    <row r="459" ht="15.75" customHeight="1">
      <c r="A459" s="49"/>
      <c r="B459" s="49"/>
      <c r="C459" s="49"/>
      <c r="D459" s="49"/>
      <c r="E459" s="49"/>
      <c r="F459" s="49"/>
      <c r="G459" s="49"/>
      <c r="H459" s="49"/>
      <c r="I459" s="49"/>
      <c r="J459" s="49"/>
      <c r="K459" s="49"/>
      <c r="L459" s="49"/>
      <c r="M459" s="49"/>
      <c r="N459" s="49"/>
      <c r="O459" s="48"/>
      <c r="P459" s="48"/>
      <c r="Q459" s="48"/>
      <c r="R459" s="48"/>
      <c r="S459" s="48"/>
      <c r="T459" s="48"/>
      <c r="U459" s="48"/>
      <c r="V459" s="48"/>
      <c r="W459" s="48"/>
      <c r="X459" s="48"/>
      <c r="Y459" s="48"/>
      <c r="Z459" s="48"/>
    </row>
    <row r="460" ht="15.75" customHeight="1">
      <c r="A460" s="49"/>
      <c r="B460" s="49"/>
      <c r="C460" s="49"/>
      <c r="D460" s="49"/>
      <c r="E460" s="49"/>
      <c r="F460" s="49"/>
      <c r="G460" s="49"/>
      <c r="H460" s="49"/>
      <c r="I460" s="49"/>
      <c r="J460" s="49"/>
      <c r="K460" s="49"/>
      <c r="L460" s="49"/>
      <c r="M460" s="49"/>
      <c r="N460" s="49"/>
      <c r="O460" s="48"/>
      <c r="P460" s="48"/>
      <c r="Q460" s="48"/>
      <c r="R460" s="48"/>
      <c r="S460" s="48"/>
      <c r="T460" s="48"/>
      <c r="U460" s="48"/>
      <c r="V460" s="48"/>
      <c r="W460" s="48"/>
      <c r="X460" s="48"/>
      <c r="Y460" s="48"/>
      <c r="Z460" s="48"/>
    </row>
    <row r="461" ht="15.75" customHeight="1">
      <c r="A461" s="49"/>
      <c r="B461" s="49"/>
      <c r="C461" s="49"/>
      <c r="D461" s="49"/>
      <c r="E461" s="49"/>
      <c r="F461" s="49"/>
      <c r="G461" s="49"/>
      <c r="H461" s="49"/>
      <c r="I461" s="49"/>
      <c r="J461" s="49"/>
      <c r="K461" s="49"/>
      <c r="L461" s="49"/>
      <c r="M461" s="49"/>
      <c r="N461" s="49"/>
      <c r="O461" s="48"/>
      <c r="P461" s="48"/>
      <c r="Q461" s="48"/>
      <c r="R461" s="48"/>
      <c r="S461" s="48"/>
      <c r="T461" s="48"/>
      <c r="U461" s="48"/>
      <c r="V461" s="48"/>
      <c r="W461" s="48"/>
      <c r="X461" s="48"/>
      <c r="Y461" s="48"/>
      <c r="Z461" s="48"/>
    </row>
    <row r="462" ht="15.75" customHeight="1">
      <c r="A462" s="49"/>
      <c r="B462" s="49"/>
      <c r="C462" s="49"/>
      <c r="D462" s="49"/>
      <c r="E462" s="49"/>
      <c r="F462" s="49"/>
      <c r="G462" s="49"/>
      <c r="H462" s="49"/>
      <c r="I462" s="49"/>
      <c r="J462" s="49"/>
      <c r="K462" s="49"/>
      <c r="L462" s="49"/>
      <c r="M462" s="49"/>
      <c r="N462" s="49"/>
      <c r="O462" s="48"/>
      <c r="P462" s="48"/>
      <c r="Q462" s="48"/>
      <c r="R462" s="48"/>
      <c r="S462" s="48"/>
      <c r="T462" s="48"/>
      <c r="U462" s="48"/>
      <c r="V462" s="48"/>
      <c r="W462" s="48"/>
      <c r="X462" s="48"/>
      <c r="Y462" s="48"/>
      <c r="Z462" s="48"/>
    </row>
    <row r="463" ht="15.75" customHeight="1">
      <c r="A463" s="49"/>
      <c r="B463" s="49"/>
      <c r="C463" s="49"/>
      <c r="D463" s="49"/>
      <c r="E463" s="49"/>
      <c r="F463" s="49"/>
      <c r="G463" s="49"/>
      <c r="H463" s="49"/>
      <c r="I463" s="49"/>
      <c r="J463" s="49"/>
      <c r="K463" s="49"/>
      <c r="L463" s="49"/>
      <c r="M463" s="49"/>
      <c r="N463" s="49"/>
      <c r="O463" s="48"/>
      <c r="P463" s="48"/>
      <c r="Q463" s="48"/>
      <c r="R463" s="48"/>
      <c r="S463" s="48"/>
      <c r="T463" s="48"/>
      <c r="U463" s="48"/>
      <c r="V463" s="48"/>
      <c r="W463" s="48"/>
      <c r="X463" s="48"/>
      <c r="Y463" s="48"/>
      <c r="Z463" s="48"/>
    </row>
    <row r="464" ht="15.75" customHeight="1">
      <c r="A464" s="49"/>
      <c r="B464" s="49"/>
      <c r="C464" s="49"/>
      <c r="D464" s="49"/>
      <c r="E464" s="49"/>
      <c r="F464" s="49"/>
      <c r="G464" s="49"/>
      <c r="H464" s="49"/>
      <c r="I464" s="49"/>
      <c r="J464" s="49"/>
      <c r="K464" s="49"/>
      <c r="L464" s="49"/>
      <c r="M464" s="49"/>
      <c r="N464" s="49"/>
      <c r="O464" s="48"/>
      <c r="P464" s="48"/>
      <c r="Q464" s="48"/>
      <c r="R464" s="48"/>
      <c r="S464" s="48"/>
      <c r="T464" s="48"/>
      <c r="U464" s="48"/>
      <c r="V464" s="48"/>
      <c r="W464" s="48"/>
      <c r="X464" s="48"/>
      <c r="Y464" s="48"/>
      <c r="Z464" s="48"/>
    </row>
    <row r="465" ht="15.75" customHeight="1">
      <c r="A465" s="49"/>
      <c r="B465" s="49"/>
      <c r="C465" s="49"/>
      <c r="D465" s="49"/>
      <c r="E465" s="49"/>
      <c r="F465" s="49"/>
      <c r="G465" s="49"/>
      <c r="H465" s="49"/>
      <c r="I465" s="49"/>
      <c r="J465" s="49"/>
      <c r="K465" s="49"/>
      <c r="L465" s="49"/>
      <c r="M465" s="49"/>
      <c r="N465" s="49"/>
      <c r="O465" s="48"/>
      <c r="P465" s="48"/>
      <c r="Q465" s="48"/>
      <c r="R465" s="48"/>
      <c r="S465" s="48"/>
      <c r="T465" s="48"/>
      <c r="U465" s="48"/>
      <c r="V465" s="48"/>
      <c r="W465" s="48"/>
      <c r="X465" s="48"/>
      <c r="Y465" s="48"/>
      <c r="Z465" s="48"/>
    </row>
    <row r="466" ht="15.75" customHeight="1">
      <c r="A466" s="49"/>
      <c r="B466" s="49"/>
      <c r="C466" s="49"/>
      <c r="D466" s="49"/>
      <c r="E466" s="49"/>
      <c r="F466" s="49"/>
      <c r="G466" s="49"/>
      <c r="H466" s="49"/>
      <c r="I466" s="49"/>
      <c r="J466" s="49"/>
      <c r="K466" s="49"/>
      <c r="L466" s="49"/>
      <c r="M466" s="49"/>
      <c r="N466" s="49"/>
      <c r="O466" s="48"/>
      <c r="P466" s="48"/>
      <c r="Q466" s="48"/>
      <c r="R466" s="48"/>
      <c r="S466" s="48"/>
      <c r="T466" s="48"/>
      <c r="U466" s="48"/>
      <c r="V466" s="48"/>
      <c r="W466" s="48"/>
      <c r="X466" s="48"/>
      <c r="Y466" s="48"/>
      <c r="Z466" s="48"/>
    </row>
    <row r="467" ht="15.75" customHeight="1">
      <c r="A467" s="49"/>
      <c r="B467" s="49"/>
      <c r="C467" s="49"/>
      <c r="D467" s="49"/>
      <c r="E467" s="49"/>
      <c r="F467" s="49"/>
      <c r="G467" s="49"/>
      <c r="H467" s="49"/>
      <c r="I467" s="49"/>
      <c r="J467" s="49"/>
      <c r="K467" s="49"/>
      <c r="L467" s="49"/>
      <c r="M467" s="49"/>
      <c r="N467" s="49"/>
      <c r="O467" s="48"/>
      <c r="P467" s="48"/>
      <c r="Q467" s="48"/>
      <c r="R467" s="48"/>
      <c r="S467" s="48"/>
      <c r="T467" s="48"/>
      <c r="U467" s="48"/>
      <c r="V467" s="48"/>
      <c r="W467" s="48"/>
      <c r="X467" s="48"/>
      <c r="Y467" s="48"/>
      <c r="Z467" s="48"/>
    </row>
    <row r="468" ht="15.75" customHeight="1">
      <c r="A468" s="49"/>
      <c r="B468" s="49"/>
      <c r="C468" s="49"/>
      <c r="D468" s="49"/>
      <c r="E468" s="49"/>
      <c r="F468" s="49"/>
      <c r="G468" s="49"/>
      <c r="H468" s="49"/>
      <c r="I468" s="49"/>
      <c r="J468" s="49"/>
      <c r="K468" s="49"/>
      <c r="L468" s="49"/>
      <c r="M468" s="49"/>
      <c r="N468" s="49"/>
      <c r="O468" s="48"/>
      <c r="P468" s="48"/>
      <c r="Q468" s="48"/>
      <c r="R468" s="48"/>
      <c r="S468" s="48"/>
      <c r="T468" s="48"/>
      <c r="U468" s="48"/>
      <c r="V468" s="48"/>
      <c r="W468" s="48"/>
      <c r="X468" s="48"/>
      <c r="Y468" s="48"/>
      <c r="Z468" s="48"/>
    </row>
    <row r="469" ht="15.75" customHeight="1">
      <c r="A469" s="49"/>
      <c r="B469" s="49"/>
      <c r="C469" s="49"/>
      <c r="D469" s="49"/>
      <c r="E469" s="49"/>
      <c r="F469" s="49"/>
      <c r="G469" s="49"/>
      <c r="H469" s="49"/>
      <c r="I469" s="49"/>
      <c r="J469" s="49"/>
      <c r="K469" s="49"/>
      <c r="L469" s="49"/>
      <c r="M469" s="49"/>
      <c r="N469" s="49"/>
      <c r="O469" s="48"/>
      <c r="P469" s="48"/>
      <c r="Q469" s="48"/>
      <c r="R469" s="48"/>
      <c r="S469" s="48"/>
      <c r="T469" s="48"/>
      <c r="U469" s="48"/>
      <c r="V469" s="48"/>
      <c r="W469" s="48"/>
      <c r="X469" s="48"/>
      <c r="Y469" s="48"/>
      <c r="Z469" s="48"/>
    </row>
    <row r="470" ht="15.75" customHeight="1">
      <c r="A470" s="49"/>
      <c r="B470" s="49"/>
      <c r="C470" s="49"/>
      <c r="D470" s="49"/>
      <c r="E470" s="49"/>
      <c r="F470" s="49"/>
      <c r="G470" s="49"/>
      <c r="H470" s="49"/>
      <c r="I470" s="49"/>
      <c r="J470" s="49"/>
      <c r="K470" s="49"/>
      <c r="L470" s="49"/>
      <c r="M470" s="49"/>
      <c r="N470" s="49"/>
      <c r="O470" s="48"/>
      <c r="P470" s="48"/>
      <c r="Q470" s="48"/>
      <c r="R470" s="48"/>
      <c r="S470" s="48"/>
      <c r="T470" s="48"/>
      <c r="U470" s="48"/>
      <c r="V470" s="48"/>
      <c r="W470" s="48"/>
      <c r="X470" s="48"/>
      <c r="Y470" s="48"/>
      <c r="Z470" s="48"/>
    </row>
    <row r="471" ht="15.75" customHeight="1">
      <c r="A471" s="49"/>
      <c r="B471" s="49"/>
      <c r="C471" s="49"/>
      <c r="D471" s="49"/>
      <c r="E471" s="49"/>
      <c r="F471" s="49"/>
      <c r="G471" s="49"/>
      <c r="H471" s="49"/>
      <c r="I471" s="49"/>
      <c r="J471" s="49"/>
      <c r="K471" s="49"/>
      <c r="L471" s="49"/>
      <c r="M471" s="49"/>
      <c r="N471" s="49"/>
      <c r="O471" s="48"/>
      <c r="P471" s="48"/>
      <c r="Q471" s="48"/>
      <c r="R471" s="48"/>
      <c r="S471" s="48"/>
      <c r="T471" s="48"/>
      <c r="U471" s="48"/>
      <c r="V471" s="48"/>
      <c r="W471" s="48"/>
      <c r="X471" s="48"/>
      <c r="Y471" s="48"/>
      <c r="Z471" s="48"/>
    </row>
    <row r="472" ht="15.75" customHeight="1">
      <c r="A472" s="49"/>
      <c r="B472" s="49"/>
      <c r="C472" s="49"/>
      <c r="D472" s="49"/>
      <c r="E472" s="49"/>
      <c r="F472" s="49"/>
      <c r="G472" s="49"/>
      <c r="H472" s="49"/>
      <c r="I472" s="49"/>
      <c r="J472" s="49"/>
      <c r="K472" s="49"/>
      <c r="L472" s="49"/>
      <c r="M472" s="49"/>
      <c r="N472" s="49"/>
      <c r="O472" s="48"/>
      <c r="P472" s="48"/>
      <c r="Q472" s="48"/>
      <c r="R472" s="48"/>
      <c r="S472" s="48"/>
      <c r="T472" s="48"/>
      <c r="U472" s="48"/>
      <c r="V472" s="48"/>
      <c r="W472" s="48"/>
      <c r="X472" s="48"/>
      <c r="Y472" s="48"/>
      <c r="Z472" s="48"/>
    </row>
    <row r="473" ht="15.75" customHeight="1">
      <c r="A473" s="49"/>
      <c r="B473" s="49"/>
      <c r="C473" s="49"/>
      <c r="D473" s="49"/>
      <c r="E473" s="49"/>
      <c r="F473" s="49"/>
      <c r="G473" s="49"/>
      <c r="H473" s="49"/>
      <c r="I473" s="49"/>
      <c r="J473" s="49"/>
      <c r="K473" s="49"/>
      <c r="L473" s="49"/>
      <c r="M473" s="49"/>
      <c r="N473" s="49"/>
      <c r="O473" s="48"/>
      <c r="P473" s="48"/>
      <c r="Q473" s="48"/>
      <c r="R473" s="48"/>
      <c r="S473" s="48"/>
      <c r="T473" s="48"/>
      <c r="U473" s="48"/>
      <c r="V473" s="48"/>
      <c r="W473" s="48"/>
      <c r="X473" s="48"/>
      <c r="Y473" s="48"/>
      <c r="Z473" s="48"/>
    </row>
    <row r="474" ht="15.75" customHeight="1">
      <c r="A474" s="49"/>
      <c r="B474" s="49"/>
      <c r="C474" s="49"/>
      <c r="D474" s="49"/>
      <c r="E474" s="49"/>
      <c r="F474" s="49"/>
      <c r="G474" s="49"/>
      <c r="H474" s="49"/>
      <c r="I474" s="49"/>
      <c r="J474" s="49"/>
      <c r="K474" s="49"/>
      <c r="L474" s="49"/>
      <c r="M474" s="49"/>
      <c r="N474" s="49"/>
      <c r="O474" s="48"/>
      <c r="P474" s="48"/>
      <c r="Q474" s="48"/>
      <c r="R474" s="48"/>
      <c r="S474" s="48"/>
      <c r="T474" s="48"/>
      <c r="U474" s="48"/>
      <c r="V474" s="48"/>
      <c r="W474" s="48"/>
      <c r="X474" s="48"/>
      <c r="Y474" s="48"/>
      <c r="Z474" s="48"/>
    </row>
    <row r="475" ht="15.75" customHeight="1">
      <c r="A475" s="49"/>
      <c r="B475" s="49"/>
      <c r="C475" s="49"/>
      <c r="D475" s="49"/>
      <c r="E475" s="49"/>
      <c r="F475" s="49"/>
      <c r="G475" s="49"/>
      <c r="H475" s="49"/>
      <c r="I475" s="49"/>
      <c r="J475" s="49"/>
      <c r="K475" s="49"/>
      <c r="L475" s="49"/>
      <c r="M475" s="49"/>
      <c r="N475" s="49"/>
      <c r="O475" s="48"/>
      <c r="P475" s="48"/>
      <c r="Q475" s="48"/>
      <c r="R475" s="48"/>
      <c r="S475" s="48"/>
      <c r="T475" s="48"/>
      <c r="U475" s="48"/>
      <c r="V475" s="48"/>
      <c r="W475" s="48"/>
      <c r="X475" s="48"/>
      <c r="Y475" s="48"/>
      <c r="Z475" s="48"/>
    </row>
    <row r="476" ht="15.75" customHeight="1">
      <c r="A476" s="49"/>
      <c r="B476" s="49"/>
      <c r="C476" s="49"/>
      <c r="D476" s="49"/>
      <c r="E476" s="49"/>
      <c r="F476" s="49"/>
      <c r="G476" s="49"/>
      <c r="H476" s="49"/>
      <c r="I476" s="49"/>
      <c r="J476" s="49"/>
      <c r="K476" s="49"/>
      <c r="L476" s="49"/>
      <c r="M476" s="49"/>
      <c r="N476" s="49"/>
      <c r="O476" s="48"/>
      <c r="P476" s="48"/>
      <c r="Q476" s="48"/>
      <c r="R476" s="48"/>
      <c r="S476" s="48"/>
      <c r="T476" s="48"/>
      <c r="U476" s="48"/>
      <c r="V476" s="48"/>
      <c r="W476" s="48"/>
      <c r="X476" s="48"/>
      <c r="Y476" s="48"/>
      <c r="Z476" s="48"/>
    </row>
    <row r="477" ht="15.75" customHeight="1">
      <c r="A477" s="49"/>
      <c r="B477" s="49"/>
      <c r="C477" s="49"/>
      <c r="D477" s="49"/>
      <c r="E477" s="49"/>
      <c r="F477" s="49"/>
      <c r="G477" s="49"/>
      <c r="H477" s="49"/>
      <c r="I477" s="49"/>
      <c r="J477" s="49"/>
      <c r="K477" s="49"/>
      <c r="L477" s="49"/>
      <c r="M477" s="49"/>
      <c r="N477" s="49"/>
      <c r="O477" s="48"/>
      <c r="P477" s="48"/>
      <c r="Q477" s="48"/>
      <c r="R477" s="48"/>
      <c r="S477" s="48"/>
      <c r="T477" s="48"/>
      <c r="U477" s="48"/>
      <c r="V477" s="48"/>
      <c r="W477" s="48"/>
      <c r="X477" s="48"/>
      <c r="Y477" s="48"/>
      <c r="Z477" s="48"/>
    </row>
    <row r="478" ht="15.75" customHeight="1">
      <c r="A478" s="49"/>
      <c r="B478" s="49"/>
      <c r="C478" s="49"/>
      <c r="D478" s="49"/>
      <c r="E478" s="49"/>
      <c r="F478" s="49"/>
      <c r="G478" s="49"/>
      <c r="H478" s="49"/>
      <c r="I478" s="49"/>
      <c r="J478" s="49"/>
      <c r="K478" s="49"/>
      <c r="L478" s="49"/>
      <c r="M478" s="49"/>
      <c r="N478" s="49"/>
      <c r="O478" s="48"/>
      <c r="P478" s="48"/>
      <c r="Q478" s="48"/>
      <c r="R478" s="48"/>
      <c r="S478" s="48"/>
      <c r="T478" s="48"/>
      <c r="U478" s="48"/>
      <c r="V478" s="48"/>
      <c r="W478" s="48"/>
      <c r="X478" s="48"/>
      <c r="Y478" s="48"/>
      <c r="Z478" s="48"/>
    </row>
    <row r="479" ht="15.75" customHeight="1">
      <c r="A479" s="49"/>
      <c r="B479" s="49"/>
      <c r="C479" s="49"/>
      <c r="D479" s="49"/>
      <c r="E479" s="49"/>
      <c r="F479" s="49"/>
      <c r="G479" s="49"/>
      <c r="H479" s="49"/>
      <c r="I479" s="49"/>
      <c r="J479" s="49"/>
      <c r="K479" s="49"/>
      <c r="L479" s="49"/>
      <c r="M479" s="49"/>
      <c r="N479" s="49"/>
      <c r="O479" s="48"/>
      <c r="P479" s="48"/>
      <c r="Q479" s="48"/>
      <c r="R479" s="48"/>
      <c r="S479" s="48"/>
      <c r="T479" s="48"/>
      <c r="U479" s="48"/>
      <c r="V479" s="48"/>
      <c r="W479" s="48"/>
      <c r="X479" s="48"/>
      <c r="Y479" s="48"/>
      <c r="Z479" s="48"/>
    </row>
    <row r="480" ht="15.75" customHeight="1">
      <c r="A480" s="49"/>
      <c r="B480" s="49"/>
      <c r="C480" s="49"/>
      <c r="D480" s="49"/>
      <c r="E480" s="49"/>
      <c r="F480" s="49"/>
      <c r="G480" s="49"/>
      <c r="H480" s="49"/>
      <c r="I480" s="49"/>
      <c r="J480" s="49"/>
      <c r="K480" s="49"/>
      <c r="L480" s="49"/>
      <c r="M480" s="49"/>
      <c r="N480" s="49"/>
      <c r="O480" s="48"/>
      <c r="P480" s="48"/>
      <c r="Q480" s="48"/>
      <c r="R480" s="48"/>
      <c r="S480" s="48"/>
      <c r="T480" s="48"/>
      <c r="U480" s="48"/>
      <c r="V480" s="48"/>
      <c r="W480" s="48"/>
      <c r="X480" s="48"/>
      <c r="Y480" s="48"/>
      <c r="Z480" s="48"/>
    </row>
    <row r="481" ht="15.75" customHeight="1">
      <c r="A481" s="49"/>
      <c r="B481" s="49"/>
      <c r="C481" s="49"/>
      <c r="D481" s="49"/>
      <c r="E481" s="49"/>
      <c r="F481" s="49"/>
      <c r="G481" s="49"/>
      <c r="H481" s="49"/>
      <c r="I481" s="49"/>
      <c r="J481" s="49"/>
      <c r="K481" s="49"/>
      <c r="L481" s="49"/>
      <c r="M481" s="49"/>
      <c r="N481" s="49"/>
      <c r="O481" s="48"/>
      <c r="P481" s="48"/>
      <c r="Q481" s="48"/>
      <c r="R481" s="48"/>
      <c r="S481" s="48"/>
      <c r="T481" s="48"/>
      <c r="U481" s="48"/>
      <c r="V481" s="48"/>
      <c r="W481" s="48"/>
      <c r="X481" s="48"/>
      <c r="Y481" s="48"/>
      <c r="Z481" s="48"/>
    </row>
    <row r="482" ht="15.75" customHeight="1">
      <c r="A482" s="49"/>
      <c r="B482" s="49"/>
      <c r="C482" s="49"/>
      <c r="D482" s="49"/>
      <c r="E482" s="49"/>
      <c r="F482" s="49"/>
      <c r="G482" s="49"/>
      <c r="H482" s="49"/>
      <c r="I482" s="49"/>
      <c r="J482" s="49"/>
      <c r="K482" s="49"/>
      <c r="L482" s="49"/>
      <c r="M482" s="49"/>
      <c r="N482" s="49"/>
      <c r="O482" s="48"/>
      <c r="P482" s="48"/>
      <c r="Q482" s="48"/>
      <c r="R482" s="48"/>
      <c r="S482" s="48"/>
      <c r="T482" s="48"/>
      <c r="U482" s="48"/>
      <c r="V482" s="48"/>
      <c r="W482" s="48"/>
      <c r="X482" s="48"/>
      <c r="Y482" s="48"/>
      <c r="Z482" s="48"/>
    </row>
    <row r="483" ht="15.75" customHeight="1">
      <c r="A483" s="49"/>
      <c r="B483" s="49"/>
      <c r="C483" s="49"/>
      <c r="D483" s="49"/>
      <c r="E483" s="49"/>
      <c r="F483" s="49"/>
      <c r="G483" s="49"/>
      <c r="H483" s="49"/>
      <c r="I483" s="49"/>
      <c r="J483" s="49"/>
      <c r="K483" s="49"/>
      <c r="L483" s="49"/>
      <c r="M483" s="49"/>
      <c r="N483" s="49"/>
      <c r="O483" s="48"/>
      <c r="P483" s="48"/>
      <c r="Q483" s="48"/>
      <c r="R483" s="48"/>
      <c r="S483" s="48"/>
      <c r="T483" s="48"/>
      <c r="U483" s="48"/>
      <c r="V483" s="48"/>
      <c r="W483" s="48"/>
      <c r="X483" s="48"/>
      <c r="Y483" s="48"/>
      <c r="Z483" s="48"/>
    </row>
    <row r="484" ht="15.75" customHeight="1">
      <c r="A484" s="49"/>
      <c r="B484" s="49"/>
      <c r="C484" s="49"/>
      <c r="D484" s="49"/>
      <c r="E484" s="49"/>
      <c r="F484" s="49"/>
      <c r="G484" s="49"/>
      <c r="H484" s="49"/>
      <c r="I484" s="49"/>
      <c r="J484" s="49"/>
      <c r="K484" s="49"/>
      <c r="L484" s="49"/>
      <c r="M484" s="49"/>
      <c r="N484" s="49"/>
      <c r="O484" s="48"/>
      <c r="P484" s="48"/>
      <c r="Q484" s="48"/>
      <c r="R484" s="48"/>
      <c r="S484" s="48"/>
      <c r="T484" s="48"/>
      <c r="U484" s="48"/>
      <c r="V484" s="48"/>
      <c r="W484" s="48"/>
      <c r="X484" s="48"/>
      <c r="Y484" s="48"/>
      <c r="Z484" s="48"/>
    </row>
    <row r="485" ht="15.75" customHeight="1">
      <c r="A485" s="49"/>
      <c r="B485" s="49"/>
      <c r="C485" s="49"/>
      <c r="D485" s="49"/>
      <c r="E485" s="49"/>
      <c r="F485" s="49"/>
      <c r="G485" s="49"/>
      <c r="H485" s="49"/>
      <c r="I485" s="49"/>
      <c r="J485" s="49"/>
      <c r="K485" s="49"/>
      <c r="L485" s="49"/>
      <c r="M485" s="49"/>
      <c r="N485" s="49"/>
      <c r="O485" s="48"/>
      <c r="P485" s="48"/>
      <c r="Q485" s="48"/>
      <c r="R485" s="48"/>
      <c r="S485" s="48"/>
      <c r="T485" s="48"/>
      <c r="U485" s="48"/>
      <c r="V485" s="48"/>
      <c r="W485" s="48"/>
      <c r="X485" s="48"/>
      <c r="Y485" s="48"/>
      <c r="Z485" s="48"/>
    </row>
    <row r="486" ht="15.75" customHeight="1">
      <c r="A486" s="49"/>
      <c r="B486" s="49"/>
      <c r="C486" s="49"/>
      <c r="D486" s="49"/>
      <c r="E486" s="49"/>
      <c r="F486" s="49"/>
      <c r="G486" s="49"/>
      <c r="H486" s="49"/>
      <c r="I486" s="49"/>
      <c r="J486" s="49"/>
      <c r="K486" s="49"/>
      <c r="L486" s="49"/>
      <c r="M486" s="49"/>
      <c r="N486" s="49"/>
      <c r="O486" s="48"/>
      <c r="P486" s="48"/>
      <c r="Q486" s="48"/>
      <c r="R486" s="48"/>
      <c r="S486" s="48"/>
      <c r="T486" s="48"/>
      <c r="U486" s="48"/>
      <c r="V486" s="48"/>
      <c r="W486" s="48"/>
      <c r="X486" s="48"/>
      <c r="Y486" s="48"/>
      <c r="Z486" s="48"/>
    </row>
    <row r="487" ht="15.75" customHeight="1">
      <c r="A487" s="49"/>
      <c r="B487" s="49"/>
      <c r="C487" s="49"/>
      <c r="D487" s="49"/>
      <c r="E487" s="49"/>
      <c r="F487" s="49"/>
      <c r="G487" s="49"/>
      <c r="H487" s="49"/>
      <c r="I487" s="49"/>
      <c r="J487" s="49"/>
      <c r="K487" s="49"/>
      <c r="L487" s="49"/>
      <c r="M487" s="49"/>
      <c r="N487" s="49"/>
      <c r="O487" s="48"/>
      <c r="P487" s="48"/>
      <c r="Q487" s="48"/>
      <c r="R487" s="48"/>
      <c r="S487" s="48"/>
      <c r="T487" s="48"/>
      <c r="U487" s="48"/>
      <c r="V487" s="48"/>
      <c r="W487" s="48"/>
      <c r="X487" s="48"/>
      <c r="Y487" s="48"/>
      <c r="Z487" s="48"/>
    </row>
    <row r="488" ht="15.75" customHeight="1">
      <c r="A488" s="49"/>
      <c r="B488" s="49"/>
      <c r="C488" s="49"/>
      <c r="D488" s="49"/>
      <c r="E488" s="49"/>
      <c r="F488" s="49"/>
      <c r="G488" s="49"/>
      <c r="H488" s="49"/>
      <c r="I488" s="49"/>
      <c r="J488" s="49"/>
      <c r="K488" s="49"/>
      <c r="L488" s="49"/>
      <c r="M488" s="49"/>
      <c r="N488" s="49"/>
      <c r="O488" s="48"/>
      <c r="P488" s="48"/>
      <c r="Q488" s="48"/>
      <c r="R488" s="48"/>
      <c r="S488" s="48"/>
      <c r="T488" s="48"/>
      <c r="U488" s="48"/>
      <c r="V488" s="48"/>
      <c r="W488" s="48"/>
      <c r="X488" s="48"/>
      <c r="Y488" s="48"/>
      <c r="Z488" s="48"/>
    </row>
    <row r="489" ht="15.75" customHeight="1">
      <c r="A489" s="49"/>
      <c r="B489" s="49"/>
      <c r="C489" s="49"/>
      <c r="D489" s="49"/>
      <c r="E489" s="49"/>
      <c r="F489" s="49"/>
      <c r="G489" s="49"/>
      <c r="H489" s="49"/>
      <c r="I489" s="49"/>
      <c r="J489" s="49"/>
      <c r="K489" s="49"/>
      <c r="L489" s="49"/>
      <c r="M489" s="49"/>
      <c r="N489" s="49"/>
      <c r="O489" s="48"/>
      <c r="P489" s="48"/>
      <c r="Q489" s="48"/>
      <c r="R489" s="48"/>
      <c r="S489" s="48"/>
      <c r="T489" s="48"/>
      <c r="U489" s="48"/>
      <c r="V489" s="48"/>
      <c r="W489" s="48"/>
      <c r="X489" s="48"/>
      <c r="Y489" s="48"/>
      <c r="Z489" s="48"/>
    </row>
    <row r="490" ht="15.75" customHeight="1">
      <c r="A490" s="49"/>
      <c r="B490" s="49"/>
      <c r="C490" s="49"/>
      <c r="D490" s="49"/>
      <c r="E490" s="49"/>
      <c r="F490" s="49"/>
      <c r="G490" s="49"/>
      <c r="H490" s="49"/>
      <c r="I490" s="49"/>
      <c r="J490" s="49"/>
      <c r="K490" s="49"/>
      <c r="L490" s="49"/>
      <c r="M490" s="49"/>
      <c r="N490" s="49"/>
      <c r="O490" s="48"/>
      <c r="P490" s="48"/>
      <c r="Q490" s="48"/>
      <c r="R490" s="48"/>
      <c r="S490" s="48"/>
      <c r="T490" s="48"/>
      <c r="U490" s="48"/>
      <c r="V490" s="48"/>
      <c r="W490" s="48"/>
      <c r="X490" s="48"/>
      <c r="Y490" s="48"/>
      <c r="Z490" s="48"/>
    </row>
    <row r="491" ht="15.75" customHeight="1">
      <c r="A491" s="49"/>
      <c r="B491" s="49"/>
      <c r="C491" s="49"/>
      <c r="D491" s="49"/>
      <c r="E491" s="49"/>
      <c r="F491" s="49"/>
      <c r="G491" s="49"/>
      <c r="H491" s="49"/>
      <c r="I491" s="49"/>
      <c r="J491" s="49"/>
      <c r="K491" s="49"/>
      <c r="L491" s="49"/>
      <c r="M491" s="49"/>
      <c r="N491" s="49"/>
      <c r="O491" s="48"/>
      <c r="P491" s="48"/>
      <c r="Q491" s="48"/>
      <c r="R491" s="48"/>
      <c r="S491" s="48"/>
      <c r="T491" s="48"/>
      <c r="U491" s="48"/>
      <c r="V491" s="48"/>
      <c r="W491" s="48"/>
      <c r="X491" s="48"/>
      <c r="Y491" s="48"/>
      <c r="Z491" s="48"/>
    </row>
    <row r="492" ht="15.75" customHeight="1">
      <c r="A492" s="49"/>
      <c r="B492" s="49"/>
      <c r="C492" s="49"/>
      <c r="D492" s="49"/>
      <c r="E492" s="49"/>
      <c r="F492" s="49"/>
      <c r="G492" s="49"/>
      <c r="H492" s="49"/>
      <c r="I492" s="49"/>
      <c r="J492" s="49"/>
      <c r="K492" s="49"/>
      <c r="L492" s="49"/>
      <c r="M492" s="49"/>
      <c r="N492" s="49"/>
      <c r="O492" s="48"/>
      <c r="P492" s="48"/>
      <c r="Q492" s="48"/>
      <c r="R492" s="48"/>
      <c r="S492" s="48"/>
      <c r="T492" s="48"/>
      <c r="U492" s="48"/>
      <c r="V492" s="48"/>
      <c r="W492" s="48"/>
      <c r="X492" s="48"/>
      <c r="Y492" s="48"/>
      <c r="Z492" s="48"/>
    </row>
    <row r="493" ht="15.75" customHeight="1">
      <c r="A493" s="49"/>
      <c r="B493" s="49"/>
      <c r="C493" s="49"/>
      <c r="D493" s="49"/>
      <c r="E493" s="49"/>
      <c r="F493" s="49"/>
      <c r="G493" s="49"/>
      <c r="H493" s="49"/>
      <c r="I493" s="49"/>
      <c r="J493" s="49"/>
      <c r="K493" s="49"/>
      <c r="L493" s="49"/>
      <c r="M493" s="49"/>
      <c r="N493" s="49"/>
      <c r="O493" s="48"/>
      <c r="P493" s="48"/>
      <c r="Q493" s="48"/>
      <c r="R493" s="48"/>
      <c r="S493" s="48"/>
      <c r="T493" s="48"/>
      <c r="U493" s="48"/>
      <c r="V493" s="48"/>
      <c r="W493" s="48"/>
      <c r="X493" s="48"/>
      <c r="Y493" s="48"/>
      <c r="Z493" s="48"/>
    </row>
    <row r="494" ht="15.75" customHeight="1">
      <c r="A494" s="49"/>
      <c r="B494" s="49"/>
      <c r="C494" s="49"/>
      <c r="D494" s="49"/>
      <c r="E494" s="49"/>
      <c r="F494" s="49"/>
      <c r="G494" s="49"/>
      <c r="H494" s="49"/>
      <c r="I494" s="49"/>
      <c r="J494" s="49"/>
      <c r="K494" s="49"/>
      <c r="L494" s="49"/>
      <c r="M494" s="49"/>
      <c r="N494" s="49"/>
      <c r="O494" s="48"/>
      <c r="P494" s="48"/>
      <c r="Q494" s="48"/>
      <c r="R494" s="48"/>
      <c r="S494" s="48"/>
      <c r="T494" s="48"/>
      <c r="U494" s="48"/>
      <c r="V494" s="48"/>
      <c r="W494" s="48"/>
      <c r="X494" s="48"/>
      <c r="Y494" s="48"/>
      <c r="Z494" s="48"/>
    </row>
    <row r="495" ht="15.75" customHeight="1">
      <c r="A495" s="49"/>
      <c r="B495" s="49"/>
      <c r="C495" s="49"/>
      <c r="D495" s="49"/>
      <c r="E495" s="49"/>
      <c r="F495" s="49"/>
      <c r="G495" s="49"/>
      <c r="H495" s="49"/>
      <c r="I495" s="49"/>
      <c r="J495" s="49"/>
      <c r="K495" s="49"/>
      <c r="L495" s="49"/>
      <c r="M495" s="49"/>
      <c r="N495" s="49"/>
      <c r="O495" s="48"/>
      <c r="P495" s="48"/>
      <c r="Q495" s="48"/>
      <c r="R495" s="48"/>
      <c r="S495" s="48"/>
      <c r="T495" s="48"/>
      <c r="U495" s="48"/>
      <c r="V495" s="48"/>
      <c r="W495" s="48"/>
      <c r="X495" s="48"/>
      <c r="Y495" s="48"/>
      <c r="Z495" s="48"/>
    </row>
    <row r="496" ht="15.75" customHeight="1">
      <c r="A496" s="49"/>
      <c r="B496" s="49"/>
      <c r="C496" s="49"/>
      <c r="D496" s="49"/>
      <c r="E496" s="49"/>
      <c r="F496" s="49"/>
      <c r="G496" s="49"/>
      <c r="H496" s="49"/>
      <c r="I496" s="49"/>
      <c r="J496" s="49"/>
      <c r="K496" s="49"/>
      <c r="L496" s="49"/>
      <c r="M496" s="49"/>
      <c r="N496" s="49"/>
      <c r="O496" s="48"/>
      <c r="P496" s="48"/>
      <c r="Q496" s="48"/>
      <c r="R496" s="48"/>
      <c r="S496" s="48"/>
      <c r="T496" s="48"/>
      <c r="U496" s="48"/>
      <c r="V496" s="48"/>
      <c r="W496" s="48"/>
      <c r="X496" s="48"/>
      <c r="Y496" s="48"/>
      <c r="Z496" s="48"/>
    </row>
    <row r="497" ht="15.75" customHeight="1">
      <c r="A497" s="49"/>
      <c r="B497" s="49"/>
      <c r="C497" s="49"/>
      <c r="D497" s="49"/>
      <c r="E497" s="49"/>
      <c r="F497" s="49"/>
      <c r="G497" s="49"/>
      <c r="H497" s="49"/>
      <c r="I497" s="49"/>
      <c r="J497" s="49"/>
      <c r="K497" s="49"/>
      <c r="L497" s="49"/>
      <c r="M497" s="49"/>
      <c r="N497" s="49"/>
      <c r="O497" s="48"/>
      <c r="P497" s="48"/>
      <c r="Q497" s="48"/>
      <c r="R497" s="48"/>
      <c r="S497" s="48"/>
      <c r="T497" s="48"/>
      <c r="U497" s="48"/>
      <c r="V497" s="48"/>
      <c r="W497" s="48"/>
      <c r="X497" s="48"/>
      <c r="Y497" s="48"/>
      <c r="Z497" s="48"/>
    </row>
    <row r="498" ht="15.75" customHeight="1">
      <c r="A498" s="49"/>
      <c r="B498" s="49"/>
      <c r="C498" s="49"/>
      <c r="D498" s="49"/>
      <c r="E498" s="49"/>
      <c r="F498" s="49"/>
      <c r="G498" s="49"/>
      <c r="H498" s="49"/>
      <c r="I498" s="49"/>
      <c r="J498" s="49"/>
      <c r="K498" s="49"/>
      <c r="L498" s="49"/>
      <c r="M498" s="49"/>
      <c r="N498" s="49"/>
      <c r="O498" s="48"/>
      <c r="P498" s="48"/>
      <c r="Q498" s="48"/>
      <c r="R498" s="48"/>
      <c r="S498" s="48"/>
      <c r="T498" s="48"/>
      <c r="U498" s="48"/>
      <c r="V498" s="48"/>
      <c r="W498" s="48"/>
      <c r="X498" s="48"/>
      <c r="Y498" s="48"/>
      <c r="Z498" s="48"/>
    </row>
    <row r="499" ht="15.75" customHeight="1">
      <c r="A499" s="49"/>
      <c r="B499" s="49"/>
      <c r="C499" s="49"/>
      <c r="D499" s="49"/>
      <c r="E499" s="49"/>
      <c r="F499" s="49"/>
      <c r="G499" s="49"/>
      <c r="H499" s="49"/>
      <c r="I499" s="49"/>
      <c r="J499" s="49"/>
      <c r="K499" s="49"/>
      <c r="L499" s="49"/>
      <c r="M499" s="49"/>
      <c r="N499" s="49"/>
      <c r="O499" s="48"/>
      <c r="P499" s="48"/>
      <c r="Q499" s="48"/>
      <c r="R499" s="48"/>
      <c r="S499" s="48"/>
      <c r="T499" s="48"/>
      <c r="U499" s="48"/>
      <c r="V499" s="48"/>
      <c r="W499" s="48"/>
      <c r="X499" s="48"/>
      <c r="Y499" s="48"/>
      <c r="Z499" s="48"/>
    </row>
    <row r="500" ht="15.75" customHeight="1">
      <c r="A500" s="49"/>
      <c r="B500" s="49"/>
      <c r="C500" s="49"/>
      <c r="D500" s="49"/>
      <c r="E500" s="49"/>
      <c r="F500" s="49"/>
      <c r="G500" s="49"/>
      <c r="H500" s="49"/>
      <c r="I500" s="49"/>
      <c r="J500" s="49"/>
      <c r="K500" s="49"/>
      <c r="L500" s="49"/>
      <c r="M500" s="49"/>
      <c r="N500" s="49"/>
      <c r="O500" s="48"/>
      <c r="P500" s="48"/>
      <c r="Q500" s="48"/>
      <c r="R500" s="48"/>
      <c r="S500" s="48"/>
      <c r="T500" s="48"/>
      <c r="U500" s="48"/>
      <c r="V500" s="48"/>
      <c r="W500" s="48"/>
      <c r="X500" s="48"/>
      <c r="Y500" s="48"/>
      <c r="Z500" s="48"/>
    </row>
    <row r="501" ht="15.75" customHeight="1">
      <c r="A501" s="49"/>
      <c r="B501" s="49"/>
      <c r="C501" s="49"/>
      <c r="D501" s="49"/>
      <c r="E501" s="49"/>
      <c r="F501" s="49"/>
      <c r="G501" s="49"/>
      <c r="H501" s="49"/>
      <c r="I501" s="49"/>
      <c r="J501" s="49"/>
      <c r="K501" s="49"/>
      <c r="L501" s="49"/>
      <c r="M501" s="49"/>
      <c r="N501" s="49"/>
      <c r="O501" s="48"/>
      <c r="P501" s="48"/>
      <c r="Q501" s="48"/>
      <c r="R501" s="48"/>
      <c r="S501" s="48"/>
      <c r="T501" s="48"/>
      <c r="U501" s="48"/>
      <c r="V501" s="48"/>
      <c r="W501" s="48"/>
      <c r="X501" s="48"/>
      <c r="Y501" s="48"/>
      <c r="Z501" s="48"/>
    </row>
    <row r="502" ht="15.75" customHeight="1">
      <c r="A502" s="49"/>
      <c r="B502" s="49"/>
      <c r="C502" s="49"/>
      <c r="D502" s="49"/>
      <c r="E502" s="49"/>
      <c r="F502" s="49"/>
      <c r="G502" s="49"/>
      <c r="H502" s="49"/>
      <c r="I502" s="49"/>
      <c r="J502" s="49"/>
      <c r="K502" s="49"/>
      <c r="L502" s="49"/>
      <c r="M502" s="49"/>
      <c r="N502" s="49"/>
      <c r="O502" s="48"/>
      <c r="P502" s="48"/>
      <c r="Q502" s="48"/>
      <c r="R502" s="48"/>
      <c r="S502" s="48"/>
      <c r="T502" s="48"/>
      <c r="U502" s="48"/>
      <c r="V502" s="48"/>
      <c r="W502" s="48"/>
      <c r="X502" s="48"/>
      <c r="Y502" s="48"/>
      <c r="Z502" s="48"/>
    </row>
    <row r="503" ht="15.75" customHeight="1">
      <c r="A503" s="49"/>
      <c r="B503" s="49"/>
      <c r="C503" s="49"/>
      <c r="D503" s="49"/>
      <c r="E503" s="49"/>
      <c r="F503" s="49"/>
      <c r="G503" s="49"/>
      <c r="H503" s="49"/>
      <c r="I503" s="49"/>
      <c r="J503" s="49"/>
      <c r="K503" s="49"/>
      <c r="L503" s="49"/>
      <c r="M503" s="49"/>
      <c r="N503" s="49"/>
      <c r="O503" s="48"/>
      <c r="P503" s="48"/>
      <c r="Q503" s="48"/>
      <c r="R503" s="48"/>
      <c r="S503" s="48"/>
      <c r="T503" s="48"/>
      <c r="U503" s="48"/>
      <c r="V503" s="48"/>
      <c r="W503" s="48"/>
      <c r="X503" s="48"/>
      <c r="Y503" s="48"/>
      <c r="Z503" s="48"/>
    </row>
    <row r="504" ht="15.75" customHeight="1">
      <c r="A504" s="49"/>
      <c r="B504" s="49"/>
      <c r="C504" s="49"/>
      <c r="D504" s="49"/>
      <c r="E504" s="49"/>
      <c r="F504" s="49"/>
      <c r="G504" s="49"/>
      <c r="H504" s="49"/>
      <c r="I504" s="49"/>
      <c r="J504" s="49"/>
      <c r="K504" s="49"/>
      <c r="L504" s="49"/>
      <c r="M504" s="49"/>
      <c r="N504" s="49"/>
      <c r="O504" s="48"/>
      <c r="P504" s="48"/>
      <c r="Q504" s="48"/>
      <c r="R504" s="48"/>
      <c r="S504" s="48"/>
      <c r="T504" s="48"/>
      <c r="U504" s="48"/>
      <c r="V504" s="48"/>
      <c r="W504" s="48"/>
      <c r="X504" s="48"/>
      <c r="Y504" s="48"/>
      <c r="Z504" s="48"/>
    </row>
    <row r="505" ht="15.75" customHeight="1">
      <c r="A505" s="49"/>
      <c r="B505" s="49"/>
      <c r="C505" s="49"/>
      <c r="D505" s="49"/>
      <c r="E505" s="49"/>
      <c r="F505" s="49"/>
      <c r="G505" s="49"/>
      <c r="H505" s="49"/>
      <c r="I505" s="49"/>
      <c r="J505" s="49"/>
      <c r="K505" s="49"/>
      <c r="L505" s="49"/>
      <c r="M505" s="49"/>
      <c r="N505" s="49"/>
      <c r="O505" s="48"/>
      <c r="P505" s="48"/>
      <c r="Q505" s="48"/>
      <c r="R505" s="48"/>
      <c r="S505" s="48"/>
      <c r="T505" s="48"/>
      <c r="U505" s="48"/>
      <c r="V505" s="48"/>
      <c r="W505" s="48"/>
      <c r="X505" s="48"/>
      <c r="Y505" s="48"/>
      <c r="Z505" s="48"/>
    </row>
    <row r="506" ht="15.75" customHeight="1">
      <c r="A506" s="49"/>
      <c r="B506" s="49"/>
      <c r="C506" s="49"/>
      <c r="D506" s="49"/>
      <c r="E506" s="49"/>
      <c r="F506" s="49"/>
      <c r="G506" s="49"/>
      <c r="H506" s="49"/>
      <c r="I506" s="49"/>
      <c r="J506" s="49"/>
      <c r="K506" s="49"/>
      <c r="L506" s="49"/>
      <c r="M506" s="49"/>
      <c r="N506" s="49"/>
      <c r="O506" s="48"/>
      <c r="P506" s="48"/>
      <c r="Q506" s="48"/>
      <c r="R506" s="48"/>
      <c r="S506" s="48"/>
      <c r="T506" s="48"/>
      <c r="U506" s="48"/>
      <c r="V506" s="48"/>
      <c r="W506" s="48"/>
      <c r="X506" s="48"/>
      <c r="Y506" s="48"/>
      <c r="Z506" s="48"/>
    </row>
    <row r="507" ht="15.75" customHeight="1">
      <c r="A507" s="49"/>
      <c r="B507" s="49"/>
      <c r="C507" s="49"/>
      <c r="D507" s="49"/>
      <c r="E507" s="49"/>
      <c r="F507" s="49"/>
      <c r="G507" s="49"/>
      <c r="H507" s="49"/>
      <c r="I507" s="49"/>
      <c r="J507" s="49"/>
      <c r="K507" s="49"/>
      <c r="L507" s="49"/>
      <c r="M507" s="49"/>
      <c r="N507" s="49"/>
      <c r="O507" s="48"/>
      <c r="P507" s="48"/>
      <c r="Q507" s="48"/>
      <c r="R507" s="48"/>
      <c r="S507" s="48"/>
      <c r="T507" s="48"/>
      <c r="U507" s="48"/>
      <c r="V507" s="48"/>
      <c r="W507" s="48"/>
      <c r="X507" s="48"/>
      <c r="Y507" s="48"/>
      <c r="Z507" s="48"/>
    </row>
    <row r="508" ht="15.75" customHeight="1">
      <c r="A508" s="49"/>
      <c r="B508" s="49"/>
      <c r="C508" s="49"/>
      <c r="D508" s="49"/>
      <c r="E508" s="49"/>
      <c r="F508" s="49"/>
      <c r="G508" s="49"/>
      <c r="H508" s="49"/>
      <c r="I508" s="49"/>
      <c r="J508" s="49"/>
      <c r="K508" s="49"/>
      <c r="L508" s="49"/>
      <c r="M508" s="49"/>
      <c r="N508" s="49"/>
      <c r="O508" s="48"/>
      <c r="P508" s="48"/>
      <c r="Q508" s="48"/>
      <c r="R508" s="48"/>
      <c r="S508" s="48"/>
      <c r="T508" s="48"/>
      <c r="U508" s="48"/>
      <c r="V508" s="48"/>
      <c r="W508" s="48"/>
      <c r="X508" s="48"/>
      <c r="Y508" s="48"/>
      <c r="Z508" s="48"/>
    </row>
    <row r="509" ht="15.75" customHeight="1">
      <c r="A509" s="49"/>
      <c r="B509" s="49"/>
      <c r="C509" s="49"/>
      <c r="D509" s="49"/>
      <c r="E509" s="49"/>
      <c r="F509" s="49"/>
      <c r="G509" s="49"/>
      <c r="H509" s="49"/>
      <c r="I509" s="49"/>
      <c r="J509" s="49"/>
      <c r="K509" s="49"/>
      <c r="L509" s="49"/>
      <c r="M509" s="49"/>
      <c r="N509" s="49"/>
      <c r="O509" s="48"/>
      <c r="P509" s="48"/>
      <c r="Q509" s="48"/>
      <c r="R509" s="48"/>
      <c r="S509" s="48"/>
      <c r="T509" s="48"/>
      <c r="U509" s="48"/>
      <c r="V509" s="48"/>
      <c r="W509" s="48"/>
      <c r="X509" s="48"/>
      <c r="Y509" s="48"/>
      <c r="Z509" s="48"/>
    </row>
    <row r="510" ht="15.75" customHeight="1">
      <c r="A510" s="49"/>
      <c r="B510" s="49"/>
      <c r="C510" s="49"/>
      <c r="D510" s="49"/>
      <c r="E510" s="49"/>
      <c r="F510" s="49"/>
      <c r="G510" s="49"/>
      <c r="H510" s="49"/>
      <c r="I510" s="49"/>
      <c r="J510" s="49"/>
      <c r="K510" s="49"/>
      <c r="L510" s="49"/>
      <c r="M510" s="49"/>
      <c r="N510" s="49"/>
      <c r="O510" s="48"/>
      <c r="P510" s="48"/>
      <c r="Q510" s="48"/>
      <c r="R510" s="48"/>
      <c r="S510" s="48"/>
      <c r="T510" s="48"/>
      <c r="U510" s="48"/>
      <c r="V510" s="48"/>
      <c r="W510" s="48"/>
      <c r="X510" s="48"/>
      <c r="Y510" s="48"/>
      <c r="Z510" s="48"/>
    </row>
    <row r="511" ht="15.75" customHeight="1">
      <c r="A511" s="49"/>
      <c r="B511" s="49"/>
      <c r="C511" s="49"/>
      <c r="D511" s="49"/>
      <c r="E511" s="49"/>
      <c r="F511" s="49"/>
      <c r="G511" s="49"/>
      <c r="H511" s="49"/>
      <c r="I511" s="49"/>
      <c r="J511" s="49"/>
      <c r="K511" s="49"/>
      <c r="L511" s="49"/>
      <c r="M511" s="49"/>
      <c r="N511" s="49"/>
      <c r="O511" s="48"/>
      <c r="P511" s="48"/>
      <c r="Q511" s="48"/>
      <c r="R511" s="48"/>
      <c r="S511" s="48"/>
      <c r="T511" s="48"/>
      <c r="U511" s="48"/>
      <c r="V511" s="48"/>
      <c r="W511" s="48"/>
      <c r="X511" s="48"/>
      <c r="Y511" s="48"/>
      <c r="Z511" s="48"/>
    </row>
    <row r="512" ht="15.75" customHeight="1">
      <c r="A512" s="49"/>
      <c r="B512" s="49"/>
      <c r="C512" s="49"/>
      <c r="D512" s="49"/>
      <c r="E512" s="49"/>
      <c r="F512" s="49"/>
      <c r="G512" s="49"/>
      <c r="H512" s="49"/>
      <c r="I512" s="49"/>
      <c r="J512" s="49"/>
      <c r="K512" s="49"/>
      <c r="L512" s="49"/>
      <c r="M512" s="49"/>
      <c r="N512" s="49"/>
      <c r="O512" s="48"/>
      <c r="P512" s="48"/>
      <c r="Q512" s="48"/>
      <c r="R512" s="48"/>
      <c r="S512" s="48"/>
      <c r="T512" s="48"/>
      <c r="U512" s="48"/>
      <c r="V512" s="48"/>
      <c r="W512" s="48"/>
      <c r="X512" s="48"/>
      <c r="Y512" s="48"/>
      <c r="Z512" s="48"/>
    </row>
    <row r="513" ht="15.75" customHeight="1">
      <c r="A513" s="49"/>
      <c r="B513" s="49"/>
      <c r="C513" s="49"/>
      <c r="D513" s="49"/>
      <c r="E513" s="49"/>
      <c r="F513" s="49"/>
      <c r="G513" s="49"/>
      <c r="H513" s="49"/>
      <c r="I513" s="49"/>
      <c r="J513" s="49"/>
      <c r="K513" s="49"/>
      <c r="L513" s="49"/>
      <c r="M513" s="49"/>
      <c r="N513" s="49"/>
      <c r="O513" s="48"/>
      <c r="P513" s="48"/>
      <c r="Q513" s="48"/>
      <c r="R513" s="48"/>
      <c r="S513" s="48"/>
      <c r="T513" s="48"/>
      <c r="U513" s="48"/>
      <c r="V513" s="48"/>
      <c r="W513" s="48"/>
      <c r="X513" s="48"/>
      <c r="Y513" s="48"/>
      <c r="Z513" s="48"/>
    </row>
    <row r="514" ht="15.75" customHeight="1">
      <c r="A514" s="49"/>
      <c r="B514" s="49"/>
      <c r="C514" s="49"/>
      <c r="D514" s="49"/>
      <c r="E514" s="49"/>
      <c r="F514" s="49"/>
      <c r="G514" s="49"/>
      <c r="H514" s="49"/>
      <c r="I514" s="49"/>
      <c r="J514" s="49"/>
      <c r="K514" s="49"/>
      <c r="L514" s="49"/>
      <c r="M514" s="49"/>
      <c r="N514" s="49"/>
      <c r="O514" s="48"/>
      <c r="P514" s="48"/>
      <c r="Q514" s="48"/>
      <c r="R514" s="48"/>
      <c r="S514" s="48"/>
      <c r="T514" s="48"/>
      <c r="U514" s="48"/>
      <c r="V514" s="48"/>
      <c r="W514" s="48"/>
      <c r="X514" s="48"/>
      <c r="Y514" s="48"/>
      <c r="Z514" s="48"/>
    </row>
    <row r="515" ht="15.75" customHeight="1">
      <c r="A515" s="49"/>
      <c r="B515" s="49"/>
      <c r="C515" s="49"/>
      <c r="D515" s="49"/>
      <c r="E515" s="49"/>
      <c r="F515" s="49"/>
      <c r="G515" s="49"/>
      <c r="H515" s="49"/>
      <c r="I515" s="49"/>
      <c r="J515" s="49"/>
      <c r="K515" s="49"/>
      <c r="L515" s="49"/>
      <c r="M515" s="49"/>
      <c r="N515" s="49"/>
      <c r="O515" s="48"/>
      <c r="P515" s="48"/>
      <c r="Q515" s="48"/>
      <c r="R515" s="48"/>
      <c r="S515" s="48"/>
      <c r="T515" s="48"/>
      <c r="U515" s="48"/>
      <c r="V515" s="48"/>
      <c r="W515" s="48"/>
      <c r="X515" s="48"/>
      <c r="Y515" s="48"/>
      <c r="Z515" s="48"/>
    </row>
    <row r="516" ht="15.75" customHeight="1">
      <c r="A516" s="49"/>
      <c r="B516" s="49"/>
      <c r="C516" s="49"/>
      <c r="D516" s="49"/>
      <c r="E516" s="49"/>
      <c r="F516" s="49"/>
      <c r="G516" s="49"/>
      <c r="H516" s="49"/>
      <c r="I516" s="49"/>
      <c r="J516" s="49"/>
      <c r="K516" s="49"/>
      <c r="L516" s="49"/>
      <c r="M516" s="49"/>
      <c r="N516" s="49"/>
      <c r="O516" s="48"/>
      <c r="P516" s="48"/>
      <c r="Q516" s="48"/>
      <c r="R516" s="48"/>
      <c r="S516" s="48"/>
      <c r="T516" s="48"/>
      <c r="U516" s="48"/>
      <c r="V516" s="48"/>
      <c r="W516" s="48"/>
      <c r="X516" s="48"/>
      <c r="Y516" s="48"/>
      <c r="Z516" s="48"/>
    </row>
    <row r="517" ht="15.75" customHeight="1">
      <c r="A517" s="49"/>
      <c r="B517" s="49"/>
      <c r="C517" s="49"/>
      <c r="D517" s="49"/>
      <c r="E517" s="49"/>
      <c r="F517" s="49"/>
      <c r="G517" s="49"/>
      <c r="H517" s="49"/>
      <c r="I517" s="49"/>
      <c r="J517" s="49"/>
      <c r="K517" s="49"/>
      <c r="L517" s="49"/>
      <c r="M517" s="49"/>
      <c r="N517" s="49"/>
      <c r="O517" s="48"/>
      <c r="P517" s="48"/>
      <c r="Q517" s="48"/>
      <c r="R517" s="48"/>
      <c r="S517" s="48"/>
      <c r="T517" s="48"/>
      <c r="U517" s="48"/>
      <c r="V517" s="48"/>
      <c r="W517" s="48"/>
      <c r="X517" s="48"/>
      <c r="Y517" s="48"/>
      <c r="Z517" s="48"/>
    </row>
    <row r="518" ht="15.75" customHeight="1">
      <c r="A518" s="49"/>
      <c r="B518" s="49"/>
      <c r="C518" s="49"/>
      <c r="D518" s="49"/>
      <c r="E518" s="49"/>
      <c r="F518" s="49"/>
      <c r="G518" s="49"/>
      <c r="H518" s="49"/>
      <c r="I518" s="49"/>
      <c r="J518" s="49"/>
      <c r="K518" s="49"/>
      <c r="L518" s="49"/>
      <c r="M518" s="49"/>
      <c r="N518" s="49"/>
      <c r="O518" s="48"/>
      <c r="P518" s="48"/>
      <c r="Q518" s="48"/>
      <c r="R518" s="48"/>
      <c r="S518" s="48"/>
      <c r="T518" s="48"/>
      <c r="U518" s="48"/>
      <c r="V518" s="48"/>
      <c r="W518" s="48"/>
      <c r="X518" s="48"/>
      <c r="Y518" s="48"/>
      <c r="Z518" s="48"/>
    </row>
    <row r="519" ht="15.75" customHeight="1">
      <c r="A519" s="49"/>
      <c r="B519" s="49"/>
      <c r="C519" s="49"/>
      <c r="D519" s="49"/>
      <c r="E519" s="49"/>
      <c r="F519" s="49"/>
      <c r="G519" s="49"/>
      <c r="H519" s="49"/>
      <c r="I519" s="49"/>
      <c r="J519" s="49"/>
      <c r="K519" s="49"/>
      <c r="L519" s="49"/>
      <c r="M519" s="49"/>
      <c r="N519" s="49"/>
      <c r="O519" s="48"/>
      <c r="P519" s="48"/>
      <c r="Q519" s="48"/>
      <c r="R519" s="48"/>
      <c r="S519" s="48"/>
      <c r="T519" s="48"/>
      <c r="U519" s="48"/>
      <c r="V519" s="48"/>
      <c r="W519" s="48"/>
      <c r="X519" s="48"/>
      <c r="Y519" s="48"/>
      <c r="Z519" s="48"/>
    </row>
    <row r="520" ht="15.75" customHeight="1">
      <c r="A520" s="49"/>
      <c r="B520" s="49"/>
      <c r="C520" s="49"/>
      <c r="D520" s="49"/>
      <c r="E520" s="49"/>
      <c r="F520" s="49"/>
      <c r="G520" s="49"/>
      <c r="H520" s="49"/>
      <c r="I520" s="49"/>
      <c r="J520" s="49"/>
      <c r="K520" s="49"/>
      <c r="L520" s="49"/>
      <c r="M520" s="49"/>
      <c r="N520" s="49"/>
      <c r="O520" s="48"/>
      <c r="P520" s="48"/>
      <c r="Q520" s="48"/>
      <c r="R520" s="48"/>
      <c r="S520" s="48"/>
      <c r="T520" s="48"/>
      <c r="U520" s="48"/>
      <c r="V520" s="48"/>
      <c r="W520" s="48"/>
      <c r="X520" s="48"/>
      <c r="Y520" s="48"/>
      <c r="Z520" s="48"/>
    </row>
    <row r="521" ht="15.75" customHeight="1">
      <c r="A521" s="49"/>
      <c r="B521" s="49"/>
      <c r="C521" s="49"/>
      <c r="D521" s="49"/>
      <c r="E521" s="49"/>
      <c r="F521" s="49"/>
      <c r="G521" s="49"/>
      <c r="H521" s="49"/>
      <c r="I521" s="49"/>
      <c r="J521" s="49"/>
      <c r="K521" s="49"/>
      <c r="L521" s="49"/>
      <c r="M521" s="49"/>
      <c r="N521" s="49"/>
      <c r="O521" s="48"/>
      <c r="P521" s="48"/>
      <c r="Q521" s="48"/>
      <c r="R521" s="48"/>
      <c r="S521" s="48"/>
      <c r="T521" s="48"/>
      <c r="U521" s="48"/>
      <c r="V521" s="48"/>
      <c r="W521" s="48"/>
      <c r="X521" s="48"/>
      <c r="Y521" s="48"/>
      <c r="Z521" s="48"/>
    </row>
    <row r="522" ht="15.75" customHeight="1">
      <c r="A522" s="49"/>
      <c r="B522" s="49"/>
      <c r="C522" s="49"/>
      <c r="D522" s="49"/>
      <c r="E522" s="49"/>
      <c r="F522" s="49"/>
      <c r="G522" s="49"/>
      <c r="H522" s="49"/>
      <c r="I522" s="49"/>
      <c r="J522" s="49"/>
      <c r="K522" s="49"/>
      <c r="L522" s="49"/>
      <c r="M522" s="49"/>
      <c r="N522" s="49"/>
      <c r="O522" s="48"/>
      <c r="P522" s="48"/>
      <c r="Q522" s="48"/>
      <c r="R522" s="48"/>
      <c r="S522" s="48"/>
      <c r="T522" s="48"/>
      <c r="U522" s="48"/>
      <c r="V522" s="48"/>
      <c r="W522" s="48"/>
      <c r="X522" s="48"/>
      <c r="Y522" s="48"/>
      <c r="Z522" s="48"/>
    </row>
    <row r="523" ht="15.75" customHeight="1">
      <c r="A523" s="49"/>
      <c r="B523" s="49"/>
      <c r="C523" s="49"/>
      <c r="D523" s="49"/>
      <c r="E523" s="49"/>
      <c r="F523" s="49"/>
      <c r="G523" s="49"/>
      <c r="H523" s="49"/>
      <c r="I523" s="49"/>
      <c r="J523" s="49"/>
      <c r="K523" s="49"/>
      <c r="L523" s="49"/>
      <c r="M523" s="49"/>
      <c r="N523" s="49"/>
      <c r="O523" s="48"/>
      <c r="P523" s="48"/>
      <c r="Q523" s="48"/>
      <c r="R523" s="48"/>
      <c r="S523" s="48"/>
      <c r="T523" s="48"/>
      <c r="U523" s="48"/>
      <c r="V523" s="48"/>
      <c r="W523" s="48"/>
      <c r="X523" s="48"/>
      <c r="Y523" s="48"/>
      <c r="Z523" s="48"/>
    </row>
    <row r="524" ht="15.75" customHeight="1">
      <c r="A524" s="49"/>
      <c r="B524" s="49"/>
      <c r="C524" s="49"/>
      <c r="D524" s="49"/>
      <c r="E524" s="49"/>
      <c r="F524" s="49"/>
      <c r="G524" s="49"/>
      <c r="H524" s="49"/>
      <c r="I524" s="49"/>
      <c r="J524" s="49"/>
      <c r="K524" s="49"/>
      <c r="L524" s="49"/>
      <c r="M524" s="49"/>
      <c r="N524" s="49"/>
      <c r="O524" s="48"/>
      <c r="P524" s="48"/>
      <c r="Q524" s="48"/>
      <c r="R524" s="48"/>
      <c r="S524" s="48"/>
      <c r="T524" s="48"/>
      <c r="U524" s="48"/>
      <c r="V524" s="48"/>
      <c r="W524" s="48"/>
      <c r="X524" s="48"/>
      <c r="Y524" s="48"/>
      <c r="Z524" s="48"/>
    </row>
    <row r="525" ht="15.75" customHeight="1">
      <c r="A525" s="49"/>
      <c r="B525" s="49"/>
      <c r="C525" s="49"/>
      <c r="D525" s="49"/>
      <c r="E525" s="49"/>
      <c r="F525" s="49"/>
      <c r="G525" s="49"/>
      <c r="H525" s="49"/>
      <c r="I525" s="49"/>
      <c r="J525" s="49"/>
      <c r="K525" s="49"/>
      <c r="L525" s="49"/>
      <c r="M525" s="49"/>
      <c r="N525" s="49"/>
      <c r="O525" s="48"/>
      <c r="P525" s="48"/>
      <c r="Q525" s="48"/>
      <c r="R525" s="48"/>
      <c r="S525" s="48"/>
      <c r="T525" s="48"/>
      <c r="U525" s="48"/>
      <c r="V525" s="48"/>
      <c r="W525" s="48"/>
      <c r="X525" s="48"/>
      <c r="Y525" s="48"/>
      <c r="Z525" s="48"/>
    </row>
    <row r="526" ht="15.75" customHeight="1">
      <c r="A526" s="49"/>
      <c r="B526" s="49"/>
      <c r="C526" s="49"/>
      <c r="D526" s="49"/>
      <c r="E526" s="49"/>
      <c r="F526" s="49"/>
      <c r="G526" s="49"/>
      <c r="H526" s="49"/>
      <c r="I526" s="49"/>
      <c r="J526" s="49"/>
      <c r="K526" s="49"/>
      <c r="L526" s="49"/>
      <c r="M526" s="49"/>
      <c r="N526" s="49"/>
      <c r="O526" s="48"/>
      <c r="P526" s="48"/>
      <c r="Q526" s="48"/>
      <c r="R526" s="48"/>
      <c r="S526" s="48"/>
      <c r="T526" s="48"/>
      <c r="U526" s="48"/>
      <c r="V526" s="48"/>
      <c r="W526" s="48"/>
      <c r="X526" s="48"/>
      <c r="Y526" s="48"/>
      <c r="Z526" s="48"/>
    </row>
    <row r="527" ht="15.75" customHeight="1">
      <c r="A527" s="49"/>
      <c r="B527" s="49"/>
      <c r="C527" s="49"/>
      <c r="D527" s="49"/>
      <c r="E527" s="49"/>
      <c r="F527" s="49"/>
      <c r="G527" s="49"/>
      <c r="H527" s="49"/>
      <c r="I527" s="49"/>
      <c r="J527" s="49"/>
      <c r="K527" s="49"/>
      <c r="L527" s="49"/>
      <c r="M527" s="49"/>
      <c r="N527" s="49"/>
      <c r="O527" s="48"/>
      <c r="P527" s="48"/>
      <c r="Q527" s="48"/>
      <c r="R527" s="48"/>
      <c r="S527" s="48"/>
      <c r="T527" s="48"/>
      <c r="U527" s="48"/>
      <c r="V527" s="48"/>
      <c r="W527" s="48"/>
      <c r="X527" s="48"/>
      <c r="Y527" s="48"/>
      <c r="Z527" s="48"/>
    </row>
    <row r="528" ht="15.75" customHeight="1">
      <c r="A528" s="49"/>
      <c r="B528" s="49"/>
      <c r="C528" s="49"/>
      <c r="D528" s="49"/>
      <c r="E528" s="49"/>
      <c r="F528" s="49"/>
      <c r="G528" s="49"/>
      <c r="H528" s="49"/>
      <c r="I528" s="49"/>
      <c r="J528" s="49"/>
      <c r="K528" s="49"/>
      <c r="L528" s="49"/>
      <c r="M528" s="49"/>
      <c r="N528" s="49"/>
      <c r="O528" s="48"/>
      <c r="P528" s="48"/>
      <c r="Q528" s="48"/>
      <c r="R528" s="48"/>
      <c r="S528" s="48"/>
      <c r="T528" s="48"/>
      <c r="U528" s="48"/>
      <c r="V528" s="48"/>
      <c r="W528" s="48"/>
      <c r="X528" s="48"/>
      <c r="Y528" s="48"/>
      <c r="Z528" s="48"/>
    </row>
    <row r="529" ht="15.75" customHeight="1">
      <c r="A529" s="49"/>
      <c r="B529" s="49"/>
      <c r="C529" s="49"/>
      <c r="D529" s="49"/>
      <c r="E529" s="49"/>
      <c r="F529" s="49"/>
      <c r="G529" s="49"/>
      <c r="H529" s="49"/>
      <c r="I529" s="49"/>
      <c r="J529" s="49"/>
      <c r="K529" s="49"/>
      <c r="L529" s="49"/>
      <c r="M529" s="49"/>
      <c r="N529" s="49"/>
      <c r="O529" s="48"/>
      <c r="P529" s="48"/>
      <c r="Q529" s="48"/>
      <c r="R529" s="48"/>
      <c r="S529" s="48"/>
      <c r="T529" s="48"/>
      <c r="U529" s="48"/>
      <c r="V529" s="48"/>
      <c r="W529" s="48"/>
      <c r="X529" s="48"/>
      <c r="Y529" s="48"/>
      <c r="Z529" s="48"/>
    </row>
    <row r="530" ht="15.75" customHeight="1">
      <c r="A530" s="49"/>
      <c r="B530" s="49"/>
      <c r="C530" s="49"/>
      <c r="D530" s="49"/>
      <c r="E530" s="49"/>
      <c r="F530" s="49"/>
      <c r="G530" s="49"/>
      <c r="H530" s="49"/>
      <c r="I530" s="49"/>
      <c r="J530" s="49"/>
      <c r="K530" s="49"/>
      <c r="L530" s="49"/>
      <c r="M530" s="49"/>
      <c r="N530" s="49"/>
      <c r="O530" s="48"/>
      <c r="P530" s="48"/>
      <c r="Q530" s="48"/>
      <c r="R530" s="48"/>
      <c r="S530" s="48"/>
      <c r="T530" s="48"/>
      <c r="U530" s="48"/>
      <c r="V530" s="48"/>
      <c r="W530" s="48"/>
      <c r="X530" s="48"/>
      <c r="Y530" s="48"/>
      <c r="Z530" s="48"/>
    </row>
    <row r="531" ht="15.75" customHeight="1">
      <c r="A531" s="49"/>
      <c r="B531" s="49"/>
      <c r="C531" s="49"/>
      <c r="D531" s="49"/>
      <c r="E531" s="49"/>
      <c r="F531" s="49"/>
      <c r="G531" s="49"/>
      <c r="H531" s="49"/>
      <c r="I531" s="49"/>
      <c r="J531" s="49"/>
      <c r="K531" s="49"/>
      <c r="L531" s="49"/>
      <c r="M531" s="49"/>
      <c r="N531" s="49"/>
      <c r="O531" s="48"/>
      <c r="P531" s="48"/>
      <c r="Q531" s="48"/>
      <c r="R531" s="48"/>
      <c r="S531" s="48"/>
      <c r="T531" s="48"/>
      <c r="U531" s="48"/>
      <c r="V531" s="48"/>
      <c r="W531" s="48"/>
      <c r="X531" s="48"/>
      <c r="Y531" s="48"/>
      <c r="Z531" s="48"/>
    </row>
    <row r="532" ht="15.75" customHeight="1">
      <c r="A532" s="49"/>
      <c r="B532" s="49"/>
      <c r="C532" s="49"/>
      <c r="D532" s="49"/>
      <c r="E532" s="49"/>
      <c r="F532" s="49"/>
      <c r="G532" s="49"/>
      <c r="H532" s="49"/>
      <c r="I532" s="49"/>
      <c r="J532" s="49"/>
      <c r="K532" s="49"/>
      <c r="L532" s="49"/>
      <c r="M532" s="49"/>
      <c r="N532" s="49"/>
      <c r="O532" s="48"/>
      <c r="P532" s="48"/>
      <c r="Q532" s="48"/>
      <c r="R532" s="48"/>
      <c r="S532" s="48"/>
      <c r="T532" s="48"/>
      <c r="U532" s="48"/>
      <c r="V532" s="48"/>
      <c r="W532" s="48"/>
      <c r="X532" s="48"/>
      <c r="Y532" s="48"/>
      <c r="Z532" s="48"/>
    </row>
    <row r="533" ht="15.75" customHeight="1">
      <c r="A533" s="49"/>
      <c r="B533" s="49"/>
      <c r="C533" s="49"/>
      <c r="D533" s="49"/>
      <c r="E533" s="49"/>
      <c r="F533" s="49"/>
      <c r="G533" s="49"/>
      <c r="H533" s="49"/>
      <c r="I533" s="49"/>
      <c r="J533" s="49"/>
      <c r="K533" s="49"/>
      <c r="L533" s="49"/>
      <c r="M533" s="49"/>
      <c r="N533" s="49"/>
      <c r="O533" s="48"/>
      <c r="P533" s="48"/>
      <c r="Q533" s="48"/>
      <c r="R533" s="48"/>
      <c r="S533" s="48"/>
      <c r="T533" s="48"/>
      <c r="U533" s="48"/>
      <c r="V533" s="48"/>
      <c r="W533" s="48"/>
      <c r="X533" s="48"/>
      <c r="Y533" s="48"/>
      <c r="Z533" s="48"/>
    </row>
    <row r="534" ht="15.75" customHeight="1">
      <c r="A534" s="49"/>
      <c r="B534" s="49"/>
      <c r="C534" s="49"/>
      <c r="D534" s="49"/>
      <c r="E534" s="49"/>
      <c r="F534" s="49"/>
      <c r="G534" s="49"/>
      <c r="H534" s="49"/>
      <c r="I534" s="49"/>
      <c r="J534" s="49"/>
      <c r="K534" s="49"/>
      <c r="L534" s="49"/>
      <c r="M534" s="49"/>
      <c r="N534" s="49"/>
      <c r="O534" s="48"/>
      <c r="P534" s="48"/>
      <c r="Q534" s="48"/>
      <c r="R534" s="48"/>
      <c r="S534" s="48"/>
      <c r="T534" s="48"/>
      <c r="U534" s="48"/>
      <c r="V534" s="48"/>
      <c r="W534" s="48"/>
      <c r="X534" s="48"/>
      <c r="Y534" s="48"/>
      <c r="Z534" s="48"/>
    </row>
    <row r="535" ht="15.75" customHeight="1">
      <c r="A535" s="49"/>
      <c r="B535" s="49"/>
      <c r="C535" s="49"/>
      <c r="D535" s="49"/>
      <c r="E535" s="49"/>
      <c r="F535" s="49"/>
      <c r="G535" s="49"/>
      <c r="H535" s="49"/>
      <c r="I535" s="49"/>
      <c r="J535" s="49"/>
      <c r="K535" s="49"/>
      <c r="L535" s="49"/>
      <c r="M535" s="49"/>
      <c r="N535" s="49"/>
      <c r="O535" s="48"/>
      <c r="P535" s="48"/>
      <c r="Q535" s="48"/>
      <c r="R535" s="48"/>
      <c r="S535" s="48"/>
      <c r="T535" s="48"/>
      <c r="U535" s="48"/>
      <c r="V535" s="48"/>
      <c r="W535" s="48"/>
      <c r="X535" s="48"/>
      <c r="Y535" s="48"/>
      <c r="Z535" s="48"/>
    </row>
    <row r="536" ht="15.75" customHeight="1">
      <c r="A536" s="49"/>
      <c r="B536" s="49"/>
      <c r="C536" s="49"/>
      <c r="D536" s="49"/>
      <c r="E536" s="49"/>
      <c r="F536" s="49"/>
      <c r="G536" s="49"/>
      <c r="H536" s="49"/>
      <c r="I536" s="49"/>
      <c r="J536" s="49"/>
      <c r="K536" s="49"/>
      <c r="L536" s="49"/>
      <c r="M536" s="49"/>
      <c r="N536" s="49"/>
      <c r="O536" s="48"/>
      <c r="P536" s="48"/>
      <c r="Q536" s="48"/>
      <c r="R536" s="48"/>
      <c r="S536" s="48"/>
      <c r="T536" s="48"/>
      <c r="U536" s="48"/>
      <c r="V536" s="48"/>
      <c r="W536" s="48"/>
      <c r="X536" s="48"/>
      <c r="Y536" s="48"/>
      <c r="Z536" s="48"/>
    </row>
    <row r="537" ht="15.75" customHeight="1">
      <c r="A537" s="49"/>
      <c r="B537" s="49"/>
      <c r="C537" s="49"/>
      <c r="D537" s="49"/>
      <c r="E537" s="49"/>
      <c r="F537" s="49"/>
      <c r="G537" s="49"/>
      <c r="H537" s="49"/>
      <c r="I537" s="49"/>
      <c r="J537" s="49"/>
      <c r="K537" s="49"/>
      <c r="L537" s="49"/>
      <c r="M537" s="49"/>
      <c r="N537" s="49"/>
      <c r="O537" s="48"/>
      <c r="P537" s="48"/>
      <c r="Q537" s="48"/>
      <c r="R537" s="48"/>
      <c r="S537" s="48"/>
      <c r="T537" s="48"/>
      <c r="U537" s="48"/>
      <c r="V537" s="48"/>
      <c r="W537" s="48"/>
      <c r="X537" s="48"/>
      <c r="Y537" s="48"/>
      <c r="Z537" s="48"/>
    </row>
    <row r="538" ht="15.75" customHeight="1">
      <c r="A538" s="49"/>
      <c r="B538" s="49"/>
      <c r="C538" s="49"/>
      <c r="D538" s="49"/>
      <c r="E538" s="49"/>
      <c r="F538" s="49"/>
      <c r="G538" s="49"/>
      <c r="H538" s="49"/>
      <c r="I538" s="49"/>
      <c r="J538" s="49"/>
      <c r="K538" s="49"/>
      <c r="L538" s="49"/>
      <c r="M538" s="49"/>
      <c r="N538" s="49"/>
      <c r="O538" s="48"/>
      <c r="P538" s="48"/>
      <c r="Q538" s="48"/>
      <c r="R538" s="48"/>
      <c r="S538" s="48"/>
      <c r="T538" s="48"/>
      <c r="U538" s="48"/>
      <c r="V538" s="48"/>
      <c r="W538" s="48"/>
      <c r="X538" s="48"/>
      <c r="Y538" s="48"/>
      <c r="Z538" s="48"/>
    </row>
    <row r="539" ht="15.75" customHeight="1">
      <c r="A539" s="49"/>
      <c r="B539" s="49"/>
      <c r="C539" s="49"/>
      <c r="D539" s="49"/>
      <c r="E539" s="49"/>
      <c r="F539" s="49"/>
      <c r="G539" s="49"/>
      <c r="H539" s="49"/>
      <c r="I539" s="49"/>
      <c r="J539" s="49"/>
      <c r="K539" s="49"/>
      <c r="L539" s="49"/>
      <c r="M539" s="49"/>
      <c r="N539" s="49"/>
      <c r="O539" s="48"/>
      <c r="P539" s="48"/>
      <c r="Q539" s="48"/>
      <c r="R539" s="48"/>
      <c r="S539" s="48"/>
      <c r="T539" s="48"/>
      <c r="U539" s="48"/>
      <c r="V539" s="48"/>
      <c r="W539" s="48"/>
      <c r="X539" s="48"/>
      <c r="Y539" s="48"/>
      <c r="Z539" s="48"/>
    </row>
    <row r="540" ht="15.75" customHeight="1">
      <c r="A540" s="49"/>
      <c r="B540" s="49"/>
      <c r="C540" s="49"/>
      <c r="D540" s="49"/>
      <c r="E540" s="49"/>
      <c r="F540" s="49"/>
      <c r="G540" s="49"/>
      <c r="H540" s="49"/>
      <c r="I540" s="49"/>
      <c r="J540" s="49"/>
      <c r="K540" s="49"/>
      <c r="L540" s="49"/>
      <c r="M540" s="49"/>
      <c r="N540" s="49"/>
      <c r="O540" s="48"/>
      <c r="P540" s="48"/>
      <c r="Q540" s="48"/>
      <c r="R540" s="48"/>
      <c r="S540" s="48"/>
      <c r="T540" s="48"/>
      <c r="U540" s="48"/>
      <c r="V540" s="48"/>
      <c r="W540" s="48"/>
      <c r="X540" s="48"/>
      <c r="Y540" s="48"/>
      <c r="Z540" s="48"/>
    </row>
    <row r="541" ht="15.75" customHeight="1">
      <c r="A541" s="49"/>
      <c r="B541" s="49"/>
      <c r="C541" s="49"/>
      <c r="D541" s="49"/>
      <c r="E541" s="49"/>
      <c r="F541" s="49"/>
      <c r="G541" s="49"/>
      <c r="H541" s="49"/>
      <c r="I541" s="49"/>
      <c r="J541" s="49"/>
      <c r="K541" s="49"/>
      <c r="L541" s="49"/>
      <c r="M541" s="49"/>
      <c r="N541" s="49"/>
      <c r="O541" s="48"/>
      <c r="P541" s="48"/>
      <c r="Q541" s="48"/>
      <c r="R541" s="48"/>
      <c r="S541" s="48"/>
      <c r="T541" s="48"/>
      <c r="U541" s="48"/>
      <c r="V541" s="48"/>
      <c r="W541" s="48"/>
      <c r="X541" s="48"/>
      <c r="Y541" s="48"/>
      <c r="Z541" s="48"/>
    </row>
    <row r="542" ht="15.75" customHeight="1">
      <c r="A542" s="49"/>
      <c r="B542" s="49"/>
      <c r="C542" s="49"/>
      <c r="D542" s="49"/>
      <c r="E542" s="49"/>
      <c r="F542" s="49"/>
      <c r="G542" s="49"/>
      <c r="H542" s="49"/>
      <c r="I542" s="49"/>
      <c r="J542" s="49"/>
      <c r="K542" s="49"/>
      <c r="L542" s="49"/>
      <c r="M542" s="49"/>
      <c r="N542" s="49"/>
      <c r="O542" s="48"/>
      <c r="P542" s="48"/>
      <c r="Q542" s="48"/>
      <c r="R542" s="48"/>
      <c r="S542" s="48"/>
      <c r="T542" s="48"/>
      <c r="U542" s="48"/>
      <c r="V542" s="48"/>
      <c r="W542" s="48"/>
      <c r="X542" s="48"/>
      <c r="Y542" s="48"/>
      <c r="Z542" s="48"/>
    </row>
    <row r="543" ht="15.75" customHeight="1">
      <c r="A543" s="49"/>
      <c r="B543" s="49"/>
      <c r="C543" s="49"/>
      <c r="D543" s="49"/>
      <c r="E543" s="49"/>
      <c r="F543" s="49"/>
      <c r="G543" s="49"/>
      <c r="H543" s="49"/>
      <c r="I543" s="49"/>
      <c r="J543" s="49"/>
      <c r="K543" s="49"/>
      <c r="L543" s="49"/>
      <c r="M543" s="49"/>
      <c r="N543" s="49"/>
      <c r="O543" s="48"/>
      <c r="P543" s="48"/>
      <c r="Q543" s="48"/>
      <c r="R543" s="48"/>
      <c r="S543" s="48"/>
      <c r="T543" s="48"/>
      <c r="U543" s="48"/>
      <c r="V543" s="48"/>
      <c r="W543" s="48"/>
      <c r="X543" s="48"/>
      <c r="Y543" s="48"/>
      <c r="Z543" s="48"/>
    </row>
    <row r="544" ht="15.75" customHeight="1">
      <c r="A544" s="49"/>
      <c r="B544" s="49"/>
      <c r="C544" s="49"/>
      <c r="D544" s="49"/>
      <c r="E544" s="49"/>
      <c r="F544" s="49"/>
      <c r="G544" s="49"/>
      <c r="H544" s="49"/>
      <c r="I544" s="49"/>
      <c r="J544" s="49"/>
      <c r="K544" s="49"/>
      <c r="L544" s="49"/>
      <c r="M544" s="49"/>
      <c r="N544" s="49"/>
      <c r="O544" s="48"/>
      <c r="P544" s="48"/>
      <c r="Q544" s="48"/>
      <c r="R544" s="48"/>
      <c r="S544" s="48"/>
      <c r="T544" s="48"/>
      <c r="U544" s="48"/>
      <c r="V544" s="48"/>
      <c r="W544" s="48"/>
      <c r="X544" s="48"/>
      <c r="Y544" s="48"/>
      <c r="Z544" s="48"/>
    </row>
    <row r="545" ht="15.75" customHeight="1">
      <c r="A545" s="49"/>
      <c r="B545" s="49"/>
      <c r="C545" s="49"/>
      <c r="D545" s="49"/>
      <c r="E545" s="49"/>
      <c r="F545" s="49"/>
      <c r="G545" s="49"/>
      <c r="H545" s="49"/>
      <c r="I545" s="49"/>
      <c r="J545" s="49"/>
      <c r="K545" s="49"/>
      <c r="L545" s="49"/>
      <c r="M545" s="49"/>
      <c r="N545" s="49"/>
      <c r="O545" s="48"/>
      <c r="P545" s="48"/>
      <c r="Q545" s="48"/>
      <c r="R545" s="48"/>
      <c r="S545" s="48"/>
      <c r="T545" s="48"/>
      <c r="U545" s="48"/>
      <c r="V545" s="48"/>
      <c r="W545" s="48"/>
      <c r="X545" s="48"/>
      <c r="Y545" s="48"/>
      <c r="Z545" s="48"/>
    </row>
    <row r="546" ht="15.75" customHeight="1">
      <c r="A546" s="49"/>
      <c r="B546" s="49"/>
      <c r="C546" s="49"/>
      <c r="D546" s="49"/>
      <c r="E546" s="49"/>
      <c r="F546" s="49"/>
      <c r="G546" s="49"/>
      <c r="H546" s="49"/>
      <c r="I546" s="49"/>
      <c r="J546" s="49"/>
      <c r="K546" s="49"/>
      <c r="L546" s="49"/>
      <c r="M546" s="49"/>
      <c r="N546" s="49"/>
      <c r="O546" s="48"/>
      <c r="P546" s="48"/>
      <c r="Q546" s="48"/>
      <c r="R546" s="48"/>
      <c r="S546" s="48"/>
      <c r="T546" s="48"/>
      <c r="U546" s="48"/>
      <c r="V546" s="48"/>
      <c r="W546" s="48"/>
      <c r="X546" s="48"/>
      <c r="Y546" s="48"/>
      <c r="Z546" s="48"/>
    </row>
    <row r="547" ht="15.75" customHeight="1">
      <c r="A547" s="49"/>
      <c r="B547" s="49"/>
      <c r="C547" s="49"/>
      <c r="D547" s="49"/>
      <c r="E547" s="49"/>
      <c r="F547" s="49"/>
      <c r="G547" s="49"/>
      <c r="H547" s="49"/>
      <c r="I547" s="49"/>
      <c r="J547" s="49"/>
      <c r="K547" s="49"/>
      <c r="L547" s="49"/>
      <c r="M547" s="49"/>
      <c r="N547" s="49"/>
      <c r="O547" s="48"/>
      <c r="P547" s="48"/>
      <c r="Q547" s="48"/>
      <c r="R547" s="48"/>
      <c r="S547" s="48"/>
      <c r="T547" s="48"/>
      <c r="U547" s="48"/>
      <c r="V547" s="48"/>
      <c r="W547" s="48"/>
      <c r="X547" s="48"/>
      <c r="Y547" s="48"/>
      <c r="Z547" s="48"/>
    </row>
    <row r="548" ht="15.75" customHeight="1">
      <c r="A548" s="49"/>
      <c r="B548" s="49"/>
      <c r="C548" s="49"/>
      <c r="D548" s="49"/>
      <c r="E548" s="49"/>
      <c r="F548" s="49"/>
      <c r="G548" s="49"/>
      <c r="H548" s="49"/>
      <c r="I548" s="49"/>
      <c r="J548" s="49"/>
      <c r="K548" s="49"/>
      <c r="L548" s="49"/>
      <c r="M548" s="49"/>
      <c r="N548" s="49"/>
      <c r="O548" s="48"/>
      <c r="P548" s="48"/>
      <c r="Q548" s="48"/>
      <c r="R548" s="48"/>
      <c r="S548" s="48"/>
      <c r="T548" s="48"/>
      <c r="U548" s="48"/>
      <c r="V548" s="48"/>
      <c r="W548" s="48"/>
      <c r="X548" s="48"/>
      <c r="Y548" s="48"/>
      <c r="Z548" s="48"/>
    </row>
    <row r="549" ht="15.75" customHeight="1">
      <c r="A549" s="49"/>
      <c r="B549" s="49"/>
      <c r="C549" s="49"/>
      <c r="D549" s="49"/>
      <c r="E549" s="49"/>
      <c r="F549" s="49"/>
      <c r="G549" s="49"/>
      <c r="H549" s="49"/>
      <c r="I549" s="49"/>
      <c r="J549" s="49"/>
      <c r="K549" s="49"/>
      <c r="L549" s="49"/>
      <c r="M549" s="49"/>
      <c r="N549" s="49"/>
      <c r="O549" s="48"/>
      <c r="P549" s="48"/>
      <c r="Q549" s="48"/>
      <c r="R549" s="48"/>
      <c r="S549" s="48"/>
      <c r="T549" s="48"/>
      <c r="U549" s="48"/>
      <c r="V549" s="48"/>
      <c r="W549" s="48"/>
      <c r="X549" s="48"/>
      <c r="Y549" s="48"/>
      <c r="Z549" s="48"/>
    </row>
    <row r="550" ht="15.75" customHeight="1">
      <c r="A550" s="49"/>
      <c r="B550" s="49"/>
      <c r="C550" s="49"/>
      <c r="D550" s="49"/>
      <c r="E550" s="49"/>
      <c r="F550" s="49"/>
      <c r="G550" s="49"/>
      <c r="H550" s="49"/>
      <c r="I550" s="49"/>
      <c r="J550" s="49"/>
      <c r="K550" s="49"/>
      <c r="L550" s="49"/>
      <c r="M550" s="49"/>
      <c r="N550" s="49"/>
      <c r="O550" s="48"/>
      <c r="P550" s="48"/>
      <c r="Q550" s="48"/>
      <c r="R550" s="48"/>
      <c r="S550" s="48"/>
      <c r="T550" s="48"/>
      <c r="U550" s="48"/>
      <c r="V550" s="48"/>
      <c r="W550" s="48"/>
      <c r="X550" s="48"/>
      <c r="Y550" s="48"/>
      <c r="Z550" s="48"/>
    </row>
    <row r="551" ht="15.75" customHeight="1">
      <c r="A551" s="49"/>
      <c r="B551" s="49"/>
      <c r="C551" s="49"/>
      <c r="D551" s="49"/>
      <c r="E551" s="49"/>
      <c r="F551" s="49"/>
      <c r="G551" s="49"/>
      <c r="H551" s="49"/>
      <c r="I551" s="49"/>
      <c r="J551" s="49"/>
      <c r="K551" s="49"/>
      <c r="L551" s="49"/>
      <c r="M551" s="49"/>
      <c r="N551" s="49"/>
      <c r="O551" s="48"/>
      <c r="P551" s="48"/>
      <c r="Q551" s="48"/>
      <c r="R551" s="48"/>
      <c r="S551" s="48"/>
      <c r="T551" s="48"/>
      <c r="U551" s="48"/>
      <c r="V551" s="48"/>
      <c r="W551" s="48"/>
      <c r="X551" s="48"/>
      <c r="Y551" s="48"/>
      <c r="Z551" s="48"/>
    </row>
    <row r="552" ht="15.75" customHeight="1">
      <c r="A552" s="49"/>
      <c r="B552" s="49"/>
      <c r="C552" s="49"/>
      <c r="D552" s="49"/>
      <c r="E552" s="49"/>
      <c r="F552" s="49"/>
      <c r="G552" s="49"/>
      <c r="H552" s="49"/>
      <c r="I552" s="49"/>
      <c r="J552" s="49"/>
      <c r="K552" s="49"/>
      <c r="L552" s="49"/>
      <c r="M552" s="49"/>
      <c r="N552" s="49"/>
      <c r="O552" s="48"/>
      <c r="P552" s="48"/>
      <c r="Q552" s="48"/>
      <c r="R552" s="48"/>
      <c r="S552" s="48"/>
      <c r="T552" s="48"/>
      <c r="U552" s="48"/>
      <c r="V552" s="48"/>
      <c r="W552" s="48"/>
      <c r="X552" s="48"/>
      <c r="Y552" s="48"/>
      <c r="Z552" s="48"/>
    </row>
    <row r="553" ht="15.75" customHeight="1">
      <c r="A553" s="49"/>
      <c r="B553" s="49"/>
      <c r="C553" s="49"/>
      <c r="D553" s="49"/>
      <c r="E553" s="49"/>
      <c r="F553" s="49"/>
      <c r="G553" s="49"/>
      <c r="H553" s="49"/>
      <c r="I553" s="49"/>
      <c r="J553" s="49"/>
      <c r="K553" s="49"/>
      <c r="L553" s="49"/>
      <c r="M553" s="49"/>
      <c r="N553" s="49"/>
      <c r="O553" s="48"/>
      <c r="P553" s="48"/>
      <c r="Q553" s="48"/>
      <c r="R553" s="48"/>
      <c r="S553" s="48"/>
      <c r="T553" s="48"/>
      <c r="U553" s="48"/>
      <c r="V553" s="48"/>
      <c r="W553" s="48"/>
      <c r="X553" s="48"/>
      <c r="Y553" s="48"/>
      <c r="Z553" s="48"/>
    </row>
    <row r="554" ht="15.75" customHeight="1">
      <c r="A554" s="49"/>
      <c r="B554" s="49"/>
      <c r="C554" s="49"/>
      <c r="D554" s="49"/>
      <c r="E554" s="49"/>
      <c r="F554" s="49"/>
      <c r="G554" s="49"/>
      <c r="H554" s="49"/>
      <c r="I554" s="49"/>
      <c r="J554" s="49"/>
      <c r="K554" s="49"/>
      <c r="L554" s="49"/>
      <c r="M554" s="49"/>
      <c r="N554" s="49"/>
      <c r="O554" s="48"/>
      <c r="P554" s="48"/>
      <c r="Q554" s="48"/>
      <c r="R554" s="48"/>
      <c r="S554" s="48"/>
      <c r="T554" s="48"/>
      <c r="U554" s="48"/>
      <c r="V554" s="48"/>
      <c r="W554" s="48"/>
      <c r="X554" s="48"/>
      <c r="Y554" s="48"/>
      <c r="Z554" s="48"/>
    </row>
    <row r="555" ht="15.75" customHeight="1">
      <c r="A555" s="49"/>
      <c r="B555" s="49"/>
      <c r="C555" s="49"/>
      <c r="D555" s="49"/>
      <c r="E555" s="49"/>
      <c r="F555" s="49"/>
      <c r="G555" s="49"/>
      <c r="H555" s="49"/>
      <c r="I555" s="49"/>
      <c r="J555" s="49"/>
      <c r="K555" s="49"/>
      <c r="L555" s="49"/>
      <c r="M555" s="49"/>
      <c r="N555" s="49"/>
      <c r="O555" s="48"/>
      <c r="P555" s="48"/>
      <c r="Q555" s="48"/>
      <c r="R555" s="48"/>
      <c r="S555" s="48"/>
      <c r="T555" s="48"/>
      <c r="U555" s="48"/>
      <c r="V555" s="48"/>
      <c r="W555" s="48"/>
      <c r="X555" s="48"/>
      <c r="Y555" s="48"/>
      <c r="Z555" s="48"/>
    </row>
    <row r="556" ht="15.75" customHeight="1">
      <c r="A556" s="49"/>
      <c r="B556" s="49"/>
      <c r="C556" s="49"/>
      <c r="D556" s="49"/>
      <c r="E556" s="49"/>
      <c r="F556" s="49"/>
      <c r="G556" s="49"/>
      <c r="H556" s="49"/>
      <c r="I556" s="49"/>
      <c r="J556" s="49"/>
      <c r="K556" s="49"/>
      <c r="L556" s="49"/>
      <c r="M556" s="49"/>
      <c r="N556" s="49"/>
      <c r="O556" s="48"/>
      <c r="P556" s="48"/>
      <c r="Q556" s="48"/>
      <c r="R556" s="48"/>
      <c r="S556" s="48"/>
      <c r="T556" s="48"/>
      <c r="U556" s="48"/>
      <c r="V556" s="48"/>
      <c r="W556" s="48"/>
      <c r="X556" s="48"/>
      <c r="Y556" s="48"/>
      <c r="Z556" s="48"/>
    </row>
    <row r="557" ht="15.75" customHeight="1">
      <c r="A557" s="49"/>
      <c r="B557" s="49"/>
      <c r="C557" s="49"/>
      <c r="D557" s="49"/>
      <c r="E557" s="49"/>
      <c r="F557" s="49"/>
      <c r="G557" s="49"/>
      <c r="H557" s="49"/>
      <c r="I557" s="49"/>
      <c r="J557" s="49"/>
      <c r="K557" s="49"/>
      <c r="L557" s="49"/>
      <c r="M557" s="49"/>
      <c r="N557" s="49"/>
      <c r="O557" s="48"/>
      <c r="P557" s="48"/>
      <c r="Q557" s="48"/>
      <c r="R557" s="48"/>
      <c r="S557" s="48"/>
      <c r="T557" s="48"/>
      <c r="U557" s="48"/>
      <c r="V557" s="48"/>
      <c r="W557" s="48"/>
      <c r="X557" s="48"/>
      <c r="Y557" s="48"/>
      <c r="Z557" s="48"/>
    </row>
    <row r="558" ht="15.75" customHeight="1">
      <c r="A558" s="49"/>
      <c r="B558" s="49"/>
      <c r="C558" s="49"/>
      <c r="D558" s="49"/>
      <c r="E558" s="49"/>
      <c r="F558" s="49"/>
      <c r="G558" s="49"/>
      <c r="H558" s="49"/>
      <c r="I558" s="49"/>
      <c r="J558" s="49"/>
      <c r="K558" s="49"/>
      <c r="L558" s="49"/>
      <c r="M558" s="49"/>
      <c r="N558" s="49"/>
      <c r="O558" s="48"/>
      <c r="P558" s="48"/>
      <c r="Q558" s="48"/>
      <c r="R558" s="48"/>
      <c r="S558" s="48"/>
      <c r="T558" s="48"/>
      <c r="U558" s="48"/>
      <c r="V558" s="48"/>
      <c r="W558" s="48"/>
      <c r="X558" s="48"/>
      <c r="Y558" s="48"/>
      <c r="Z558" s="48"/>
    </row>
    <row r="559" ht="15.75" customHeight="1">
      <c r="A559" s="49"/>
      <c r="B559" s="49"/>
      <c r="C559" s="49"/>
      <c r="D559" s="49"/>
      <c r="E559" s="49"/>
      <c r="F559" s="49"/>
      <c r="G559" s="49"/>
      <c r="H559" s="49"/>
      <c r="I559" s="49"/>
      <c r="J559" s="49"/>
      <c r="K559" s="49"/>
      <c r="L559" s="49"/>
      <c r="M559" s="49"/>
      <c r="N559" s="49"/>
      <c r="O559" s="48"/>
      <c r="P559" s="48"/>
      <c r="Q559" s="48"/>
      <c r="R559" s="48"/>
      <c r="S559" s="48"/>
      <c r="T559" s="48"/>
      <c r="U559" s="48"/>
      <c r="V559" s="48"/>
      <c r="W559" s="48"/>
      <c r="X559" s="48"/>
      <c r="Y559" s="48"/>
      <c r="Z559" s="48"/>
    </row>
    <row r="560" ht="15.75" customHeight="1">
      <c r="A560" s="49"/>
      <c r="B560" s="49"/>
      <c r="C560" s="49"/>
      <c r="D560" s="49"/>
      <c r="E560" s="49"/>
      <c r="F560" s="49"/>
      <c r="G560" s="49"/>
      <c r="H560" s="49"/>
      <c r="I560" s="49"/>
      <c r="J560" s="49"/>
      <c r="K560" s="49"/>
      <c r="L560" s="49"/>
      <c r="M560" s="49"/>
      <c r="N560" s="49"/>
      <c r="O560" s="48"/>
      <c r="P560" s="48"/>
      <c r="Q560" s="48"/>
      <c r="R560" s="48"/>
      <c r="S560" s="48"/>
      <c r="T560" s="48"/>
      <c r="U560" s="48"/>
      <c r="V560" s="48"/>
      <c r="W560" s="48"/>
      <c r="X560" s="48"/>
      <c r="Y560" s="48"/>
      <c r="Z560" s="48"/>
    </row>
    <row r="561" ht="15.75" customHeight="1">
      <c r="A561" s="49"/>
      <c r="B561" s="49"/>
      <c r="C561" s="49"/>
      <c r="D561" s="49"/>
      <c r="E561" s="49"/>
      <c r="F561" s="49"/>
      <c r="G561" s="49"/>
      <c r="H561" s="49"/>
      <c r="I561" s="49"/>
      <c r="J561" s="49"/>
      <c r="K561" s="49"/>
      <c r="L561" s="49"/>
      <c r="M561" s="49"/>
      <c r="N561" s="49"/>
      <c r="O561" s="48"/>
      <c r="P561" s="48"/>
      <c r="Q561" s="48"/>
      <c r="R561" s="48"/>
      <c r="S561" s="48"/>
      <c r="T561" s="48"/>
      <c r="U561" s="48"/>
      <c r="V561" s="48"/>
      <c r="W561" s="48"/>
      <c r="X561" s="48"/>
      <c r="Y561" s="48"/>
      <c r="Z561" s="48"/>
    </row>
    <row r="562" ht="15.75" customHeight="1">
      <c r="A562" s="49"/>
      <c r="B562" s="49"/>
      <c r="C562" s="49"/>
      <c r="D562" s="49"/>
      <c r="E562" s="49"/>
      <c r="F562" s="49"/>
      <c r="G562" s="49"/>
      <c r="H562" s="49"/>
      <c r="I562" s="49"/>
      <c r="J562" s="49"/>
      <c r="K562" s="49"/>
      <c r="L562" s="49"/>
      <c r="M562" s="49"/>
      <c r="N562" s="49"/>
      <c r="O562" s="48"/>
      <c r="P562" s="48"/>
      <c r="Q562" s="48"/>
      <c r="R562" s="48"/>
      <c r="S562" s="48"/>
      <c r="T562" s="48"/>
      <c r="U562" s="48"/>
      <c r="V562" s="48"/>
      <c r="W562" s="48"/>
      <c r="X562" s="48"/>
      <c r="Y562" s="48"/>
      <c r="Z562" s="48"/>
    </row>
    <row r="563" ht="15.75" customHeight="1">
      <c r="A563" s="49"/>
      <c r="B563" s="49"/>
      <c r="C563" s="49"/>
      <c r="D563" s="49"/>
      <c r="E563" s="49"/>
      <c r="F563" s="49"/>
      <c r="G563" s="49"/>
      <c r="H563" s="49"/>
      <c r="I563" s="49"/>
      <c r="J563" s="49"/>
      <c r="K563" s="49"/>
      <c r="L563" s="49"/>
      <c r="M563" s="49"/>
      <c r="N563" s="49"/>
      <c r="O563" s="48"/>
      <c r="P563" s="48"/>
      <c r="Q563" s="48"/>
      <c r="R563" s="48"/>
      <c r="S563" s="48"/>
      <c r="T563" s="48"/>
      <c r="U563" s="48"/>
      <c r="V563" s="48"/>
      <c r="W563" s="48"/>
      <c r="X563" s="48"/>
      <c r="Y563" s="48"/>
      <c r="Z563" s="48"/>
    </row>
    <row r="564" ht="15.75" customHeight="1">
      <c r="A564" s="49"/>
      <c r="B564" s="49"/>
      <c r="C564" s="49"/>
      <c r="D564" s="49"/>
      <c r="E564" s="49"/>
      <c r="F564" s="49"/>
      <c r="G564" s="49"/>
      <c r="H564" s="49"/>
      <c r="I564" s="49"/>
      <c r="J564" s="49"/>
      <c r="K564" s="49"/>
      <c r="L564" s="49"/>
      <c r="M564" s="49"/>
      <c r="N564" s="49"/>
      <c r="O564" s="48"/>
      <c r="P564" s="48"/>
      <c r="Q564" s="48"/>
      <c r="R564" s="48"/>
      <c r="S564" s="48"/>
      <c r="T564" s="48"/>
      <c r="U564" s="48"/>
      <c r="V564" s="48"/>
      <c r="W564" s="48"/>
      <c r="X564" s="48"/>
      <c r="Y564" s="48"/>
      <c r="Z564" s="48"/>
    </row>
    <row r="565" ht="15.75" customHeight="1">
      <c r="A565" s="49"/>
      <c r="B565" s="49"/>
      <c r="C565" s="49"/>
      <c r="D565" s="49"/>
      <c r="E565" s="49"/>
      <c r="F565" s="49"/>
      <c r="G565" s="49"/>
      <c r="H565" s="49"/>
      <c r="I565" s="49"/>
      <c r="J565" s="49"/>
      <c r="K565" s="49"/>
      <c r="L565" s="49"/>
      <c r="M565" s="49"/>
      <c r="N565" s="49"/>
      <c r="O565" s="48"/>
      <c r="P565" s="48"/>
      <c r="Q565" s="48"/>
      <c r="R565" s="48"/>
      <c r="S565" s="48"/>
      <c r="T565" s="48"/>
      <c r="U565" s="48"/>
      <c r="V565" s="48"/>
      <c r="W565" s="48"/>
      <c r="X565" s="48"/>
      <c r="Y565" s="48"/>
      <c r="Z565" s="48"/>
    </row>
    <row r="566" ht="15.75" customHeight="1">
      <c r="A566" s="49"/>
      <c r="B566" s="49"/>
      <c r="C566" s="49"/>
      <c r="D566" s="49"/>
      <c r="E566" s="49"/>
      <c r="F566" s="49"/>
      <c r="G566" s="49"/>
      <c r="H566" s="49"/>
      <c r="I566" s="49"/>
      <c r="J566" s="49"/>
      <c r="K566" s="49"/>
      <c r="L566" s="49"/>
      <c r="M566" s="49"/>
      <c r="N566" s="49"/>
      <c r="O566" s="48"/>
      <c r="P566" s="48"/>
      <c r="Q566" s="48"/>
      <c r="R566" s="48"/>
      <c r="S566" s="48"/>
      <c r="T566" s="48"/>
      <c r="U566" s="48"/>
      <c r="V566" s="48"/>
      <c r="W566" s="48"/>
      <c r="X566" s="48"/>
      <c r="Y566" s="48"/>
      <c r="Z566" s="48"/>
    </row>
    <row r="567" ht="15.75" customHeight="1">
      <c r="A567" s="49"/>
      <c r="B567" s="49"/>
      <c r="C567" s="49"/>
      <c r="D567" s="49"/>
      <c r="E567" s="49"/>
      <c r="F567" s="49"/>
      <c r="G567" s="49"/>
      <c r="H567" s="49"/>
      <c r="I567" s="49"/>
      <c r="J567" s="49"/>
      <c r="K567" s="49"/>
      <c r="L567" s="49"/>
      <c r="M567" s="49"/>
      <c r="N567" s="49"/>
      <c r="O567" s="48"/>
      <c r="P567" s="48"/>
      <c r="Q567" s="48"/>
      <c r="R567" s="48"/>
      <c r="S567" s="48"/>
      <c r="T567" s="48"/>
      <c r="U567" s="48"/>
      <c r="V567" s="48"/>
      <c r="W567" s="48"/>
      <c r="X567" s="48"/>
      <c r="Y567" s="48"/>
      <c r="Z567" s="48"/>
    </row>
    <row r="568" ht="15.75" customHeight="1">
      <c r="A568" s="49"/>
      <c r="B568" s="49"/>
      <c r="C568" s="49"/>
      <c r="D568" s="49"/>
      <c r="E568" s="49"/>
      <c r="F568" s="49"/>
      <c r="G568" s="49"/>
      <c r="H568" s="49"/>
      <c r="I568" s="49"/>
      <c r="J568" s="49"/>
      <c r="K568" s="49"/>
      <c r="L568" s="49"/>
      <c r="M568" s="49"/>
      <c r="N568" s="49"/>
      <c r="O568" s="48"/>
      <c r="P568" s="48"/>
      <c r="Q568" s="48"/>
      <c r="R568" s="48"/>
      <c r="S568" s="48"/>
      <c r="T568" s="48"/>
      <c r="U568" s="48"/>
      <c r="V568" s="48"/>
      <c r="W568" s="48"/>
      <c r="X568" s="48"/>
      <c r="Y568" s="48"/>
      <c r="Z568" s="48"/>
    </row>
    <row r="569" ht="15.75" customHeight="1">
      <c r="A569" s="49"/>
      <c r="B569" s="49"/>
      <c r="C569" s="49"/>
      <c r="D569" s="49"/>
      <c r="E569" s="49"/>
      <c r="F569" s="49"/>
      <c r="G569" s="49"/>
      <c r="H569" s="49"/>
      <c r="I569" s="49"/>
      <c r="J569" s="49"/>
      <c r="K569" s="49"/>
      <c r="L569" s="49"/>
      <c r="M569" s="49"/>
      <c r="N569" s="49"/>
      <c r="O569" s="48"/>
      <c r="P569" s="48"/>
      <c r="Q569" s="48"/>
      <c r="R569" s="48"/>
      <c r="S569" s="48"/>
      <c r="T569" s="48"/>
      <c r="U569" s="48"/>
      <c r="V569" s="48"/>
      <c r="W569" s="48"/>
      <c r="X569" s="48"/>
      <c r="Y569" s="48"/>
      <c r="Z569" s="48"/>
    </row>
    <row r="570" ht="15.75" customHeight="1">
      <c r="A570" s="49"/>
      <c r="B570" s="49"/>
      <c r="C570" s="49"/>
      <c r="D570" s="49"/>
      <c r="E570" s="49"/>
      <c r="F570" s="49"/>
      <c r="G570" s="49"/>
      <c r="H570" s="49"/>
      <c r="I570" s="49"/>
      <c r="J570" s="49"/>
      <c r="K570" s="49"/>
      <c r="L570" s="49"/>
      <c r="M570" s="49"/>
      <c r="N570" s="49"/>
      <c r="O570" s="48"/>
      <c r="P570" s="48"/>
      <c r="Q570" s="48"/>
      <c r="R570" s="48"/>
      <c r="S570" s="48"/>
      <c r="T570" s="48"/>
      <c r="U570" s="48"/>
      <c r="V570" s="48"/>
      <c r="W570" s="48"/>
      <c r="X570" s="48"/>
      <c r="Y570" s="48"/>
      <c r="Z570" s="48"/>
    </row>
    <row r="571" ht="15.75" customHeight="1">
      <c r="A571" s="49"/>
      <c r="B571" s="49"/>
      <c r="C571" s="49"/>
      <c r="D571" s="49"/>
      <c r="E571" s="49"/>
      <c r="F571" s="49"/>
      <c r="G571" s="49"/>
      <c r="H571" s="49"/>
      <c r="I571" s="49"/>
      <c r="J571" s="49"/>
      <c r="K571" s="49"/>
      <c r="L571" s="49"/>
      <c r="M571" s="49"/>
      <c r="N571" s="49"/>
      <c r="O571" s="48"/>
      <c r="P571" s="48"/>
      <c r="Q571" s="48"/>
      <c r="R571" s="48"/>
      <c r="S571" s="48"/>
      <c r="T571" s="48"/>
      <c r="U571" s="48"/>
      <c r="V571" s="48"/>
      <c r="W571" s="48"/>
      <c r="X571" s="48"/>
      <c r="Y571" s="48"/>
      <c r="Z571" s="48"/>
    </row>
    <row r="572" ht="15.75" customHeight="1">
      <c r="A572" s="49"/>
      <c r="B572" s="49"/>
      <c r="C572" s="49"/>
      <c r="D572" s="49"/>
      <c r="E572" s="49"/>
      <c r="F572" s="49"/>
      <c r="G572" s="49"/>
      <c r="H572" s="49"/>
      <c r="I572" s="49"/>
      <c r="J572" s="49"/>
      <c r="K572" s="49"/>
      <c r="L572" s="49"/>
      <c r="M572" s="49"/>
      <c r="N572" s="49"/>
      <c r="O572" s="48"/>
      <c r="P572" s="48"/>
      <c r="Q572" s="48"/>
      <c r="R572" s="48"/>
      <c r="S572" s="48"/>
      <c r="T572" s="48"/>
      <c r="U572" s="48"/>
      <c r="V572" s="48"/>
      <c r="W572" s="48"/>
      <c r="X572" s="48"/>
      <c r="Y572" s="48"/>
      <c r="Z572" s="48"/>
    </row>
    <row r="573" ht="15.75" customHeight="1">
      <c r="A573" s="49"/>
      <c r="B573" s="49"/>
      <c r="C573" s="49"/>
      <c r="D573" s="49"/>
      <c r="E573" s="49"/>
      <c r="F573" s="49"/>
      <c r="G573" s="49"/>
      <c r="H573" s="49"/>
      <c r="I573" s="49"/>
      <c r="J573" s="49"/>
      <c r="K573" s="49"/>
      <c r="L573" s="49"/>
      <c r="M573" s="49"/>
      <c r="N573" s="49"/>
      <c r="O573" s="48"/>
      <c r="P573" s="48"/>
      <c r="Q573" s="48"/>
      <c r="R573" s="48"/>
      <c r="S573" s="48"/>
      <c r="T573" s="48"/>
      <c r="U573" s="48"/>
      <c r="V573" s="48"/>
      <c r="W573" s="48"/>
      <c r="X573" s="48"/>
      <c r="Y573" s="48"/>
      <c r="Z573" s="48"/>
    </row>
    <row r="574" ht="15.75" customHeight="1">
      <c r="A574" s="49"/>
      <c r="B574" s="49"/>
      <c r="C574" s="49"/>
      <c r="D574" s="49"/>
      <c r="E574" s="49"/>
      <c r="F574" s="49"/>
      <c r="G574" s="49"/>
      <c r="H574" s="49"/>
      <c r="I574" s="49"/>
      <c r="J574" s="49"/>
      <c r="K574" s="49"/>
      <c r="L574" s="49"/>
      <c r="M574" s="49"/>
      <c r="N574" s="49"/>
      <c r="O574" s="48"/>
      <c r="P574" s="48"/>
      <c r="Q574" s="48"/>
      <c r="R574" s="48"/>
      <c r="S574" s="48"/>
      <c r="T574" s="48"/>
      <c r="U574" s="48"/>
      <c r="V574" s="48"/>
      <c r="W574" s="48"/>
      <c r="X574" s="48"/>
      <c r="Y574" s="48"/>
      <c r="Z574" s="48"/>
    </row>
    <row r="575" ht="15.75" customHeight="1">
      <c r="A575" s="49"/>
      <c r="B575" s="49"/>
      <c r="C575" s="49"/>
      <c r="D575" s="49"/>
      <c r="E575" s="49"/>
      <c r="F575" s="49"/>
      <c r="G575" s="49"/>
      <c r="H575" s="49"/>
      <c r="I575" s="49"/>
      <c r="J575" s="49"/>
      <c r="K575" s="49"/>
      <c r="L575" s="49"/>
      <c r="M575" s="49"/>
      <c r="N575" s="49"/>
      <c r="O575" s="48"/>
      <c r="P575" s="48"/>
      <c r="Q575" s="48"/>
      <c r="R575" s="48"/>
      <c r="S575" s="48"/>
      <c r="T575" s="48"/>
      <c r="U575" s="48"/>
      <c r="V575" s="48"/>
      <c r="W575" s="48"/>
      <c r="X575" s="48"/>
      <c r="Y575" s="48"/>
      <c r="Z575" s="48"/>
    </row>
    <row r="576" ht="15.75" customHeight="1">
      <c r="A576" s="49"/>
      <c r="B576" s="49"/>
      <c r="C576" s="49"/>
      <c r="D576" s="49"/>
      <c r="E576" s="49"/>
      <c r="F576" s="49"/>
      <c r="G576" s="49"/>
      <c r="H576" s="49"/>
      <c r="I576" s="49"/>
      <c r="J576" s="49"/>
      <c r="K576" s="49"/>
      <c r="L576" s="49"/>
      <c r="M576" s="49"/>
      <c r="N576" s="49"/>
      <c r="O576" s="48"/>
      <c r="P576" s="48"/>
      <c r="Q576" s="48"/>
      <c r="R576" s="48"/>
      <c r="S576" s="48"/>
      <c r="T576" s="48"/>
      <c r="U576" s="48"/>
      <c r="V576" s="48"/>
      <c r="W576" s="48"/>
      <c r="X576" s="48"/>
      <c r="Y576" s="48"/>
      <c r="Z576" s="48"/>
    </row>
    <row r="577" ht="15.75" customHeight="1">
      <c r="A577" s="49"/>
      <c r="B577" s="49"/>
      <c r="C577" s="49"/>
      <c r="D577" s="49"/>
      <c r="E577" s="49"/>
      <c r="F577" s="49"/>
      <c r="G577" s="49"/>
      <c r="H577" s="49"/>
      <c r="I577" s="49"/>
      <c r="J577" s="49"/>
      <c r="K577" s="49"/>
      <c r="L577" s="49"/>
      <c r="M577" s="49"/>
      <c r="N577" s="49"/>
      <c r="O577" s="48"/>
      <c r="P577" s="48"/>
      <c r="Q577" s="48"/>
      <c r="R577" s="48"/>
      <c r="S577" s="48"/>
      <c r="T577" s="48"/>
      <c r="U577" s="48"/>
      <c r="V577" s="48"/>
      <c r="W577" s="48"/>
      <c r="X577" s="48"/>
      <c r="Y577" s="48"/>
      <c r="Z577" s="48"/>
    </row>
    <row r="578" ht="15.75" customHeight="1">
      <c r="A578" s="49"/>
      <c r="B578" s="49"/>
      <c r="C578" s="49"/>
      <c r="D578" s="49"/>
      <c r="E578" s="49"/>
      <c r="F578" s="49"/>
      <c r="G578" s="49"/>
      <c r="H578" s="49"/>
      <c r="I578" s="49"/>
      <c r="J578" s="49"/>
      <c r="K578" s="49"/>
      <c r="L578" s="49"/>
      <c r="M578" s="49"/>
      <c r="N578" s="49"/>
      <c r="O578" s="48"/>
      <c r="P578" s="48"/>
      <c r="Q578" s="48"/>
      <c r="R578" s="48"/>
      <c r="S578" s="48"/>
      <c r="T578" s="48"/>
      <c r="U578" s="48"/>
      <c r="V578" s="48"/>
      <c r="W578" s="48"/>
      <c r="X578" s="48"/>
      <c r="Y578" s="48"/>
      <c r="Z578" s="48"/>
    </row>
    <row r="579" ht="15.75" customHeight="1">
      <c r="A579" s="49"/>
      <c r="B579" s="49"/>
      <c r="C579" s="49"/>
      <c r="D579" s="49"/>
      <c r="E579" s="49"/>
      <c r="F579" s="49"/>
      <c r="G579" s="49"/>
      <c r="H579" s="49"/>
      <c r="I579" s="49"/>
      <c r="J579" s="49"/>
      <c r="K579" s="49"/>
      <c r="L579" s="49"/>
      <c r="M579" s="49"/>
      <c r="N579" s="49"/>
      <c r="O579" s="48"/>
      <c r="P579" s="48"/>
      <c r="Q579" s="48"/>
      <c r="R579" s="48"/>
      <c r="S579" s="48"/>
      <c r="T579" s="48"/>
      <c r="U579" s="48"/>
      <c r="V579" s="48"/>
      <c r="W579" s="48"/>
      <c r="X579" s="48"/>
      <c r="Y579" s="48"/>
      <c r="Z579" s="48"/>
    </row>
    <row r="580" ht="15.75" customHeight="1">
      <c r="A580" s="49"/>
      <c r="B580" s="49"/>
      <c r="C580" s="49"/>
      <c r="D580" s="49"/>
      <c r="E580" s="49"/>
      <c r="F580" s="49"/>
      <c r="G580" s="49"/>
      <c r="H580" s="49"/>
      <c r="I580" s="49"/>
      <c r="J580" s="49"/>
      <c r="K580" s="49"/>
      <c r="L580" s="49"/>
      <c r="M580" s="49"/>
      <c r="N580" s="49"/>
      <c r="O580" s="48"/>
      <c r="P580" s="48"/>
      <c r="Q580" s="48"/>
      <c r="R580" s="48"/>
      <c r="S580" s="48"/>
      <c r="T580" s="48"/>
      <c r="U580" s="48"/>
      <c r="V580" s="48"/>
      <c r="W580" s="48"/>
      <c r="X580" s="48"/>
      <c r="Y580" s="48"/>
      <c r="Z580" s="48"/>
    </row>
    <row r="581" ht="15.75" customHeight="1">
      <c r="A581" s="49"/>
      <c r="B581" s="49"/>
      <c r="C581" s="49"/>
      <c r="D581" s="49"/>
      <c r="E581" s="49"/>
      <c r="F581" s="49"/>
      <c r="G581" s="49"/>
      <c r="H581" s="49"/>
      <c r="I581" s="49"/>
      <c r="J581" s="49"/>
      <c r="K581" s="49"/>
      <c r="L581" s="49"/>
      <c r="M581" s="49"/>
      <c r="N581" s="49"/>
      <c r="O581" s="48"/>
      <c r="P581" s="48"/>
      <c r="Q581" s="48"/>
      <c r="R581" s="48"/>
      <c r="S581" s="48"/>
      <c r="T581" s="48"/>
      <c r="U581" s="48"/>
      <c r="V581" s="48"/>
      <c r="W581" s="48"/>
      <c r="X581" s="48"/>
      <c r="Y581" s="48"/>
      <c r="Z581" s="48"/>
    </row>
    <row r="582" ht="15.75" customHeight="1">
      <c r="A582" s="49"/>
      <c r="B582" s="49"/>
      <c r="C582" s="49"/>
      <c r="D582" s="49"/>
      <c r="E582" s="49"/>
      <c r="F582" s="49"/>
      <c r="G582" s="49"/>
      <c r="H582" s="49"/>
      <c r="I582" s="49"/>
      <c r="J582" s="49"/>
      <c r="K582" s="49"/>
      <c r="L582" s="49"/>
      <c r="M582" s="49"/>
      <c r="N582" s="49"/>
      <c r="O582" s="48"/>
      <c r="P582" s="48"/>
      <c r="Q582" s="48"/>
      <c r="R582" s="48"/>
      <c r="S582" s="48"/>
      <c r="T582" s="48"/>
      <c r="U582" s="48"/>
      <c r="V582" s="48"/>
      <c r="W582" s="48"/>
      <c r="X582" s="48"/>
      <c r="Y582" s="48"/>
      <c r="Z582" s="48"/>
    </row>
    <row r="583" ht="15.75" customHeight="1">
      <c r="A583" s="49"/>
      <c r="B583" s="49"/>
      <c r="C583" s="49"/>
      <c r="D583" s="49"/>
      <c r="E583" s="49"/>
      <c r="F583" s="49"/>
      <c r="G583" s="49"/>
      <c r="H583" s="49"/>
      <c r="I583" s="49"/>
      <c r="J583" s="49"/>
      <c r="K583" s="49"/>
      <c r="L583" s="49"/>
      <c r="M583" s="49"/>
      <c r="N583" s="49"/>
      <c r="O583" s="48"/>
      <c r="P583" s="48"/>
      <c r="Q583" s="48"/>
      <c r="R583" s="48"/>
      <c r="S583" s="48"/>
      <c r="T583" s="48"/>
      <c r="U583" s="48"/>
      <c r="V583" s="48"/>
      <c r="W583" s="48"/>
      <c r="X583" s="48"/>
      <c r="Y583" s="48"/>
      <c r="Z583" s="48"/>
    </row>
    <row r="584" ht="15.75" customHeight="1">
      <c r="A584" s="49"/>
      <c r="B584" s="49"/>
      <c r="C584" s="49"/>
      <c r="D584" s="49"/>
      <c r="E584" s="49"/>
      <c r="F584" s="49"/>
      <c r="G584" s="49"/>
      <c r="H584" s="49"/>
      <c r="I584" s="49"/>
      <c r="J584" s="49"/>
      <c r="K584" s="49"/>
      <c r="L584" s="49"/>
      <c r="M584" s="49"/>
      <c r="N584" s="49"/>
      <c r="O584" s="48"/>
      <c r="P584" s="48"/>
      <c r="Q584" s="48"/>
      <c r="R584" s="48"/>
      <c r="S584" s="48"/>
      <c r="T584" s="48"/>
      <c r="U584" s="48"/>
      <c r="V584" s="48"/>
      <c r="W584" s="48"/>
      <c r="X584" s="48"/>
      <c r="Y584" s="48"/>
      <c r="Z584" s="48"/>
    </row>
    <row r="585" ht="15.75" customHeight="1">
      <c r="A585" s="49"/>
      <c r="B585" s="49"/>
      <c r="C585" s="49"/>
      <c r="D585" s="49"/>
      <c r="E585" s="49"/>
      <c r="F585" s="49"/>
      <c r="G585" s="49"/>
      <c r="H585" s="49"/>
      <c r="I585" s="49"/>
      <c r="J585" s="49"/>
      <c r="K585" s="49"/>
      <c r="L585" s="49"/>
      <c r="M585" s="49"/>
      <c r="N585" s="49"/>
      <c r="O585" s="48"/>
      <c r="P585" s="48"/>
      <c r="Q585" s="48"/>
      <c r="R585" s="48"/>
      <c r="S585" s="48"/>
      <c r="T585" s="48"/>
      <c r="U585" s="48"/>
      <c r="V585" s="48"/>
      <c r="W585" s="48"/>
      <c r="X585" s="48"/>
      <c r="Y585" s="48"/>
      <c r="Z585" s="48"/>
    </row>
    <row r="586" ht="15.75" customHeight="1">
      <c r="A586" s="49"/>
      <c r="B586" s="49"/>
      <c r="C586" s="49"/>
      <c r="D586" s="49"/>
      <c r="E586" s="49"/>
      <c r="F586" s="49"/>
      <c r="G586" s="49"/>
      <c r="H586" s="49"/>
      <c r="I586" s="49"/>
      <c r="J586" s="49"/>
      <c r="K586" s="49"/>
      <c r="L586" s="49"/>
      <c r="M586" s="49"/>
      <c r="N586" s="49"/>
      <c r="O586" s="48"/>
      <c r="P586" s="48"/>
      <c r="Q586" s="48"/>
      <c r="R586" s="48"/>
      <c r="S586" s="48"/>
      <c r="T586" s="48"/>
      <c r="U586" s="48"/>
      <c r="V586" s="48"/>
      <c r="W586" s="48"/>
      <c r="X586" s="48"/>
      <c r="Y586" s="48"/>
      <c r="Z586" s="48"/>
    </row>
    <row r="587" ht="15.75" customHeight="1">
      <c r="A587" s="49"/>
      <c r="B587" s="49"/>
      <c r="C587" s="49"/>
      <c r="D587" s="49"/>
      <c r="E587" s="49"/>
      <c r="F587" s="49"/>
      <c r="G587" s="49"/>
      <c r="H587" s="49"/>
      <c r="I587" s="49"/>
      <c r="J587" s="49"/>
      <c r="K587" s="49"/>
      <c r="L587" s="49"/>
      <c r="M587" s="49"/>
      <c r="N587" s="49"/>
      <c r="O587" s="48"/>
      <c r="P587" s="48"/>
      <c r="Q587" s="48"/>
      <c r="R587" s="48"/>
      <c r="S587" s="48"/>
      <c r="T587" s="48"/>
      <c r="U587" s="48"/>
      <c r="V587" s="48"/>
      <c r="W587" s="48"/>
      <c r="X587" s="48"/>
      <c r="Y587" s="48"/>
      <c r="Z587" s="48"/>
    </row>
    <row r="588" ht="15.75" customHeight="1">
      <c r="A588" s="49"/>
      <c r="B588" s="49"/>
      <c r="C588" s="49"/>
      <c r="D588" s="49"/>
      <c r="E588" s="49"/>
      <c r="F588" s="49"/>
      <c r="G588" s="49"/>
      <c r="H588" s="49"/>
      <c r="I588" s="49"/>
      <c r="J588" s="49"/>
      <c r="K588" s="49"/>
      <c r="L588" s="49"/>
      <c r="M588" s="49"/>
      <c r="N588" s="49"/>
      <c r="O588" s="48"/>
      <c r="P588" s="48"/>
      <c r="Q588" s="48"/>
      <c r="R588" s="48"/>
      <c r="S588" s="48"/>
      <c r="T588" s="48"/>
      <c r="U588" s="48"/>
      <c r="V588" s="48"/>
      <c r="W588" s="48"/>
      <c r="X588" s="48"/>
      <c r="Y588" s="48"/>
      <c r="Z588" s="48"/>
    </row>
    <row r="589" ht="15.75" customHeight="1">
      <c r="A589" s="49"/>
      <c r="B589" s="49"/>
      <c r="C589" s="49"/>
      <c r="D589" s="49"/>
      <c r="E589" s="49"/>
      <c r="F589" s="49"/>
      <c r="G589" s="49"/>
      <c r="H589" s="49"/>
      <c r="I589" s="49"/>
      <c r="J589" s="49"/>
      <c r="K589" s="49"/>
      <c r="L589" s="49"/>
      <c r="M589" s="49"/>
      <c r="N589" s="49"/>
      <c r="O589" s="48"/>
      <c r="P589" s="48"/>
      <c r="Q589" s="48"/>
      <c r="R589" s="48"/>
      <c r="S589" s="48"/>
      <c r="T589" s="48"/>
      <c r="U589" s="48"/>
      <c r="V589" s="48"/>
      <c r="W589" s="48"/>
      <c r="X589" s="48"/>
      <c r="Y589" s="48"/>
      <c r="Z589" s="48"/>
    </row>
    <row r="590" ht="15.75" customHeight="1">
      <c r="A590" s="49"/>
      <c r="B590" s="49"/>
      <c r="C590" s="49"/>
      <c r="D590" s="49"/>
      <c r="E590" s="49"/>
      <c r="F590" s="49"/>
      <c r="G590" s="49"/>
      <c r="H590" s="49"/>
      <c r="I590" s="49"/>
      <c r="J590" s="49"/>
      <c r="K590" s="49"/>
      <c r="L590" s="49"/>
      <c r="M590" s="49"/>
      <c r="N590" s="49"/>
      <c r="O590" s="48"/>
      <c r="P590" s="48"/>
      <c r="Q590" s="48"/>
      <c r="R590" s="48"/>
      <c r="S590" s="48"/>
      <c r="T590" s="48"/>
      <c r="U590" s="48"/>
      <c r="V590" s="48"/>
      <c r="W590" s="48"/>
      <c r="X590" s="48"/>
      <c r="Y590" s="48"/>
      <c r="Z590" s="48"/>
    </row>
    <row r="591" ht="15.75" customHeight="1">
      <c r="A591" s="49"/>
      <c r="B591" s="49"/>
      <c r="C591" s="49"/>
      <c r="D591" s="49"/>
      <c r="E591" s="49"/>
      <c r="F591" s="49"/>
      <c r="G591" s="49"/>
      <c r="H591" s="49"/>
      <c r="I591" s="49"/>
      <c r="J591" s="49"/>
      <c r="K591" s="49"/>
      <c r="L591" s="49"/>
      <c r="M591" s="49"/>
      <c r="N591" s="49"/>
      <c r="O591" s="48"/>
      <c r="P591" s="48"/>
      <c r="Q591" s="48"/>
      <c r="R591" s="48"/>
      <c r="S591" s="48"/>
      <c r="T591" s="48"/>
      <c r="U591" s="48"/>
      <c r="V591" s="48"/>
      <c r="W591" s="48"/>
      <c r="X591" s="48"/>
      <c r="Y591" s="48"/>
      <c r="Z591" s="48"/>
    </row>
    <row r="592" ht="15.75" customHeight="1">
      <c r="A592" s="49"/>
      <c r="B592" s="49"/>
      <c r="C592" s="49"/>
      <c r="D592" s="49"/>
      <c r="E592" s="49"/>
      <c r="F592" s="49"/>
      <c r="G592" s="49"/>
      <c r="H592" s="49"/>
      <c r="I592" s="49"/>
      <c r="J592" s="49"/>
      <c r="K592" s="49"/>
      <c r="L592" s="49"/>
      <c r="M592" s="49"/>
      <c r="N592" s="49"/>
      <c r="O592" s="48"/>
      <c r="P592" s="48"/>
      <c r="Q592" s="48"/>
      <c r="R592" s="48"/>
      <c r="S592" s="48"/>
      <c r="T592" s="48"/>
      <c r="U592" s="48"/>
      <c r="V592" s="48"/>
      <c r="W592" s="48"/>
      <c r="X592" s="48"/>
      <c r="Y592" s="48"/>
      <c r="Z592" s="48"/>
    </row>
    <row r="593" ht="15.75" customHeight="1">
      <c r="A593" s="49"/>
      <c r="B593" s="49"/>
      <c r="C593" s="49"/>
      <c r="D593" s="49"/>
      <c r="E593" s="49"/>
      <c r="F593" s="49"/>
      <c r="G593" s="49"/>
      <c r="H593" s="49"/>
      <c r="I593" s="49"/>
      <c r="J593" s="49"/>
      <c r="K593" s="49"/>
      <c r="L593" s="49"/>
      <c r="M593" s="49"/>
      <c r="N593" s="49"/>
      <c r="O593" s="48"/>
      <c r="P593" s="48"/>
      <c r="Q593" s="48"/>
      <c r="R593" s="48"/>
      <c r="S593" s="48"/>
      <c r="T593" s="48"/>
      <c r="U593" s="48"/>
      <c r="V593" s="48"/>
      <c r="W593" s="48"/>
      <c r="X593" s="48"/>
      <c r="Y593" s="48"/>
      <c r="Z593" s="48"/>
    </row>
    <row r="594" ht="15.75" customHeight="1">
      <c r="A594" s="49"/>
      <c r="B594" s="49"/>
      <c r="C594" s="49"/>
      <c r="D594" s="49"/>
      <c r="E594" s="49"/>
      <c r="F594" s="49"/>
      <c r="G594" s="49"/>
      <c r="H594" s="49"/>
      <c r="I594" s="49"/>
      <c r="J594" s="49"/>
      <c r="K594" s="49"/>
      <c r="L594" s="49"/>
      <c r="M594" s="49"/>
      <c r="N594" s="49"/>
      <c r="O594" s="48"/>
      <c r="P594" s="48"/>
      <c r="Q594" s="48"/>
      <c r="R594" s="48"/>
      <c r="S594" s="48"/>
      <c r="T594" s="48"/>
      <c r="U594" s="48"/>
      <c r="V594" s="48"/>
      <c r="W594" s="48"/>
      <c r="X594" s="48"/>
      <c r="Y594" s="48"/>
      <c r="Z594" s="48"/>
    </row>
    <row r="595" ht="15.75" customHeight="1">
      <c r="A595" s="49"/>
      <c r="B595" s="49"/>
      <c r="C595" s="49"/>
      <c r="D595" s="49"/>
      <c r="E595" s="49"/>
      <c r="F595" s="49"/>
      <c r="G595" s="49"/>
      <c r="H595" s="49"/>
      <c r="I595" s="49"/>
      <c r="J595" s="49"/>
      <c r="K595" s="49"/>
      <c r="L595" s="49"/>
      <c r="M595" s="49"/>
      <c r="N595" s="49"/>
      <c r="O595" s="48"/>
      <c r="P595" s="48"/>
      <c r="Q595" s="48"/>
      <c r="R595" s="48"/>
      <c r="S595" s="48"/>
      <c r="T595" s="48"/>
      <c r="U595" s="48"/>
      <c r="V595" s="48"/>
      <c r="W595" s="48"/>
      <c r="X595" s="48"/>
      <c r="Y595" s="48"/>
      <c r="Z595" s="48"/>
    </row>
    <row r="596" ht="15.75" customHeight="1">
      <c r="A596" s="49"/>
      <c r="B596" s="49"/>
      <c r="C596" s="49"/>
      <c r="D596" s="49"/>
      <c r="E596" s="49"/>
      <c r="F596" s="49"/>
      <c r="G596" s="49"/>
      <c r="H596" s="49"/>
      <c r="I596" s="49"/>
      <c r="J596" s="49"/>
      <c r="K596" s="49"/>
      <c r="L596" s="49"/>
      <c r="M596" s="49"/>
      <c r="N596" s="49"/>
      <c r="O596" s="48"/>
      <c r="P596" s="48"/>
      <c r="Q596" s="48"/>
      <c r="R596" s="48"/>
      <c r="S596" s="48"/>
      <c r="T596" s="48"/>
      <c r="U596" s="48"/>
      <c r="V596" s="48"/>
      <c r="W596" s="48"/>
      <c r="X596" s="48"/>
      <c r="Y596" s="48"/>
      <c r="Z596" s="48"/>
    </row>
    <row r="597" ht="15.75" customHeight="1">
      <c r="A597" s="49"/>
      <c r="B597" s="49"/>
      <c r="C597" s="49"/>
      <c r="D597" s="49"/>
      <c r="E597" s="49"/>
      <c r="F597" s="49"/>
      <c r="G597" s="49"/>
      <c r="H597" s="49"/>
      <c r="I597" s="49"/>
      <c r="J597" s="49"/>
      <c r="K597" s="49"/>
      <c r="L597" s="49"/>
      <c r="M597" s="49"/>
      <c r="N597" s="49"/>
      <c r="O597" s="48"/>
      <c r="P597" s="48"/>
      <c r="Q597" s="48"/>
      <c r="R597" s="48"/>
      <c r="S597" s="48"/>
      <c r="T597" s="48"/>
      <c r="U597" s="48"/>
      <c r="V597" s="48"/>
      <c r="W597" s="48"/>
      <c r="X597" s="48"/>
      <c r="Y597" s="48"/>
      <c r="Z597" s="48"/>
    </row>
    <row r="598" ht="15.75" customHeight="1">
      <c r="A598" s="49"/>
      <c r="B598" s="49"/>
      <c r="C598" s="49"/>
      <c r="D598" s="49"/>
      <c r="E598" s="49"/>
      <c r="F598" s="49"/>
      <c r="G598" s="49"/>
      <c r="H598" s="49"/>
      <c r="I598" s="49"/>
      <c r="J598" s="49"/>
      <c r="K598" s="49"/>
      <c r="L598" s="49"/>
      <c r="M598" s="49"/>
      <c r="N598" s="49"/>
      <c r="O598" s="48"/>
      <c r="P598" s="48"/>
      <c r="Q598" s="48"/>
      <c r="R598" s="48"/>
      <c r="S598" s="48"/>
      <c r="T598" s="48"/>
      <c r="U598" s="48"/>
      <c r="V598" s="48"/>
      <c r="W598" s="48"/>
      <c r="X598" s="48"/>
      <c r="Y598" s="48"/>
      <c r="Z598" s="48"/>
    </row>
    <row r="599" ht="15.75" customHeight="1">
      <c r="A599" s="49"/>
      <c r="B599" s="49"/>
      <c r="C599" s="49"/>
      <c r="D599" s="49"/>
      <c r="E599" s="49"/>
      <c r="F599" s="49"/>
      <c r="G599" s="49"/>
      <c r="H599" s="49"/>
      <c r="I599" s="49"/>
      <c r="J599" s="49"/>
      <c r="K599" s="49"/>
      <c r="L599" s="49"/>
      <c r="M599" s="49"/>
      <c r="N599" s="49"/>
      <c r="O599" s="48"/>
      <c r="P599" s="48"/>
      <c r="Q599" s="48"/>
      <c r="R599" s="48"/>
      <c r="S599" s="48"/>
      <c r="T599" s="48"/>
      <c r="U599" s="48"/>
      <c r="V599" s="48"/>
      <c r="W599" s="48"/>
      <c r="X599" s="48"/>
      <c r="Y599" s="48"/>
      <c r="Z599" s="48"/>
    </row>
    <row r="600" ht="15.75" customHeight="1">
      <c r="A600" s="49"/>
      <c r="B600" s="49"/>
      <c r="C600" s="49"/>
      <c r="D600" s="49"/>
      <c r="E600" s="49"/>
      <c r="F600" s="49"/>
      <c r="G600" s="49"/>
      <c r="H600" s="49"/>
      <c r="I600" s="49"/>
      <c r="J600" s="49"/>
      <c r="K600" s="49"/>
      <c r="L600" s="49"/>
      <c r="M600" s="49"/>
      <c r="N600" s="49"/>
      <c r="O600" s="48"/>
      <c r="P600" s="48"/>
      <c r="Q600" s="48"/>
      <c r="R600" s="48"/>
      <c r="S600" s="48"/>
      <c r="T600" s="48"/>
      <c r="U600" s="48"/>
      <c r="V600" s="48"/>
      <c r="W600" s="48"/>
      <c r="X600" s="48"/>
      <c r="Y600" s="48"/>
      <c r="Z600" s="48"/>
    </row>
    <row r="601" ht="15.75" customHeight="1">
      <c r="A601" s="49"/>
      <c r="B601" s="49"/>
      <c r="C601" s="49"/>
      <c r="D601" s="49"/>
      <c r="E601" s="49"/>
      <c r="F601" s="49"/>
      <c r="G601" s="49"/>
      <c r="H601" s="49"/>
      <c r="I601" s="49"/>
      <c r="J601" s="49"/>
      <c r="K601" s="49"/>
      <c r="L601" s="49"/>
      <c r="M601" s="49"/>
      <c r="N601" s="49"/>
      <c r="O601" s="48"/>
      <c r="P601" s="48"/>
      <c r="Q601" s="48"/>
      <c r="R601" s="48"/>
      <c r="S601" s="48"/>
      <c r="T601" s="48"/>
      <c r="U601" s="48"/>
      <c r="V601" s="48"/>
      <c r="W601" s="48"/>
      <c r="X601" s="48"/>
      <c r="Y601" s="48"/>
      <c r="Z601" s="48"/>
    </row>
    <row r="602" ht="15.75" customHeight="1">
      <c r="A602" s="49"/>
      <c r="B602" s="49"/>
      <c r="C602" s="49"/>
      <c r="D602" s="49"/>
      <c r="E602" s="49"/>
      <c r="F602" s="49"/>
      <c r="G602" s="49"/>
      <c r="H602" s="49"/>
      <c r="I602" s="49"/>
      <c r="J602" s="49"/>
      <c r="K602" s="49"/>
      <c r="L602" s="49"/>
      <c r="M602" s="49"/>
      <c r="N602" s="49"/>
      <c r="O602" s="48"/>
      <c r="P602" s="48"/>
      <c r="Q602" s="48"/>
      <c r="R602" s="48"/>
      <c r="S602" s="48"/>
      <c r="T602" s="48"/>
      <c r="U602" s="48"/>
      <c r="V602" s="48"/>
      <c r="W602" s="48"/>
      <c r="X602" s="48"/>
      <c r="Y602" s="48"/>
      <c r="Z602" s="48"/>
    </row>
    <row r="603" ht="15.75" customHeight="1">
      <c r="A603" s="49"/>
      <c r="B603" s="49"/>
      <c r="C603" s="49"/>
      <c r="D603" s="49"/>
      <c r="E603" s="49"/>
      <c r="F603" s="49"/>
      <c r="G603" s="49"/>
      <c r="H603" s="49"/>
      <c r="I603" s="49"/>
      <c r="J603" s="49"/>
      <c r="K603" s="49"/>
      <c r="L603" s="49"/>
      <c r="M603" s="49"/>
      <c r="N603" s="49"/>
      <c r="O603" s="48"/>
      <c r="P603" s="48"/>
      <c r="Q603" s="48"/>
      <c r="R603" s="48"/>
      <c r="S603" s="48"/>
      <c r="T603" s="48"/>
      <c r="U603" s="48"/>
      <c r="V603" s="48"/>
      <c r="W603" s="48"/>
      <c r="X603" s="48"/>
      <c r="Y603" s="48"/>
      <c r="Z603" s="48"/>
    </row>
    <row r="604" ht="15.75" customHeight="1">
      <c r="A604" s="49"/>
      <c r="B604" s="49"/>
      <c r="C604" s="49"/>
      <c r="D604" s="49"/>
      <c r="E604" s="49"/>
      <c r="F604" s="49"/>
      <c r="G604" s="49"/>
      <c r="H604" s="49"/>
      <c r="I604" s="49"/>
      <c r="J604" s="49"/>
      <c r="K604" s="49"/>
      <c r="L604" s="49"/>
      <c r="M604" s="49"/>
      <c r="N604" s="49"/>
      <c r="O604" s="48"/>
      <c r="P604" s="48"/>
      <c r="Q604" s="48"/>
      <c r="R604" s="48"/>
      <c r="S604" s="48"/>
      <c r="T604" s="48"/>
      <c r="U604" s="48"/>
      <c r="V604" s="48"/>
      <c r="W604" s="48"/>
      <c r="X604" s="48"/>
      <c r="Y604" s="48"/>
      <c r="Z604" s="48"/>
    </row>
    <row r="605" ht="15.75" customHeight="1">
      <c r="A605" s="49"/>
      <c r="B605" s="49"/>
      <c r="C605" s="49"/>
      <c r="D605" s="49"/>
      <c r="E605" s="49"/>
      <c r="F605" s="49"/>
      <c r="G605" s="49"/>
      <c r="H605" s="49"/>
      <c r="I605" s="49"/>
      <c r="J605" s="49"/>
      <c r="K605" s="49"/>
      <c r="L605" s="49"/>
      <c r="M605" s="49"/>
      <c r="N605" s="49"/>
      <c r="O605" s="48"/>
      <c r="P605" s="48"/>
      <c r="Q605" s="48"/>
      <c r="R605" s="48"/>
      <c r="S605" s="48"/>
      <c r="T605" s="48"/>
      <c r="U605" s="48"/>
      <c r="V605" s="48"/>
      <c r="W605" s="48"/>
      <c r="X605" s="48"/>
      <c r="Y605" s="48"/>
      <c r="Z605" s="48"/>
    </row>
    <row r="606" ht="15.75" customHeight="1">
      <c r="A606" s="49"/>
      <c r="B606" s="49"/>
      <c r="C606" s="49"/>
      <c r="D606" s="49"/>
      <c r="E606" s="49"/>
      <c r="F606" s="49"/>
      <c r="G606" s="49"/>
      <c r="H606" s="49"/>
      <c r="I606" s="49"/>
      <c r="J606" s="49"/>
      <c r="K606" s="49"/>
      <c r="L606" s="49"/>
      <c r="M606" s="49"/>
      <c r="N606" s="49"/>
      <c r="O606" s="48"/>
      <c r="P606" s="48"/>
      <c r="Q606" s="48"/>
      <c r="R606" s="48"/>
      <c r="S606" s="48"/>
      <c r="T606" s="48"/>
      <c r="U606" s="48"/>
      <c r="V606" s="48"/>
      <c r="W606" s="48"/>
      <c r="X606" s="48"/>
      <c r="Y606" s="48"/>
      <c r="Z606" s="48"/>
    </row>
    <row r="607" ht="15.75" customHeight="1">
      <c r="A607" s="49"/>
      <c r="B607" s="49"/>
      <c r="C607" s="49"/>
      <c r="D607" s="49"/>
      <c r="E607" s="49"/>
      <c r="F607" s="49"/>
      <c r="G607" s="49"/>
      <c r="H607" s="49"/>
      <c r="I607" s="49"/>
      <c r="J607" s="49"/>
      <c r="K607" s="49"/>
      <c r="L607" s="49"/>
      <c r="M607" s="49"/>
      <c r="N607" s="49"/>
      <c r="O607" s="48"/>
      <c r="P607" s="48"/>
      <c r="Q607" s="48"/>
      <c r="R607" s="48"/>
      <c r="S607" s="48"/>
      <c r="T607" s="48"/>
      <c r="U607" s="48"/>
      <c r="V607" s="48"/>
      <c r="W607" s="48"/>
      <c r="X607" s="48"/>
      <c r="Y607" s="48"/>
      <c r="Z607" s="48"/>
    </row>
    <row r="608" ht="15.75" customHeight="1">
      <c r="A608" s="49"/>
      <c r="B608" s="49"/>
      <c r="C608" s="49"/>
      <c r="D608" s="49"/>
      <c r="E608" s="49"/>
      <c r="F608" s="49"/>
      <c r="G608" s="49"/>
      <c r="H608" s="49"/>
      <c r="I608" s="49"/>
      <c r="J608" s="49"/>
      <c r="K608" s="49"/>
      <c r="L608" s="49"/>
      <c r="M608" s="49"/>
      <c r="N608" s="49"/>
      <c r="O608" s="48"/>
      <c r="P608" s="48"/>
      <c r="Q608" s="48"/>
      <c r="R608" s="48"/>
      <c r="S608" s="48"/>
      <c r="T608" s="48"/>
      <c r="U608" s="48"/>
      <c r="V608" s="48"/>
      <c r="W608" s="48"/>
      <c r="X608" s="48"/>
      <c r="Y608" s="48"/>
      <c r="Z608" s="48"/>
    </row>
    <row r="609" ht="15.75" customHeight="1">
      <c r="A609" s="49"/>
      <c r="B609" s="49"/>
      <c r="C609" s="49"/>
      <c r="D609" s="49"/>
      <c r="E609" s="49"/>
      <c r="F609" s="49"/>
      <c r="G609" s="49"/>
      <c r="H609" s="49"/>
      <c r="I609" s="49"/>
      <c r="J609" s="49"/>
      <c r="K609" s="49"/>
      <c r="L609" s="49"/>
      <c r="M609" s="49"/>
      <c r="N609" s="49"/>
      <c r="O609" s="48"/>
      <c r="P609" s="48"/>
      <c r="Q609" s="48"/>
      <c r="R609" s="48"/>
      <c r="S609" s="48"/>
      <c r="T609" s="48"/>
      <c r="U609" s="48"/>
      <c r="V609" s="48"/>
      <c r="W609" s="48"/>
      <c r="X609" s="48"/>
      <c r="Y609" s="48"/>
      <c r="Z609" s="48"/>
    </row>
    <row r="610" ht="15.75" customHeight="1">
      <c r="A610" s="49"/>
      <c r="B610" s="49"/>
      <c r="C610" s="49"/>
      <c r="D610" s="49"/>
      <c r="E610" s="49"/>
      <c r="F610" s="49"/>
      <c r="G610" s="49"/>
      <c r="H610" s="49"/>
      <c r="I610" s="49"/>
      <c r="J610" s="49"/>
      <c r="K610" s="49"/>
      <c r="L610" s="49"/>
      <c r="M610" s="49"/>
      <c r="N610" s="49"/>
      <c r="O610" s="48"/>
      <c r="P610" s="48"/>
      <c r="Q610" s="48"/>
      <c r="R610" s="48"/>
      <c r="S610" s="48"/>
      <c r="T610" s="48"/>
      <c r="U610" s="48"/>
      <c r="V610" s="48"/>
      <c r="W610" s="48"/>
      <c r="X610" s="48"/>
      <c r="Y610" s="48"/>
      <c r="Z610" s="48"/>
    </row>
    <row r="611" ht="15.75" customHeight="1">
      <c r="A611" s="49"/>
      <c r="B611" s="49"/>
      <c r="C611" s="49"/>
      <c r="D611" s="49"/>
      <c r="E611" s="49"/>
      <c r="F611" s="49"/>
      <c r="G611" s="49"/>
      <c r="H611" s="49"/>
      <c r="I611" s="49"/>
      <c r="J611" s="49"/>
      <c r="K611" s="49"/>
      <c r="L611" s="49"/>
      <c r="M611" s="49"/>
      <c r="N611" s="49"/>
      <c r="O611" s="48"/>
      <c r="P611" s="48"/>
      <c r="Q611" s="48"/>
      <c r="R611" s="48"/>
      <c r="S611" s="48"/>
      <c r="T611" s="48"/>
      <c r="U611" s="48"/>
      <c r="V611" s="48"/>
      <c r="W611" s="48"/>
      <c r="X611" s="48"/>
      <c r="Y611" s="48"/>
      <c r="Z611" s="48"/>
    </row>
    <row r="612" ht="15.75" customHeight="1">
      <c r="A612" s="49"/>
      <c r="B612" s="49"/>
      <c r="C612" s="49"/>
      <c r="D612" s="49"/>
      <c r="E612" s="49"/>
      <c r="F612" s="49"/>
      <c r="G612" s="49"/>
      <c r="H612" s="49"/>
      <c r="I612" s="49"/>
      <c r="J612" s="49"/>
      <c r="K612" s="49"/>
      <c r="L612" s="49"/>
      <c r="M612" s="49"/>
      <c r="N612" s="49"/>
      <c r="O612" s="48"/>
      <c r="P612" s="48"/>
      <c r="Q612" s="48"/>
      <c r="R612" s="48"/>
      <c r="S612" s="48"/>
      <c r="T612" s="48"/>
      <c r="U612" s="48"/>
      <c r="V612" s="48"/>
      <c r="W612" s="48"/>
      <c r="X612" s="48"/>
      <c r="Y612" s="48"/>
      <c r="Z612" s="48"/>
    </row>
    <row r="613" ht="15.75" customHeight="1">
      <c r="A613" s="49"/>
      <c r="B613" s="49"/>
      <c r="C613" s="49"/>
      <c r="D613" s="49"/>
      <c r="E613" s="49"/>
      <c r="F613" s="49"/>
      <c r="G613" s="49"/>
      <c r="H613" s="49"/>
      <c r="I613" s="49"/>
      <c r="J613" s="49"/>
      <c r="K613" s="49"/>
      <c r="L613" s="49"/>
      <c r="M613" s="49"/>
      <c r="N613" s="49"/>
      <c r="O613" s="48"/>
      <c r="P613" s="48"/>
      <c r="Q613" s="48"/>
      <c r="R613" s="48"/>
      <c r="S613" s="48"/>
      <c r="T613" s="48"/>
      <c r="U613" s="48"/>
      <c r="V613" s="48"/>
      <c r="W613" s="48"/>
      <c r="X613" s="48"/>
      <c r="Y613" s="48"/>
      <c r="Z613" s="48"/>
    </row>
    <row r="614" ht="15.75" customHeight="1">
      <c r="A614" s="49"/>
      <c r="B614" s="49"/>
      <c r="C614" s="49"/>
      <c r="D614" s="49"/>
      <c r="E614" s="49"/>
      <c r="F614" s="49"/>
      <c r="G614" s="49"/>
      <c r="H614" s="49"/>
      <c r="I614" s="49"/>
      <c r="J614" s="49"/>
      <c r="K614" s="49"/>
      <c r="L614" s="49"/>
      <c r="M614" s="49"/>
      <c r="N614" s="49"/>
      <c r="O614" s="48"/>
      <c r="P614" s="48"/>
      <c r="Q614" s="48"/>
      <c r="R614" s="48"/>
      <c r="S614" s="48"/>
      <c r="T614" s="48"/>
      <c r="U614" s="48"/>
      <c r="V614" s="48"/>
      <c r="W614" s="48"/>
      <c r="X614" s="48"/>
      <c r="Y614" s="48"/>
      <c r="Z614" s="48"/>
    </row>
    <row r="615" ht="15.75" customHeight="1">
      <c r="A615" s="49"/>
      <c r="B615" s="49"/>
      <c r="C615" s="49"/>
      <c r="D615" s="49"/>
      <c r="E615" s="49"/>
      <c r="F615" s="49"/>
      <c r="G615" s="49"/>
      <c r="H615" s="49"/>
      <c r="I615" s="49"/>
      <c r="J615" s="49"/>
      <c r="K615" s="49"/>
      <c r="L615" s="49"/>
      <c r="M615" s="49"/>
      <c r="N615" s="49"/>
      <c r="O615" s="48"/>
      <c r="P615" s="48"/>
      <c r="Q615" s="48"/>
      <c r="R615" s="48"/>
      <c r="S615" s="48"/>
      <c r="T615" s="48"/>
      <c r="U615" s="48"/>
      <c r="V615" s="48"/>
      <c r="W615" s="48"/>
      <c r="X615" s="48"/>
      <c r="Y615" s="48"/>
      <c r="Z615" s="48"/>
    </row>
    <row r="616" ht="15.75" customHeight="1">
      <c r="A616" s="49"/>
      <c r="B616" s="49"/>
      <c r="C616" s="49"/>
      <c r="D616" s="49"/>
      <c r="E616" s="49"/>
      <c r="F616" s="49"/>
      <c r="G616" s="49"/>
      <c r="H616" s="49"/>
      <c r="I616" s="49"/>
      <c r="J616" s="49"/>
      <c r="K616" s="49"/>
      <c r="L616" s="49"/>
      <c r="M616" s="49"/>
      <c r="N616" s="49"/>
      <c r="O616" s="48"/>
      <c r="P616" s="48"/>
      <c r="Q616" s="48"/>
      <c r="R616" s="48"/>
      <c r="S616" s="48"/>
      <c r="T616" s="48"/>
      <c r="U616" s="48"/>
      <c r="V616" s="48"/>
      <c r="W616" s="48"/>
      <c r="X616" s="48"/>
      <c r="Y616" s="48"/>
      <c r="Z616" s="48"/>
    </row>
    <row r="617" ht="15.75" customHeight="1">
      <c r="A617" s="49"/>
      <c r="B617" s="49"/>
      <c r="C617" s="49"/>
      <c r="D617" s="49"/>
      <c r="E617" s="49"/>
      <c r="F617" s="49"/>
      <c r="G617" s="49"/>
      <c r="H617" s="49"/>
      <c r="I617" s="49"/>
      <c r="J617" s="49"/>
      <c r="K617" s="49"/>
      <c r="L617" s="49"/>
      <c r="M617" s="49"/>
      <c r="N617" s="49"/>
      <c r="O617" s="48"/>
      <c r="P617" s="48"/>
      <c r="Q617" s="48"/>
      <c r="R617" s="48"/>
      <c r="S617" s="48"/>
      <c r="T617" s="48"/>
      <c r="U617" s="48"/>
      <c r="V617" s="48"/>
      <c r="W617" s="48"/>
      <c r="X617" s="48"/>
      <c r="Y617" s="48"/>
      <c r="Z617" s="48"/>
    </row>
    <row r="618" ht="15.75" customHeight="1">
      <c r="A618" s="49"/>
      <c r="B618" s="49"/>
      <c r="C618" s="49"/>
      <c r="D618" s="49"/>
      <c r="E618" s="49"/>
      <c r="F618" s="49"/>
      <c r="G618" s="49"/>
      <c r="H618" s="49"/>
      <c r="I618" s="49"/>
      <c r="J618" s="49"/>
      <c r="K618" s="49"/>
      <c r="L618" s="49"/>
      <c r="M618" s="49"/>
      <c r="N618" s="49"/>
      <c r="O618" s="48"/>
      <c r="P618" s="48"/>
      <c r="Q618" s="48"/>
      <c r="R618" s="48"/>
      <c r="S618" s="48"/>
      <c r="T618" s="48"/>
      <c r="U618" s="48"/>
      <c r="V618" s="48"/>
      <c r="W618" s="48"/>
      <c r="X618" s="48"/>
      <c r="Y618" s="48"/>
      <c r="Z618" s="48"/>
    </row>
    <row r="619" ht="15.75" customHeight="1">
      <c r="A619" s="49"/>
      <c r="B619" s="49"/>
      <c r="C619" s="49"/>
      <c r="D619" s="49"/>
      <c r="E619" s="49"/>
      <c r="F619" s="49"/>
      <c r="G619" s="49"/>
      <c r="H619" s="49"/>
      <c r="I619" s="49"/>
      <c r="J619" s="49"/>
      <c r="K619" s="49"/>
      <c r="L619" s="49"/>
      <c r="M619" s="49"/>
      <c r="N619" s="49"/>
      <c r="O619" s="48"/>
      <c r="P619" s="48"/>
      <c r="Q619" s="48"/>
      <c r="R619" s="48"/>
      <c r="S619" s="48"/>
      <c r="T619" s="48"/>
      <c r="U619" s="48"/>
      <c r="V619" s="48"/>
      <c r="W619" s="48"/>
      <c r="X619" s="48"/>
      <c r="Y619" s="48"/>
      <c r="Z619" s="48"/>
    </row>
    <row r="620" ht="15.75" customHeight="1">
      <c r="A620" s="49"/>
      <c r="B620" s="49"/>
      <c r="C620" s="49"/>
      <c r="D620" s="49"/>
      <c r="E620" s="49"/>
      <c r="F620" s="49"/>
      <c r="G620" s="49"/>
      <c r="H620" s="49"/>
      <c r="I620" s="49"/>
      <c r="J620" s="49"/>
      <c r="K620" s="49"/>
      <c r="L620" s="49"/>
      <c r="M620" s="49"/>
      <c r="N620" s="49"/>
      <c r="O620" s="48"/>
      <c r="P620" s="48"/>
      <c r="Q620" s="48"/>
      <c r="R620" s="48"/>
      <c r="S620" s="48"/>
      <c r="T620" s="48"/>
      <c r="U620" s="48"/>
      <c r="V620" s="48"/>
      <c r="W620" s="48"/>
      <c r="X620" s="48"/>
      <c r="Y620" s="48"/>
      <c r="Z620" s="48"/>
    </row>
    <row r="621" ht="15.75" customHeight="1">
      <c r="A621" s="49"/>
      <c r="B621" s="49"/>
      <c r="C621" s="49"/>
      <c r="D621" s="49"/>
      <c r="E621" s="49"/>
      <c r="F621" s="49"/>
      <c r="G621" s="49"/>
      <c r="H621" s="49"/>
      <c r="I621" s="49"/>
      <c r="J621" s="49"/>
      <c r="K621" s="49"/>
      <c r="L621" s="49"/>
      <c r="M621" s="49"/>
      <c r="N621" s="49"/>
      <c r="O621" s="48"/>
      <c r="P621" s="48"/>
      <c r="Q621" s="48"/>
      <c r="R621" s="48"/>
      <c r="S621" s="48"/>
      <c r="T621" s="48"/>
      <c r="U621" s="48"/>
      <c r="V621" s="48"/>
      <c r="W621" s="48"/>
      <c r="X621" s="48"/>
      <c r="Y621" s="48"/>
      <c r="Z621" s="48"/>
    </row>
    <row r="622" ht="15.75" customHeight="1">
      <c r="A622" s="49"/>
      <c r="B622" s="49"/>
      <c r="C622" s="49"/>
      <c r="D622" s="49"/>
      <c r="E622" s="49"/>
      <c r="F622" s="49"/>
      <c r="G622" s="49"/>
      <c r="H622" s="49"/>
      <c r="I622" s="49"/>
      <c r="J622" s="49"/>
      <c r="K622" s="49"/>
      <c r="L622" s="49"/>
      <c r="M622" s="49"/>
      <c r="N622" s="49"/>
      <c r="O622" s="48"/>
      <c r="P622" s="48"/>
      <c r="Q622" s="48"/>
      <c r="R622" s="48"/>
      <c r="S622" s="48"/>
      <c r="T622" s="48"/>
      <c r="U622" s="48"/>
      <c r="V622" s="48"/>
      <c r="W622" s="48"/>
      <c r="X622" s="48"/>
      <c r="Y622" s="48"/>
      <c r="Z622" s="48"/>
    </row>
    <row r="623" ht="15.75" customHeight="1">
      <c r="A623" s="49"/>
      <c r="B623" s="49"/>
      <c r="C623" s="49"/>
      <c r="D623" s="49"/>
      <c r="E623" s="49"/>
      <c r="F623" s="49"/>
      <c r="G623" s="49"/>
      <c r="H623" s="49"/>
      <c r="I623" s="49"/>
      <c r="J623" s="49"/>
      <c r="K623" s="49"/>
      <c r="L623" s="49"/>
      <c r="M623" s="49"/>
      <c r="N623" s="49"/>
      <c r="O623" s="48"/>
      <c r="P623" s="48"/>
      <c r="Q623" s="48"/>
      <c r="R623" s="48"/>
      <c r="S623" s="48"/>
      <c r="T623" s="48"/>
      <c r="U623" s="48"/>
      <c r="V623" s="48"/>
      <c r="W623" s="48"/>
      <c r="X623" s="48"/>
      <c r="Y623" s="48"/>
      <c r="Z623" s="48"/>
    </row>
    <row r="624" ht="15.75" customHeight="1">
      <c r="A624" s="49"/>
      <c r="B624" s="49"/>
      <c r="C624" s="49"/>
      <c r="D624" s="49"/>
      <c r="E624" s="49"/>
      <c r="F624" s="49"/>
      <c r="G624" s="49"/>
      <c r="H624" s="49"/>
      <c r="I624" s="49"/>
      <c r="J624" s="49"/>
      <c r="K624" s="49"/>
      <c r="L624" s="49"/>
      <c r="M624" s="49"/>
      <c r="N624" s="49"/>
      <c r="O624" s="48"/>
      <c r="P624" s="48"/>
      <c r="Q624" s="48"/>
      <c r="R624" s="48"/>
      <c r="S624" s="48"/>
      <c r="T624" s="48"/>
      <c r="U624" s="48"/>
      <c r="V624" s="48"/>
      <c r="W624" s="48"/>
      <c r="X624" s="48"/>
      <c r="Y624" s="48"/>
      <c r="Z624" s="48"/>
    </row>
    <row r="625" ht="15.75" customHeight="1">
      <c r="A625" s="49"/>
      <c r="B625" s="49"/>
      <c r="C625" s="49"/>
      <c r="D625" s="49"/>
      <c r="E625" s="49"/>
      <c r="F625" s="49"/>
      <c r="G625" s="49"/>
      <c r="H625" s="49"/>
      <c r="I625" s="49"/>
      <c r="J625" s="49"/>
      <c r="K625" s="49"/>
      <c r="L625" s="49"/>
      <c r="M625" s="49"/>
      <c r="N625" s="49"/>
      <c r="O625" s="48"/>
      <c r="P625" s="48"/>
      <c r="Q625" s="48"/>
      <c r="R625" s="48"/>
      <c r="S625" s="48"/>
      <c r="T625" s="48"/>
      <c r="U625" s="48"/>
      <c r="V625" s="48"/>
      <c r="W625" s="48"/>
      <c r="X625" s="48"/>
      <c r="Y625" s="48"/>
      <c r="Z625" s="48"/>
    </row>
    <row r="626" ht="15.75" customHeight="1">
      <c r="A626" s="49"/>
      <c r="B626" s="49"/>
      <c r="C626" s="49"/>
      <c r="D626" s="49"/>
      <c r="E626" s="49"/>
      <c r="F626" s="49"/>
      <c r="G626" s="49"/>
      <c r="H626" s="49"/>
      <c r="I626" s="49"/>
      <c r="J626" s="49"/>
      <c r="K626" s="49"/>
      <c r="L626" s="49"/>
      <c r="M626" s="49"/>
      <c r="N626" s="49"/>
      <c r="O626" s="48"/>
      <c r="P626" s="48"/>
      <c r="Q626" s="48"/>
      <c r="R626" s="48"/>
      <c r="S626" s="48"/>
      <c r="T626" s="48"/>
      <c r="U626" s="48"/>
      <c r="V626" s="48"/>
      <c r="W626" s="48"/>
      <c r="X626" s="48"/>
      <c r="Y626" s="48"/>
      <c r="Z626" s="48"/>
    </row>
    <row r="627" ht="15.75" customHeight="1">
      <c r="A627" s="49"/>
      <c r="B627" s="49"/>
      <c r="C627" s="49"/>
      <c r="D627" s="49"/>
      <c r="E627" s="49"/>
      <c r="F627" s="49"/>
      <c r="G627" s="49"/>
      <c r="H627" s="49"/>
      <c r="I627" s="49"/>
      <c r="J627" s="49"/>
      <c r="K627" s="49"/>
      <c r="L627" s="49"/>
      <c r="M627" s="49"/>
      <c r="N627" s="49"/>
      <c r="O627" s="48"/>
      <c r="P627" s="48"/>
      <c r="Q627" s="48"/>
      <c r="R627" s="48"/>
      <c r="S627" s="48"/>
      <c r="T627" s="48"/>
      <c r="U627" s="48"/>
      <c r="V627" s="48"/>
      <c r="W627" s="48"/>
      <c r="X627" s="48"/>
      <c r="Y627" s="48"/>
      <c r="Z627" s="48"/>
    </row>
    <row r="628" ht="15.75" customHeight="1">
      <c r="A628" s="49"/>
      <c r="B628" s="49"/>
      <c r="C628" s="49"/>
      <c r="D628" s="49"/>
      <c r="E628" s="49"/>
      <c r="F628" s="49"/>
      <c r="G628" s="49"/>
      <c r="H628" s="49"/>
      <c r="I628" s="49"/>
      <c r="J628" s="49"/>
      <c r="K628" s="49"/>
      <c r="L628" s="49"/>
      <c r="M628" s="49"/>
      <c r="N628" s="49"/>
      <c r="O628" s="48"/>
      <c r="P628" s="48"/>
      <c r="Q628" s="48"/>
      <c r="R628" s="48"/>
      <c r="S628" s="48"/>
      <c r="T628" s="48"/>
      <c r="U628" s="48"/>
      <c r="V628" s="48"/>
      <c r="W628" s="48"/>
      <c r="X628" s="48"/>
      <c r="Y628" s="48"/>
      <c r="Z628" s="48"/>
    </row>
    <row r="629" ht="15.75" customHeight="1">
      <c r="A629" s="49"/>
      <c r="B629" s="49"/>
      <c r="C629" s="49"/>
      <c r="D629" s="49"/>
      <c r="E629" s="49"/>
      <c r="F629" s="49"/>
      <c r="G629" s="49"/>
      <c r="H629" s="49"/>
      <c r="I629" s="49"/>
      <c r="J629" s="49"/>
      <c r="K629" s="49"/>
      <c r="L629" s="49"/>
      <c r="M629" s="49"/>
      <c r="N629" s="49"/>
      <c r="O629" s="48"/>
      <c r="P629" s="48"/>
      <c r="Q629" s="48"/>
      <c r="R629" s="48"/>
      <c r="S629" s="48"/>
      <c r="T629" s="48"/>
      <c r="U629" s="48"/>
      <c r="V629" s="48"/>
      <c r="W629" s="48"/>
      <c r="X629" s="48"/>
      <c r="Y629" s="48"/>
      <c r="Z629" s="48"/>
    </row>
    <row r="630" ht="15.75" customHeight="1">
      <c r="A630" s="49"/>
      <c r="B630" s="49"/>
      <c r="C630" s="49"/>
      <c r="D630" s="49"/>
      <c r="E630" s="49"/>
      <c r="F630" s="49"/>
      <c r="G630" s="49"/>
      <c r="H630" s="49"/>
      <c r="I630" s="49"/>
      <c r="J630" s="49"/>
      <c r="K630" s="49"/>
      <c r="L630" s="49"/>
      <c r="M630" s="49"/>
      <c r="N630" s="49"/>
      <c r="O630" s="48"/>
      <c r="P630" s="48"/>
      <c r="Q630" s="48"/>
      <c r="R630" s="48"/>
      <c r="S630" s="48"/>
      <c r="T630" s="48"/>
      <c r="U630" s="48"/>
      <c r="V630" s="48"/>
      <c r="W630" s="48"/>
      <c r="X630" s="48"/>
      <c r="Y630" s="48"/>
      <c r="Z630" s="48"/>
    </row>
    <row r="631" ht="15.75" customHeight="1">
      <c r="A631" s="49"/>
      <c r="B631" s="49"/>
      <c r="C631" s="49"/>
      <c r="D631" s="49"/>
      <c r="E631" s="49"/>
      <c r="F631" s="49"/>
      <c r="G631" s="49"/>
      <c r="H631" s="49"/>
      <c r="I631" s="49"/>
      <c r="J631" s="49"/>
      <c r="K631" s="49"/>
      <c r="L631" s="49"/>
      <c r="M631" s="49"/>
      <c r="N631" s="49"/>
      <c r="O631" s="48"/>
      <c r="P631" s="48"/>
      <c r="Q631" s="48"/>
      <c r="R631" s="48"/>
      <c r="S631" s="48"/>
      <c r="T631" s="48"/>
      <c r="U631" s="48"/>
      <c r="V631" s="48"/>
      <c r="W631" s="48"/>
      <c r="X631" s="48"/>
      <c r="Y631" s="48"/>
      <c r="Z631" s="48"/>
    </row>
    <row r="632" ht="15.75" customHeight="1">
      <c r="A632" s="49"/>
      <c r="B632" s="49"/>
      <c r="C632" s="49"/>
      <c r="D632" s="49"/>
      <c r="E632" s="49"/>
      <c r="F632" s="49"/>
      <c r="G632" s="49"/>
      <c r="H632" s="49"/>
      <c r="I632" s="49"/>
      <c r="J632" s="49"/>
      <c r="K632" s="49"/>
      <c r="L632" s="49"/>
      <c r="M632" s="49"/>
      <c r="N632" s="49"/>
      <c r="O632" s="48"/>
      <c r="P632" s="48"/>
      <c r="Q632" s="48"/>
      <c r="R632" s="48"/>
      <c r="S632" s="48"/>
      <c r="T632" s="48"/>
      <c r="U632" s="48"/>
      <c r="V632" s="48"/>
      <c r="W632" s="48"/>
      <c r="X632" s="48"/>
      <c r="Y632" s="48"/>
      <c r="Z632" s="48"/>
    </row>
    <row r="633" ht="15.75" customHeight="1">
      <c r="A633" s="49"/>
      <c r="B633" s="49"/>
      <c r="C633" s="49"/>
      <c r="D633" s="49"/>
      <c r="E633" s="49"/>
      <c r="F633" s="49"/>
      <c r="G633" s="49"/>
      <c r="H633" s="49"/>
      <c r="I633" s="49"/>
      <c r="J633" s="49"/>
      <c r="K633" s="49"/>
      <c r="L633" s="49"/>
      <c r="M633" s="49"/>
      <c r="N633" s="49"/>
      <c r="O633" s="48"/>
      <c r="P633" s="48"/>
      <c r="Q633" s="48"/>
      <c r="R633" s="48"/>
      <c r="S633" s="48"/>
      <c r="T633" s="48"/>
      <c r="U633" s="48"/>
      <c r="V633" s="48"/>
      <c r="W633" s="48"/>
      <c r="X633" s="48"/>
      <c r="Y633" s="48"/>
      <c r="Z633" s="48"/>
    </row>
    <row r="634" ht="15.75" customHeight="1">
      <c r="A634" s="49"/>
      <c r="B634" s="49"/>
      <c r="C634" s="49"/>
      <c r="D634" s="49"/>
      <c r="E634" s="49"/>
      <c r="F634" s="49"/>
      <c r="G634" s="49"/>
      <c r="H634" s="49"/>
      <c r="I634" s="49"/>
      <c r="J634" s="49"/>
      <c r="K634" s="49"/>
      <c r="L634" s="49"/>
      <c r="M634" s="49"/>
      <c r="N634" s="49"/>
      <c r="O634" s="48"/>
      <c r="P634" s="48"/>
      <c r="Q634" s="48"/>
      <c r="R634" s="48"/>
      <c r="S634" s="48"/>
      <c r="T634" s="48"/>
      <c r="U634" s="48"/>
      <c r="V634" s="48"/>
      <c r="W634" s="48"/>
      <c r="X634" s="48"/>
      <c r="Y634" s="48"/>
      <c r="Z634" s="48"/>
    </row>
    <row r="635" ht="15.75" customHeight="1">
      <c r="A635" s="49"/>
      <c r="B635" s="49"/>
      <c r="C635" s="49"/>
      <c r="D635" s="49"/>
      <c r="E635" s="49"/>
      <c r="F635" s="49"/>
      <c r="G635" s="49"/>
      <c r="H635" s="49"/>
      <c r="I635" s="49"/>
      <c r="J635" s="49"/>
      <c r="K635" s="49"/>
      <c r="L635" s="49"/>
      <c r="M635" s="49"/>
      <c r="N635" s="49"/>
      <c r="O635" s="48"/>
      <c r="P635" s="48"/>
      <c r="Q635" s="48"/>
      <c r="R635" s="48"/>
      <c r="S635" s="48"/>
      <c r="T635" s="48"/>
      <c r="U635" s="48"/>
      <c r="V635" s="48"/>
      <c r="W635" s="48"/>
      <c r="X635" s="48"/>
      <c r="Y635" s="48"/>
      <c r="Z635" s="48"/>
    </row>
    <row r="636" ht="15.75" customHeight="1">
      <c r="A636" s="49"/>
      <c r="B636" s="49"/>
      <c r="C636" s="49"/>
      <c r="D636" s="49"/>
      <c r="E636" s="49"/>
      <c r="F636" s="49"/>
      <c r="G636" s="49"/>
      <c r="H636" s="49"/>
      <c r="I636" s="49"/>
      <c r="J636" s="49"/>
      <c r="K636" s="49"/>
      <c r="L636" s="49"/>
      <c r="M636" s="49"/>
      <c r="N636" s="49"/>
      <c r="O636" s="48"/>
      <c r="P636" s="48"/>
      <c r="Q636" s="48"/>
      <c r="R636" s="48"/>
      <c r="S636" s="48"/>
      <c r="T636" s="48"/>
      <c r="U636" s="48"/>
      <c r="V636" s="48"/>
      <c r="W636" s="48"/>
      <c r="X636" s="48"/>
      <c r="Y636" s="48"/>
      <c r="Z636" s="48"/>
    </row>
    <row r="637" ht="15.75" customHeight="1">
      <c r="A637" s="49"/>
      <c r="B637" s="49"/>
      <c r="C637" s="49"/>
      <c r="D637" s="49"/>
      <c r="E637" s="49"/>
      <c r="F637" s="49"/>
      <c r="G637" s="49"/>
      <c r="H637" s="49"/>
      <c r="I637" s="49"/>
      <c r="J637" s="49"/>
      <c r="K637" s="49"/>
      <c r="L637" s="49"/>
      <c r="M637" s="49"/>
      <c r="N637" s="49"/>
      <c r="O637" s="48"/>
      <c r="P637" s="48"/>
      <c r="Q637" s="48"/>
      <c r="R637" s="48"/>
      <c r="S637" s="48"/>
      <c r="T637" s="48"/>
      <c r="U637" s="48"/>
      <c r="V637" s="48"/>
      <c r="W637" s="48"/>
      <c r="X637" s="48"/>
      <c r="Y637" s="48"/>
      <c r="Z637" s="48"/>
    </row>
    <row r="638" ht="15.75" customHeight="1">
      <c r="A638" s="49"/>
      <c r="B638" s="49"/>
      <c r="C638" s="49"/>
      <c r="D638" s="49"/>
      <c r="E638" s="49"/>
      <c r="F638" s="49"/>
      <c r="G638" s="49"/>
      <c r="H638" s="49"/>
      <c r="I638" s="49"/>
      <c r="J638" s="49"/>
      <c r="K638" s="49"/>
      <c r="L638" s="49"/>
      <c r="M638" s="49"/>
      <c r="N638" s="49"/>
      <c r="O638" s="48"/>
      <c r="P638" s="48"/>
      <c r="Q638" s="48"/>
      <c r="R638" s="48"/>
      <c r="S638" s="48"/>
      <c r="T638" s="48"/>
      <c r="U638" s="48"/>
      <c r="V638" s="48"/>
      <c r="W638" s="48"/>
      <c r="X638" s="48"/>
      <c r="Y638" s="48"/>
      <c r="Z638" s="48"/>
    </row>
    <row r="639" ht="15.75" customHeight="1">
      <c r="A639" s="49"/>
      <c r="B639" s="49"/>
      <c r="C639" s="49"/>
      <c r="D639" s="49"/>
      <c r="E639" s="49"/>
      <c r="F639" s="49"/>
      <c r="G639" s="49"/>
      <c r="H639" s="49"/>
      <c r="I639" s="49"/>
      <c r="J639" s="49"/>
      <c r="K639" s="49"/>
      <c r="L639" s="49"/>
      <c r="M639" s="49"/>
      <c r="N639" s="49"/>
      <c r="O639" s="48"/>
      <c r="P639" s="48"/>
      <c r="Q639" s="48"/>
      <c r="R639" s="48"/>
      <c r="S639" s="48"/>
      <c r="T639" s="48"/>
      <c r="U639" s="48"/>
      <c r="V639" s="48"/>
      <c r="W639" s="48"/>
      <c r="X639" s="48"/>
      <c r="Y639" s="48"/>
      <c r="Z639" s="48"/>
    </row>
    <row r="640" ht="15.75" customHeight="1">
      <c r="A640" s="49"/>
      <c r="B640" s="49"/>
      <c r="C640" s="49"/>
      <c r="D640" s="49"/>
      <c r="E640" s="49"/>
      <c r="F640" s="49"/>
      <c r="G640" s="49"/>
      <c r="H640" s="49"/>
      <c r="I640" s="49"/>
      <c r="J640" s="49"/>
      <c r="K640" s="49"/>
      <c r="L640" s="49"/>
      <c r="M640" s="49"/>
      <c r="N640" s="49"/>
      <c r="O640" s="48"/>
      <c r="P640" s="48"/>
      <c r="Q640" s="48"/>
      <c r="R640" s="48"/>
      <c r="S640" s="48"/>
      <c r="T640" s="48"/>
      <c r="U640" s="48"/>
      <c r="V640" s="48"/>
      <c r="W640" s="48"/>
      <c r="X640" s="48"/>
      <c r="Y640" s="48"/>
      <c r="Z640" s="48"/>
    </row>
    <row r="641" ht="15.75" customHeight="1">
      <c r="A641" s="49"/>
      <c r="B641" s="49"/>
      <c r="C641" s="49"/>
      <c r="D641" s="49"/>
      <c r="E641" s="49"/>
      <c r="F641" s="49"/>
      <c r="G641" s="49"/>
      <c r="H641" s="49"/>
      <c r="I641" s="49"/>
      <c r="J641" s="49"/>
      <c r="K641" s="49"/>
      <c r="L641" s="49"/>
      <c r="M641" s="49"/>
      <c r="N641" s="49"/>
      <c r="O641" s="48"/>
      <c r="P641" s="48"/>
      <c r="Q641" s="48"/>
      <c r="R641" s="48"/>
      <c r="S641" s="48"/>
      <c r="T641" s="48"/>
      <c r="U641" s="48"/>
      <c r="V641" s="48"/>
      <c r="W641" s="48"/>
      <c r="X641" s="48"/>
      <c r="Y641" s="48"/>
      <c r="Z641" s="48"/>
    </row>
    <row r="642" ht="15.75" customHeight="1">
      <c r="A642" s="49"/>
      <c r="B642" s="49"/>
      <c r="C642" s="49"/>
      <c r="D642" s="49"/>
      <c r="E642" s="49"/>
      <c r="F642" s="49"/>
      <c r="G642" s="49"/>
      <c r="H642" s="49"/>
      <c r="I642" s="49"/>
      <c r="J642" s="49"/>
      <c r="K642" s="49"/>
      <c r="L642" s="49"/>
      <c r="M642" s="49"/>
      <c r="N642" s="49"/>
      <c r="O642" s="48"/>
      <c r="P642" s="48"/>
      <c r="Q642" s="48"/>
      <c r="R642" s="48"/>
      <c r="S642" s="48"/>
      <c r="T642" s="48"/>
      <c r="U642" s="48"/>
      <c r="V642" s="48"/>
      <c r="W642" s="48"/>
      <c r="X642" s="48"/>
      <c r="Y642" s="48"/>
      <c r="Z642" s="48"/>
    </row>
    <row r="643" ht="15.75" customHeight="1">
      <c r="A643" s="49"/>
      <c r="B643" s="49"/>
      <c r="C643" s="49"/>
      <c r="D643" s="49"/>
      <c r="E643" s="49"/>
      <c r="F643" s="49"/>
      <c r="G643" s="49"/>
      <c r="H643" s="49"/>
      <c r="I643" s="49"/>
      <c r="J643" s="49"/>
      <c r="K643" s="49"/>
      <c r="L643" s="49"/>
      <c r="M643" s="49"/>
      <c r="N643" s="49"/>
      <c r="O643" s="48"/>
      <c r="P643" s="48"/>
      <c r="Q643" s="48"/>
      <c r="R643" s="48"/>
      <c r="S643" s="48"/>
      <c r="T643" s="48"/>
      <c r="U643" s="48"/>
      <c r="V643" s="48"/>
      <c r="W643" s="48"/>
      <c r="X643" s="48"/>
      <c r="Y643" s="48"/>
      <c r="Z643" s="48"/>
    </row>
    <row r="644" ht="15.75" customHeight="1">
      <c r="A644" s="49"/>
      <c r="B644" s="49"/>
      <c r="C644" s="49"/>
      <c r="D644" s="49"/>
      <c r="E644" s="49"/>
      <c r="F644" s="49"/>
      <c r="G644" s="49"/>
      <c r="H644" s="49"/>
      <c r="I644" s="49"/>
      <c r="J644" s="49"/>
      <c r="K644" s="49"/>
      <c r="L644" s="49"/>
      <c r="M644" s="49"/>
      <c r="N644" s="49"/>
      <c r="O644" s="48"/>
      <c r="P644" s="48"/>
      <c r="Q644" s="48"/>
      <c r="R644" s="48"/>
      <c r="S644" s="48"/>
      <c r="T644" s="48"/>
      <c r="U644" s="48"/>
      <c r="V644" s="48"/>
      <c r="W644" s="48"/>
      <c r="X644" s="48"/>
      <c r="Y644" s="48"/>
      <c r="Z644" s="48"/>
    </row>
    <row r="645" ht="15.75" customHeight="1">
      <c r="A645" s="49"/>
      <c r="B645" s="49"/>
      <c r="C645" s="49"/>
      <c r="D645" s="49"/>
      <c r="E645" s="49"/>
      <c r="F645" s="49"/>
      <c r="G645" s="49"/>
      <c r="H645" s="49"/>
      <c r="I645" s="49"/>
      <c r="J645" s="49"/>
      <c r="K645" s="49"/>
      <c r="L645" s="49"/>
      <c r="M645" s="49"/>
      <c r="N645" s="49"/>
      <c r="O645" s="48"/>
      <c r="P645" s="48"/>
      <c r="Q645" s="48"/>
      <c r="R645" s="48"/>
      <c r="S645" s="48"/>
      <c r="T645" s="48"/>
      <c r="U645" s="48"/>
      <c r="V645" s="48"/>
      <c r="W645" s="48"/>
      <c r="X645" s="48"/>
      <c r="Y645" s="48"/>
      <c r="Z645" s="48"/>
    </row>
    <row r="646" ht="15.75" customHeight="1">
      <c r="A646" s="49"/>
      <c r="B646" s="49"/>
      <c r="C646" s="49"/>
      <c r="D646" s="49"/>
      <c r="E646" s="49"/>
      <c r="F646" s="49"/>
      <c r="G646" s="49"/>
      <c r="H646" s="49"/>
      <c r="I646" s="49"/>
      <c r="J646" s="49"/>
      <c r="K646" s="49"/>
      <c r="L646" s="49"/>
      <c r="M646" s="49"/>
      <c r="N646" s="49"/>
      <c r="O646" s="48"/>
      <c r="P646" s="48"/>
      <c r="Q646" s="48"/>
      <c r="R646" s="48"/>
      <c r="S646" s="48"/>
      <c r="T646" s="48"/>
      <c r="U646" s="48"/>
      <c r="V646" s="48"/>
      <c r="W646" s="48"/>
      <c r="X646" s="48"/>
      <c r="Y646" s="48"/>
      <c r="Z646" s="48"/>
    </row>
    <row r="647" ht="15.75" customHeight="1">
      <c r="A647" s="49"/>
      <c r="B647" s="49"/>
      <c r="C647" s="49"/>
      <c r="D647" s="49"/>
      <c r="E647" s="49"/>
      <c r="F647" s="49"/>
      <c r="G647" s="49"/>
      <c r="H647" s="49"/>
      <c r="I647" s="49"/>
      <c r="J647" s="49"/>
      <c r="K647" s="49"/>
      <c r="L647" s="49"/>
      <c r="M647" s="49"/>
      <c r="N647" s="49"/>
      <c r="O647" s="48"/>
      <c r="P647" s="48"/>
      <c r="Q647" s="48"/>
      <c r="R647" s="48"/>
      <c r="S647" s="48"/>
      <c r="T647" s="48"/>
      <c r="U647" s="48"/>
      <c r="V647" s="48"/>
      <c r="W647" s="48"/>
      <c r="X647" s="48"/>
      <c r="Y647" s="48"/>
      <c r="Z647" s="48"/>
    </row>
    <row r="648" ht="15.75" customHeight="1">
      <c r="A648" s="49"/>
      <c r="B648" s="49"/>
      <c r="C648" s="49"/>
      <c r="D648" s="49"/>
      <c r="E648" s="49"/>
      <c r="F648" s="49"/>
      <c r="G648" s="49"/>
      <c r="H648" s="49"/>
      <c r="I648" s="49"/>
      <c r="J648" s="49"/>
      <c r="K648" s="49"/>
      <c r="L648" s="49"/>
      <c r="M648" s="49"/>
      <c r="N648" s="49"/>
      <c r="O648" s="48"/>
      <c r="P648" s="48"/>
      <c r="Q648" s="48"/>
      <c r="R648" s="48"/>
      <c r="S648" s="48"/>
      <c r="T648" s="48"/>
      <c r="U648" s="48"/>
      <c r="V648" s="48"/>
      <c r="W648" s="48"/>
      <c r="X648" s="48"/>
      <c r="Y648" s="48"/>
      <c r="Z648" s="48"/>
    </row>
    <row r="649" ht="15.75" customHeight="1">
      <c r="A649" s="49"/>
      <c r="B649" s="49"/>
      <c r="C649" s="49"/>
      <c r="D649" s="49"/>
      <c r="E649" s="49"/>
      <c r="F649" s="49"/>
      <c r="G649" s="49"/>
      <c r="H649" s="49"/>
      <c r="I649" s="49"/>
      <c r="J649" s="49"/>
      <c r="K649" s="49"/>
      <c r="L649" s="49"/>
      <c r="M649" s="49"/>
      <c r="N649" s="49"/>
      <c r="O649" s="48"/>
      <c r="P649" s="48"/>
      <c r="Q649" s="48"/>
      <c r="R649" s="48"/>
      <c r="S649" s="48"/>
      <c r="T649" s="48"/>
      <c r="U649" s="48"/>
      <c r="V649" s="48"/>
      <c r="W649" s="48"/>
      <c r="X649" s="48"/>
      <c r="Y649" s="48"/>
      <c r="Z649" s="48"/>
    </row>
    <row r="650" ht="15.75" customHeight="1">
      <c r="A650" s="49"/>
      <c r="B650" s="49"/>
      <c r="C650" s="49"/>
      <c r="D650" s="49"/>
      <c r="E650" s="49"/>
      <c r="F650" s="49"/>
      <c r="G650" s="49"/>
      <c r="H650" s="49"/>
      <c r="I650" s="49"/>
      <c r="J650" s="49"/>
      <c r="K650" s="49"/>
      <c r="L650" s="49"/>
      <c r="M650" s="49"/>
      <c r="N650" s="49"/>
      <c r="O650" s="48"/>
      <c r="P650" s="48"/>
      <c r="Q650" s="48"/>
      <c r="R650" s="48"/>
      <c r="S650" s="48"/>
      <c r="T650" s="48"/>
      <c r="U650" s="48"/>
      <c r="V650" s="48"/>
      <c r="W650" s="48"/>
      <c r="X650" s="48"/>
      <c r="Y650" s="48"/>
      <c r="Z650" s="48"/>
    </row>
    <row r="651" ht="15.75" customHeight="1">
      <c r="A651" s="49"/>
      <c r="B651" s="49"/>
      <c r="C651" s="49"/>
      <c r="D651" s="49"/>
      <c r="E651" s="49"/>
      <c r="F651" s="49"/>
      <c r="G651" s="49"/>
      <c r="H651" s="49"/>
      <c r="I651" s="49"/>
      <c r="J651" s="49"/>
      <c r="K651" s="49"/>
      <c r="L651" s="49"/>
      <c r="M651" s="49"/>
      <c r="N651" s="49"/>
      <c r="O651" s="48"/>
      <c r="P651" s="48"/>
      <c r="Q651" s="48"/>
      <c r="R651" s="48"/>
      <c r="S651" s="48"/>
      <c r="T651" s="48"/>
      <c r="U651" s="48"/>
      <c r="V651" s="48"/>
      <c r="W651" s="48"/>
      <c r="X651" s="48"/>
      <c r="Y651" s="48"/>
      <c r="Z651" s="48"/>
    </row>
    <row r="652" ht="15.75" customHeight="1">
      <c r="A652" s="49"/>
      <c r="B652" s="49"/>
      <c r="C652" s="49"/>
      <c r="D652" s="49"/>
      <c r="E652" s="49"/>
      <c r="F652" s="49"/>
      <c r="G652" s="49"/>
      <c r="H652" s="49"/>
      <c r="I652" s="49"/>
      <c r="J652" s="49"/>
      <c r="K652" s="49"/>
      <c r="L652" s="49"/>
      <c r="M652" s="49"/>
      <c r="N652" s="49"/>
      <c r="O652" s="48"/>
      <c r="P652" s="48"/>
      <c r="Q652" s="48"/>
      <c r="R652" s="48"/>
      <c r="S652" s="48"/>
      <c r="T652" s="48"/>
      <c r="U652" s="48"/>
      <c r="V652" s="48"/>
      <c r="W652" s="48"/>
      <c r="X652" s="48"/>
      <c r="Y652" s="48"/>
      <c r="Z652" s="48"/>
    </row>
    <row r="653" ht="15.75" customHeight="1">
      <c r="A653" s="49"/>
      <c r="B653" s="49"/>
      <c r="C653" s="49"/>
      <c r="D653" s="49"/>
      <c r="E653" s="49"/>
      <c r="F653" s="49"/>
      <c r="G653" s="49"/>
      <c r="H653" s="49"/>
      <c r="I653" s="49"/>
      <c r="J653" s="49"/>
      <c r="K653" s="49"/>
      <c r="L653" s="49"/>
      <c r="M653" s="49"/>
      <c r="N653" s="49"/>
      <c r="O653" s="48"/>
      <c r="P653" s="48"/>
      <c r="Q653" s="48"/>
      <c r="R653" s="48"/>
      <c r="S653" s="48"/>
      <c r="T653" s="48"/>
      <c r="U653" s="48"/>
      <c r="V653" s="48"/>
      <c r="W653" s="48"/>
      <c r="X653" s="48"/>
      <c r="Y653" s="48"/>
      <c r="Z653" s="48"/>
    </row>
    <row r="654" ht="15.75" customHeight="1">
      <c r="A654" s="49"/>
      <c r="B654" s="49"/>
      <c r="C654" s="49"/>
      <c r="D654" s="49"/>
      <c r="E654" s="49"/>
      <c r="F654" s="49"/>
      <c r="G654" s="49"/>
      <c r="H654" s="49"/>
      <c r="I654" s="49"/>
      <c r="J654" s="49"/>
      <c r="K654" s="49"/>
      <c r="L654" s="49"/>
      <c r="M654" s="49"/>
      <c r="N654" s="49"/>
      <c r="O654" s="48"/>
      <c r="P654" s="48"/>
      <c r="Q654" s="48"/>
      <c r="R654" s="48"/>
      <c r="S654" s="48"/>
      <c r="T654" s="48"/>
      <c r="U654" s="48"/>
      <c r="V654" s="48"/>
      <c r="W654" s="48"/>
      <c r="X654" s="48"/>
      <c r="Y654" s="48"/>
      <c r="Z654" s="48"/>
    </row>
    <row r="655" ht="15.75" customHeight="1">
      <c r="A655" s="49"/>
      <c r="B655" s="49"/>
      <c r="C655" s="49"/>
      <c r="D655" s="49"/>
      <c r="E655" s="49"/>
      <c r="F655" s="49"/>
      <c r="G655" s="49"/>
      <c r="H655" s="49"/>
      <c r="I655" s="49"/>
      <c r="J655" s="49"/>
      <c r="K655" s="49"/>
      <c r="L655" s="49"/>
      <c r="M655" s="49"/>
      <c r="N655" s="49"/>
      <c r="O655" s="48"/>
      <c r="P655" s="48"/>
      <c r="Q655" s="48"/>
      <c r="R655" s="48"/>
      <c r="S655" s="48"/>
      <c r="T655" s="48"/>
      <c r="U655" s="48"/>
      <c r="V655" s="48"/>
      <c r="W655" s="48"/>
      <c r="X655" s="48"/>
      <c r="Y655" s="48"/>
      <c r="Z655" s="48"/>
    </row>
    <row r="656" ht="15.75" customHeight="1">
      <c r="A656" s="49"/>
      <c r="B656" s="49"/>
      <c r="C656" s="49"/>
      <c r="D656" s="49"/>
      <c r="E656" s="49"/>
      <c r="F656" s="49"/>
      <c r="G656" s="49"/>
      <c r="H656" s="49"/>
      <c r="I656" s="49"/>
      <c r="J656" s="49"/>
      <c r="K656" s="49"/>
      <c r="L656" s="49"/>
      <c r="M656" s="49"/>
      <c r="N656" s="49"/>
      <c r="O656" s="48"/>
      <c r="P656" s="48"/>
      <c r="Q656" s="48"/>
      <c r="R656" s="48"/>
      <c r="S656" s="48"/>
      <c r="T656" s="48"/>
      <c r="U656" s="48"/>
      <c r="V656" s="48"/>
      <c r="W656" s="48"/>
      <c r="X656" s="48"/>
      <c r="Y656" s="48"/>
      <c r="Z656" s="48"/>
    </row>
    <row r="657" ht="15.75" customHeight="1">
      <c r="A657" s="49"/>
      <c r="B657" s="49"/>
      <c r="C657" s="49"/>
      <c r="D657" s="49"/>
      <c r="E657" s="49"/>
      <c r="F657" s="49"/>
      <c r="G657" s="49"/>
      <c r="H657" s="49"/>
      <c r="I657" s="49"/>
      <c r="J657" s="49"/>
      <c r="K657" s="49"/>
      <c r="L657" s="49"/>
      <c r="M657" s="49"/>
      <c r="N657" s="49"/>
      <c r="O657" s="48"/>
      <c r="P657" s="48"/>
      <c r="Q657" s="48"/>
      <c r="R657" s="48"/>
      <c r="S657" s="48"/>
      <c r="T657" s="48"/>
      <c r="U657" s="48"/>
      <c r="V657" s="48"/>
      <c r="W657" s="48"/>
      <c r="X657" s="48"/>
      <c r="Y657" s="48"/>
      <c r="Z657" s="48"/>
    </row>
    <row r="658" ht="15.75" customHeight="1">
      <c r="A658" s="49"/>
      <c r="B658" s="49"/>
      <c r="C658" s="49"/>
      <c r="D658" s="49"/>
      <c r="E658" s="49"/>
      <c r="F658" s="49"/>
      <c r="G658" s="49"/>
      <c r="H658" s="49"/>
      <c r="I658" s="49"/>
      <c r="J658" s="49"/>
      <c r="K658" s="49"/>
      <c r="L658" s="49"/>
      <c r="M658" s="49"/>
      <c r="N658" s="49"/>
      <c r="O658" s="48"/>
      <c r="P658" s="48"/>
      <c r="Q658" s="48"/>
      <c r="R658" s="48"/>
      <c r="S658" s="48"/>
      <c r="T658" s="48"/>
      <c r="U658" s="48"/>
      <c r="V658" s="48"/>
      <c r="W658" s="48"/>
      <c r="X658" s="48"/>
      <c r="Y658" s="48"/>
      <c r="Z658" s="48"/>
    </row>
    <row r="659" ht="15.75" customHeight="1">
      <c r="A659" s="49"/>
      <c r="B659" s="49"/>
      <c r="C659" s="49"/>
      <c r="D659" s="49"/>
      <c r="E659" s="49"/>
      <c r="F659" s="49"/>
      <c r="G659" s="49"/>
      <c r="H659" s="49"/>
      <c r="I659" s="49"/>
      <c r="J659" s="49"/>
      <c r="K659" s="49"/>
      <c r="L659" s="49"/>
      <c r="M659" s="49"/>
      <c r="N659" s="49"/>
      <c r="O659" s="48"/>
      <c r="P659" s="48"/>
      <c r="Q659" s="48"/>
      <c r="R659" s="48"/>
      <c r="S659" s="48"/>
      <c r="T659" s="48"/>
      <c r="U659" s="48"/>
      <c r="V659" s="48"/>
      <c r="W659" s="48"/>
      <c r="X659" s="48"/>
      <c r="Y659" s="48"/>
      <c r="Z659" s="48"/>
    </row>
    <row r="660" ht="15.75" customHeight="1">
      <c r="A660" s="49"/>
      <c r="B660" s="49"/>
      <c r="C660" s="49"/>
      <c r="D660" s="49"/>
      <c r="E660" s="49"/>
      <c r="F660" s="49"/>
      <c r="G660" s="49"/>
      <c r="H660" s="49"/>
      <c r="I660" s="49"/>
      <c r="J660" s="49"/>
      <c r="K660" s="49"/>
      <c r="L660" s="49"/>
      <c r="M660" s="49"/>
      <c r="N660" s="49"/>
      <c r="O660" s="48"/>
      <c r="P660" s="48"/>
      <c r="Q660" s="48"/>
      <c r="R660" s="48"/>
      <c r="S660" s="48"/>
      <c r="T660" s="48"/>
      <c r="U660" s="48"/>
      <c r="V660" s="48"/>
      <c r="W660" s="48"/>
      <c r="X660" s="48"/>
      <c r="Y660" s="48"/>
      <c r="Z660" s="48"/>
    </row>
    <row r="661" ht="15.75" customHeight="1">
      <c r="A661" s="49"/>
      <c r="B661" s="49"/>
      <c r="C661" s="49"/>
      <c r="D661" s="49"/>
      <c r="E661" s="49"/>
      <c r="F661" s="49"/>
      <c r="G661" s="49"/>
      <c r="H661" s="49"/>
      <c r="I661" s="49"/>
      <c r="J661" s="49"/>
      <c r="K661" s="49"/>
      <c r="L661" s="49"/>
      <c r="M661" s="49"/>
      <c r="N661" s="49"/>
      <c r="O661" s="48"/>
      <c r="P661" s="48"/>
      <c r="Q661" s="48"/>
      <c r="R661" s="48"/>
      <c r="S661" s="48"/>
      <c r="T661" s="48"/>
      <c r="U661" s="48"/>
      <c r="V661" s="48"/>
      <c r="W661" s="48"/>
      <c r="X661" s="48"/>
      <c r="Y661" s="48"/>
      <c r="Z661" s="48"/>
    </row>
    <row r="662" ht="15.75" customHeight="1">
      <c r="A662" s="49"/>
      <c r="B662" s="49"/>
      <c r="C662" s="49"/>
      <c r="D662" s="49"/>
      <c r="E662" s="49"/>
      <c r="F662" s="49"/>
      <c r="G662" s="49"/>
      <c r="H662" s="49"/>
      <c r="I662" s="49"/>
      <c r="J662" s="49"/>
      <c r="K662" s="49"/>
      <c r="L662" s="49"/>
      <c r="M662" s="49"/>
      <c r="N662" s="49"/>
      <c r="O662" s="48"/>
      <c r="P662" s="48"/>
      <c r="Q662" s="48"/>
      <c r="R662" s="48"/>
      <c r="S662" s="48"/>
      <c r="T662" s="48"/>
      <c r="U662" s="48"/>
      <c r="V662" s="48"/>
      <c r="W662" s="48"/>
      <c r="X662" s="48"/>
      <c r="Y662" s="48"/>
      <c r="Z662" s="48"/>
    </row>
    <row r="663" ht="15.75" customHeight="1">
      <c r="A663" s="49"/>
      <c r="B663" s="49"/>
      <c r="C663" s="49"/>
      <c r="D663" s="49"/>
      <c r="E663" s="49"/>
      <c r="F663" s="49"/>
      <c r="G663" s="49"/>
      <c r="H663" s="49"/>
      <c r="I663" s="49"/>
      <c r="J663" s="49"/>
      <c r="K663" s="49"/>
      <c r="L663" s="49"/>
      <c r="M663" s="49"/>
      <c r="N663" s="49"/>
      <c r="O663" s="48"/>
      <c r="P663" s="48"/>
      <c r="Q663" s="48"/>
      <c r="R663" s="48"/>
      <c r="S663" s="48"/>
      <c r="T663" s="48"/>
      <c r="U663" s="48"/>
      <c r="V663" s="48"/>
      <c r="W663" s="48"/>
      <c r="X663" s="48"/>
      <c r="Y663" s="48"/>
      <c r="Z663" s="48"/>
    </row>
    <row r="664" ht="15.75" customHeight="1">
      <c r="A664" s="49"/>
      <c r="B664" s="49"/>
      <c r="C664" s="49"/>
      <c r="D664" s="49"/>
      <c r="E664" s="49"/>
      <c r="F664" s="49"/>
      <c r="G664" s="49"/>
      <c r="H664" s="49"/>
      <c r="I664" s="49"/>
      <c r="J664" s="49"/>
      <c r="K664" s="49"/>
      <c r="L664" s="49"/>
      <c r="M664" s="49"/>
      <c r="N664" s="49"/>
      <c r="O664" s="48"/>
      <c r="P664" s="48"/>
      <c r="Q664" s="48"/>
      <c r="R664" s="48"/>
      <c r="S664" s="48"/>
      <c r="T664" s="48"/>
      <c r="U664" s="48"/>
      <c r="V664" s="48"/>
      <c r="W664" s="48"/>
      <c r="X664" s="48"/>
      <c r="Y664" s="48"/>
      <c r="Z664" s="48"/>
    </row>
    <row r="665" ht="15.75" customHeight="1">
      <c r="A665" s="49"/>
      <c r="B665" s="49"/>
      <c r="C665" s="49"/>
      <c r="D665" s="49"/>
      <c r="E665" s="49"/>
      <c r="F665" s="49"/>
      <c r="G665" s="49"/>
      <c r="H665" s="49"/>
      <c r="I665" s="49"/>
      <c r="J665" s="49"/>
      <c r="K665" s="49"/>
      <c r="L665" s="49"/>
      <c r="M665" s="49"/>
      <c r="N665" s="49"/>
      <c r="O665" s="48"/>
      <c r="P665" s="48"/>
      <c r="Q665" s="48"/>
      <c r="R665" s="48"/>
      <c r="S665" s="48"/>
      <c r="T665" s="48"/>
      <c r="U665" s="48"/>
      <c r="V665" s="48"/>
      <c r="W665" s="48"/>
      <c r="X665" s="48"/>
      <c r="Y665" s="48"/>
      <c r="Z665" s="48"/>
    </row>
    <row r="666" ht="15.75" customHeight="1">
      <c r="A666" s="49"/>
      <c r="B666" s="49"/>
      <c r="C666" s="49"/>
      <c r="D666" s="49"/>
      <c r="E666" s="49"/>
      <c r="F666" s="49"/>
      <c r="G666" s="49"/>
      <c r="H666" s="49"/>
      <c r="I666" s="49"/>
      <c r="J666" s="49"/>
      <c r="K666" s="49"/>
      <c r="L666" s="49"/>
      <c r="M666" s="49"/>
      <c r="N666" s="49"/>
      <c r="O666" s="48"/>
      <c r="P666" s="48"/>
      <c r="Q666" s="48"/>
      <c r="R666" s="48"/>
      <c r="S666" s="48"/>
      <c r="T666" s="48"/>
      <c r="U666" s="48"/>
      <c r="V666" s="48"/>
      <c r="W666" s="48"/>
      <c r="X666" s="48"/>
      <c r="Y666" s="48"/>
      <c r="Z666" s="48"/>
    </row>
    <row r="667" ht="15.75" customHeight="1">
      <c r="A667" s="49"/>
      <c r="B667" s="49"/>
      <c r="C667" s="49"/>
      <c r="D667" s="49"/>
      <c r="E667" s="49"/>
      <c r="F667" s="49"/>
      <c r="G667" s="49"/>
      <c r="H667" s="49"/>
      <c r="I667" s="49"/>
      <c r="J667" s="49"/>
      <c r="K667" s="49"/>
      <c r="L667" s="49"/>
      <c r="M667" s="49"/>
      <c r="N667" s="49"/>
      <c r="O667" s="48"/>
      <c r="P667" s="48"/>
      <c r="Q667" s="48"/>
      <c r="R667" s="48"/>
      <c r="S667" s="48"/>
      <c r="T667" s="48"/>
      <c r="U667" s="48"/>
      <c r="V667" s="48"/>
      <c r="W667" s="48"/>
      <c r="X667" s="48"/>
      <c r="Y667" s="48"/>
      <c r="Z667" s="48"/>
    </row>
    <row r="668" ht="15.75" customHeight="1">
      <c r="A668" s="49"/>
      <c r="B668" s="49"/>
      <c r="C668" s="49"/>
      <c r="D668" s="49"/>
      <c r="E668" s="49"/>
      <c r="F668" s="49"/>
      <c r="G668" s="49"/>
      <c r="H668" s="49"/>
      <c r="I668" s="49"/>
      <c r="J668" s="49"/>
      <c r="K668" s="49"/>
      <c r="L668" s="49"/>
      <c r="M668" s="49"/>
      <c r="N668" s="49"/>
      <c r="O668" s="48"/>
      <c r="P668" s="48"/>
      <c r="Q668" s="48"/>
      <c r="R668" s="48"/>
      <c r="S668" s="48"/>
      <c r="T668" s="48"/>
      <c r="U668" s="48"/>
      <c r="V668" s="48"/>
      <c r="W668" s="48"/>
      <c r="X668" s="48"/>
      <c r="Y668" s="48"/>
      <c r="Z668" s="48"/>
    </row>
    <row r="669" ht="15.75" customHeight="1">
      <c r="A669" s="49"/>
      <c r="B669" s="49"/>
      <c r="C669" s="49"/>
      <c r="D669" s="49"/>
      <c r="E669" s="49"/>
      <c r="F669" s="49"/>
      <c r="G669" s="49"/>
      <c r="H669" s="49"/>
      <c r="I669" s="49"/>
      <c r="J669" s="49"/>
      <c r="K669" s="49"/>
      <c r="L669" s="49"/>
      <c r="M669" s="49"/>
      <c r="N669" s="49"/>
      <c r="O669" s="48"/>
      <c r="P669" s="48"/>
      <c r="Q669" s="48"/>
      <c r="R669" s="48"/>
      <c r="S669" s="48"/>
      <c r="T669" s="48"/>
      <c r="U669" s="48"/>
      <c r="V669" s="48"/>
      <c r="W669" s="48"/>
      <c r="X669" s="48"/>
      <c r="Y669" s="48"/>
      <c r="Z669" s="48"/>
    </row>
    <row r="670" ht="15.75" customHeight="1">
      <c r="A670" s="49"/>
      <c r="B670" s="49"/>
      <c r="C670" s="49"/>
      <c r="D670" s="49"/>
      <c r="E670" s="49"/>
      <c r="F670" s="49"/>
      <c r="G670" s="49"/>
      <c r="H670" s="49"/>
      <c r="I670" s="49"/>
      <c r="J670" s="49"/>
      <c r="K670" s="49"/>
      <c r="L670" s="49"/>
      <c r="M670" s="49"/>
      <c r="N670" s="49"/>
      <c r="O670" s="48"/>
      <c r="P670" s="48"/>
      <c r="Q670" s="48"/>
      <c r="R670" s="48"/>
      <c r="S670" s="48"/>
      <c r="T670" s="48"/>
      <c r="U670" s="48"/>
      <c r="V670" s="48"/>
      <c r="W670" s="48"/>
      <c r="X670" s="48"/>
      <c r="Y670" s="48"/>
      <c r="Z670" s="48"/>
    </row>
    <row r="671" ht="15.75" customHeight="1">
      <c r="A671" s="49"/>
      <c r="B671" s="49"/>
      <c r="C671" s="49"/>
      <c r="D671" s="49"/>
      <c r="E671" s="49"/>
      <c r="F671" s="49"/>
      <c r="G671" s="49"/>
      <c r="H671" s="49"/>
      <c r="I671" s="49"/>
      <c r="J671" s="49"/>
      <c r="K671" s="49"/>
      <c r="L671" s="49"/>
      <c r="M671" s="49"/>
      <c r="N671" s="49"/>
      <c r="O671" s="48"/>
      <c r="P671" s="48"/>
      <c r="Q671" s="48"/>
      <c r="R671" s="48"/>
      <c r="S671" s="48"/>
      <c r="T671" s="48"/>
      <c r="U671" s="48"/>
      <c r="V671" s="48"/>
      <c r="W671" s="48"/>
      <c r="X671" s="48"/>
      <c r="Y671" s="48"/>
      <c r="Z671" s="48"/>
    </row>
    <row r="672" ht="15.75" customHeight="1">
      <c r="A672" s="49"/>
      <c r="B672" s="49"/>
      <c r="C672" s="49"/>
      <c r="D672" s="49"/>
      <c r="E672" s="49"/>
      <c r="F672" s="49"/>
      <c r="G672" s="49"/>
      <c r="H672" s="49"/>
      <c r="I672" s="49"/>
      <c r="J672" s="49"/>
      <c r="K672" s="49"/>
      <c r="L672" s="49"/>
      <c r="M672" s="49"/>
      <c r="N672" s="49"/>
      <c r="O672" s="48"/>
      <c r="P672" s="48"/>
      <c r="Q672" s="48"/>
      <c r="R672" s="48"/>
      <c r="S672" s="48"/>
      <c r="T672" s="48"/>
      <c r="U672" s="48"/>
      <c r="V672" s="48"/>
      <c r="W672" s="48"/>
      <c r="X672" s="48"/>
      <c r="Y672" s="48"/>
      <c r="Z672" s="48"/>
    </row>
    <row r="673" ht="15.75" customHeight="1">
      <c r="A673" s="49"/>
      <c r="B673" s="49"/>
      <c r="C673" s="49"/>
      <c r="D673" s="49"/>
      <c r="E673" s="49"/>
      <c r="F673" s="49"/>
      <c r="G673" s="49"/>
      <c r="H673" s="49"/>
      <c r="I673" s="49"/>
      <c r="J673" s="49"/>
      <c r="K673" s="49"/>
      <c r="L673" s="49"/>
      <c r="M673" s="49"/>
      <c r="N673" s="49"/>
      <c r="O673" s="48"/>
      <c r="P673" s="48"/>
      <c r="Q673" s="48"/>
      <c r="R673" s="48"/>
      <c r="S673" s="48"/>
      <c r="T673" s="48"/>
      <c r="U673" s="48"/>
      <c r="V673" s="48"/>
      <c r="W673" s="48"/>
      <c r="X673" s="48"/>
      <c r="Y673" s="48"/>
      <c r="Z673" s="48"/>
    </row>
    <row r="674" ht="15.75" customHeight="1">
      <c r="A674" s="49"/>
      <c r="B674" s="49"/>
      <c r="C674" s="49"/>
      <c r="D674" s="49"/>
      <c r="E674" s="49"/>
      <c r="F674" s="49"/>
      <c r="G674" s="49"/>
      <c r="H674" s="49"/>
      <c r="I674" s="49"/>
      <c r="J674" s="49"/>
      <c r="K674" s="49"/>
      <c r="L674" s="49"/>
      <c r="M674" s="49"/>
      <c r="N674" s="49"/>
      <c r="O674" s="48"/>
      <c r="P674" s="48"/>
      <c r="Q674" s="48"/>
      <c r="R674" s="48"/>
      <c r="S674" s="48"/>
      <c r="T674" s="48"/>
      <c r="U674" s="48"/>
      <c r="V674" s="48"/>
      <c r="W674" s="48"/>
      <c r="X674" s="48"/>
      <c r="Y674" s="48"/>
      <c r="Z674" s="48"/>
    </row>
    <row r="675" ht="15.75" customHeight="1">
      <c r="A675" s="49"/>
      <c r="B675" s="49"/>
      <c r="C675" s="49"/>
      <c r="D675" s="49"/>
      <c r="E675" s="49"/>
      <c r="F675" s="49"/>
      <c r="G675" s="49"/>
      <c r="H675" s="49"/>
      <c r="I675" s="49"/>
      <c r="J675" s="49"/>
      <c r="K675" s="49"/>
      <c r="L675" s="49"/>
      <c r="M675" s="49"/>
      <c r="N675" s="49"/>
      <c r="O675" s="48"/>
      <c r="P675" s="48"/>
      <c r="Q675" s="48"/>
      <c r="R675" s="48"/>
      <c r="S675" s="48"/>
      <c r="T675" s="48"/>
      <c r="U675" s="48"/>
      <c r="V675" s="48"/>
      <c r="W675" s="48"/>
      <c r="X675" s="48"/>
      <c r="Y675" s="48"/>
      <c r="Z675" s="48"/>
    </row>
    <row r="676" ht="15.75" customHeight="1">
      <c r="A676" s="49"/>
      <c r="B676" s="49"/>
      <c r="C676" s="49"/>
      <c r="D676" s="49"/>
      <c r="E676" s="49"/>
      <c r="F676" s="49"/>
      <c r="G676" s="49"/>
      <c r="H676" s="49"/>
      <c r="I676" s="49"/>
      <c r="J676" s="49"/>
      <c r="K676" s="49"/>
      <c r="L676" s="49"/>
      <c r="M676" s="49"/>
      <c r="N676" s="49"/>
      <c r="O676" s="48"/>
      <c r="P676" s="48"/>
      <c r="Q676" s="48"/>
      <c r="R676" s="48"/>
      <c r="S676" s="48"/>
      <c r="T676" s="48"/>
      <c r="U676" s="48"/>
      <c r="V676" s="48"/>
      <c r="W676" s="48"/>
      <c r="X676" s="48"/>
      <c r="Y676" s="48"/>
      <c r="Z676" s="48"/>
    </row>
    <row r="677" ht="15.75" customHeight="1">
      <c r="A677" s="49"/>
      <c r="B677" s="49"/>
      <c r="C677" s="49"/>
      <c r="D677" s="49"/>
      <c r="E677" s="49"/>
      <c r="F677" s="49"/>
      <c r="G677" s="49"/>
      <c r="H677" s="49"/>
      <c r="I677" s="49"/>
      <c r="J677" s="49"/>
      <c r="K677" s="49"/>
      <c r="L677" s="49"/>
      <c r="M677" s="49"/>
      <c r="N677" s="49"/>
      <c r="O677" s="48"/>
      <c r="P677" s="48"/>
      <c r="Q677" s="48"/>
      <c r="R677" s="48"/>
      <c r="S677" s="48"/>
      <c r="T677" s="48"/>
      <c r="U677" s="48"/>
      <c r="V677" s="48"/>
      <c r="W677" s="48"/>
      <c r="X677" s="48"/>
      <c r="Y677" s="48"/>
      <c r="Z677" s="48"/>
    </row>
    <row r="678" ht="15.75" customHeight="1">
      <c r="A678" s="49"/>
      <c r="B678" s="49"/>
      <c r="C678" s="49"/>
      <c r="D678" s="49"/>
      <c r="E678" s="49"/>
      <c r="F678" s="49"/>
      <c r="G678" s="49"/>
      <c r="H678" s="49"/>
      <c r="I678" s="49"/>
      <c r="J678" s="49"/>
      <c r="K678" s="49"/>
      <c r="L678" s="49"/>
      <c r="M678" s="49"/>
      <c r="N678" s="49"/>
      <c r="O678" s="48"/>
      <c r="P678" s="48"/>
      <c r="Q678" s="48"/>
      <c r="R678" s="48"/>
      <c r="S678" s="48"/>
      <c r="T678" s="48"/>
      <c r="U678" s="48"/>
      <c r="V678" s="48"/>
      <c r="W678" s="48"/>
      <c r="X678" s="48"/>
      <c r="Y678" s="48"/>
      <c r="Z678" s="48"/>
    </row>
    <row r="679" ht="15.75" customHeight="1">
      <c r="A679" s="49"/>
      <c r="B679" s="49"/>
      <c r="C679" s="49"/>
      <c r="D679" s="49"/>
      <c r="E679" s="49"/>
      <c r="F679" s="49"/>
      <c r="G679" s="49"/>
      <c r="H679" s="49"/>
      <c r="I679" s="49"/>
      <c r="J679" s="49"/>
      <c r="K679" s="49"/>
      <c r="L679" s="49"/>
      <c r="M679" s="49"/>
      <c r="N679" s="49"/>
      <c r="O679" s="48"/>
      <c r="P679" s="48"/>
      <c r="Q679" s="48"/>
      <c r="R679" s="48"/>
      <c r="S679" s="48"/>
      <c r="T679" s="48"/>
      <c r="U679" s="48"/>
      <c r="V679" s="48"/>
      <c r="W679" s="48"/>
      <c r="X679" s="48"/>
      <c r="Y679" s="48"/>
      <c r="Z679" s="48"/>
    </row>
    <row r="680" ht="15.75" customHeight="1">
      <c r="A680" s="49"/>
      <c r="B680" s="49"/>
      <c r="C680" s="49"/>
      <c r="D680" s="49"/>
      <c r="E680" s="49"/>
      <c r="F680" s="49"/>
      <c r="G680" s="49"/>
      <c r="H680" s="49"/>
      <c r="I680" s="49"/>
      <c r="J680" s="49"/>
      <c r="K680" s="49"/>
      <c r="L680" s="49"/>
      <c r="M680" s="49"/>
      <c r="N680" s="49"/>
      <c r="O680" s="48"/>
      <c r="P680" s="48"/>
      <c r="Q680" s="48"/>
      <c r="R680" s="48"/>
      <c r="S680" s="48"/>
      <c r="T680" s="48"/>
      <c r="U680" s="48"/>
      <c r="V680" s="48"/>
      <c r="W680" s="48"/>
      <c r="X680" s="48"/>
      <c r="Y680" s="48"/>
      <c r="Z680" s="48"/>
    </row>
    <row r="681" ht="15.75" customHeight="1">
      <c r="A681" s="49"/>
      <c r="B681" s="49"/>
      <c r="C681" s="49"/>
      <c r="D681" s="49"/>
      <c r="E681" s="49"/>
      <c r="F681" s="49"/>
      <c r="G681" s="49"/>
      <c r="H681" s="49"/>
      <c r="I681" s="49"/>
      <c r="J681" s="49"/>
      <c r="K681" s="49"/>
      <c r="L681" s="49"/>
      <c r="M681" s="49"/>
      <c r="N681" s="49"/>
      <c r="O681" s="48"/>
      <c r="P681" s="48"/>
      <c r="Q681" s="48"/>
      <c r="R681" s="48"/>
      <c r="S681" s="48"/>
      <c r="T681" s="48"/>
      <c r="U681" s="48"/>
      <c r="V681" s="48"/>
      <c r="W681" s="48"/>
      <c r="X681" s="48"/>
      <c r="Y681" s="48"/>
      <c r="Z681" s="48"/>
    </row>
    <row r="682" ht="15.75" customHeight="1">
      <c r="A682" s="49"/>
      <c r="B682" s="49"/>
      <c r="C682" s="49"/>
      <c r="D682" s="49"/>
      <c r="E682" s="49"/>
      <c r="F682" s="49"/>
      <c r="G682" s="49"/>
      <c r="H682" s="49"/>
      <c r="I682" s="49"/>
      <c r="J682" s="49"/>
      <c r="K682" s="49"/>
      <c r="L682" s="49"/>
      <c r="M682" s="49"/>
      <c r="N682" s="49"/>
      <c r="O682" s="48"/>
      <c r="P682" s="48"/>
      <c r="Q682" s="48"/>
      <c r="R682" s="48"/>
      <c r="S682" s="48"/>
      <c r="T682" s="48"/>
      <c r="U682" s="48"/>
      <c r="V682" s="48"/>
      <c r="W682" s="48"/>
      <c r="X682" s="48"/>
      <c r="Y682" s="48"/>
      <c r="Z682" s="48"/>
    </row>
    <row r="683" ht="15.75" customHeight="1">
      <c r="A683" s="49"/>
      <c r="B683" s="49"/>
      <c r="C683" s="49"/>
      <c r="D683" s="49"/>
      <c r="E683" s="49"/>
      <c r="F683" s="49"/>
      <c r="G683" s="49"/>
      <c r="H683" s="49"/>
      <c r="I683" s="49"/>
      <c r="J683" s="49"/>
      <c r="K683" s="49"/>
      <c r="L683" s="49"/>
      <c r="M683" s="49"/>
      <c r="N683" s="49"/>
      <c r="O683" s="48"/>
      <c r="P683" s="48"/>
      <c r="Q683" s="48"/>
      <c r="R683" s="48"/>
      <c r="S683" s="48"/>
      <c r="T683" s="48"/>
      <c r="U683" s="48"/>
      <c r="V683" s="48"/>
      <c r="W683" s="48"/>
      <c r="X683" s="48"/>
      <c r="Y683" s="48"/>
      <c r="Z683" s="48"/>
    </row>
    <row r="684" ht="15.75" customHeight="1">
      <c r="A684" s="49"/>
      <c r="B684" s="49"/>
      <c r="C684" s="49"/>
      <c r="D684" s="49"/>
      <c r="E684" s="49"/>
      <c r="F684" s="49"/>
      <c r="G684" s="49"/>
      <c r="H684" s="49"/>
      <c r="I684" s="49"/>
      <c r="J684" s="49"/>
      <c r="K684" s="49"/>
      <c r="L684" s="49"/>
      <c r="M684" s="49"/>
      <c r="N684" s="49"/>
      <c r="O684" s="48"/>
      <c r="P684" s="48"/>
      <c r="Q684" s="48"/>
      <c r="R684" s="48"/>
      <c r="S684" s="48"/>
      <c r="T684" s="48"/>
      <c r="U684" s="48"/>
      <c r="V684" s="48"/>
      <c r="W684" s="48"/>
      <c r="X684" s="48"/>
      <c r="Y684" s="48"/>
      <c r="Z684" s="48"/>
    </row>
    <row r="685" ht="15.75" customHeight="1">
      <c r="A685" s="49"/>
      <c r="B685" s="49"/>
      <c r="C685" s="49"/>
      <c r="D685" s="49"/>
      <c r="E685" s="49"/>
      <c r="F685" s="49"/>
      <c r="G685" s="49"/>
      <c r="H685" s="49"/>
      <c r="I685" s="49"/>
      <c r="J685" s="49"/>
      <c r="K685" s="49"/>
      <c r="L685" s="49"/>
      <c r="M685" s="49"/>
      <c r="N685" s="49"/>
      <c r="O685" s="48"/>
      <c r="P685" s="48"/>
      <c r="Q685" s="48"/>
      <c r="R685" s="48"/>
      <c r="S685" s="48"/>
      <c r="T685" s="48"/>
      <c r="U685" s="48"/>
      <c r="V685" s="48"/>
      <c r="W685" s="48"/>
      <c r="X685" s="48"/>
      <c r="Y685" s="48"/>
      <c r="Z685" s="48"/>
    </row>
    <row r="686" ht="15.75" customHeight="1">
      <c r="A686" s="49"/>
      <c r="B686" s="49"/>
      <c r="C686" s="49"/>
      <c r="D686" s="49"/>
      <c r="E686" s="49"/>
      <c r="F686" s="49"/>
      <c r="G686" s="49"/>
      <c r="H686" s="49"/>
      <c r="I686" s="49"/>
      <c r="J686" s="49"/>
      <c r="K686" s="49"/>
      <c r="L686" s="49"/>
      <c r="M686" s="49"/>
      <c r="N686" s="49"/>
      <c r="O686" s="48"/>
      <c r="P686" s="48"/>
      <c r="Q686" s="48"/>
      <c r="R686" s="48"/>
      <c r="S686" s="48"/>
      <c r="T686" s="48"/>
      <c r="U686" s="48"/>
      <c r="V686" s="48"/>
      <c r="W686" s="48"/>
      <c r="X686" s="48"/>
      <c r="Y686" s="48"/>
      <c r="Z686" s="48"/>
    </row>
    <row r="687" ht="15.75" customHeight="1">
      <c r="A687" s="49"/>
      <c r="B687" s="49"/>
      <c r="C687" s="49"/>
      <c r="D687" s="49"/>
      <c r="E687" s="49"/>
      <c r="F687" s="49"/>
      <c r="G687" s="49"/>
      <c r="H687" s="49"/>
      <c r="I687" s="49"/>
      <c r="J687" s="49"/>
      <c r="K687" s="49"/>
      <c r="L687" s="49"/>
      <c r="M687" s="49"/>
      <c r="N687" s="49"/>
      <c r="O687" s="48"/>
      <c r="P687" s="48"/>
      <c r="Q687" s="48"/>
      <c r="R687" s="48"/>
      <c r="S687" s="48"/>
      <c r="T687" s="48"/>
      <c r="U687" s="48"/>
      <c r="V687" s="48"/>
      <c r="W687" s="48"/>
      <c r="X687" s="48"/>
      <c r="Y687" s="48"/>
      <c r="Z687" s="48"/>
    </row>
    <row r="688" ht="15.75" customHeight="1">
      <c r="A688" s="49"/>
      <c r="B688" s="49"/>
      <c r="C688" s="49"/>
      <c r="D688" s="49"/>
      <c r="E688" s="49"/>
      <c r="F688" s="49"/>
      <c r="G688" s="49"/>
      <c r="H688" s="49"/>
      <c r="I688" s="49"/>
      <c r="J688" s="49"/>
      <c r="K688" s="49"/>
      <c r="L688" s="49"/>
      <c r="M688" s="49"/>
      <c r="N688" s="49"/>
      <c r="O688" s="48"/>
      <c r="P688" s="48"/>
      <c r="Q688" s="48"/>
      <c r="R688" s="48"/>
      <c r="S688" s="48"/>
      <c r="T688" s="48"/>
      <c r="U688" s="48"/>
      <c r="V688" s="48"/>
      <c r="W688" s="48"/>
      <c r="X688" s="48"/>
      <c r="Y688" s="48"/>
      <c r="Z688" s="48"/>
    </row>
    <row r="689" ht="15.75" customHeight="1">
      <c r="A689" s="49"/>
      <c r="B689" s="49"/>
      <c r="C689" s="49"/>
      <c r="D689" s="49"/>
      <c r="E689" s="49"/>
      <c r="F689" s="49"/>
      <c r="G689" s="49"/>
      <c r="H689" s="49"/>
      <c r="I689" s="49"/>
      <c r="J689" s="49"/>
      <c r="K689" s="49"/>
      <c r="L689" s="49"/>
      <c r="M689" s="49"/>
      <c r="N689" s="49"/>
      <c r="O689" s="48"/>
      <c r="P689" s="48"/>
      <c r="Q689" s="48"/>
      <c r="R689" s="48"/>
      <c r="S689" s="48"/>
      <c r="T689" s="48"/>
      <c r="U689" s="48"/>
      <c r="V689" s="48"/>
      <c r="W689" s="48"/>
      <c r="X689" s="48"/>
      <c r="Y689" s="48"/>
      <c r="Z689" s="48"/>
    </row>
    <row r="690" ht="15.75" customHeight="1">
      <c r="A690" s="49"/>
      <c r="B690" s="49"/>
      <c r="C690" s="49"/>
      <c r="D690" s="49"/>
      <c r="E690" s="49"/>
      <c r="F690" s="49"/>
      <c r="G690" s="49"/>
      <c r="H690" s="49"/>
      <c r="I690" s="49"/>
      <c r="J690" s="49"/>
      <c r="K690" s="49"/>
      <c r="L690" s="49"/>
      <c r="M690" s="49"/>
      <c r="N690" s="49"/>
      <c r="O690" s="48"/>
      <c r="P690" s="48"/>
      <c r="Q690" s="48"/>
      <c r="R690" s="48"/>
      <c r="S690" s="48"/>
      <c r="T690" s="48"/>
      <c r="U690" s="48"/>
      <c r="V690" s="48"/>
      <c r="W690" s="48"/>
      <c r="X690" s="48"/>
      <c r="Y690" s="48"/>
      <c r="Z690" s="48"/>
    </row>
    <row r="691" ht="15.75" customHeight="1">
      <c r="A691" s="49"/>
      <c r="B691" s="49"/>
      <c r="C691" s="49"/>
      <c r="D691" s="49"/>
      <c r="E691" s="49"/>
      <c r="F691" s="49"/>
      <c r="G691" s="49"/>
      <c r="H691" s="49"/>
      <c r="I691" s="49"/>
      <c r="J691" s="49"/>
      <c r="K691" s="49"/>
      <c r="L691" s="49"/>
      <c r="M691" s="49"/>
      <c r="N691" s="49"/>
      <c r="O691" s="48"/>
      <c r="P691" s="48"/>
      <c r="Q691" s="48"/>
      <c r="R691" s="48"/>
      <c r="S691" s="48"/>
      <c r="T691" s="48"/>
      <c r="U691" s="48"/>
      <c r="V691" s="48"/>
      <c r="W691" s="48"/>
      <c r="X691" s="48"/>
      <c r="Y691" s="48"/>
      <c r="Z691" s="48"/>
    </row>
    <row r="692" ht="15.75" customHeight="1">
      <c r="A692" s="49"/>
      <c r="B692" s="49"/>
      <c r="C692" s="49"/>
      <c r="D692" s="49"/>
      <c r="E692" s="49"/>
      <c r="F692" s="49"/>
      <c r="G692" s="49"/>
      <c r="H692" s="49"/>
      <c r="I692" s="49"/>
      <c r="J692" s="49"/>
      <c r="K692" s="49"/>
      <c r="L692" s="49"/>
      <c r="M692" s="49"/>
      <c r="N692" s="49"/>
      <c r="O692" s="48"/>
      <c r="P692" s="48"/>
      <c r="Q692" s="48"/>
      <c r="R692" s="48"/>
      <c r="S692" s="48"/>
      <c r="T692" s="48"/>
      <c r="U692" s="48"/>
      <c r="V692" s="48"/>
      <c r="W692" s="48"/>
      <c r="X692" s="48"/>
      <c r="Y692" s="48"/>
      <c r="Z692" s="48"/>
    </row>
    <row r="693" ht="15.75" customHeight="1">
      <c r="A693" s="49"/>
      <c r="B693" s="49"/>
      <c r="C693" s="49"/>
      <c r="D693" s="49"/>
      <c r="E693" s="49"/>
      <c r="F693" s="49"/>
      <c r="G693" s="49"/>
      <c r="H693" s="49"/>
      <c r="I693" s="49"/>
      <c r="J693" s="49"/>
      <c r="K693" s="49"/>
      <c r="L693" s="49"/>
      <c r="M693" s="49"/>
      <c r="N693" s="49"/>
      <c r="O693" s="48"/>
      <c r="P693" s="48"/>
      <c r="Q693" s="48"/>
      <c r="R693" s="48"/>
      <c r="S693" s="48"/>
      <c r="T693" s="48"/>
      <c r="U693" s="48"/>
      <c r="V693" s="48"/>
      <c r="W693" s="48"/>
      <c r="X693" s="48"/>
      <c r="Y693" s="48"/>
      <c r="Z693" s="48"/>
    </row>
    <row r="694" ht="15.75" customHeight="1">
      <c r="A694" s="49"/>
      <c r="B694" s="49"/>
      <c r="C694" s="49"/>
      <c r="D694" s="49"/>
      <c r="E694" s="49"/>
      <c r="F694" s="49"/>
      <c r="G694" s="49"/>
      <c r="H694" s="49"/>
      <c r="I694" s="49"/>
      <c r="J694" s="49"/>
      <c r="K694" s="49"/>
      <c r="L694" s="49"/>
      <c r="M694" s="49"/>
      <c r="N694" s="49"/>
      <c r="O694" s="48"/>
      <c r="P694" s="48"/>
      <c r="Q694" s="48"/>
      <c r="R694" s="48"/>
      <c r="S694" s="48"/>
      <c r="T694" s="48"/>
      <c r="U694" s="48"/>
      <c r="V694" s="48"/>
      <c r="W694" s="48"/>
      <c r="X694" s="48"/>
      <c r="Y694" s="48"/>
      <c r="Z694" s="48"/>
    </row>
    <row r="695" ht="15.75" customHeight="1">
      <c r="A695" s="49"/>
      <c r="B695" s="49"/>
      <c r="C695" s="49"/>
      <c r="D695" s="49"/>
      <c r="E695" s="49"/>
      <c r="F695" s="49"/>
      <c r="G695" s="49"/>
      <c r="H695" s="49"/>
      <c r="I695" s="49"/>
      <c r="J695" s="49"/>
      <c r="K695" s="49"/>
      <c r="L695" s="49"/>
      <c r="M695" s="49"/>
      <c r="N695" s="49"/>
      <c r="O695" s="48"/>
      <c r="P695" s="48"/>
      <c r="Q695" s="48"/>
      <c r="R695" s="48"/>
      <c r="S695" s="48"/>
      <c r="T695" s="48"/>
      <c r="U695" s="48"/>
      <c r="V695" s="48"/>
      <c r="W695" s="48"/>
      <c r="X695" s="48"/>
      <c r="Y695" s="48"/>
      <c r="Z695" s="48"/>
    </row>
    <row r="696" ht="15.75" customHeight="1">
      <c r="A696" s="49"/>
      <c r="B696" s="49"/>
      <c r="C696" s="49"/>
      <c r="D696" s="49"/>
      <c r="E696" s="49"/>
      <c r="F696" s="49"/>
      <c r="G696" s="49"/>
      <c r="H696" s="49"/>
      <c r="I696" s="49"/>
      <c r="J696" s="49"/>
      <c r="K696" s="49"/>
      <c r="L696" s="49"/>
      <c r="M696" s="49"/>
      <c r="N696" s="49"/>
      <c r="O696" s="48"/>
      <c r="P696" s="48"/>
      <c r="Q696" s="48"/>
      <c r="R696" s="48"/>
      <c r="S696" s="48"/>
      <c r="T696" s="48"/>
      <c r="U696" s="48"/>
      <c r="V696" s="48"/>
      <c r="W696" s="48"/>
      <c r="X696" s="48"/>
      <c r="Y696" s="48"/>
      <c r="Z696" s="48"/>
    </row>
    <row r="697" ht="15.75" customHeight="1">
      <c r="A697" s="49"/>
      <c r="B697" s="49"/>
      <c r="C697" s="49"/>
      <c r="D697" s="49"/>
      <c r="E697" s="49"/>
      <c r="F697" s="49"/>
      <c r="G697" s="49"/>
      <c r="H697" s="49"/>
      <c r="I697" s="49"/>
      <c r="J697" s="49"/>
      <c r="K697" s="49"/>
      <c r="L697" s="49"/>
      <c r="M697" s="49"/>
      <c r="N697" s="49"/>
      <c r="O697" s="48"/>
      <c r="P697" s="48"/>
      <c r="Q697" s="48"/>
      <c r="R697" s="48"/>
      <c r="S697" s="48"/>
      <c r="T697" s="48"/>
      <c r="U697" s="48"/>
      <c r="V697" s="48"/>
      <c r="W697" s="48"/>
      <c r="X697" s="48"/>
      <c r="Y697" s="48"/>
      <c r="Z697" s="48"/>
    </row>
    <row r="698" ht="15.75" customHeight="1">
      <c r="A698" s="49"/>
      <c r="B698" s="49"/>
      <c r="C698" s="49"/>
      <c r="D698" s="49"/>
      <c r="E698" s="49"/>
      <c r="F698" s="49"/>
      <c r="G698" s="49"/>
      <c r="H698" s="49"/>
      <c r="I698" s="49"/>
      <c r="J698" s="49"/>
      <c r="K698" s="49"/>
      <c r="L698" s="49"/>
      <c r="M698" s="49"/>
      <c r="N698" s="49"/>
      <c r="O698" s="48"/>
      <c r="P698" s="48"/>
      <c r="Q698" s="48"/>
      <c r="R698" s="48"/>
      <c r="S698" s="48"/>
      <c r="T698" s="48"/>
      <c r="U698" s="48"/>
      <c r="V698" s="48"/>
      <c r="W698" s="48"/>
      <c r="X698" s="48"/>
      <c r="Y698" s="48"/>
      <c r="Z698" s="48"/>
    </row>
    <row r="699" ht="15.75" customHeight="1">
      <c r="A699" s="49"/>
      <c r="B699" s="49"/>
      <c r="C699" s="49"/>
      <c r="D699" s="49"/>
      <c r="E699" s="49"/>
      <c r="F699" s="49"/>
      <c r="G699" s="49"/>
      <c r="H699" s="49"/>
      <c r="I699" s="49"/>
      <c r="J699" s="49"/>
      <c r="K699" s="49"/>
      <c r="L699" s="49"/>
      <c r="M699" s="49"/>
      <c r="N699" s="49"/>
      <c r="O699" s="48"/>
      <c r="P699" s="48"/>
      <c r="Q699" s="48"/>
      <c r="R699" s="48"/>
      <c r="S699" s="48"/>
      <c r="T699" s="48"/>
      <c r="U699" s="48"/>
      <c r="V699" s="48"/>
      <c r="W699" s="48"/>
      <c r="X699" s="48"/>
      <c r="Y699" s="48"/>
      <c r="Z699" s="48"/>
    </row>
    <row r="700" ht="15.75" customHeight="1">
      <c r="A700" s="49"/>
      <c r="B700" s="49"/>
      <c r="C700" s="49"/>
      <c r="D700" s="49"/>
      <c r="E700" s="49"/>
      <c r="F700" s="49"/>
      <c r="G700" s="49"/>
      <c r="H700" s="49"/>
      <c r="I700" s="49"/>
      <c r="J700" s="49"/>
      <c r="K700" s="49"/>
      <c r="L700" s="49"/>
      <c r="M700" s="49"/>
      <c r="N700" s="49"/>
      <c r="O700" s="48"/>
      <c r="P700" s="48"/>
      <c r="Q700" s="48"/>
      <c r="R700" s="48"/>
      <c r="S700" s="48"/>
      <c r="T700" s="48"/>
      <c r="U700" s="48"/>
      <c r="V700" s="48"/>
      <c r="W700" s="48"/>
      <c r="X700" s="48"/>
      <c r="Y700" s="48"/>
      <c r="Z700" s="48"/>
    </row>
    <row r="701" ht="15.75" customHeight="1">
      <c r="A701" s="49"/>
      <c r="B701" s="49"/>
      <c r="C701" s="49"/>
      <c r="D701" s="49"/>
      <c r="E701" s="49"/>
      <c r="F701" s="49"/>
      <c r="G701" s="49"/>
      <c r="H701" s="49"/>
      <c r="I701" s="49"/>
      <c r="J701" s="49"/>
      <c r="K701" s="49"/>
      <c r="L701" s="49"/>
      <c r="M701" s="49"/>
      <c r="N701" s="49"/>
      <c r="O701" s="48"/>
      <c r="P701" s="48"/>
      <c r="Q701" s="48"/>
      <c r="R701" s="48"/>
      <c r="S701" s="48"/>
      <c r="T701" s="48"/>
      <c r="U701" s="48"/>
      <c r="V701" s="48"/>
      <c r="W701" s="48"/>
      <c r="X701" s="48"/>
      <c r="Y701" s="48"/>
      <c r="Z701" s="48"/>
    </row>
    <row r="702" ht="15.75" customHeight="1">
      <c r="A702" s="49"/>
      <c r="B702" s="49"/>
      <c r="C702" s="49"/>
      <c r="D702" s="49"/>
      <c r="E702" s="49"/>
      <c r="F702" s="49"/>
      <c r="G702" s="49"/>
      <c r="H702" s="49"/>
      <c r="I702" s="49"/>
      <c r="J702" s="49"/>
      <c r="K702" s="49"/>
      <c r="L702" s="49"/>
      <c r="M702" s="49"/>
      <c r="N702" s="49"/>
      <c r="O702" s="48"/>
      <c r="P702" s="48"/>
      <c r="Q702" s="48"/>
      <c r="R702" s="48"/>
      <c r="S702" s="48"/>
      <c r="T702" s="48"/>
      <c r="U702" s="48"/>
      <c r="V702" s="48"/>
      <c r="W702" s="48"/>
      <c r="X702" s="48"/>
      <c r="Y702" s="48"/>
      <c r="Z702" s="48"/>
    </row>
    <row r="703" ht="15.75" customHeight="1">
      <c r="A703" s="49"/>
      <c r="B703" s="49"/>
      <c r="C703" s="49"/>
      <c r="D703" s="49"/>
      <c r="E703" s="49"/>
      <c r="F703" s="49"/>
      <c r="G703" s="49"/>
      <c r="H703" s="49"/>
      <c r="I703" s="49"/>
      <c r="J703" s="49"/>
      <c r="K703" s="49"/>
      <c r="L703" s="49"/>
      <c r="M703" s="49"/>
      <c r="N703" s="49"/>
      <c r="O703" s="48"/>
      <c r="P703" s="48"/>
      <c r="Q703" s="48"/>
      <c r="R703" s="48"/>
      <c r="S703" s="48"/>
      <c r="T703" s="48"/>
      <c r="U703" s="48"/>
      <c r="V703" s="48"/>
      <c r="W703" s="48"/>
      <c r="X703" s="48"/>
      <c r="Y703" s="48"/>
      <c r="Z703" s="48"/>
    </row>
    <row r="704" ht="15.75" customHeight="1">
      <c r="A704" s="49"/>
      <c r="B704" s="49"/>
      <c r="C704" s="49"/>
      <c r="D704" s="49"/>
      <c r="E704" s="49"/>
      <c r="F704" s="49"/>
      <c r="G704" s="49"/>
      <c r="H704" s="49"/>
      <c r="I704" s="49"/>
      <c r="J704" s="49"/>
      <c r="K704" s="49"/>
      <c r="L704" s="49"/>
      <c r="M704" s="49"/>
      <c r="N704" s="49"/>
      <c r="O704" s="48"/>
      <c r="P704" s="48"/>
      <c r="Q704" s="48"/>
      <c r="R704" s="48"/>
      <c r="S704" s="48"/>
      <c r="T704" s="48"/>
      <c r="U704" s="48"/>
      <c r="V704" s="48"/>
      <c r="W704" s="48"/>
      <c r="X704" s="48"/>
      <c r="Y704" s="48"/>
      <c r="Z704" s="48"/>
    </row>
    <row r="705" ht="15.75" customHeight="1">
      <c r="A705" s="49"/>
      <c r="B705" s="49"/>
      <c r="C705" s="49"/>
      <c r="D705" s="49"/>
      <c r="E705" s="49"/>
      <c r="F705" s="49"/>
      <c r="G705" s="49"/>
      <c r="H705" s="49"/>
      <c r="I705" s="49"/>
      <c r="J705" s="49"/>
      <c r="K705" s="49"/>
      <c r="L705" s="49"/>
      <c r="M705" s="49"/>
      <c r="N705" s="49"/>
      <c r="O705" s="48"/>
      <c r="P705" s="48"/>
      <c r="Q705" s="48"/>
      <c r="R705" s="48"/>
      <c r="S705" s="48"/>
      <c r="T705" s="48"/>
      <c r="U705" s="48"/>
      <c r="V705" s="48"/>
      <c r="W705" s="48"/>
      <c r="X705" s="48"/>
      <c r="Y705" s="48"/>
      <c r="Z705" s="48"/>
    </row>
    <row r="706" ht="15.75" customHeight="1">
      <c r="A706" s="49"/>
      <c r="B706" s="49"/>
      <c r="C706" s="49"/>
      <c r="D706" s="49"/>
      <c r="E706" s="49"/>
      <c r="F706" s="49"/>
      <c r="G706" s="49"/>
      <c r="H706" s="49"/>
      <c r="I706" s="49"/>
      <c r="J706" s="49"/>
      <c r="K706" s="49"/>
      <c r="L706" s="49"/>
      <c r="M706" s="49"/>
      <c r="N706" s="49"/>
      <c r="O706" s="48"/>
      <c r="P706" s="48"/>
      <c r="Q706" s="48"/>
      <c r="R706" s="48"/>
      <c r="S706" s="48"/>
      <c r="T706" s="48"/>
      <c r="U706" s="48"/>
      <c r="V706" s="48"/>
      <c r="W706" s="48"/>
      <c r="X706" s="48"/>
      <c r="Y706" s="48"/>
      <c r="Z706" s="48"/>
    </row>
    <row r="707" ht="15.75" customHeight="1">
      <c r="A707" s="49"/>
      <c r="B707" s="49"/>
      <c r="C707" s="49"/>
      <c r="D707" s="49"/>
      <c r="E707" s="49"/>
      <c r="F707" s="49"/>
      <c r="G707" s="49"/>
      <c r="H707" s="49"/>
      <c r="I707" s="49"/>
      <c r="J707" s="49"/>
      <c r="K707" s="49"/>
      <c r="L707" s="49"/>
      <c r="M707" s="49"/>
      <c r="N707" s="49"/>
      <c r="O707" s="48"/>
      <c r="P707" s="48"/>
      <c r="Q707" s="48"/>
      <c r="R707" s="48"/>
      <c r="S707" s="48"/>
      <c r="T707" s="48"/>
      <c r="U707" s="48"/>
      <c r="V707" s="48"/>
      <c r="W707" s="48"/>
      <c r="X707" s="48"/>
      <c r="Y707" s="48"/>
      <c r="Z707" s="48"/>
    </row>
    <row r="708" ht="15.75" customHeight="1">
      <c r="A708" s="49"/>
      <c r="B708" s="49"/>
      <c r="C708" s="49"/>
      <c r="D708" s="49"/>
      <c r="E708" s="49"/>
      <c r="F708" s="49"/>
      <c r="G708" s="49"/>
      <c r="H708" s="49"/>
      <c r="I708" s="49"/>
      <c r="J708" s="49"/>
      <c r="K708" s="49"/>
      <c r="L708" s="49"/>
      <c r="M708" s="49"/>
      <c r="N708" s="49"/>
      <c r="O708" s="48"/>
      <c r="P708" s="48"/>
      <c r="Q708" s="48"/>
      <c r="R708" s="48"/>
      <c r="S708" s="48"/>
      <c r="T708" s="48"/>
      <c r="U708" s="48"/>
      <c r="V708" s="48"/>
      <c r="W708" s="48"/>
      <c r="X708" s="48"/>
      <c r="Y708" s="48"/>
      <c r="Z708" s="48"/>
    </row>
    <row r="709" ht="15.75" customHeight="1">
      <c r="A709" s="49"/>
      <c r="B709" s="49"/>
      <c r="C709" s="49"/>
      <c r="D709" s="49"/>
      <c r="E709" s="49"/>
      <c r="F709" s="49"/>
      <c r="G709" s="49"/>
      <c r="H709" s="49"/>
      <c r="I709" s="49"/>
      <c r="J709" s="49"/>
      <c r="K709" s="49"/>
      <c r="L709" s="49"/>
      <c r="M709" s="49"/>
      <c r="N709" s="49"/>
      <c r="O709" s="48"/>
      <c r="P709" s="48"/>
      <c r="Q709" s="48"/>
      <c r="R709" s="48"/>
      <c r="S709" s="48"/>
      <c r="T709" s="48"/>
      <c r="U709" s="48"/>
      <c r="V709" s="48"/>
      <c r="W709" s="48"/>
      <c r="X709" s="48"/>
      <c r="Y709" s="48"/>
      <c r="Z709" s="48"/>
    </row>
    <row r="710" ht="15.75" customHeight="1">
      <c r="A710" s="49"/>
      <c r="B710" s="49"/>
      <c r="C710" s="49"/>
      <c r="D710" s="49"/>
      <c r="E710" s="49"/>
      <c r="F710" s="49"/>
      <c r="G710" s="49"/>
      <c r="H710" s="49"/>
      <c r="I710" s="49"/>
      <c r="J710" s="49"/>
      <c r="K710" s="49"/>
      <c r="L710" s="49"/>
      <c r="M710" s="49"/>
      <c r="N710" s="49"/>
      <c r="O710" s="48"/>
      <c r="P710" s="48"/>
      <c r="Q710" s="48"/>
      <c r="R710" s="48"/>
      <c r="S710" s="48"/>
      <c r="T710" s="48"/>
      <c r="U710" s="48"/>
      <c r="V710" s="48"/>
      <c r="W710" s="48"/>
      <c r="X710" s="48"/>
      <c r="Y710" s="48"/>
      <c r="Z710" s="48"/>
    </row>
    <row r="711" ht="15.75" customHeight="1">
      <c r="A711" s="49"/>
      <c r="B711" s="49"/>
      <c r="C711" s="49"/>
      <c r="D711" s="49"/>
      <c r="E711" s="49"/>
      <c r="F711" s="49"/>
      <c r="G711" s="49"/>
      <c r="H711" s="49"/>
      <c r="I711" s="49"/>
      <c r="J711" s="49"/>
      <c r="K711" s="49"/>
      <c r="L711" s="49"/>
      <c r="M711" s="49"/>
      <c r="N711" s="49"/>
      <c r="O711" s="48"/>
      <c r="P711" s="48"/>
      <c r="Q711" s="48"/>
      <c r="R711" s="48"/>
      <c r="S711" s="48"/>
      <c r="T711" s="48"/>
      <c r="U711" s="48"/>
      <c r="V711" s="48"/>
      <c r="W711" s="48"/>
      <c r="X711" s="48"/>
      <c r="Y711" s="48"/>
      <c r="Z711" s="48"/>
    </row>
    <row r="712" ht="15.75" customHeight="1">
      <c r="A712" s="49"/>
      <c r="B712" s="49"/>
      <c r="C712" s="49"/>
      <c r="D712" s="49"/>
      <c r="E712" s="49"/>
      <c r="F712" s="49"/>
      <c r="G712" s="49"/>
      <c r="H712" s="49"/>
      <c r="I712" s="49"/>
      <c r="J712" s="49"/>
      <c r="K712" s="49"/>
      <c r="L712" s="49"/>
      <c r="M712" s="49"/>
      <c r="N712" s="49"/>
      <c r="O712" s="48"/>
      <c r="P712" s="48"/>
      <c r="Q712" s="48"/>
      <c r="R712" s="48"/>
      <c r="S712" s="48"/>
      <c r="T712" s="48"/>
      <c r="U712" s="48"/>
      <c r="V712" s="48"/>
      <c r="W712" s="48"/>
      <c r="X712" s="48"/>
      <c r="Y712" s="48"/>
      <c r="Z712" s="48"/>
    </row>
    <row r="713" ht="15.75" customHeight="1">
      <c r="A713" s="49"/>
      <c r="B713" s="49"/>
      <c r="C713" s="49"/>
      <c r="D713" s="49"/>
      <c r="E713" s="49"/>
      <c r="F713" s="49"/>
      <c r="G713" s="49"/>
      <c r="H713" s="49"/>
      <c r="I713" s="49"/>
      <c r="J713" s="49"/>
      <c r="K713" s="49"/>
      <c r="L713" s="49"/>
      <c r="M713" s="49"/>
      <c r="N713" s="49"/>
      <c r="O713" s="48"/>
      <c r="P713" s="48"/>
      <c r="Q713" s="48"/>
      <c r="R713" s="48"/>
      <c r="S713" s="48"/>
      <c r="T713" s="48"/>
      <c r="U713" s="48"/>
      <c r="V713" s="48"/>
      <c r="W713" s="48"/>
      <c r="X713" s="48"/>
      <c r="Y713" s="48"/>
      <c r="Z713" s="48"/>
    </row>
    <row r="714" ht="15.75" customHeight="1">
      <c r="A714" s="49"/>
      <c r="B714" s="49"/>
      <c r="C714" s="49"/>
      <c r="D714" s="49"/>
      <c r="E714" s="49"/>
      <c r="F714" s="49"/>
      <c r="G714" s="49"/>
      <c r="H714" s="49"/>
      <c r="I714" s="49"/>
      <c r="J714" s="49"/>
      <c r="K714" s="49"/>
      <c r="L714" s="49"/>
      <c r="M714" s="49"/>
      <c r="N714" s="49"/>
      <c r="O714" s="48"/>
      <c r="P714" s="48"/>
      <c r="Q714" s="48"/>
      <c r="R714" s="48"/>
      <c r="S714" s="48"/>
      <c r="T714" s="48"/>
      <c r="U714" s="48"/>
      <c r="V714" s="48"/>
      <c r="W714" s="48"/>
      <c r="X714" s="48"/>
      <c r="Y714" s="48"/>
      <c r="Z714" s="48"/>
    </row>
    <row r="715" ht="15.75" customHeight="1">
      <c r="A715" s="49"/>
      <c r="B715" s="49"/>
      <c r="C715" s="49"/>
      <c r="D715" s="49"/>
      <c r="E715" s="49"/>
      <c r="F715" s="49"/>
      <c r="G715" s="49"/>
      <c r="H715" s="49"/>
      <c r="I715" s="49"/>
      <c r="J715" s="49"/>
      <c r="K715" s="49"/>
      <c r="L715" s="49"/>
      <c r="M715" s="49"/>
      <c r="N715" s="49"/>
      <c r="O715" s="48"/>
      <c r="P715" s="48"/>
      <c r="Q715" s="48"/>
      <c r="R715" s="48"/>
      <c r="S715" s="48"/>
      <c r="T715" s="48"/>
      <c r="U715" s="48"/>
      <c r="V715" s="48"/>
      <c r="W715" s="48"/>
      <c r="X715" s="48"/>
      <c r="Y715" s="48"/>
      <c r="Z715" s="48"/>
    </row>
    <row r="716" ht="15.75" customHeight="1">
      <c r="A716" s="49"/>
      <c r="B716" s="49"/>
      <c r="C716" s="49"/>
      <c r="D716" s="49"/>
      <c r="E716" s="49"/>
      <c r="F716" s="49"/>
      <c r="G716" s="49"/>
      <c r="H716" s="49"/>
      <c r="I716" s="49"/>
      <c r="J716" s="49"/>
      <c r="K716" s="49"/>
      <c r="L716" s="49"/>
      <c r="M716" s="49"/>
      <c r="N716" s="49"/>
      <c r="O716" s="48"/>
      <c r="P716" s="48"/>
      <c r="Q716" s="48"/>
      <c r="R716" s="48"/>
      <c r="S716" s="48"/>
      <c r="T716" s="48"/>
      <c r="U716" s="48"/>
      <c r="V716" s="48"/>
      <c r="W716" s="48"/>
      <c r="X716" s="48"/>
      <c r="Y716" s="48"/>
      <c r="Z716" s="48"/>
    </row>
    <row r="717" ht="15.75" customHeight="1">
      <c r="A717" s="49"/>
      <c r="B717" s="49"/>
      <c r="C717" s="49"/>
      <c r="D717" s="49"/>
      <c r="E717" s="49"/>
      <c r="F717" s="49"/>
      <c r="G717" s="49"/>
      <c r="H717" s="49"/>
      <c r="I717" s="49"/>
      <c r="J717" s="49"/>
      <c r="K717" s="49"/>
      <c r="L717" s="49"/>
      <c r="M717" s="49"/>
      <c r="N717" s="49"/>
      <c r="O717" s="48"/>
      <c r="P717" s="48"/>
      <c r="Q717" s="48"/>
      <c r="R717" s="48"/>
      <c r="S717" s="48"/>
      <c r="T717" s="48"/>
      <c r="U717" s="48"/>
      <c r="V717" s="48"/>
      <c r="W717" s="48"/>
      <c r="X717" s="48"/>
      <c r="Y717" s="48"/>
      <c r="Z717" s="48"/>
    </row>
    <row r="718" ht="15.75" customHeight="1">
      <c r="A718" s="49"/>
      <c r="B718" s="49"/>
      <c r="C718" s="49"/>
      <c r="D718" s="49"/>
      <c r="E718" s="49"/>
      <c r="F718" s="49"/>
      <c r="G718" s="49"/>
      <c r="H718" s="49"/>
      <c r="I718" s="49"/>
      <c r="J718" s="49"/>
      <c r="K718" s="49"/>
      <c r="L718" s="49"/>
      <c r="M718" s="49"/>
      <c r="N718" s="49"/>
      <c r="O718" s="48"/>
      <c r="P718" s="48"/>
      <c r="Q718" s="48"/>
      <c r="R718" s="48"/>
      <c r="S718" s="48"/>
      <c r="T718" s="48"/>
      <c r="U718" s="48"/>
      <c r="V718" s="48"/>
      <c r="W718" s="48"/>
      <c r="X718" s="48"/>
      <c r="Y718" s="48"/>
      <c r="Z718" s="48"/>
    </row>
    <row r="719" ht="15.75" customHeight="1">
      <c r="A719" s="49"/>
      <c r="B719" s="49"/>
      <c r="C719" s="49"/>
      <c r="D719" s="49"/>
      <c r="E719" s="49"/>
      <c r="F719" s="49"/>
      <c r="G719" s="49"/>
      <c r="H719" s="49"/>
      <c r="I719" s="49"/>
      <c r="J719" s="49"/>
      <c r="K719" s="49"/>
      <c r="L719" s="49"/>
      <c r="M719" s="49"/>
      <c r="N719" s="49"/>
      <c r="O719" s="48"/>
      <c r="P719" s="48"/>
      <c r="Q719" s="48"/>
      <c r="R719" s="48"/>
      <c r="S719" s="48"/>
      <c r="T719" s="48"/>
      <c r="U719" s="48"/>
      <c r="V719" s="48"/>
      <c r="W719" s="48"/>
      <c r="X719" s="48"/>
      <c r="Y719" s="48"/>
      <c r="Z719" s="48"/>
    </row>
    <row r="720" ht="15.75" customHeight="1">
      <c r="A720" s="49"/>
      <c r="B720" s="49"/>
      <c r="C720" s="49"/>
      <c r="D720" s="49"/>
      <c r="E720" s="49"/>
      <c r="F720" s="49"/>
      <c r="G720" s="49"/>
      <c r="H720" s="49"/>
      <c r="I720" s="49"/>
      <c r="J720" s="49"/>
      <c r="K720" s="49"/>
      <c r="L720" s="49"/>
      <c r="M720" s="49"/>
      <c r="N720" s="49"/>
      <c r="O720" s="48"/>
      <c r="P720" s="48"/>
      <c r="Q720" s="48"/>
      <c r="R720" s="48"/>
      <c r="S720" s="48"/>
      <c r="T720" s="48"/>
      <c r="U720" s="48"/>
      <c r="V720" s="48"/>
      <c r="W720" s="48"/>
      <c r="X720" s="48"/>
      <c r="Y720" s="48"/>
      <c r="Z720" s="48"/>
    </row>
    <row r="721" ht="15.75" customHeight="1">
      <c r="A721" s="49"/>
      <c r="B721" s="49"/>
      <c r="C721" s="49"/>
      <c r="D721" s="49"/>
      <c r="E721" s="49"/>
      <c r="F721" s="49"/>
      <c r="G721" s="49"/>
      <c r="H721" s="49"/>
      <c r="I721" s="49"/>
      <c r="J721" s="49"/>
      <c r="K721" s="49"/>
      <c r="L721" s="49"/>
      <c r="M721" s="49"/>
      <c r="N721" s="49"/>
      <c r="O721" s="48"/>
      <c r="P721" s="48"/>
      <c r="Q721" s="48"/>
      <c r="R721" s="48"/>
      <c r="S721" s="48"/>
      <c r="T721" s="48"/>
      <c r="U721" s="48"/>
      <c r="V721" s="48"/>
      <c r="W721" s="48"/>
      <c r="X721" s="48"/>
      <c r="Y721" s="48"/>
      <c r="Z721" s="48"/>
    </row>
    <row r="722" ht="15.75" customHeight="1">
      <c r="A722" s="49"/>
      <c r="B722" s="49"/>
      <c r="C722" s="49"/>
      <c r="D722" s="49"/>
      <c r="E722" s="49"/>
      <c r="F722" s="49"/>
      <c r="G722" s="49"/>
      <c r="H722" s="49"/>
      <c r="I722" s="49"/>
      <c r="J722" s="49"/>
      <c r="K722" s="49"/>
      <c r="L722" s="49"/>
      <c r="M722" s="49"/>
      <c r="N722" s="49"/>
      <c r="O722" s="48"/>
      <c r="P722" s="48"/>
      <c r="Q722" s="48"/>
      <c r="R722" s="48"/>
      <c r="S722" s="48"/>
      <c r="T722" s="48"/>
      <c r="U722" s="48"/>
      <c r="V722" s="48"/>
      <c r="W722" s="48"/>
      <c r="X722" s="48"/>
      <c r="Y722" s="48"/>
      <c r="Z722" s="48"/>
    </row>
    <row r="723" ht="15.75" customHeight="1">
      <c r="A723" s="49"/>
      <c r="B723" s="49"/>
      <c r="C723" s="49"/>
      <c r="D723" s="49"/>
      <c r="E723" s="49"/>
      <c r="F723" s="49"/>
      <c r="G723" s="49"/>
      <c r="H723" s="49"/>
      <c r="I723" s="49"/>
      <c r="J723" s="49"/>
      <c r="K723" s="49"/>
      <c r="L723" s="49"/>
      <c r="M723" s="49"/>
      <c r="N723" s="49"/>
      <c r="O723" s="48"/>
      <c r="P723" s="48"/>
      <c r="Q723" s="48"/>
      <c r="R723" s="48"/>
      <c r="S723" s="48"/>
      <c r="T723" s="48"/>
      <c r="U723" s="48"/>
      <c r="V723" s="48"/>
      <c r="W723" s="48"/>
      <c r="X723" s="48"/>
      <c r="Y723" s="48"/>
      <c r="Z723" s="48"/>
    </row>
    <row r="724" ht="15.75" customHeight="1">
      <c r="A724" s="49"/>
      <c r="B724" s="49"/>
      <c r="C724" s="49"/>
      <c r="D724" s="49"/>
      <c r="E724" s="49"/>
      <c r="F724" s="49"/>
      <c r="G724" s="49"/>
      <c r="H724" s="49"/>
      <c r="I724" s="49"/>
      <c r="J724" s="49"/>
      <c r="K724" s="49"/>
      <c r="L724" s="49"/>
      <c r="M724" s="49"/>
      <c r="N724" s="49"/>
      <c r="O724" s="48"/>
      <c r="P724" s="48"/>
      <c r="Q724" s="48"/>
      <c r="R724" s="48"/>
      <c r="S724" s="48"/>
      <c r="T724" s="48"/>
      <c r="U724" s="48"/>
      <c r="V724" s="48"/>
      <c r="W724" s="48"/>
      <c r="X724" s="48"/>
      <c r="Y724" s="48"/>
      <c r="Z724" s="48"/>
    </row>
    <row r="725" ht="15.75" customHeight="1">
      <c r="A725" s="49"/>
      <c r="B725" s="49"/>
      <c r="C725" s="49"/>
      <c r="D725" s="49"/>
      <c r="E725" s="49"/>
      <c r="F725" s="49"/>
      <c r="G725" s="49"/>
      <c r="H725" s="49"/>
      <c r="I725" s="49"/>
      <c r="J725" s="49"/>
      <c r="K725" s="49"/>
      <c r="L725" s="49"/>
      <c r="M725" s="49"/>
      <c r="N725" s="49"/>
      <c r="O725" s="48"/>
      <c r="P725" s="48"/>
      <c r="Q725" s="48"/>
      <c r="R725" s="48"/>
      <c r="S725" s="48"/>
      <c r="T725" s="48"/>
      <c r="U725" s="48"/>
      <c r="V725" s="48"/>
      <c r="W725" s="48"/>
      <c r="X725" s="48"/>
      <c r="Y725" s="48"/>
      <c r="Z725" s="48"/>
    </row>
    <row r="726" ht="15.75" customHeight="1">
      <c r="A726" s="49"/>
      <c r="B726" s="49"/>
      <c r="C726" s="49"/>
      <c r="D726" s="49"/>
      <c r="E726" s="49"/>
      <c r="F726" s="49"/>
      <c r="G726" s="49"/>
      <c r="H726" s="49"/>
      <c r="I726" s="49"/>
      <c r="J726" s="49"/>
      <c r="K726" s="49"/>
      <c r="L726" s="49"/>
      <c r="M726" s="49"/>
      <c r="N726" s="49"/>
      <c r="O726" s="48"/>
      <c r="P726" s="48"/>
      <c r="Q726" s="48"/>
      <c r="R726" s="48"/>
      <c r="S726" s="48"/>
      <c r="T726" s="48"/>
      <c r="U726" s="48"/>
      <c r="V726" s="48"/>
      <c r="W726" s="48"/>
      <c r="X726" s="48"/>
      <c r="Y726" s="48"/>
      <c r="Z726" s="48"/>
    </row>
    <row r="727" ht="15.75" customHeight="1">
      <c r="A727" s="49"/>
      <c r="B727" s="49"/>
      <c r="C727" s="49"/>
      <c r="D727" s="49"/>
      <c r="E727" s="49"/>
      <c r="F727" s="49"/>
      <c r="G727" s="49"/>
      <c r="H727" s="49"/>
      <c r="I727" s="49"/>
      <c r="J727" s="49"/>
      <c r="K727" s="49"/>
      <c r="L727" s="49"/>
      <c r="M727" s="49"/>
      <c r="N727" s="49"/>
      <c r="O727" s="48"/>
      <c r="P727" s="48"/>
      <c r="Q727" s="48"/>
      <c r="R727" s="48"/>
      <c r="S727" s="48"/>
      <c r="T727" s="48"/>
      <c r="U727" s="48"/>
      <c r="V727" s="48"/>
      <c r="W727" s="48"/>
      <c r="X727" s="48"/>
      <c r="Y727" s="48"/>
      <c r="Z727" s="48"/>
    </row>
    <row r="728" ht="15.75" customHeight="1">
      <c r="A728" s="49"/>
      <c r="B728" s="49"/>
      <c r="C728" s="49"/>
      <c r="D728" s="49"/>
      <c r="E728" s="49"/>
      <c r="F728" s="49"/>
      <c r="G728" s="49"/>
      <c r="H728" s="49"/>
      <c r="I728" s="49"/>
      <c r="J728" s="49"/>
      <c r="K728" s="49"/>
      <c r="L728" s="49"/>
      <c r="M728" s="49"/>
      <c r="N728" s="49"/>
      <c r="O728" s="48"/>
      <c r="P728" s="48"/>
      <c r="Q728" s="48"/>
      <c r="R728" s="48"/>
      <c r="S728" s="48"/>
      <c r="T728" s="48"/>
      <c r="U728" s="48"/>
      <c r="V728" s="48"/>
      <c r="W728" s="48"/>
      <c r="X728" s="48"/>
      <c r="Y728" s="48"/>
      <c r="Z728" s="48"/>
    </row>
    <row r="729" ht="15.75" customHeight="1">
      <c r="A729" s="49"/>
      <c r="B729" s="49"/>
      <c r="C729" s="49"/>
      <c r="D729" s="49"/>
      <c r="E729" s="49"/>
      <c r="F729" s="49"/>
      <c r="G729" s="49"/>
      <c r="H729" s="49"/>
      <c r="I729" s="49"/>
      <c r="J729" s="49"/>
      <c r="K729" s="49"/>
      <c r="L729" s="49"/>
      <c r="M729" s="49"/>
      <c r="N729" s="49"/>
      <c r="O729" s="48"/>
      <c r="P729" s="48"/>
      <c r="Q729" s="48"/>
      <c r="R729" s="48"/>
      <c r="S729" s="48"/>
      <c r="T729" s="48"/>
      <c r="U729" s="48"/>
      <c r="V729" s="48"/>
      <c r="W729" s="48"/>
      <c r="X729" s="48"/>
      <c r="Y729" s="48"/>
      <c r="Z729" s="48"/>
    </row>
    <row r="730" ht="15.75" customHeight="1">
      <c r="A730" s="49"/>
      <c r="B730" s="49"/>
      <c r="C730" s="49"/>
      <c r="D730" s="49"/>
      <c r="E730" s="49"/>
      <c r="F730" s="49"/>
      <c r="G730" s="49"/>
      <c r="H730" s="49"/>
      <c r="I730" s="49"/>
      <c r="J730" s="49"/>
      <c r="K730" s="49"/>
      <c r="L730" s="49"/>
      <c r="M730" s="49"/>
      <c r="N730" s="49"/>
      <c r="O730" s="48"/>
      <c r="P730" s="48"/>
      <c r="Q730" s="48"/>
      <c r="R730" s="48"/>
      <c r="S730" s="48"/>
      <c r="T730" s="48"/>
      <c r="U730" s="48"/>
      <c r="V730" s="48"/>
      <c r="W730" s="48"/>
      <c r="X730" s="48"/>
      <c r="Y730" s="48"/>
      <c r="Z730" s="48"/>
    </row>
    <row r="731" ht="15.75" customHeight="1">
      <c r="A731" s="49"/>
      <c r="B731" s="49"/>
      <c r="C731" s="49"/>
      <c r="D731" s="49"/>
      <c r="E731" s="49"/>
      <c r="F731" s="49"/>
      <c r="G731" s="49"/>
      <c r="H731" s="49"/>
      <c r="I731" s="49"/>
      <c r="J731" s="49"/>
      <c r="K731" s="49"/>
      <c r="L731" s="49"/>
      <c r="M731" s="49"/>
      <c r="N731" s="49"/>
      <c r="O731" s="48"/>
      <c r="P731" s="48"/>
      <c r="Q731" s="48"/>
      <c r="R731" s="48"/>
      <c r="S731" s="48"/>
      <c r="T731" s="48"/>
      <c r="U731" s="48"/>
      <c r="V731" s="48"/>
      <c r="W731" s="48"/>
      <c r="X731" s="48"/>
      <c r="Y731" s="48"/>
      <c r="Z731" s="48"/>
    </row>
    <row r="732" ht="15.75" customHeight="1">
      <c r="A732" s="49"/>
      <c r="B732" s="49"/>
      <c r="C732" s="49"/>
      <c r="D732" s="49"/>
      <c r="E732" s="49"/>
      <c r="F732" s="49"/>
      <c r="G732" s="49"/>
      <c r="H732" s="49"/>
      <c r="I732" s="49"/>
      <c r="J732" s="49"/>
      <c r="K732" s="49"/>
      <c r="L732" s="49"/>
      <c r="M732" s="49"/>
      <c r="N732" s="49"/>
      <c r="O732" s="48"/>
      <c r="P732" s="48"/>
      <c r="Q732" s="48"/>
      <c r="R732" s="48"/>
      <c r="S732" s="48"/>
      <c r="T732" s="48"/>
      <c r="U732" s="48"/>
      <c r="V732" s="48"/>
      <c r="W732" s="48"/>
      <c r="X732" s="48"/>
      <c r="Y732" s="48"/>
      <c r="Z732" s="48"/>
    </row>
    <row r="733" ht="15.75" customHeight="1">
      <c r="A733" s="49"/>
      <c r="B733" s="49"/>
      <c r="C733" s="49"/>
      <c r="D733" s="49"/>
      <c r="E733" s="49"/>
      <c r="F733" s="49"/>
      <c r="G733" s="49"/>
      <c r="H733" s="49"/>
      <c r="I733" s="49"/>
      <c r="J733" s="49"/>
      <c r="K733" s="49"/>
      <c r="L733" s="49"/>
      <c r="M733" s="49"/>
      <c r="N733" s="49"/>
      <c r="O733" s="48"/>
      <c r="P733" s="48"/>
      <c r="Q733" s="48"/>
      <c r="R733" s="48"/>
      <c r="S733" s="48"/>
      <c r="T733" s="48"/>
      <c r="U733" s="48"/>
      <c r="V733" s="48"/>
      <c r="W733" s="48"/>
      <c r="X733" s="48"/>
      <c r="Y733" s="48"/>
      <c r="Z733" s="48"/>
    </row>
    <row r="734" ht="15.75" customHeight="1">
      <c r="A734" s="49"/>
      <c r="B734" s="49"/>
      <c r="C734" s="49"/>
      <c r="D734" s="49"/>
      <c r="E734" s="49"/>
      <c r="F734" s="49"/>
      <c r="G734" s="49"/>
      <c r="H734" s="49"/>
      <c r="I734" s="49"/>
      <c r="J734" s="49"/>
      <c r="K734" s="49"/>
      <c r="L734" s="49"/>
      <c r="M734" s="49"/>
      <c r="N734" s="49"/>
      <c r="O734" s="48"/>
      <c r="P734" s="48"/>
      <c r="Q734" s="48"/>
      <c r="R734" s="48"/>
      <c r="S734" s="48"/>
      <c r="T734" s="48"/>
      <c r="U734" s="48"/>
      <c r="V734" s="48"/>
      <c r="W734" s="48"/>
      <c r="X734" s="48"/>
      <c r="Y734" s="48"/>
      <c r="Z734" s="48"/>
    </row>
    <row r="735" ht="15.75" customHeight="1">
      <c r="A735" s="49"/>
      <c r="B735" s="49"/>
      <c r="C735" s="49"/>
      <c r="D735" s="49"/>
      <c r="E735" s="49"/>
      <c r="F735" s="49"/>
      <c r="G735" s="49"/>
      <c r="H735" s="49"/>
      <c r="I735" s="49"/>
      <c r="J735" s="49"/>
      <c r="K735" s="49"/>
      <c r="L735" s="49"/>
      <c r="M735" s="49"/>
      <c r="N735" s="49"/>
      <c r="O735" s="48"/>
      <c r="P735" s="48"/>
      <c r="Q735" s="48"/>
      <c r="R735" s="48"/>
      <c r="S735" s="48"/>
      <c r="T735" s="48"/>
      <c r="U735" s="48"/>
      <c r="V735" s="48"/>
      <c r="W735" s="48"/>
      <c r="X735" s="48"/>
      <c r="Y735" s="48"/>
      <c r="Z735" s="48"/>
    </row>
    <row r="736" ht="15.75" customHeight="1">
      <c r="A736" s="49"/>
      <c r="B736" s="49"/>
      <c r="C736" s="49"/>
      <c r="D736" s="49"/>
      <c r="E736" s="49"/>
      <c r="F736" s="49"/>
      <c r="G736" s="49"/>
      <c r="H736" s="49"/>
      <c r="I736" s="49"/>
      <c r="J736" s="49"/>
      <c r="K736" s="49"/>
      <c r="L736" s="49"/>
      <c r="M736" s="49"/>
      <c r="N736" s="49"/>
      <c r="O736" s="48"/>
      <c r="P736" s="48"/>
      <c r="Q736" s="48"/>
      <c r="R736" s="48"/>
      <c r="S736" s="48"/>
      <c r="T736" s="48"/>
      <c r="U736" s="48"/>
      <c r="V736" s="48"/>
      <c r="W736" s="48"/>
      <c r="X736" s="48"/>
      <c r="Y736" s="48"/>
      <c r="Z736" s="48"/>
    </row>
    <row r="737" ht="15.75" customHeight="1">
      <c r="A737" s="49"/>
      <c r="B737" s="49"/>
      <c r="C737" s="49"/>
      <c r="D737" s="49"/>
      <c r="E737" s="49"/>
      <c r="F737" s="49"/>
      <c r="G737" s="49"/>
      <c r="H737" s="49"/>
      <c r="I737" s="49"/>
      <c r="J737" s="49"/>
      <c r="K737" s="49"/>
      <c r="L737" s="49"/>
      <c r="M737" s="49"/>
      <c r="N737" s="49"/>
      <c r="O737" s="48"/>
      <c r="P737" s="48"/>
      <c r="Q737" s="48"/>
      <c r="R737" s="48"/>
      <c r="S737" s="48"/>
      <c r="T737" s="48"/>
      <c r="U737" s="48"/>
      <c r="V737" s="48"/>
      <c r="W737" s="48"/>
      <c r="X737" s="48"/>
      <c r="Y737" s="48"/>
      <c r="Z737" s="48"/>
    </row>
    <row r="738" ht="15.75" customHeight="1">
      <c r="A738" s="49"/>
      <c r="B738" s="49"/>
      <c r="C738" s="49"/>
      <c r="D738" s="49"/>
      <c r="E738" s="49"/>
      <c r="F738" s="49"/>
      <c r="G738" s="49"/>
      <c r="H738" s="49"/>
      <c r="I738" s="49"/>
      <c r="J738" s="49"/>
      <c r="K738" s="49"/>
      <c r="L738" s="49"/>
      <c r="M738" s="49"/>
      <c r="N738" s="49"/>
      <c r="O738" s="48"/>
      <c r="P738" s="48"/>
      <c r="Q738" s="48"/>
      <c r="R738" s="48"/>
      <c r="S738" s="48"/>
      <c r="T738" s="48"/>
      <c r="U738" s="48"/>
      <c r="V738" s="48"/>
      <c r="W738" s="48"/>
      <c r="X738" s="48"/>
      <c r="Y738" s="48"/>
      <c r="Z738" s="48"/>
    </row>
    <row r="739" ht="15.75" customHeight="1">
      <c r="A739" s="49"/>
      <c r="B739" s="49"/>
      <c r="C739" s="49"/>
      <c r="D739" s="49"/>
      <c r="E739" s="49"/>
      <c r="F739" s="49"/>
      <c r="G739" s="49"/>
      <c r="H739" s="49"/>
      <c r="I739" s="49"/>
      <c r="J739" s="49"/>
      <c r="K739" s="49"/>
      <c r="L739" s="49"/>
      <c r="M739" s="49"/>
      <c r="N739" s="49"/>
      <c r="O739" s="48"/>
      <c r="P739" s="48"/>
      <c r="Q739" s="48"/>
      <c r="R739" s="48"/>
      <c r="S739" s="48"/>
      <c r="T739" s="48"/>
      <c r="U739" s="48"/>
      <c r="V739" s="48"/>
      <c r="W739" s="48"/>
      <c r="X739" s="48"/>
      <c r="Y739" s="48"/>
      <c r="Z739" s="48"/>
    </row>
    <row r="740" ht="15.75" customHeight="1">
      <c r="A740" s="49"/>
      <c r="B740" s="49"/>
      <c r="C740" s="49"/>
      <c r="D740" s="49"/>
      <c r="E740" s="49"/>
      <c r="F740" s="49"/>
      <c r="G740" s="49"/>
      <c r="H740" s="49"/>
      <c r="I740" s="49"/>
      <c r="J740" s="49"/>
      <c r="K740" s="49"/>
      <c r="L740" s="49"/>
      <c r="M740" s="49"/>
      <c r="N740" s="49"/>
      <c r="O740" s="48"/>
      <c r="P740" s="48"/>
      <c r="Q740" s="48"/>
      <c r="R740" s="48"/>
      <c r="S740" s="48"/>
      <c r="T740" s="48"/>
      <c r="U740" s="48"/>
      <c r="V740" s="48"/>
      <c r="W740" s="48"/>
      <c r="X740" s="48"/>
      <c r="Y740" s="48"/>
      <c r="Z740" s="48"/>
    </row>
    <row r="741" ht="15.75" customHeight="1">
      <c r="A741" s="49"/>
      <c r="B741" s="49"/>
      <c r="C741" s="49"/>
      <c r="D741" s="49"/>
      <c r="E741" s="49"/>
      <c r="F741" s="49"/>
      <c r="G741" s="49"/>
      <c r="H741" s="49"/>
      <c r="I741" s="49"/>
      <c r="J741" s="49"/>
      <c r="K741" s="49"/>
      <c r="L741" s="49"/>
      <c r="M741" s="49"/>
      <c r="N741" s="49"/>
      <c r="O741" s="48"/>
      <c r="P741" s="48"/>
      <c r="Q741" s="48"/>
      <c r="R741" s="48"/>
      <c r="S741" s="48"/>
      <c r="T741" s="48"/>
      <c r="U741" s="48"/>
      <c r="V741" s="48"/>
      <c r="W741" s="48"/>
      <c r="X741" s="48"/>
      <c r="Y741" s="48"/>
      <c r="Z741" s="48"/>
    </row>
    <row r="742" ht="15.75" customHeight="1">
      <c r="A742" s="49"/>
      <c r="B742" s="49"/>
      <c r="C742" s="49"/>
      <c r="D742" s="49"/>
      <c r="E742" s="49"/>
      <c r="F742" s="49"/>
      <c r="G742" s="49"/>
      <c r="H742" s="49"/>
      <c r="I742" s="49"/>
      <c r="J742" s="49"/>
      <c r="K742" s="49"/>
      <c r="L742" s="49"/>
      <c r="M742" s="49"/>
      <c r="N742" s="49"/>
      <c r="O742" s="48"/>
      <c r="P742" s="48"/>
      <c r="Q742" s="48"/>
      <c r="R742" s="48"/>
      <c r="S742" s="48"/>
      <c r="T742" s="48"/>
      <c r="U742" s="48"/>
      <c r="V742" s="48"/>
      <c r="W742" s="48"/>
      <c r="X742" s="48"/>
      <c r="Y742" s="48"/>
      <c r="Z742" s="48"/>
    </row>
    <row r="743" ht="15.75" customHeight="1">
      <c r="A743" s="49"/>
      <c r="B743" s="49"/>
      <c r="C743" s="49"/>
      <c r="D743" s="49"/>
      <c r="E743" s="49"/>
      <c r="F743" s="49"/>
      <c r="G743" s="49"/>
      <c r="H743" s="49"/>
      <c r="I743" s="49"/>
      <c r="J743" s="49"/>
      <c r="K743" s="49"/>
      <c r="L743" s="49"/>
      <c r="M743" s="49"/>
      <c r="N743" s="49"/>
      <c r="O743" s="48"/>
      <c r="P743" s="48"/>
      <c r="Q743" s="48"/>
      <c r="R743" s="48"/>
      <c r="S743" s="48"/>
      <c r="T743" s="48"/>
      <c r="U743" s="48"/>
      <c r="V743" s="48"/>
      <c r="W743" s="48"/>
      <c r="X743" s="48"/>
      <c r="Y743" s="48"/>
      <c r="Z743" s="48"/>
    </row>
    <row r="744" ht="15.75" customHeight="1">
      <c r="A744" s="49"/>
      <c r="B744" s="49"/>
      <c r="C744" s="49"/>
      <c r="D744" s="49"/>
      <c r="E744" s="49"/>
      <c r="F744" s="49"/>
      <c r="G744" s="49"/>
      <c r="H744" s="49"/>
      <c r="I744" s="49"/>
      <c r="J744" s="49"/>
      <c r="K744" s="49"/>
      <c r="L744" s="49"/>
      <c r="M744" s="49"/>
      <c r="N744" s="49"/>
      <c r="O744" s="48"/>
      <c r="P744" s="48"/>
      <c r="Q744" s="48"/>
      <c r="R744" s="48"/>
      <c r="S744" s="48"/>
      <c r="T744" s="48"/>
      <c r="U744" s="48"/>
      <c r="V744" s="48"/>
      <c r="W744" s="48"/>
      <c r="X744" s="48"/>
      <c r="Y744" s="48"/>
      <c r="Z744" s="48"/>
    </row>
    <row r="745" ht="15.75" customHeight="1">
      <c r="A745" s="49"/>
      <c r="B745" s="49"/>
      <c r="C745" s="49"/>
      <c r="D745" s="49"/>
      <c r="E745" s="49"/>
      <c r="F745" s="49"/>
      <c r="G745" s="49"/>
      <c r="H745" s="49"/>
      <c r="I745" s="49"/>
      <c r="J745" s="49"/>
      <c r="K745" s="49"/>
      <c r="L745" s="49"/>
      <c r="M745" s="49"/>
      <c r="N745" s="49"/>
      <c r="O745" s="48"/>
      <c r="P745" s="48"/>
      <c r="Q745" s="48"/>
      <c r="R745" s="48"/>
      <c r="S745" s="48"/>
      <c r="T745" s="48"/>
      <c r="U745" s="48"/>
      <c r="V745" s="48"/>
      <c r="W745" s="48"/>
      <c r="X745" s="48"/>
      <c r="Y745" s="48"/>
      <c r="Z745" s="48"/>
    </row>
    <row r="746" ht="15.75" customHeight="1">
      <c r="A746" s="49"/>
      <c r="B746" s="49"/>
      <c r="C746" s="49"/>
      <c r="D746" s="49"/>
      <c r="E746" s="49"/>
      <c r="F746" s="49"/>
      <c r="G746" s="49"/>
      <c r="H746" s="49"/>
      <c r="I746" s="49"/>
      <c r="J746" s="49"/>
      <c r="K746" s="49"/>
      <c r="L746" s="49"/>
      <c r="M746" s="49"/>
      <c r="N746" s="49"/>
      <c r="O746" s="48"/>
      <c r="P746" s="48"/>
      <c r="Q746" s="48"/>
      <c r="R746" s="48"/>
      <c r="S746" s="48"/>
      <c r="T746" s="48"/>
      <c r="U746" s="48"/>
      <c r="V746" s="48"/>
      <c r="W746" s="48"/>
      <c r="X746" s="48"/>
      <c r="Y746" s="48"/>
      <c r="Z746" s="48"/>
    </row>
    <row r="747" ht="15.75" customHeight="1">
      <c r="A747" s="49"/>
      <c r="B747" s="49"/>
      <c r="C747" s="49"/>
      <c r="D747" s="49"/>
      <c r="E747" s="49"/>
      <c r="F747" s="49"/>
      <c r="G747" s="49"/>
      <c r="H747" s="49"/>
      <c r="I747" s="49"/>
      <c r="J747" s="49"/>
      <c r="K747" s="49"/>
      <c r="L747" s="49"/>
      <c r="M747" s="49"/>
      <c r="N747" s="49"/>
      <c r="O747" s="48"/>
      <c r="P747" s="48"/>
      <c r="Q747" s="48"/>
      <c r="R747" s="48"/>
      <c r="S747" s="48"/>
      <c r="T747" s="48"/>
      <c r="U747" s="48"/>
      <c r="V747" s="48"/>
      <c r="W747" s="48"/>
      <c r="X747" s="48"/>
      <c r="Y747" s="48"/>
      <c r="Z747" s="48"/>
    </row>
    <row r="748" ht="15.75" customHeight="1">
      <c r="A748" s="49"/>
      <c r="B748" s="49"/>
      <c r="C748" s="49"/>
      <c r="D748" s="49"/>
      <c r="E748" s="49"/>
      <c r="F748" s="49"/>
      <c r="G748" s="49"/>
      <c r="H748" s="49"/>
      <c r="I748" s="49"/>
      <c r="J748" s="49"/>
      <c r="K748" s="49"/>
      <c r="L748" s="49"/>
      <c r="M748" s="49"/>
      <c r="N748" s="49"/>
      <c r="O748" s="48"/>
      <c r="P748" s="48"/>
      <c r="Q748" s="48"/>
      <c r="R748" s="48"/>
      <c r="S748" s="48"/>
      <c r="T748" s="48"/>
      <c r="U748" s="48"/>
      <c r="V748" s="48"/>
      <c r="W748" s="48"/>
      <c r="X748" s="48"/>
      <c r="Y748" s="48"/>
      <c r="Z748" s="48"/>
    </row>
    <row r="749" ht="15.75" customHeight="1">
      <c r="A749" s="49"/>
      <c r="B749" s="49"/>
      <c r="C749" s="49"/>
      <c r="D749" s="49"/>
      <c r="E749" s="49"/>
      <c r="F749" s="49"/>
      <c r="G749" s="49"/>
      <c r="H749" s="49"/>
      <c r="I749" s="49"/>
      <c r="J749" s="49"/>
      <c r="K749" s="49"/>
      <c r="L749" s="49"/>
      <c r="M749" s="49"/>
      <c r="N749" s="49"/>
      <c r="O749" s="48"/>
      <c r="P749" s="48"/>
      <c r="Q749" s="48"/>
      <c r="R749" s="48"/>
      <c r="S749" s="48"/>
      <c r="T749" s="48"/>
      <c r="U749" s="48"/>
      <c r="V749" s="48"/>
      <c r="W749" s="48"/>
      <c r="X749" s="48"/>
      <c r="Y749" s="48"/>
      <c r="Z749" s="48"/>
    </row>
    <row r="750" ht="15.75" customHeight="1">
      <c r="A750" s="49"/>
      <c r="B750" s="49"/>
      <c r="C750" s="49"/>
      <c r="D750" s="49"/>
      <c r="E750" s="49"/>
      <c r="F750" s="49"/>
      <c r="G750" s="49"/>
      <c r="H750" s="49"/>
      <c r="I750" s="49"/>
      <c r="J750" s="49"/>
      <c r="K750" s="49"/>
      <c r="L750" s="49"/>
      <c r="M750" s="49"/>
      <c r="N750" s="49"/>
      <c r="O750" s="48"/>
      <c r="P750" s="48"/>
      <c r="Q750" s="48"/>
      <c r="R750" s="48"/>
      <c r="S750" s="48"/>
      <c r="T750" s="48"/>
      <c r="U750" s="48"/>
      <c r="V750" s="48"/>
      <c r="W750" s="48"/>
      <c r="X750" s="48"/>
      <c r="Y750" s="48"/>
      <c r="Z750" s="48"/>
    </row>
    <row r="751" ht="15.75" customHeight="1">
      <c r="A751" s="49"/>
      <c r="B751" s="49"/>
      <c r="C751" s="49"/>
      <c r="D751" s="49"/>
      <c r="E751" s="49"/>
      <c r="F751" s="49"/>
      <c r="G751" s="49"/>
      <c r="H751" s="49"/>
      <c r="I751" s="49"/>
      <c r="J751" s="49"/>
      <c r="K751" s="49"/>
      <c r="L751" s="49"/>
      <c r="M751" s="49"/>
      <c r="N751" s="49"/>
      <c r="O751" s="48"/>
      <c r="P751" s="48"/>
      <c r="Q751" s="48"/>
      <c r="R751" s="48"/>
      <c r="S751" s="48"/>
      <c r="T751" s="48"/>
      <c r="U751" s="48"/>
      <c r="V751" s="48"/>
      <c r="W751" s="48"/>
      <c r="X751" s="48"/>
      <c r="Y751" s="48"/>
      <c r="Z751" s="48"/>
    </row>
    <row r="752" ht="15.75" customHeight="1">
      <c r="A752" s="49"/>
      <c r="B752" s="49"/>
      <c r="C752" s="49"/>
      <c r="D752" s="49"/>
      <c r="E752" s="49"/>
      <c r="F752" s="49"/>
      <c r="G752" s="49"/>
      <c r="H752" s="49"/>
      <c r="I752" s="49"/>
      <c r="J752" s="49"/>
      <c r="K752" s="49"/>
      <c r="L752" s="49"/>
      <c r="M752" s="49"/>
      <c r="N752" s="49"/>
      <c r="O752" s="48"/>
      <c r="P752" s="48"/>
      <c r="Q752" s="48"/>
      <c r="R752" s="48"/>
      <c r="S752" s="48"/>
      <c r="T752" s="48"/>
      <c r="U752" s="48"/>
      <c r="V752" s="48"/>
      <c r="W752" s="48"/>
      <c r="X752" s="48"/>
      <c r="Y752" s="48"/>
      <c r="Z752" s="48"/>
    </row>
    <row r="753" ht="15.75" customHeight="1">
      <c r="A753" s="49"/>
      <c r="B753" s="49"/>
      <c r="C753" s="49"/>
      <c r="D753" s="49"/>
      <c r="E753" s="49"/>
      <c r="F753" s="49"/>
      <c r="G753" s="49"/>
      <c r="H753" s="49"/>
      <c r="I753" s="49"/>
      <c r="J753" s="49"/>
      <c r="K753" s="49"/>
      <c r="L753" s="49"/>
      <c r="M753" s="49"/>
      <c r="N753" s="49"/>
      <c r="O753" s="48"/>
      <c r="P753" s="48"/>
      <c r="Q753" s="48"/>
      <c r="R753" s="48"/>
      <c r="S753" s="48"/>
      <c r="T753" s="48"/>
      <c r="U753" s="48"/>
      <c r="V753" s="48"/>
      <c r="W753" s="48"/>
      <c r="X753" s="48"/>
      <c r="Y753" s="48"/>
      <c r="Z753" s="48"/>
    </row>
    <row r="754" ht="15.75" customHeight="1">
      <c r="A754" s="49"/>
      <c r="B754" s="49"/>
      <c r="C754" s="49"/>
      <c r="D754" s="49"/>
      <c r="E754" s="49"/>
      <c r="F754" s="49"/>
      <c r="G754" s="49"/>
      <c r="H754" s="49"/>
      <c r="I754" s="49"/>
      <c r="J754" s="49"/>
      <c r="K754" s="49"/>
      <c r="L754" s="49"/>
      <c r="M754" s="49"/>
      <c r="N754" s="49"/>
      <c r="O754" s="48"/>
      <c r="P754" s="48"/>
      <c r="Q754" s="48"/>
      <c r="R754" s="48"/>
      <c r="S754" s="48"/>
      <c r="T754" s="48"/>
      <c r="U754" s="48"/>
      <c r="V754" s="48"/>
      <c r="W754" s="48"/>
      <c r="X754" s="48"/>
      <c r="Y754" s="48"/>
      <c r="Z754" s="48"/>
    </row>
    <row r="755" ht="15.75" customHeight="1">
      <c r="A755" s="49"/>
      <c r="B755" s="49"/>
      <c r="C755" s="49"/>
      <c r="D755" s="49"/>
      <c r="E755" s="49"/>
      <c r="F755" s="49"/>
      <c r="G755" s="49"/>
      <c r="H755" s="49"/>
      <c r="I755" s="49"/>
      <c r="J755" s="49"/>
      <c r="K755" s="49"/>
      <c r="L755" s="49"/>
      <c r="M755" s="49"/>
      <c r="N755" s="49"/>
      <c r="O755" s="48"/>
      <c r="P755" s="48"/>
      <c r="Q755" s="48"/>
      <c r="R755" s="48"/>
      <c r="S755" s="48"/>
      <c r="T755" s="48"/>
      <c r="U755" s="48"/>
      <c r="V755" s="48"/>
      <c r="W755" s="48"/>
      <c r="X755" s="48"/>
      <c r="Y755" s="48"/>
      <c r="Z755" s="48"/>
    </row>
    <row r="756" ht="15.75" customHeight="1">
      <c r="A756" s="49"/>
      <c r="B756" s="49"/>
      <c r="C756" s="49"/>
      <c r="D756" s="49"/>
      <c r="E756" s="49"/>
      <c r="F756" s="49"/>
      <c r="G756" s="49"/>
      <c r="H756" s="49"/>
      <c r="I756" s="49"/>
      <c r="J756" s="49"/>
      <c r="K756" s="49"/>
      <c r="L756" s="49"/>
      <c r="M756" s="49"/>
      <c r="N756" s="49"/>
      <c r="O756" s="48"/>
      <c r="P756" s="48"/>
      <c r="Q756" s="48"/>
      <c r="R756" s="48"/>
      <c r="S756" s="48"/>
      <c r="T756" s="48"/>
      <c r="U756" s="48"/>
      <c r="V756" s="48"/>
      <c r="W756" s="48"/>
      <c r="X756" s="48"/>
      <c r="Y756" s="48"/>
      <c r="Z756" s="48"/>
    </row>
    <row r="757" ht="15.75" customHeight="1">
      <c r="A757" s="49"/>
      <c r="B757" s="49"/>
      <c r="C757" s="49"/>
      <c r="D757" s="49"/>
      <c r="E757" s="49"/>
      <c r="F757" s="49"/>
      <c r="G757" s="49"/>
      <c r="H757" s="49"/>
      <c r="I757" s="49"/>
      <c r="J757" s="49"/>
      <c r="K757" s="49"/>
      <c r="L757" s="49"/>
      <c r="M757" s="49"/>
      <c r="N757" s="49"/>
      <c r="O757" s="48"/>
      <c r="P757" s="48"/>
      <c r="Q757" s="48"/>
      <c r="R757" s="48"/>
      <c r="S757" s="48"/>
      <c r="T757" s="48"/>
      <c r="U757" s="48"/>
      <c r="V757" s="48"/>
      <c r="W757" s="48"/>
      <c r="X757" s="48"/>
      <c r="Y757" s="48"/>
      <c r="Z757" s="48"/>
    </row>
    <row r="758" ht="15.75" customHeight="1">
      <c r="A758" s="49"/>
      <c r="B758" s="49"/>
      <c r="C758" s="49"/>
      <c r="D758" s="49"/>
      <c r="E758" s="49"/>
      <c r="F758" s="49"/>
      <c r="G758" s="49"/>
      <c r="H758" s="49"/>
      <c r="I758" s="49"/>
      <c r="J758" s="49"/>
      <c r="K758" s="49"/>
      <c r="L758" s="49"/>
      <c r="M758" s="49"/>
      <c r="N758" s="49"/>
      <c r="O758" s="48"/>
      <c r="P758" s="48"/>
      <c r="Q758" s="48"/>
      <c r="R758" s="48"/>
      <c r="S758" s="48"/>
      <c r="T758" s="48"/>
      <c r="U758" s="48"/>
      <c r="V758" s="48"/>
      <c r="W758" s="48"/>
      <c r="X758" s="48"/>
      <c r="Y758" s="48"/>
      <c r="Z758" s="48"/>
    </row>
    <row r="759" ht="15.75" customHeight="1">
      <c r="A759" s="49"/>
      <c r="B759" s="49"/>
      <c r="C759" s="49"/>
      <c r="D759" s="49"/>
      <c r="E759" s="49"/>
      <c r="F759" s="49"/>
      <c r="G759" s="49"/>
      <c r="H759" s="49"/>
      <c r="I759" s="49"/>
      <c r="J759" s="49"/>
      <c r="K759" s="49"/>
      <c r="L759" s="49"/>
      <c r="M759" s="49"/>
      <c r="N759" s="49"/>
      <c r="O759" s="48"/>
      <c r="P759" s="48"/>
      <c r="Q759" s="48"/>
      <c r="R759" s="48"/>
      <c r="S759" s="48"/>
      <c r="T759" s="48"/>
      <c r="U759" s="48"/>
      <c r="V759" s="48"/>
      <c r="W759" s="48"/>
      <c r="X759" s="48"/>
      <c r="Y759" s="48"/>
      <c r="Z759" s="48"/>
    </row>
    <row r="760" ht="15.75" customHeight="1">
      <c r="A760" s="49"/>
      <c r="B760" s="49"/>
      <c r="C760" s="49"/>
      <c r="D760" s="49"/>
      <c r="E760" s="49"/>
      <c r="F760" s="49"/>
      <c r="G760" s="49"/>
      <c r="H760" s="49"/>
      <c r="I760" s="49"/>
      <c r="J760" s="49"/>
      <c r="K760" s="49"/>
      <c r="L760" s="49"/>
      <c r="M760" s="49"/>
      <c r="N760" s="49"/>
      <c r="O760" s="48"/>
      <c r="P760" s="48"/>
      <c r="Q760" s="48"/>
      <c r="R760" s="48"/>
      <c r="S760" s="48"/>
      <c r="T760" s="48"/>
      <c r="U760" s="48"/>
      <c r="V760" s="48"/>
      <c r="W760" s="48"/>
      <c r="X760" s="48"/>
      <c r="Y760" s="48"/>
      <c r="Z760" s="48"/>
    </row>
    <row r="761" ht="15.75" customHeight="1">
      <c r="A761" s="49"/>
      <c r="B761" s="49"/>
      <c r="C761" s="49"/>
      <c r="D761" s="49"/>
      <c r="E761" s="49"/>
      <c r="F761" s="49"/>
      <c r="G761" s="49"/>
      <c r="H761" s="49"/>
      <c r="I761" s="49"/>
      <c r="J761" s="49"/>
      <c r="K761" s="49"/>
      <c r="L761" s="49"/>
      <c r="M761" s="49"/>
      <c r="N761" s="49"/>
      <c r="O761" s="48"/>
      <c r="P761" s="48"/>
      <c r="Q761" s="48"/>
      <c r="R761" s="48"/>
      <c r="S761" s="48"/>
      <c r="T761" s="48"/>
      <c r="U761" s="48"/>
      <c r="V761" s="48"/>
      <c r="W761" s="48"/>
      <c r="X761" s="48"/>
      <c r="Y761" s="48"/>
      <c r="Z761" s="48"/>
    </row>
    <row r="762" ht="15.75" customHeight="1">
      <c r="A762" s="49"/>
      <c r="B762" s="49"/>
      <c r="C762" s="49"/>
      <c r="D762" s="49"/>
      <c r="E762" s="49"/>
      <c r="F762" s="49"/>
      <c r="G762" s="49"/>
      <c r="H762" s="49"/>
      <c r="I762" s="49"/>
      <c r="J762" s="49"/>
      <c r="K762" s="49"/>
      <c r="L762" s="49"/>
      <c r="M762" s="49"/>
      <c r="N762" s="49"/>
      <c r="O762" s="48"/>
      <c r="P762" s="48"/>
      <c r="Q762" s="48"/>
      <c r="R762" s="48"/>
      <c r="S762" s="48"/>
      <c r="T762" s="48"/>
      <c r="U762" s="48"/>
      <c r="V762" s="48"/>
      <c r="W762" s="48"/>
      <c r="X762" s="48"/>
      <c r="Y762" s="48"/>
      <c r="Z762" s="48"/>
    </row>
    <row r="763" ht="15.75" customHeight="1">
      <c r="A763" s="49"/>
      <c r="B763" s="49"/>
      <c r="C763" s="49"/>
      <c r="D763" s="49"/>
      <c r="E763" s="49"/>
      <c r="F763" s="49"/>
      <c r="G763" s="49"/>
      <c r="H763" s="49"/>
      <c r="I763" s="49"/>
      <c r="J763" s="49"/>
      <c r="K763" s="49"/>
      <c r="L763" s="49"/>
      <c r="M763" s="49"/>
      <c r="N763" s="49"/>
      <c r="O763" s="48"/>
      <c r="P763" s="48"/>
      <c r="Q763" s="48"/>
      <c r="R763" s="48"/>
      <c r="S763" s="48"/>
      <c r="T763" s="48"/>
      <c r="U763" s="48"/>
      <c r="V763" s="48"/>
      <c r="W763" s="48"/>
      <c r="X763" s="48"/>
      <c r="Y763" s="48"/>
      <c r="Z763" s="48"/>
    </row>
    <row r="764" ht="15.75" customHeight="1">
      <c r="A764" s="49"/>
      <c r="B764" s="49"/>
      <c r="C764" s="49"/>
      <c r="D764" s="49"/>
      <c r="E764" s="49"/>
      <c r="F764" s="49"/>
      <c r="G764" s="49"/>
      <c r="H764" s="49"/>
      <c r="I764" s="49"/>
      <c r="J764" s="49"/>
      <c r="K764" s="49"/>
      <c r="L764" s="49"/>
      <c r="M764" s="49"/>
      <c r="N764" s="49"/>
      <c r="O764" s="48"/>
      <c r="P764" s="48"/>
      <c r="Q764" s="48"/>
      <c r="R764" s="48"/>
      <c r="S764" s="48"/>
      <c r="T764" s="48"/>
      <c r="U764" s="48"/>
      <c r="V764" s="48"/>
      <c r="W764" s="48"/>
      <c r="X764" s="48"/>
      <c r="Y764" s="48"/>
      <c r="Z764" s="48"/>
    </row>
    <row r="765" ht="15.75" customHeight="1">
      <c r="A765" s="49"/>
      <c r="B765" s="49"/>
      <c r="C765" s="49"/>
      <c r="D765" s="49"/>
      <c r="E765" s="49"/>
      <c r="F765" s="49"/>
      <c r="G765" s="49"/>
      <c r="H765" s="49"/>
      <c r="I765" s="49"/>
      <c r="J765" s="49"/>
      <c r="K765" s="49"/>
      <c r="L765" s="49"/>
      <c r="M765" s="49"/>
      <c r="N765" s="49"/>
      <c r="O765" s="48"/>
      <c r="P765" s="48"/>
      <c r="Q765" s="48"/>
      <c r="R765" s="48"/>
      <c r="S765" s="48"/>
      <c r="T765" s="48"/>
      <c r="U765" s="48"/>
      <c r="V765" s="48"/>
      <c r="W765" s="48"/>
      <c r="X765" s="48"/>
      <c r="Y765" s="48"/>
      <c r="Z765" s="48"/>
    </row>
    <row r="766" ht="15.75" customHeight="1">
      <c r="A766" s="49"/>
      <c r="B766" s="49"/>
      <c r="C766" s="49"/>
      <c r="D766" s="49"/>
      <c r="E766" s="49"/>
      <c r="F766" s="49"/>
      <c r="G766" s="49"/>
      <c r="H766" s="49"/>
      <c r="I766" s="49"/>
      <c r="J766" s="49"/>
      <c r="K766" s="49"/>
      <c r="L766" s="49"/>
      <c r="M766" s="49"/>
      <c r="N766" s="49"/>
      <c r="O766" s="48"/>
      <c r="P766" s="48"/>
      <c r="Q766" s="48"/>
      <c r="R766" s="48"/>
      <c r="S766" s="48"/>
      <c r="T766" s="48"/>
      <c r="U766" s="48"/>
      <c r="V766" s="48"/>
      <c r="W766" s="48"/>
      <c r="X766" s="48"/>
      <c r="Y766" s="48"/>
      <c r="Z766" s="48"/>
    </row>
    <row r="767" ht="15.75" customHeight="1">
      <c r="A767" s="49"/>
      <c r="B767" s="49"/>
      <c r="C767" s="49"/>
      <c r="D767" s="49"/>
      <c r="E767" s="49"/>
      <c r="F767" s="49"/>
      <c r="G767" s="49"/>
      <c r="H767" s="49"/>
      <c r="I767" s="49"/>
      <c r="J767" s="49"/>
      <c r="K767" s="49"/>
      <c r="L767" s="49"/>
      <c r="M767" s="49"/>
      <c r="N767" s="49"/>
      <c r="O767" s="48"/>
      <c r="P767" s="48"/>
      <c r="Q767" s="48"/>
      <c r="R767" s="48"/>
      <c r="S767" s="48"/>
      <c r="T767" s="48"/>
      <c r="U767" s="48"/>
      <c r="V767" s="48"/>
      <c r="W767" s="48"/>
      <c r="X767" s="48"/>
      <c r="Y767" s="48"/>
      <c r="Z767" s="48"/>
    </row>
    <row r="768" ht="15.75" customHeight="1">
      <c r="A768" s="49"/>
      <c r="B768" s="49"/>
      <c r="C768" s="49"/>
      <c r="D768" s="49"/>
      <c r="E768" s="49"/>
      <c r="F768" s="49"/>
      <c r="G768" s="49"/>
      <c r="H768" s="49"/>
      <c r="I768" s="49"/>
      <c r="J768" s="49"/>
      <c r="K768" s="49"/>
      <c r="L768" s="49"/>
      <c r="M768" s="49"/>
      <c r="N768" s="49"/>
      <c r="O768" s="48"/>
      <c r="P768" s="48"/>
      <c r="Q768" s="48"/>
      <c r="R768" s="48"/>
      <c r="S768" s="48"/>
      <c r="T768" s="48"/>
      <c r="U768" s="48"/>
      <c r="V768" s="48"/>
      <c r="W768" s="48"/>
      <c r="X768" s="48"/>
      <c r="Y768" s="48"/>
      <c r="Z768" s="48"/>
    </row>
    <row r="769" ht="15.75" customHeight="1">
      <c r="A769" s="49"/>
      <c r="B769" s="49"/>
      <c r="C769" s="49"/>
      <c r="D769" s="49"/>
      <c r="E769" s="49"/>
      <c r="F769" s="49"/>
      <c r="G769" s="49"/>
      <c r="H769" s="49"/>
      <c r="I769" s="49"/>
      <c r="J769" s="49"/>
      <c r="K769" s="49"/>
      <c r="L769" s="49"/>
      <c r="M769" s="49"/>
      <c r="N769" s="49"/>
      <c r="O769" s="48"/>
      <c r="P769" s="48"/>
      <c r="Q769" s="48"/>
      <c r="R769" s="48"/>
      <c r="S769" s="48"/>
      <c r="T769" s="48"/>
      <c r="U769" s="48"/>
      <c r="V769" s="48"/>
      <c r="W769" s="48"/>
      <c r="X769" s="48"/>
      <c r="Y769" s="48"/>
      <c r="Z769" s="48"/>
    </row>
    <row r="770" ht="15.75" customHeight="1">
      <c r="A770" s="49"/>
      <c r="B770" s="49"/>
      <c r="C770" s="49"/>
      <c r="D770" s="49"/>
      <c r="E770" s="49"/>
      <c r="F770" s="49"/>
      <c r="G770" s="49"/>
      <c r="H770" s="49"/>
      <c r="I770" s="49"/>
      <c r="J770" s="49"/>
      <c r="K770" s="49"/>
      <c r="L770" s="49"/>
      <c r="M770" s="49"/>
      <c r="N770" s="49"/>
      <c r="O770" s="48"/>
      <c r="P770" s="48"/>
      <c r="Q770" s="48"/>
      <c r="R770" s="48"/>
      <c r="S770" s="48"/>
      <c r="T770" s="48"/>
      <c r="U770" s="48"/>
      <c r="V770" s="48"/>
      <c r="W770" s="48"/>
      <c r="X770" s="48"/>
      <c r="Y770" s="48"/>
      <c r="Z770" s="48"/>
    </row>
    <row r="771" ht="15.75" customHeight="1">
      <c r="A771" s="49"/>
      <c r="B771" s="49"/>
      <c r="C771" s="49"/>
      <c r="D771" s="49"/>
      <c r="E771" s="49"/>
      <c r="F771" s="49"/>
      <c r="G771" s="49"/>
      <c r="H771" s="49"/>
      <c r="I771" s="49"/>
      <c r="J771" s="49"/>
      <c r="K771" s="49"/>
      <c r="L771" s="49"/>
      <c r="M771" s="49"/>
      <c r="N771" s="49"/>
      <c r="O771" s="48"/>
      <c r="P771" s="48"/>
      <c r="Q771" s="48"/>
      <c r="R771" s="48"/>
      <c r="S771" s="48"/>
      <c r="T771" s="48"/>
      <c r="U771" s="48"/>
      <c r="V771" s="48"/>
      <c r="W771" s="48"/>
      <c r="X771" s="48"/>
      <c r="Y771" s="48"/>
      <c r="Z771" s="48"/>
    </row>
    <row r="772" ht="15.75" customHeight="1">
      <c r="A772" s="49"/>
      <c r="B772" s="49"/>
      <c r="C772" s="49"/>
      <c r="D772" s="49"/>
      <c r="E772" s="49"/>
      <c r="F772" s="49"/>
      <c r="G772" s="49"/>
      <c r="H772" s="49"/>
      <c r="I772" s="49"/>
      <c r="J772" s="49"/>
      <c r="K772" s="49"/>
      <c r="L772" s="49"/>
      <c r="M772" s="49"/>
      <c r="N772" s="49"/>
      <c r="O772" s="48"/>
      <c r="P772" s="48"/>
      <c r="Q772" s="48"/>
      <c r="R772" s="48"/>
      <c r="S772" s="48"/>
      <c r="T772" s="48"/>
      <c r="U772" s="48"/>
      <c r="V772" s="48"/>
      <c r="W772" s="48"/>
      <c r="X772" s="48"/>
      <c r="Y772" s="48"/>
      <c r="Z772" s="48"/>
    </row>
    <row r="773" ht="15.75" customHeight="1">
      <c r="A773" s="49"/>
      <c r="B773" s="49"/>
      <c r="C773" s="49"/>
      <c r="D773" s="49"/>
      <c r="E773" s="49"/>
      <c r="F773" s="49"/>
      <c r="G773" s="49"/>
      <c r="H773" s="49"/>
      <c r="I773" s="49"/>
      <c r="J773" s="49"/>
      <c r="K773" s="49"/>
      <c r="L773" s="49"/>
      <c r="M773" s="49"/>
      <c r="N773" s="49"/>
      <c r="O773" s="48"/>
      <c r="P773" s="48"/>
      <c r="Q773" s="48"/>
      <c r="R773" s="48"/>
      <c r="S773" s="48"/>
      <c r="T773" s="48"/>
      <c r="U773" s="48"/>
      <c r="V773" s="48"/>
      <c r="W773" s="48"/>
      <c r="X773" s="48"/>
      <c r="Y773" s="48"/>
      <c r="Z773" s="48"/>
    </row>
    <row r="774" ht="15.75" customHeight="1">
      <c r="A774" s="49"/>
      <c r="B774" s="49"/>
      <c r="C774" s="49"/>
      <c r="D774" s="49"/>
      <c r="E774" s="49"/>
      <c r="F774" s="49"/>
      <c r="G774" s="49"/>
      <c r="H774" s="49"/>
      <c r="I774" s="49"/>
      <c r="J774" s="49"/>
      <c r="K774" s="49"/>
      <c r="L774" s="49"/>
      <c r="M774" s="49"/>
      <c r="N774" s="49"/>
      <c r="O774" s="48"/>
      <c r="P774" s="48"/>
      <c r="Q774" s="48"/>
      <c r="R774" s="48"/>
      <c r="S774" s="48"/>
      <c r="T774" s="48"/>
      <c r="U774" s="48"/>
      <c r="V774" s="48"/>
      <c r="W774" s="48"/>
      <c r="X774" s="48"/>
      <c r="Y774" s="48"/>
      <c r="Z774" s="48"/>
    </row>
    <row r="775" ht="15.75" customHeight="1">
      <c r="A775" s="49"/>
      <c r="B775" s="49"/>
      <c r="C775" s="49"/>
      <c r="D775" s="49"/>
      <c r="E775" s="49"/>
      <c r="F775" s="49"/>
      <c r="G775" s="49"/>
      <c r="H775" s="49"/>
      <c r="I775" s="49"/>
      <c r="J775" s="49"/>
      <c r="K775" s="49"/>
      <c r="L775" s="49"/>
      <c r="M775" s="49"/>
      <c r="N775" s="49"/>
      <c r="O775" s="48"/>
      <c r="P775" s="48"/>
      <c r="Q775" s="48"/>
      <c r="R775" s="48"/>
      <c r="S775" s="48"/>
      <c r="T775" s="48"/>
      <c r="U775" s="48"/>
      <c r="V775" s="48"/>
      <c r="W775" s="48"/>
      <c r="X775" s="48"/>
      <c r="Y775" s="48"/>
      <c r="Z775" s="48"/>
    </row>
    <row r="776" ht="15.75" customHeight="1">
      <c r="A776" s="49"/>
      <c r="B776" s="49"/>
      <c r="C776" s="49"/>
      <c r="D776" s="49"/>
      <c r="E776" s="49"/>
      <c r="F776" s="49"/>
      <c r="G776" s="49"/>
      <c r="H776" s="49"/>
      <c r="I776" s="49"/>
      <c r="J776" s="49"/>
      <c r="K776" s="49"/>
      <c r="L776" s="49"/>
      <c r="M776" s="49"/>
      <c r="N776" s="49"/>
      <c r="O776" s="48"/>
      <c r="P776" s="48"/>
      <c r="Q776" s="48"/>
      <c r="R776" s="48"/>
      <c r="S776" s="48"/>
      <c r="T776" s="48"/>
      <c r="U776" s="48"/>
      <c r="V776" s="48"/>
      <c r="W776" s="48"/>
      <c r="X776" s="48"/>
      <c r="Y776" s="48"/>
      <c r="Z776" s="48"/>
    </row>
    <row r="777" ht="15.75" customHeight="1">
      <c r="A777" s="49"/>
      <c r="B777" s="49"/>
      <c r="C777" s="49"/>
      <c r="D777" s="49"/>
      <c r="E777" s="49"/>
      <c r="F777" s="49"/>
      <c r="G777" s="49"/>
      <c r="H777" s="49"/>
      <c r="I777" s="49"/>
      <c r="J777" s="49"/>
      <c r="K777" s="49"/>
      <c r="L777" s="49"/>
      <c r="M777" s="49"/>
      <c r="N777" s="49"/>
      <c r="O777" s="48"/>
      <c r="P777" s="48"/>
      <c r="Q777" s="48"/>
      <c r="R777" s="48"/>
      <c r="S777" s="48"/>
      <c r="T777" s="48"/>
      <c r="U777" s="48"/>
      <c r="V777" s="48"/>
      <c r="W777" s="48"/>
      <c r="X777" s="48"/>
      <c r="Y777" s="48"/>
      <c r="Z777" s="48"/>
    </row>
    <row r="778" ht="15.75" customHeight="1">
      <c r="A778" s="49"/>
      <c r="B778" s="49"/>
      <c r="C778" s="49"/>
      <c r="D778" s="49"/>
      <c r="E778" s="49"/>
      <c r="F778" s="49"/>
      <c r="G778" s="49"/>
      <c r="H778" s="49"/>
      <c r="I778" s="49"/>
      <c r="J778" s="49"/>
      <c r="K778" s="49"/>
      <c r="L778" s="49"/>
      <c r="M778" s="49"/>
      <c r="N778" s="49"/>
      <c r="O778" s="48"/>
      <c r="P778" s="48"/>
      <c r="Q778" s="48"/>
      <c r="R778" s="48"/>
      <c r="S778" s="48"/>
      <c r="T778" s="48"/>
      <c r="U778" s="48"/>
      <c r="V778" s="48"/>
      <c r="W778" s="48"/>
      <c r="X778" s="48"/>
      <c r="Y778" s="48"/>
      <c r="Z778" s="48"/>
    </row>
    <row r="779" ht="15.75" customHeight="1">
      <c r="A779" s="49"/>
      <c r="B779" s="49"/>
      <c r="C779" s="49"/>
      <c r="D779" s="49"/>
      <c r="E779" s="49"/>
      <c r="F779" s="49"/>
      <c r="G779" s="49"/>
      <c r="H779" s="49"/>
      <c r="I779" s="49"/>
      <c r="J779" s="49"/>
      <c r="K779" s="49"/>
      <c r="L779" s="49"/>
      <c r="M779" s="49"/>
      <c r="N779" s="49"/>
      <c r="O779" s="48"/>
      <c r="P779" s="48"/>
      <c r="Q779" s="48"/>
      <c r="R779" s="48"/>
      <c r="S779" s="48"/>
      <c r="T779" s="48"/>
      <c r="U779" s="48"/>
      <c r="V779" s="48"/>
      <c r="W779" s="48"/>
      <c r="X779" s="48"/>
      <c r="Y779" s="48"/>
      <c r="Z779" s="48"/>
    </row>
    <row r="780" ht="15.75" customHeight="1">
      <c r="A780" s="49"/>
      <c r="B780" s="49"/>
      <c r="C780" s="49"/>
      <c r="D780" s="49"/>
      <c r="E780" s="49"/>
      <c r="F780" s="49"/>
      <c r="G780" s="49"/>
      <c r="H780" s="49"/>
      <c r="I780" s="49"/>
      <c r="J780" s="49"/>
      <c r="K780" s="49"/>
      <c r="L780" s="49"/>
      <c r="M780" s="49"/>
      <c r="N780" s="49"/>
      <c r="O780" s="48"/>
      <c r="P780" s="48"/>
      <c r="Q780" s="48"/>
      <c r="R780" s="48"/>
      <c r="S780" s="48"/>
      <c r="T780" s="48"/>
      <c r="U780" s="48"/>
      <c r="V780" s="48"/>
      <c r="W780" s="48"/>
      <c r="X780" s="48"/>
      <c r="Y780" s="48"/>
      <c r="Z780" s="48"/>
    </row>
    <row r="781" ht="15.75" customHeight="1">
      <c r="A781" s="49"/>
      <c r="B781" s="49"/>
      <c r="C781" s="49"/>
      <c r="D781" s="49"/>
      <c r="E781" s="49"/>
      <c r="F781" s="49"/>
      <c r="G781" s="49"/>
      <c r="H781" s="49"/>
      <c r="I781" s="49"/>
      <c r="J781" s="49"/>
      <c r="K781" s="49"/>
      <c r="L781" s="49"/>
      <c r="M781" s="49"/>
      <c r="N781" s="49"/>
      <c r="O781" s="48"/>
      <c r="P781" s="48"/>
      <c r="Q781" s="48"/>
      <c r="R781" s="48"/>
      <c r="S781" s="48"/>
      <c r="T781" s="48"/>
      <c r="U781" s="48"/>
      <c r="V781" s="48"/>
      <c r="W781" s="48"/>
      <c r="X781" s="48"/>
      <c r="Y781" s="48"/>
      <c r="Z781" s="48"/>
    </row>
    <row r="782" ht="15.75" customHeight="1">
      <c r="A782" s="49"/>
      <c r="B782" s="49"/>
      <c r="C782" s="49"/>
      <c r="D782" s="49"/>
      <c r="E782" s="49"/>
      <c r="F782" s="49"/>
      <c r="G782" s="49"/>
      <c r="H782" s="49"/>
      <c r="I782" s="49"/>
      <c r="J782" s="49"/>
      <c r="K782" s="49"/>
      <c r="L782" s="49"/>
      <c r="M782" s="49"/>
      <c r="N782" s="49"/>
      <c r="O782" s="48"/>
      <c r="P782" s="48"/>
      <c r="Q782" s="48"/>
      <c r="R782" s="48"/>
      <c r="S782" s="48"/>
      <c r="T782" s="48"/>
      <c r="U782" s="48"/>
      <c r="V782" s="48"/>
      <c r="W782" s="48"/>
      <c r="X782" s="48"/>
      <c r="Y782" s="48"/>
      <c r="Z782" s="48"/>
    </row>
    <row r="783" ht="15.75" customHeight="1">
      <c r="A783" s="49"/>
      <c r="B783" s="49"/>
      <c r="C783" s="49"/>
      <c r="D783" s="49"/>
      <c r="E783" s="49"/>
      <c r="F783" s="49"/>
      <c r="G783" s="49"/>
      <c r="H783" s="49"/>
      <c r="I783" s="49"/>
      <c r="J783" s="49"/>
      <c r="K783" s="49"/>
      <c r="L783" s="49"/>
      <c r="M783" s="49"/>
      <c r="N783" s="49"/>
      <c r="O783" s="48"/>
      <c r="P783" s="48"/>
      <c r="Q783" s="48"/>
      <c r="R783" s="48"/>
      <c r="S783" s="48"/>
      <c r="T783" s="48"/>
      <c r="U783" s="48"/>
      <c r="V783" s="48"/>
      <c r="W783" s="48"/>
      <c r="X783" s="48"/>
      <c r="Y783" s="48"/>
      <c r="Z783" s="48"/>
    </row>
    <row r="784" ht="15.75" customHeight="1">
      <c r="A784" s="49"/>
      <c r="B784" s="49"/>
      <c r="C784" s="49"/>
      <c r="D784" s="49"/>
      <c r="E784" s="49"/>
      <c r="F784" s="49"/>
      <c r="G784" s="49"/>
      <c r="H784" s="49"/>
      <c r="I784" s="49"/>
      <c r="J784" s="49"/>
      <c r="K784" s="49"/>
      <c r="L784" s="49"/>
      <c r="M784" s="49"/>
      <c r="N784" s="49"/>
      <c r="O784" s="48"/>
      <c r="P784" s="48"/>
      <c r="Q784" s="48"/>
      <c r="R784" s="48"/>
      <c r="S784" s="48"/>
      <c r="T784" s="48"/>
      <c r="U784" s="48"/>
      <c r="V784" s="48"/>
      <c r="W784" s="48"/>
      <c r="X784" s="48"/>
      <c r="Y784" s="48"/>
      <c r="Z784" s="48"/>
    </row>
    <row r="785" ht="15.75" customHeight="1">
      <c r="A785" s="49"/>
      <c r="B785" s="49"/>
      <c r="C785" s="49"/>
      <c r="D785" s="49"/>
      <c r="E785" s="49"/>
      <c r="F785" s="49"/>
      <c r="G785" s="49"/>
      <c r="H785" s="49"/>
      <c r="I785" s="49"/>
      <c r="J785" s="49"/>
      <c r="K785" s="49"/>
      <c r="L785" s="49"/>
      <c r="M785" s="49"/>
      <c r="N785" s="49"/>
      <c r="O785" s="48"/>
      <c r="P785" s="48"/>
      <c r="Q785" s="48"/>
      <c r="R785" s="48"/>
      <c r="S785" s="48"/>
      <c r="T785" s="48"/>
      <c r="U785" s="48"/>
      <c r="V785" s="48"/>
      <c r="W785" s="48"/>
      <c r="X785" s="48"/>
      <c r="Y785" s="48"/>
      <c r="Z785" s="48"/>
    </row>
    <row r="786" ht="15.75" customHeight="1">
      <c r="A786" s="49"/>
      <c r="B786" s="49"/>
      <c r="C786" s="49"/>
      <c r="D786" s="49"/>
      <c r="E786" s="49"/>
      <c r="F786" s="49"/>
      <c r="G786" s="49"/>
      <c r="H786" s="49"/>
      <c r="I786" s="49"/>
      <c r="J786" s="49"/>
      <c r="K786" s="49"/>
      <c r="L786" s="49"/>
      <c r="M786" s="49"/>
      <c r="N786" s="49"/>
      <c r="O786" s="48"/>
      <c r="P786" s="48"/>
      <c r="Q786" s="48"/>
      <c r="R786" s="48"/>
      <c r="S786" s="48"/>
      <c r="T786" s="48"/>
      <c r="U786" s="48"/>
      <c r="V786" s="48"/>
      <c r="W786" s="48"/>
      <c r="X786" s="48"/>
      <c r="Y786" s="48"/>
      <c r="Z786" s="48"/>
    </row>
    <row r="787" ht="15.75" customHeight="1">
      <c r="A787" s="49"/>
      <c r="B787" s="49"/>
      <c r="C787" s="49"/>
      <c r="D787" s="49"/>
      <c r="E787" s="49"/>
      <c r="F787" s="49"/>
      <c r="G787" s="49"/>
      <c r="H787" s="49"/>
      <c r="I787" s="49"/>
      <c r="J787" s="49"/>
      <c r="K787" s="49"/>
      <c r="L787" s="49"/>
      <c r="M787" s="49"/>
      <c r="N787" s="49"/>
      <c r="O787" s="48"/>
      <c r="P787" s="48"/>
      <c r="Q787" s="48"/>
      <c r="R787" s="48"/>
      <c r="S787" s="48"/>
      <c r="T787" s="48"/>
      <c r="U787" s="48"/>
      <c r="V787" s="48"/>
      <c r="W787" s="48"/>
      <c r="X787" s="48"/>
      <c r="Y787" s="48"/>
      <c r="Z787" s="48"/>
    </row>
    <row r="788" ht="15.75" customHeight="1">
      <c r="A788" s="49"/>
      <c r="B788" s="49"/>
      <c r="C788" s="49"/>
      <c r="D788" s="49"/>
      <c r="E788" s="49"/>
      <c r="F788" s="49"/>
      <c r="G788" s="49"/>
      <c r="H788" s="49"/>
      <c r="I788" s="49"/>
      <c r="J788" s="49"/>
      <c r="K788" s="49"/>
      <c r="L788" s="49"/>
      <c r="M788" s="49"/>
      <c r="N788" s="49"/>
      <c r="O788" s="48"/>
      <c r="P788" s="48"/>
      <c r="Q788" s="48"/>
      <c r="R788" s="48"/>
      <c r="S788" s="48"/>
      <c r="T788" s="48"/>
      <c r="U788" s="48"/>
      <c r="V788" s="48"/>
      <c r="W788" s="48"/>
      <c r="X788" s="48"/>
      <c r="Y788" s="48"/>
      <c r="Z788" s="48"/>
    </row>
    <row r="789" ht="15.75" customHeight="1">
      <c r="A789" s="49"/>
      <c r="B789" s="49"/>
      <c r="C789" s="49"/>
      <c r="D789" s="49"/>
      <c r="E789" s="49"/>
      <c r="F789" s="49"/>
      <c r="G789" s="49"/>
      <c r="H789" s="49"/>
      <c r="I789" s="49"/>
      <c r="J789" s="49"/>
      <c r="K789" s="49"/>
      <c r="L789" s="49"/>
      <c r="M789" s="49"/>
      <c r="N789" s="49"/>
      <c r="O789" s="48"/>
      <c r="P789" s="48"/>
      <c r="Q789" s="48"/>
      <c r="R789" s="48"/>
      <c r="S789" s="48"/>
      <c r="T789" s="48"/>
      <c r="U789" s="48"/>
      <c r="V789" s="48"/>
      <c r="W789" s="48"/>
      <c r="X789" s="48"/>
      <c r="Y789" s="48"/>
      <c r="Z789" s="48"/>
    </row>
    <row r="790" ht="15.75" customHeight="1">
      <c r="A790" s="49"/>
      <c r="B790" s="49"/>
      <c r="C790" s="49"/>
      <c r="D790" s="49"/>
      <c r="E790" s="49"/>
      <c r="F790" s="49"/>
      <c r="G790" s="49"/>
      <c r="H790" s="49"/>
      <c r="I790" s="49"/>
      <c r="J790" s="49"/>
      <c r="K790" s="49"/>
      <c r="L790" s="49"/>
      <c r="M790" s="49"/>
      <c r="N790" s="49"/>
      <c r="O790" s="48"/>
      <c r="P790" s="48"/>
      <c r="Q790" s="48"/>
      <c r="R790" s="48"/>
      <c r="S790" s="48"/>
      <c r="T790" s="48"/>
      <c r="U790" s="48"/>
      <c r="V790" s="48"/>
      <c r="W790" s="48"/>
      <c r="X790" s="48"/>
      <c r="Y790" s="48"/>
      <c r="Z790" s="48"/>
    </row>
    <row r="791" ht="15.75" customHeight="1">
      <c r="A791" s="49"/>
      <c r="B791" s="49"/>
      <c r="C791" s="49"/>
      <c r="D791" s="49"/>
      <c r="E791" s="49"/>
      <c r="F791" s="49"/>
      <c r="G791" s="49"/>
      <c r="H791" s="49"/>
      <c r="I791" s="49"/>
      <c r="J791" s="49"/>
      <c r="K791" s="49"/>
      <c r="L791" s="49"/>
      <c r="M791" s="49"/>
      <c r="N791" s="49"/>
      <c r="O791" s="48"/>
      <c r="P791" s="48"/>
      <c r="Q791" s="48"/>
      <c r="R791" s="48"/>
      <c r="S791" s="48"/>
      <c r="T791" s="48"/>
      <c r="U791" s="48"/>
      <c r="V791" s="48"/>
      <c r="W791" s="48"/>
      <c r="X791" s="48"/>
      <c r="Y791" s="48"/>
      <c r="Z791" s="48"/>
    </row>
    <row r="792" ht="15.75" customHeight="1">
      <c r="A792" s="49"/>
      <c r="B792" s="49"/>
      <c r="C792" s="49"/>
      <c r="D792" s="49"/>
      <c r="E792" s="49"/>
      <c r="F792" s="49"/>
      <c r="G792" s="49"/>
      <c r="H792" s="49"/>
      <c r="I792" s="49"/>
      <c r="J792" s="49"/>
      <c r="K792" s="49"/>
      <c r="L792" s="49"/>
      <c r="M792" s="49"/>
      <c r="N792" s="49"/>
      <c r="O792" s="48"/>
      <c r="P792" s="48"/>
      <c r="Q792" s="48"/>
      <c r="R792" s="48"/>
      <c r="S792" s="48"/>
      <c r="T792" s="48"/>
      <c r="U792" s="48"/>
      <c r="V792" s="48"/>
      <c r="W792" s="48"/>
      <c r="X792" s="48"/>
      <c r="Y792" s="48"/>
      <c r="Z792" s="48"/>
    </row>
    <row r="793" ht="15.75" customHeight="1">
      <c r="A793" s="49"/>
      <c r="B793" s="49"/>
      <c r="C793" s="49"/>
      <c r="D793" s="49"/>
      <c r="E793" s="49"/>
      <c r="F793" s="49"/>
      <c r="G793" s="49"/>
      <c r="H793" s="49"/>
      <c r="I793" s="49"/>
      <c r="J793" s="49"/>
      <c r="K793" s="49"/>
      <c r="L793" s="49"/>
      <c r="M793" s="49"/>
      <c r="N793" s="49"/>
      <c r="O793" s="48"/>
      <c r="P793" s="48"/>
      <c r="Q793" s="48"/>
      <c r="R793" s="48"/>
      <c r="S793" s="48"/>
      <c r="T793" s="48"/>
      <c r="U793" s="48"/>
      <c r="V793" s="48"/>
      <c r="W793" s="48"/>
      <c r="X793" s="48"/>
      <c r="Y793" s="48"/>
      <c r="Z793" s="48"/>
    </row>
    <row r="794" ht="15.75" customHeight="1">
      <c r="A794" s="49"/>
      <c r="B794" s="49"/>
      <c r="C794" s="49"/>
      <c r="D794" s="49"/>
      <c r="E794" s="49"/>
      <c r="F794" s="49"/>
      <c r="G794" s="49"/>
      <c r="H794" s="49"/>
      <c r="I794" s="49"/>
      <c r="J794" s="49"/>
      <c r="K794" s="49"/>
      <c r="L794" s="49"/>
      <c r="M794" s="49"/>
      <c r="N794" s="49"/>
      <c r="O794" s="48"/>
      <c r="P794" s="48"/>
      <c r="Q794" s="48"/>
      <c r="R794" s="48"/>
      <c r="S794" s="48"/>
      <c r="T794" s="48"/>
      <c r="U794" s="48"/>
      <c r="V794" s="48"/>
      <c r="W794" s="48"/>
      <c r="X794" s="48"/>
      <c r="Y794" s="48"/>
      <c r="Z794" s="48"/>
    </row>
    <row r="795" ht="15.75" customHeight="1">
      <c r="A795" s="49"/>
      <c r="B795" s="49"/>
      <c r="C795" s="49"/>
      <c r="D795" s="49"/>
      <c r="E795" s="49"/>
      <c r="F795" s="49"/>
      <c r="G795" s="49"/>
      <c r="H795" s="49"/>
      <c r="I795" s="49"/>
      <c r="J795" s="49"/>
      <c r="K795" s="49"/>
      <c r="L795" s="49"/>
      <c r="M795" s="49"/>
      <c r="N795" s="49"/>
      <c r="O795" s="48"/>
      <c r="P795" s="48"/>
      <c r="Q795" s="48"/>
      <c r="R795" s="48"/>
      <c r="S795" s="48"/>
      <c r="T795" s="48"/>
      <c r="U795" s="48"/>
      <c r="V795" s="48"/>
      <c r="W795" s="48"/>
      <c r="X795" s="48"/>
      <c r="Y795" s="48"/>
      <c r="Z795" s="48"/>
    </row>
    <row r="796" ht="15.75" customHeight="1">
      <c r="A796" s="49"/>
      <c r="B796" s="49"/>
      <c r="C796" s="49"/>
      <c r="D796" s="49"/>
      <c r="E796" s="49"/>
      <c r="F796" s="49"/>
      <c r="G796" s="49"/>
      <c r="H796" s="49"/>
      <c r="I796" s="49"/>
      <c r="J796" s="49"/>
      <c r="K796" s="49"/>
      <c r="L796" s="49"/>
      <c r="M796" s="49"/>
      <c r="N796" s="49"/>
      <c r="O796" s="48"/>
      <c r="P796" s="48"/>
      <c r="Q796" s="48"/>
      <c r="R796" s="48"/>
      <c r="S796" s="48"/>
      <c r="T796" s="48"/>
      <c r="U796" s="48"/>
      <c r="V796" s="48"/>
      <c r="W796" s="48"/>
      <c r="X796" s="48"/>
      <c r="Y796" s="48"/>
      <c r="Z796" s="48"/>
    </row>
    <row r="797" ht="15.75" customHeight="1">
      <c r="A797" s="49"/>
      <c r="B797" s="49"/>
      <c r="C797" s="49"/>
      <c r="D797" s="49"/>
      <c r="E797" s="49"/>
      <c r="F797" s="49"/>
      <c r="G797" s="49"/>
      <c r="H797" s="49"/>
      <c r="I797" s="49"/>
      <c r="J797" s="49"/>
      <c r="K797" s="49"/>
      <c r="L797" s="49"/>
      <c r="M797" s="49"/>
      <c r="N797" s="49"/>
      <c r="O797" s="48"/>
      <c r="P797" s="48"/>
      <c r="Q797" s="48"/>
      <c r="R797" s="48"/>
      <c r="S797" s="48"/>
      <c r="T797" s="48"/>
      <c r="U797" s="48"/>
      <c r="V797" s="48"/>
      <c r="W797" s="48"/>
      <c r="X797" s="48"/>
      <c r="Y797" s="48"/>
      <c r="Z797" s="48"/>
    </row>
    <row r="798" ht="15.75" customHeight="1">
      <c r="A798" s="49"/>
      <c r="B798" s="49"/>
      <c r="C798" s="49"/>
      <c r="D798" s="49"/>
      <c r="E798" s="49"/>
      <c r="F798" s="49"/>
      <c r="G798" s="49"/>
      <c r="H798" s="49"/>
      <c r="I798" s="49"/>
      <c r="J798" s="49"/>
      <c r="K798" s="49"/>
      <c r="L798" s="49"/>
      <c r="M798" s="49"/>
      <c r="N798" s="49"/>
      <c r="O798" s="48"/>
      <c r="P798" s="48"/>
      <c r="Q798" s="48"/>
      <c r="R798" s="48"/>
      <c r="S798" s="48"/>
      <c r="T798" s="48"/>
      <c r="U798" s="48"/>
      <c r="V798" s="48"/>
      <c r="W798" s="48"/>
      <c r="X798" s="48"/>
      <c r="Y798" s="48"/>
      <c r="Z798" s="48"/>
    </row>
    <row r="799" ht="15.75" customHeight="1">
      <c r="A799" s="49"/>
      <c r="B799" s="49"/>
      <c r="C799" s="49"/>
      <c r="D799" s="49"/>
      <c r="E799" s="49"/>
      <c r="F799" s="49"/>
      <c r="G799" s="49"/>
      <c r="H799" s="49"/>
      <c r="I799" s="49"/>
      <c r="J799" s="49"/>
      <c r="K799" s="49"/>
      <c r="L799" s="49"/>
      <c r="M799" s="49"/>
      <c r="N799" s="49"/>
      <c r="O799" s="48"/>
      <c r="P799" s="48"/>
      <c r="Q799" s="48"/>
      <c r="R799" s="48"/>
      <c r="S799" s="48"/>
      <c r="T799" s="48"/>
      <c r="U799" s="48"/>
      <c r="V799" s="48"/>
      <c r="W799" s="48"/>
      <c r="X799" s="48"/>
      <c r="Y799" s="48"/>
      <c r="Z799" s="48"/>
    </row>
    <row r="800" ht="15.75" customHeight="1">
      <c r="A800" s="49"/>
      <c r="B800" s="49"/>
      <c r="C800" s="49"/>
      <c r="D800" s="49"/>
      <c r="E800" s="49"/>
      <c r="F800" s="49"/>
      <c r="G800" s="49"/>
      <c r="H800" s="49"/>
      <c r="I800" s="49"/>
      <c r="J800" s="49"/>
      <c r="K800" s="49"/>
      <c r="L800" s="49"/>
      <c r="M800" s="49"/>
      <c r="N800" s="49"/>
      <c r="O800" s="48"/>
      <c r="P800" s="48"/>
      <c r="Q800" s="48"/>
      <c r="R800" s="48"/>
      <c r="S800" s="48"/>
      <c r="T800" s="48"/>
      <c r="U800" s="48"/>
      <c r="V800" s="48"/>
      <c r="W800" s="48"/>
      <c r="X800" s="48"/>
      <c r="Y800" s="48"/>
      <c r="Z800" s="48"/>
    </row>
    <row r="801" ht="15.75" customHeight="1">
      <c r="A801" s="49"/>
      <c r="B801" s="49"/>
      <c r="C801" s="49"/>
      <c r="D801" s="49"/>
      <c r="E801" s="49"/>
      <c r="F801" s="49"/>
      <c r="G801" s="49"/>
      <c r="H801" s="49"/>
      <c r="I801" s="49"/>
      <c r="J801" s="49"/>
      <c r="K801" s="49"/>
      <c r="L801" s="49"/>
      <c r="M801" s="49"/>
      <c r="N801" s="49"/>
      <c r="O801" s="48"/>
      <c r="P801" s="48"/>
      <c r="Q801" s="48"/>
      <c r="R801" s="48"/>
      <c r="S801" s="48"/>
      <c r="T801" s="48"/>
      <c r="U801" s="48"/>
      <c r="V801" s="48"/>
      <c r="W801" s="48"/>
      <c r="X801" s="48"/>
      <c r="Y801" s="48"/>
      <c r="Z801" s="48"/>
    </row>
    <row r="802" ht="15.75" customHeight="1">
      <c r="A802" s="49"/>
      <c r="B802" s="49"/>
      <c r="C802" s="49"/>
      <c r="D802" s="49"/>
      <c r="E802" s="49"/>
      <c r="F802" s="49"/>
      <c r="G802" s="49"/>
      <c r="H802" s="49"/>
      <c r="I802" s="49"/>
      <c r="J802" s="49"/>
      <c r="K802" s="49"/>
      <c r="L802" s="49"/>
      <c r="M802" s="49"/>
      <c r="N802" s="49"/>
      <c r="O802" s="48"/>
      <c r="P802" s="48"/>
      <c r="Q802" s="48"/>
      <c r="R802" s="48"/>
      <c r="S802" s="48"/>
      <c r="T802" s="48"/>
      <c r="U802" s="48"/>
      <c r="V802" s="48"/>
      <c r="W802" s="48"/>
      <c r="X802" s="48"/>
      <c r="Y802" s="48"/>
      <c r="Z802" s="48"/>
    </row>
    <row r="803" ht="15.75" customHeight="1">
      <c r="A803" s="49"/>
      <c r="B803" s="49"/>
      <c r="C803" s="49"/>
      <c r="D803" s="49"/>
      <c r="E803" s="49"/>
      <c r="F803" s="49"/>
      <c r="G803" s="49"/>
      <c r="H803" s="49"/>
      <c r="I803" s="49"/>
      <c r="J803" s="49"/>
      <c r="K803" s="49"/>
      <c r="L803" s="49"/>
      <c r="M803" s="49"/>
      <c r="N803" s="49"/>
      <c r="O803" s="48"/>
      <c r="P803" s="48"/>
      <c r="Q803" s="48"/>
      <c r="R803" s="48"/>
      <c r="S803" s="48"/>
      <c r="T803" s="48"/>
      <c r="U803" s="48"/>
      <c r="V803" s="48"/>
      <c r="W803" s="48"/>
      <c r="X803" s="48"/>
      <c r="Y803" s="48"/>
      <c r="Z803" s="48"/>
    </row>
    <row r="804" ht="15.75" customHeight="1">
      <c r="A804" s="49"/>
      <c r="B804" s="49"/>
      <c r="C804" s="49"/>
      <c r="D804" s="49"/>
      <c r="E804" s="49"/>
      <c r="F804" s="49"/>
      <c r="G804" s="49"/>
      <c r="H804" s="49"/>
      <c r="I804" s="49"/>
      <c r="J804" s="49"/>
      <c r="K804" s="49"/>
      <c r="L804" s="49"/>
      <c r="M804" s="49"/>
      <c r="N804" s="49"/>
      <c r="O804" s="48"/>
      <c r="P804" s="48"/>
      <c r="Q804" s="48"/>
      <c r="R804" s="48"/>
      <c r="S804" s="48"/>
      <c r="T804" s="48"/>
      <c r="U804" s="48"/>
      <c r="V804" s="48"/>
      <c r="W804" s="48"/>
      <c r="X804" s="48"/>
      <c r="Y804" s="48"/>
      <c r="Z804" s="48"/>
    </row>
    <row r="805" ht="15.75" customHeight="1">
      <c r="A805" s="49"/>
      <c r="B805" s="49"/>
      <c r="C805" s="49"/>
      <c r="D805" s="49"/>
      <c r="E805" s="49"/>
      <c r="F805" s="49"/>
      <c r="G805" s="49"/>
      <c r="H805" s="49"/>
      <c r="I805" s="49"/>
      <c r="J805" s="49"/>
      <c r="K805" s="49"/>
      <c r="L805" s="49"/>
      <c r="M805" s="49"/>
      <c r="N805" s="49"/>
      <c r="O805" s="48"/>
      <c r="P805" s="48"/>
      <c r="Q805" s="48"/>
      <c r="R805" s="48"/>
      <c r="S805" s="48"/>
      <c r="T805" s="48"/>
      <c r="U805" s="48"/>
      <c r="V805" s="48"/>
      <c r="W805" s="48"/>
      <c r="X805" s="48"/>
      <c r="Y805" s="48"/>
      <c r="Z805" s="48"/>
    </row>
    <row r="806" ht="15.75" customHeight="1">
      <c r="A806" s="49"/>
      <c r="B806" s="49"/>
      <c r="C806" s="49"/>
      <c r="D806" s="49"/>
      <c r="E806" s="49"/>
      <c r="F806" s="49"/>
      <c r="G806" s="49"/>
      <c r="H806" s="49"/>
      <c r="I806" s="49"/>
      <c r="J806" s="49"/>
      <c r="K806" s="49"/>
      <c r="L806" s="49"/>
      <c r="M806" s="49"/>
      <c r="N806" s="49"/>
      <c r="O806" s="48"/>
      <c r="P806" s="48"/>
      <c r="Q806" s="48"/>
      <c r="R806" s="48"/>
      <c r="S806" s="48"/>
      <c r="T806" s="48"/>
      <c r="U806" s="48"/>
      <c r="V806" s="48"/>
      <c r="W806" s="48"/>
      <c r="X806" s="48"/>
      <c r="Y806" s="48"/>
      <c r="Z806" s="48"/>
    </row>
    <row r="807" ht="15.75" customHeight="1">
      <c r="A807" s="49"/>
      <c r="B807" s="49"/>
      <c r="C807" s="49"/>
      <c r="D807" s="49"/>
      <c r="E807" s="49"/>
      <c r="F807" s="49"/>
      <c r="G807" s="49"/>
      <c r="H807" s="49"/>
      <c r="I807" s="49"/>
      <c r="J807" s="49"/>
      <c r="K807" s="49"/>
      <c r="L807" s="49"/>
      <c r="M807" s="49"/>
      <c r="N807" s="49"/>
      <c r="O807" s="48"/>
      <c r="P807" s="48"/>
      <c r="Q807" s="48"/>
      <c r="R807" s="48"/>
      <c r="S807" s="48"/>
      <c r="T807" s="48"/>
      <c r="U807" s="48"/>
      <c r="V807" s="48"/>
      <c r="W807" s="48"/>
      <c r="X807" s="48"/>
      <c r="Y807" s="48"/>
      <c r="Z807" s="48"/>
    </row>
    <row r="808" ht="15.75" customHeight="1">
      <c r="A808" s="49"/>
      <c r="B808" s="49"/>
      <c r="C808" s="49"/>
      <c r="D808" s="49"/>
      <c r="E808" s="49"/>
      <c r="F808" s="49"/>
      <c r="G808" s="49"/>
      <c r="H808" s="49"/>
      <c r="I808" s="49"/>
      <c r="J808" s="49"/>
      <c r="K808" s="49"/>
      <c r="L808" s="49"/>
      <c r="M808" s="49"/>
      <c r="N808" s="49"/>
      <c r="O808" s="48"/>
      <c r="P808" s="48"/>
      <c r="Q808" s="48"/>
      <c r="R808" s="48"/>
      <c r="S808" s="48"/>
      <c r="T808" s="48"/>
      <c r="U808" s="48"/>
      <c r="V808" s="48"/>
      <c r="W808" s="48"/>
      <c r="X808" s="48"/>
      <c r="Y808" s="48"/>
      <c r="Z808" s="48"/>
    </row>
    <row r="809" ht="15.75" customHeight="1">
      <c r="A809" s="49"/>
      <c r="B809" s="49"/>
      <c r="C809" s="49"/>
      <c r="D809" s="49"/>
      <c r="E809" s="49"/>
      <c r="F809" s="49"/>
      <c r="G809" s="49"/>
      <c r="H809" s="49"/>
      <c r="I809" s="49"/>
      <c r="J809" s="49"/>
      <c r="K809" s="49"/>
      <c r="L809" s="49"/>
      <c r="M809" s="49"/>
      <c r="N809" s="49"/>
      <c r="O809" s="48"/>
      <c r="P809" s="48"/>
      <c r="Q809" s="48"/>
      <c r="R809" s="48"/>
      <c r="S809" s="48"/>
      <c r="T809" s="48"/>
      <c r="U809" s="48"/>
      <c r="V809" s="48"/>
      <c r="W809" s="48"/>
      <c r="X809" s="48"/>
      <c r="Y809" s="48"/>
      <c r="Z809" s="48"/>
    </row>
    <row r="810" ht="15.75" customHeight="1">
      <c r="A810" s="49"/>
      <c r="B810" s="49"/>
      <c r="C810" s="49"/>
      <c r="D810" s="49"/>
      <c r="E810" s="49"/>
      <c r="F810" s="49"/>
      <c r="G810" s="49"/>
      <c r="H810" s="49"/>
      <c r="I810" s="49"/>
      <c r="J810" s="49"/>
      <c r="K810" s="49"/>
      <c r="L810" s="49"/>
      <c r="M810" s="49"/>
      <c r="N810" s="49"/>
      <c r="O810" s="48"/>
      <c r="P810" s="48"/>
      <c r="Q810" s="48"/>
      <c r="R810" s="48"/>
      <c r="S810" s="48"/>
      <c r="T810" s="48"/>
      <c r="U810" s="48"/>
      <c r="V810" s="48"/>
      <c r="W810" s="48"/>
      <c r="X810" s="48"/>
      <c r="Y810" s="48"/>
      <c r="Z810" s="48"/>
    </row>
    <row r="811" ht="15.75" customHeight="1">
      <c r="A811" s="49"/>
      <c r="B811" s="49"/>
      <c r="C811" s="49"/>
      <c r="D811" s="49"/>
      <c r="E811" s="49"/>
      <c r="F811" s="49"/>
      <c r="G811" s="49"/>
      <c r="H811" s="49"/>
      <c r="I811" s="49"/>
      <c r="J811" s="49"/>
      <c r="K811" s="49"/>
      <c r="L811" s="49"/>
      <c r="M811" s="49"/>
      <c r="N811" s="49"/>
      <c r="O811" s="48"/>
      <c r="P811" s="48"/>
      <c r="Q811" s="48"/>
      <c r="R811" s="48"/>
      <c r="S811" s="48"/>
      <c r="T811" s="48"/>
      <c r="U811" s="48"/>
      <c r="V811" s="48"/>
      <c r="W811" s="48"/>
      <c r="X811" s="48"/>
      <c r="Y811" s="48"/>
      <c r="Z811" s="48"/>
    </row>
    <row r="812" ht="15.75" customHeight="1">
      <c r="A812" s="49"/>
      <c r="B812" s="49"/>
      <c r="C812" s="49"/>
      <c r="D812" s="49"/>
      <c r="E812" s="49"/>
      <c r="F812" s="49"/>
      <c r="G812" s="49"/>
      <c r="H812" s="49"/>
      <c r="I812" s="49"/>
      <c r="J812" s="49"/>
      <c r="K812" s="49"/>
      <c r="L812" s="49"/>
      <c r="M812" s="49"/>
      <c r="N812" s="49"/>
      <c r="O812" s="48"/>
      <c r="P812" s="48"/>
      <c r="Q812" s="48"/>
      <c r="R812" s="48"/>
      <c r="S812" s="48"/>
      <c r="T812" s="48"/>
      <c r="U812" s="48"/>
      <c r="V812" s="48"/>
      <c r="W812" s="48"/>
      <c r="X812" s="48"/>
      <c r="Y812" s="48"/>
      <c r="Z812" s="48"/>
    </row>
    <row r="813" ht="15.75" customHeight="1">
      <c r="A813" s="49"/>
      <c r="B813" s="49"/>
      <c r="C813" s="49"/>
      <c r="D813" s="49"/>
      <c r="E813" s="49"/>
      <c r="F813" s="49"/>
      <c r="G813" s="49"/>
      <c r="H813" s="49"/>
      <c r="I813" s="49"/>
      <c r="J813" s="49"/>
      <c r="K813" s="49"/>
      <c r="L813" s="49"/>
      <c r="M813" s="49"/>
      <c r="N813" s="49"/>
      <c r="O813" s="48"/>
      <c r="P813" s="48"/>
      <c r="Q813" s="48"/>
      <c r="R813" s="48"/>
      <c r="S813" s="48"/>
      <c r="T813" s="48"/>
      <c r="U813" s="48"/>
      <c r="V813" s="48"/>
      <c r="W813" s="48"/>
      <c r="X813" s="48"/>
      <c r="Y813" s="48"/>
      <c r="Z813" s="48"/>
    </row>
    <row r="814" ht="15.75" customHeight="1">
      <c r="A814" s="49"/>
      <c r="B814" s="49"/>
      <c r="C814" s="49"/>
      <c r="D814" s="49"/>
      <c r="E814" s="49"/>
      <c r="F814" s="49"/>
      <c r="G814" s="49"/>
      <c r="H814" s="49"/>
      <c r="I814" s="49"/>
      <c r="J814" s="49"/>
      <c r="K814" s="49"/>
      <c r="L814" s="49"/>
      <c r="M814" s="49"/>
      <c r="N814" s="49"/>
      <c r="O814" s="48"/>
      <c r="P814" s="48"/>
      <c r="Q814" s="48"/>
      <c r="R814" s="48"/>
      <c r="S814" s="48"/>
      <c r="T814" s="48"/>
      <c r="U814" s="48"/>
      <c r="V814" s="48"/>
      <c r="W814" s="48"/>
      <c r="X814" s="48"/>
      <c r="Y814" s="48"/>
      <c r="Z814" s="48"/>
    </row>
    <row r="815" ht="15.75" customHeight="1">
      <c r="A815" s="49"/>
      <c r="B815" s="49"/>
      <c r="C815" s="49"/>
      <c r="D815" s="49"/>
      <c r="E815" s="49"/>
      <c r="F815" s="49"/>
      <c r="G815" s="49"/>
      <c r="H815" s="49"/>
      <c r="I815" s="49"/>
      <c r="J815" s="49"/>
      <c r="K815" s="49"/>
      <c r="L815" s="49"/>
      <c r="M815" s="49"/>
      <c r="N815" s="49"/>
      <c r="O815" s="48"/>
      <c r="P815" s="48"/>
      <c r="Q815" s="48"/>
      <c r="R815" s="48"/>
      <c r="S815" s="48"/>
      <c r="T815" s="48"/>
      <c r="U815" s="48"/>
      <c r="V815" s="48"/>
      <c r="W815" s="48"/>
      <c r="X815" s="48"/>
      <c r="Y815" s="48"/>
      <c r="Z815" s="48"/>
    </row>
    <row r="816" ht="15.75" customHeight="1">
      <c r="A816" s="49"/>
      <c r="B816" s="49"/>
      <c r="C816" s="49"/>
      <c r="D816" s="49"/>
      <c r="E816" s="49"/>
      <c r="F816" s="49"/>
      <c r="G816" s="49"/>
      <c r="H816" s="49"/>
      <c r="I816" s="49"/>
      <c r="J816" s="49"/>
      <c r="K816" s="49"/>
      <c r="L816" s="49"/>
      <c r="M816" s="49"/>
      <c r="N816" s="49"/>
      <c r="O816" s="48"/>
      <c r="P816" s="48"/>
      <c r="Q816" s="48"/>
      <c r="R816" s="48"/>
      <c r="S816" s="48"/>
      <c r="T816" s="48"/>
      <c r="U816" s="48"/>
      <c r="V816" s="48"/>
      <c r="W816" s="48"/>
      <c r="X816" s="48"/>
      <c r="Y816" s="48"/>
      <c r="Z816" s="48"/>
    </row>
    <row r="817" ht="15.75" customHeight="1">
      <c r="A817" s="49"/>
      <c r="B817" s="49"/>
      <c r="C817" s="49"/>
      <c r="D817" s="49"/>
      <c r="E817" s="49"/>
      <c r="F817" s="49"/>
      <c r="G817" s="49"/>
      <c r="H817" s="49"/>
      <c r="I817" s="49"/>
      <c r="J817" s="49"/>
      <c r="K817" s="49"/>
      <c r="L817" s="49"/>
      <c r="M817" s="49"/>
      <c r="N817" s="49"/>
      <c r="O817" s="48"/>
      <c r="P817" s="48"/>
      <c r="Q817" s="48"/>
      <c r="R817" s="48"/>
      <c r="S817" s="48"/>
      <c r="T817" s="48"/>
      <c r="U817" s="48"/>
      <c r="V817" s="48"/>
      <c r="W817" s="48"/>
      <c r="X817" s="48"/>
      <c r="Y817" s="48"/>
      <c r="Z817" s="48"/>
    </row>
    <row r="818" ht="15.75" customHeight="1">
      <c r="A818" s="49"/>
      <c r="B818" s="49"/>
      <c r="C818" s="49"/>
      <c r="D818" s="49"/>
      <c r="E818" s="49"/>
      <c r="F818" s="49"/>
      <c r="G818" s="49"/>
      <c r="H818" s="49"/>
      <c r="I818" s="49"/>
      <c r="J818" s="49"/>
      <c r="K818" s="49"/>
      <c r="L818" s="49"/>
      <c r="M818" s="49"/>
      <c r="N818" s="49"/>
      <c r="O818" s="48"/>
      <c r="P818" s="48"/>
      <c r="Q818" s="48"/>
      <c r="R818" s="48"/>
      <c r="S818" s="48"/>
      <c r="T818" s="48"/>
      <c r="U818" s="48"/>
      <c r="V818" s="48"/>
      <c r="W818" s="48"/>
      <c r="X818" s="48"/>
      <c r="Y818" s="48"/>
      <c r="Z818" s="48"/>
    </row>
    <row r="819" ht="15.75" customHeight="1">
      <c r="A819" s="49"/>
      <c r="B819" s="49"/>
      <c r="C819" s="49"/>
      <c r="D819" s="49"/>
      <c r="E819" s="49"/>
      <c r="F819" s="49"/>
      <c r="G819" s="49"/>
      <c r="H819" s="49"/>
      <c r="I819" s="49"/>
      <c r="J819" s="49"/>
      <c r="K819" s="49"/>
      <c r="L819" s="49"/>
      <c r="M819" s="49"/>
      <c r="N819" s="49"/>
      <c r="O819" s="48"/>
      <c r="P819" s="48"/>
      <c r="Q819" s="48"/>
      <c r="R819" s="48"/>
      <c r="S819" s="48"/>
      <c r="T819" s="48"/>
      <c r="U819" s="48"/>
      <c r="V819" s="48"/>
      <c r="W819" s="48"/>
      <c r="X819" s="48"/>
      <c r="Y819" s="48"/>
      <c r="Z819" s="48"/>
    </row>
    <row r="820" ht="15.75" customHeight="1">
      <c r="A820" s="49"/>
      <c r="B820" s="49"/>
      <c r="C820" s="49"/>
      <c r="D820" s="49"/>
      <c r="E820" s="49"/>
      <c r="F820" s="49"/>
      <c r="G820" s="49"/>
      <c r="H820" s="49"/>
      <c r="I820" s="49"/>
      <c r="J820" s="49"/>
      <c r="K820" s="49"/>
      <c r="L820" s="49"/>
      <c r="M820" s="49"/>
      <c r="N820" s="49"/>
      <c r="O820" s="48"/>
      <c r="P820" s="48"/>
      <c r="Q820" s="48"/>
      <c r="R820" s="48"/>
      <c r="S820" s="48"/>
      <c r="T820" s="48"/>
      <c r="U820" s="48"/>
      <c r="V820" s="48"/>
      <c r="W820" s="48"/>
      <c r="X820" s="48"/>
      <c r="Y820" s="48"/>
      <c r="Z820" s="48"/>
    </row>
    <row r="821" ht="15.75" customHeight="1">
      <c r="A821" s="49"/>
      <c r="B821" s="49"/>
      <c r="C821" s="49"/>
      <c r="D821" s="49"/>
      <c r="E821" s="49"/>
      <c r="F821" s="49"/>
      <c r="G821" s="49"/>
      <c r="H821" s="49"/>
      <c r="I821" s="49"/>
      <c r="J821" s="49"/>
      <c r="K821" s="49"/>
      <c r="L821" s="49"/>
      <c r="M821" s="49"/>
      <c r="N821" s="49"/>
      <c r="O821" s="48"/>
      <c r="P821" s="48"/>
      <c r="Q821" s="48"/>
      <c r="R821" s="48"/>
      <c r="S821" s="48"/>
      <c r="T821" s="48"/>
      <c r="U821" s="48"/>
      <c r="V821" s="48"/>
      <c r="W821" s="48"/>
      <c r="X821" s="48"/>
      <c r="Y821" s="48"/>
      <c r="Z821" s="48"/>
    </row>
    <row r="822" ht="15.75" customHeight="1">
      <c r="A822" s="49"/>
      <c r="B822" s="49"/>
      <c r="C822" s="49"/>
      <c r="D822" s="49"/>
      <c r="E822" s="49"/>
      <c r="F822" s="49"/>
      <c r="G822" s="49"/>
      <c r="H822" s="49"/>
      <c r="I822" s="49"/>
      <c r="J822" s="49"/>
      <c r="K822" s="49"/>
      <c r="L822" s="49"/>
      <c r="M822" s="49"/>
      <c r="N822" s="49"/>
      <c r="O822" s="48"/>
      <c r="P822" s="48"/>
      <c r="Q822" s="48"/>
      <c r="R822" s="48"/>
      <c r="S822" s="48"/>
      <c r="T822" s="48"/>
      <c r="U822" s="48"/>
      <c r="V822" s="48"/>
      <c r="W822" s="48"/>
      <c r="X822" s="48"/>
      <c r="Y822" s="48"/>
      <c r="Z822" s="48"/>
    </row>
    <row r="823" ht="15.75" customHeight="1">
      <c r="A823" s="49"/>
      <c r="B823" s="49"/>
      <c r="C823" s="49"/>
      <c r="D823" s="49"/>
      <c r="E823" s="49"/>
      <c r="F823" s="49"/>
      <c r="G823" s="49"/>
      <c r="H823" s="49"/>
      <c r="I823" s="49"/>
      <c r="J823" s="49"/>
      <c r="K823" s="49"/>
      <c r="L823" s="49"/>
      <c r="M823" s="49"/>
      <c r="N823" s="49"/>
      <c r="O823" s="48"/>
      <c r="P823" s="48"/>
      <c r="Q823" s="48"/>
      <c r="R823" s="48"/>
      <c r="S823" s="48"/>
      <c r="T823" s="48"/>
      <c r="U823" s="48"/>
      <c r="V823" s="48"/>
      <c r="W823" s="48"/>
      <c r="X823" s="48"/>
      <c r="Y823" s="48"/>
      <c r="Z823" s="48"/>
    </row>
    <row r="824" ht="15.75" customHeight="1">
      <c r="A824" s="49"/>
      <c r="B824" s="49"/>
      <c r="C824" s="49"/>
      <c r="D824" s="49"/>
      <c r="E824" s="49"/>
      <c r="F824" s="49"/>
      <c r="G824" s="49"/>
      <c r="H824" s="49"/>
      <c r="I824" s="49"/>
      <c r="J824" s="49"/>
      <c r="K824" s="49"/>
      <c r="L824" s="49"/>
      <c r="M824" s="49"/>
      <c r="N824" s="49"/>
      <c r="O824" s="48"/>
      <c r="P824" s="48"/>
      <c r="Q824" s="48"/>
      <c r="R824" s="48"/>
      <c r="S824" s="48"/>
      <c r="T824" s="48"/>
      <c r="U824" s="48"/>
      <c r="V824" s="48"/>
      <c r="W824" s="48"/>
      <c r="X824" s="48"/>
      <c r="Y824" s="48"/>
      <c r="Z824" s="48"/>
    </row>
    <row r="825" ht="15.75" customHeight="1">
      <c r="A825" s="49"/>
      <c r="B825" s="49"/>
      <c r="C825" s="49"/>
      <c r="D825" s="49"/>
      <c r="E825" s="49"/>
      <c r="F825" s="49"/>
      <c r="G825" s="49"/>
      <c r="H825" s="49"/>
      <c r="I825" s="49"/>
      <c r="J825" s="49"/>
      <c r="K825" s="49"/>
      <c r="L825" s="49"/>
      <c r="M825" s="49"/>
      <c r="N825" s="49"/>
      <c r="O825" s="48"/>
      <c r="P825" s="48"/>
      <c r="Q825" s="48"/>
      <c r="R825" s="48"/>
      <c r="S825" s="48"/>
      <c r="T825" s="48"/>
      <c r="U825" s="48"/>
      <c r="V825" s="48"/>
      <c r="W825" s="48"/>
      <c r="X825" s="48"/>
      <c r="Y825" s="48"/>
      <c r="Z825" s="48"/>
    </row>
    <row r="826" ht="15.75" customHeight="1">
      <c r="A826" s="49"/>
      <c r="B826" s="49"/>
      <c r="C826" s="49"/>
      <c r="D826" s="49"/>
      <c r="E826" s="49"/>
      <c r="F826" s="49"/>
      <c r="G826" s="49"/>
      <c r="H826" s="49"/>
      <c r="I826" s="49"/>
      <c r="J826" s="49"/>
      <c r="K826" s="49"/>
      <c r="L826" s="49"/>
      <c r="M826" s="49"/>
      <c r="N826" s="49"/>
      <c r="O826" s="48"/>
      <c r="P826" s="48"/>
      <c r="Q826" s="48"/>
      <c r="R826" s="48"/>
      <c r="S826" s="48"/>
      <c r="T826" s="48"/>
      <c r="U826" s="48"/>
      <c r="V826" s="48"/>
      <c r="W826" s="48"/>
      <c r="X826" s="48"/>
      <c r="Y826" s="48"/>
      <c r="Z826" s="48"/>
    </row>
    <row r="827" ht="15.75" customHeight="1">
      <c r="A827" s="49"/>
      <c r="B827" s="49"/>
      <c r="C827" s="49"/>
      <c r="D827" s="49"/>
      <c r="E827" s="49"/>
      <c r="F827" s="49"/>
      <c r="G827" s="49"/>
      <c r="H827" s="49"/>
      <c r="I827" s="49"/>
      <c r="J827" s="49"/>
      <c r="K827" s="49"/>
      <c r="L827" s="49"/>
      <c r="M827" s="49"/>
      <c r="N827" s="49"/>
      <c r="O827" s="48"/>
      <c r="P827" s="48"/>
      <c r="Q827" s="48"/>
      <c r="R827" s="48"/>
      <c r="S827" s="48"/>
      <c r="T827" s="48"/>
      <c r="U827" s="48"/>
      <c r="V827" s="48"/>
      <c r="W827" s="48"/>
      <c r="X827" s="48"/>
      <c r="Y827" s="48"/>
      <c r="Z827" s="48"/>
    </row>
    <row r="828" ht="15.75" customHeight="1">
      <c r="A828" s="49"/>
      <c r="B828" s="49"/>
      <c r="C828" s="49"/>
      <c r="D828" s="49"/>
      <c r="E828" s="49"/>
      <c r="F828" s="49"/>
      <c r="G828" s="49"/>
      <c r="H828" s="49"/>
      <c r="I828" s="49"/>
      <c r="J828" s="49"/>
      <c r="K828" s="49"/>
      <c r="L828" s="49"/>
      <c r="M828" s="49"/>
      <c r="N828" s="49"/>
      <c r="O828" s="48"/>
      <c r="P828" s="48"/>
      <c r="Q828" s="48"/>
      <c r="R828" s="48"/>
      <c r="S828" s="48"/>
      <c r="T828" s="48"/>
      <c r="U828" s="48"/>
      <c r="V828" s="48"/>
      <c r="W828" s="48"/>
      <c r="X828" s="48"/>
      <c r="Y828" s="48"/>
      <c r="Z828" s="48"/>
    </row>
    <row r="829" ht="15.75" customHeight="1">
      <c r="A829" s="49"/>
      <c r="B829" s="49"/>
      <c r="C829" s="49"/>
      <c r="D829" s="49"/>
      <c r="E829" s="49"/>
      <c r="F829" s="49"/>
      <c r="G829" s="49"/>
      <c r="H829" s="49"/>
      <c r="I829" s="49"/>
      <c r="J829" s="49"/>
      <c r="K829" s="49"/>
      <c r="L829" s="49"/>
      <c r="M829" s="49"/>
      <c r="N829" s="49"/>
      <c r="O829" s="48"/>
      <c r="P829" s="48"/>
      <c r="Q829" s="48"/>
      <c r="R829" s="48"/>
      <c r="S829" s="48"/>
      <c r="T829" s="48"/>
      <c r="U829" s="48"/>
      <c r="V829" s="48"/>
      <c r="W829" s="48"/>
      <c r="X829" s="48"/>
      <c r="Y829" s="48"/>
      <c r="Z829" s="48"/>
    </row>
    <row r="830" ht="15.75" customHeight="1">
      <c r="A830" s="49"/>
      <c r="B830" s="49"/>
      <c r="C830" s="49"/>
      <c r="D830" s="49"/>
      <c r="E830" s="49"/>
      <c r="F830" s="49"/>
      <c r="G830" s="49"/>
      <c r="H830" s="49"/>
      <c r="I830" s="49"/>
      <c r="J830" s="49"/>
      <c r="K830" s="49"/>
      <c r="L830" s="49"/>
      <c r="M830" s="49"/>
      <c r="N830" s="49"/>
      <c r="O830" s="48"/>
      <c r="P830" s="48"/>
      <c r="Q830" s="48"/>
      <c r="R830" s="48"/>
      <c r="S830" s="48"/>
      <c r="T830" s="48"/>
      <c r="U830" s="48"/>
      <c r="V830" s="48"/>
      <c r="W830" s="48"/>
      <c r="X830" s="48"/>
      <c r="Y830" s="48"/>
      <c r="Z830" s="48"/>
    </row>
    <row r="831" ht="15.75" customHeight="1">
      <c r="A831" s="49"/>
      <c r="B831" s="49"/>
      <c r="C831" s="49"/>
      <c r="D831" s="49"/>
      <c r="E831" s="49"/>
      <c r="F831" s="49"/>
      <c r="G831" s="49"/>
      <c r="H831" s="49"/>
      <c r="I831" s="49"/>
      <c r="J831" s="49"/>
      <c r="K831" s="49"/>
      <c r="L831" s="49"/>
      <c r="M831" s="49"/>
      <c r="N831" s="49"/>
      <c r="O831" s="48"/>
      <c r="P831" s="48"/>
      <c r="Q831" s="48"/>
      <c r="R831" s="48"/>
      <c r="S831" s="48"/>
      <c r="T831" s="48"/>
      <c r="U831" s="48"/>
      <c r="V831" s="48"/>
      <c r="W831" s="48"/>
      <c r="X831" s="48"/>
      <c r="Y831" s="48"/>
      <c r="Z831" s="48"/>
    </row>
    <row r="832" ht="15.75" customHeight="1">
      <c r="A832" s="49"/>
      <c r="B832" s="49"/>
      <c r="C832" s="49"/>
      <c r="D832" s="49"/>
      <c r="E832" s="49"/>
      <c r="F832" s="49"/>
      <c r="G832" s="49"/>
      <c r="H832" s="49"/>
      <c r="I832" s="49"/>
      <c r="J832" s="49"/>
      <c r="K832" s="49"/>
      <c r="L832" s="49"/>
      <c r="M832" s="49"/>
      <c r="N832" s="49"/>
      <c r="O832" s="48"/>
      <c r="P832" s="48"/>
      <c r="Q832" s="48"/>
      <c r="R832" s="48"/>
      <c r="S832" s="48"/>
      <c r="T832" s="48"/>
      <c r="U832" s="48"/>
      <c r="V832" s="48"/>
      <c r="W832" s="48"/>
      <c r="X832" s="48"/>
      <c r="Y832" s="48"/>
      <c r="Z832" s="48"/>
    </row>
    <row r="833" ht="15.75" customHeight="1">
      <c r="A833" s="49"/>
      <c r="B833" s="49"/>
      <c r="C833" s="49"/>
      <c r="D833" s="49"/>
      <c r="E833" s="49"/>
      <c r="F833" s="49"/>
      <c r="G833" s="49"/>
      <c r="H833" s="49"/>
      <c r="I833" s="49"/>
      <c r="J833" s="49"/>
      <c r="K833" s="49"/>
      <c r="L833" s="49"/>
      <c r="M833" s="49"/>
      <c r="N833" s="49"/>
      <c r="O833" s="48"/>
      <c r="P833" s="48"/>
      <c r="Q833" s="48"/>
      <c r="R833" s="48"/>
      <c r="S833" s="48"/>
      <c r="T833" s="48"/>
      <c r="U833" s="48"/>
      <c r="V833" s="48"/>
      <c r="W833" s="48"/>
      <c r="X833" s="48"/>
      <c r="Y833" s="48"/>
      <c r="Z833" s="48"/>
    </row>
    <row r="834" ht="15.75" customHeight="1">
      <c r="A834" s="49"/>
      <c r="B834" s="49"/>
      <c r="C834" s="49"/>
      <c r="D834" s="49"/>
      <c r="E834" s="49"/>
      <c r="F834" s="49"/>
      <c r="G834" s="49"/>
      <c r="H834" s="49"/>
      <c r="I834" s="49"/>
      <c r="J834" s="49"/>
      <c r="K834" s="49"/>
      <c r="L834" s="49"/>
      <c r="M834" s="49"/>
      <c r="N834" s="49"/>
      <c r="O834" s="48"/>
      <c r="P834" s="48"/>
      <c r="Q834" s="48"/>
      <c r="R834" s="48"/>
      <c r="S834" s="48"/>
      <c r="T834" s="48"/>
      <c r="U834" s="48"/>
      <c r="V834" s="48"/>
      <c r="W834" s="48"/>
      <c r="X834" s="48"/>
      <c r="Y834" s="48"/>
      <c r="Z834" s="48"/>
    </row>
    <row r="835" ht="15.75" customHeight="1">
      <c r="A835" s="49"/>
      <c r="B835" s="49"/>
      <c r="C835" s="49"/>
      <c r="D835" s="49"/>
      <c r="E835" s="49"/>
      <c r="F835" s="49"/>
      <c r="G835" s="49"/>
      <c r="H835" s="49"/>
      <c r="I835" s="49"/>
      <c r="J835" s="49"/>
      <c r="K835" s="49"/>
      <c r="L835" s="49"/>
      <c r="M835" s="49"/>
      <c r="N835" s="49"/>
      <c r="O835" s="48"/>
      <c r="P835" s="48"/>
      <c r="Q835" s="48"/>
      <c r="R835" s="48"/>
      <c r="S835" s="48"/>
      <c r="T835" s="48"/>
      <c r="U835" s="48"/>
      <c r="V835" s="48"/>
      <c r="W835" s="48"/>
      <c r="X835" s="48"/>
      <c r="Y835" s="48"/>
      <c r="Z835" s="48"/>
    </row>
    <row r="836" ht="15.75" customHeight="1">
      <c r="A836" s="49"/>
      <c r="B836" s="49"/>
      <c r="C836" s="49"/>
      <c r="D836" s="49"/>
      <c r="E836" s="49"/>
      <c r="F836" s="49"/>
      <c r="G836" s="49"/>
      <c r="H836" s="49"/>
      <c r="I836" s="49"/>
      <c r="J836" s="49"/>
      <c r="K836" s="49"/>
      <c r="L836" s="49"/>
      <c r="M836" s="49"/>
      <c r="N836" s="49"/>
      <c r="O836" s="48"/>
      <c r="P836" s="48"/>
      <c r="Q836" s="48"/>
      <c r="R836" s="48"/>
      <c r="S836" s="48"/>
      <c r="T836" s="48"/>
      <c r="U836" s="48"/>
      <c r="V836" s="48"/>
      <c r="W836" s="48"/>
      <c r="X836" s="48"/>
      <c r="Y836" s="48"/>
      <c r="Z836" s="48"/>
    </row>
    <row r="837" ht="15.75" customHeight="1">
      <c r="A837" s="49"/>
      <c r="B837" s="49"/>
      <c r="C837" s="49"/>
      <c r="D837" s="49"/>
      <c r="E837" s="49"/>
      <c r="F837" s="49"/>
      <c r="G837" s="49"/>
      <c r="H837" s="49"/>
      <c r="I837" s="49"/>
      <c r="J837" s="49"/>
      <c r="K837" s="49"/>
      <c r="L837" s="49"/>
      <c r="M837" s="49"/>
      <c r="N837" s="49"/>
      <c r="O837" s="48"/>
      <c r="P837" s="48"/>
      <c r="Q837" s="48"/>
      <c r="R837" s="48"/>
      <c r="S837" s="48"/>
      <c r="T837" s="48"/>
      <c r="U837" s="48"/>
      <c r="V837" s="48"/>
      <c r="W837" s="48"/>
      <c r="X837" s="48"/>
      <c r="Y837" s="48"/>
      <c r="Z837" s="48"/>
    </row>
    <row r="838" ht="15.75" customHeight="1">
      <c r="A838" s="49"/>
      <c r="B838" s="49"/>
      <c r="C838" s="49"/>
      <c r="D838" s="49"/>
      <c r="E838" s="49"/>
      <c r="F838" s="49"/>
      <c r="G838" s="49"/>
      <c r="H838" s="49"/>
      <c r="I838" s="49"/>
      <c r="J838" s="49"/>
      <c r="K838" s="49"/>
      <c r="L838" s="49"/>
      <c r="M838" s="49"/>
      <c r="N838" s="49"/>
      <c r="O838" s="48"/>
      <c r="P838" s="48"/>
      <c r="Q838" s="48"/>
      <c r="R838" s="48"/>
      <c r="S838" s="48"/>
      <c r="T838" s="48"/>
      <c r="U838" s="48"/>
      <c r="V838" s="48"/>
      <c r="W838" s="48"/>
      <c r="X838" s="48"/>
      <c r="Y838" s="48"/>
      <c r="Z838" s="48"/>
    </row>
    <row r="839" ht="15.75" customHeight="1">
      <c r="A839" s="49"/>
      <c r="B839" s="49"/>
      <c r="C839" s="49"/>
      <c r="D839" s="49"/>
      <c r="E839" s="49"/>
      <c r="F839" s="49"/>
      <c r="G839" s="49"/>
      <c r="H839" s="49"/>
      <c r="I839" s="49"/>
      <c r="J839" s="49"/>
      <c r="K839" s="49"/>
      <c r="L839" s="49"/>
      <c r="M839" s="49"/>
      <c r="N839" s="49"/>
      <c r="O839" s="48"/>
      <c r="P839" s="48"/>
      <c r="Q839" s="48"/>
      <c r="R839" s="48"/>
      <c r="S839" s="48"/>
      <c r="T839" s="48"/>
      <c r="U839" s="48"/>
      <c r="V839" s="48"/>
      <c r="W839" s="48"/>
      <c r="X839" s="48"/>
      <c r="Y839" s="48"/>
      <c r="Z839" s="48"/>
    </row>
    <row r="840" ht="15.75" customHeight="1">
      <c r="A840" s="49"/>
      <c r="B840" s="49"/>
      <c r="C840" s="49"/>
      <c r="D840" s="49"/>
      <c r="E840" s="49"/>
      <c r="F840" s="49"/>
      <c r="G840" s="49"/>
      <c r="H840" s="49"/>
      <c r="I840" s="49"/>
      <c r="J840" s="49"/>
      <c r="K840" s="49"/>
      <c r="L840" s="49"/>
      <c r="M840" s="49"/>
      <c r="N840" s="49"/>
      <c r="O840" s="48"/>
      <c r="P840" s="48"/>
      <c r="Q840" s="48"/>
      <c r="R840" s="48"/>
      <c r="S840" s="48"/>
      <c r="T840" s="48"/>
      <c r="U840" s="48"/>
      <c r="V840" s="48"/>
      <c r="W840" s="48"/>
      <c r="X840" s="48"/>
      <c r="Y840" s="48"/>
      <c r="Z840" s="48"/>
    </row>
    <row r="841" ht="15.75" customHeight="1">
      <c r="A841" s="49"/>
      <c r="B841" s="49"/>
      <c r="C841" s="49"/>
      <c r="D841" s="49"/>
      <c r="E841" s="49"/>
      <c r="F841" s="49"/>
      <c r="G841" s="49"/>
      <c r="H841" s="49"/>
      <c r="I841" s="49"/>
      <c r="J841" s="49"/>
      <c r="K841" s="49"/>
      <c r="L841" s="49"/>
      <c r="M841" s="49"/>
      <c r="N841" s="49"/>
      <c r="O841" s="48"/>
      <c r="P841" s="48"/>
      <c r="Q841" s="48"/>
      <c r="R841" s="48"/>
      <c r="S841" s="48"/>
      <c r="T841" s="48"/>
      <c r="U841" s="48"/>
      <c r="V841" s="48"/>
      <c r="W841" s="48"/>
      <c r="X841" s="48"/>
      <c r="Y841" s="48"/>
      <c r="Z841" s="48"/>
    </row>
    <row r="842" ht="15.75" customHeight="1">
      <c r="A842" s="49"/>
      <c r="B842" s="49"/>
      <c r="C842" s="49"/>
      <c r="D842" s="49"/>
      <c r="E842" s="49"/>
      <c r="F842" s="49"/>
      <c r="G842" s="49"/>
      <c r="H842" s="49"/>
      <c r="I842" s="49"/>
      <c r="J842" s="49"/>
      <c r="K842" s="49"/>
      <c r="L842" s="49"/>
      <c r="M842" s="49"/>
      <c r="N842" s="49"/>
      <c r="O842" s="48"/>
      <c r="P842" s="48"/>
      <c r="Q842" s="48"/>
      <c r="R842" s="48"/>
      <c r="S842" s="48"/>
      <c r="T842" s="48"/>
      <c r="U842" s="48"/>
      <c r="V842" s="48"/>
      <c r="W842" s="48"/>
      <c r="X842" s="48"/>
      <c r="Y842" s="48"/>
      <c r="Z842" s="48"/>
    </row>
    <row r="843" ht="15.75" customHeight="1">
      <c r="A843" s="49"/>
      <c r="B843" s="49"/>
      <c r="C843" s="49"/>
      <c r="D843" s="49"/>
      <c r="E843" s="49"/>
      <c r="F843" s="49"/>
      <c r="G843" s="49"/>
      <c r="H843" s="49"/>
      <c r="I843" s="49"/>
      <c r="J843" s="49"/>
      <c r="K843" s="49"/>
      <c r="L843" s="49"/>
      <c r="M843" s="49"/>
      <c r="N843" s="49"/>
      <c r="O843" s="48"/>
      <c r="P843" s="48"/>
      <c r="Q843" s="48"/>
      <c r="R843" s="48"/>
      <c r="S843" s="48"/>
      <c r="T843" s="48"/>
      <c r="U843" s="48"/>
      <c r="V843" s="48"/>
      <c r="W843" s="48"/>
      <c r="X843" s="48"/>
      <c r="Y843" s="48"/>
      <c r="Z843" s="48"/>
    </row>
    <row r="844" ht="15.75" customHeight="1">
      <c r="A844" s="49"/>
      <c r="B844" s="49"/>
      <c r="C844" s="49"/>
      <c r="D844" s="49"/>
      <c r="E844" s="49"/>
      <c r="F844" s="49"/>
      <c r="G844" s="49"/>
      <c r="H844" s="49"/>
      <c r="I844" s="49"/>
      <c r="J844" s="49"/>
      <c r="K844" s="49"/>
      <c r="L844" s="49"/>
      <c r="M844" s="49"/>
      <c r="N844" s="49"/>
      <c r="O844" s="48"/>
      <c r="P844" s="48"/>
      <c r="Q844" s="48"/>
      <c r="R844" s="48"/>
      <c r="S844" s="48"/>
      <c r="T844" s="48"/>
      <c r="U844" s="48"/>
      <c r="V844" s="48"/>
      <c r="W844" s="48"/>
      <c r="X844" s="48"/>
      <c r="Y844" s="48"/>
      <c r="Z844" s="48"/>
    </row>
    <row r="845" ht="15.75" customHeight="1">
      <c r="A845" s="49"/>
      <c r="B845" s="49"/>
      <c r="C845" s="49"/>
      <c r="D845" s="49"/>
      <c r="E845" s="49"/>
      <c r="F845" s="49"/>
      <c r="G845" s="49"/>
      <c r="H845" s="49"/>
      <c r="I845" s="49"/>
      <c r="J845" s="49"/>
      <c r="K845" s="49"/>
      <c r="L845" s="49"/>
      <c r="M845" s="49"/>
      <c r="N845" s="49"/>
      <c r="O845" s="48"/>
      <c r="P845" s="48"/>
      <c r="Q845" s="48"/>
      <c r="R845" s="48"/>
      <c r="S845" s="48"/>
      <c r="T845" s="48"/>
      <c r="U845" s="48"/>
      <c r="V845" s="48"/>
      <c r="W845" s="48"/>
      <c r="X845" s="48"/>
      <c r="Y845" s="48"/>
      <c r="Z845" s="48"/>
    </row>
    <row r="846" ht="15.75" customHeight="1">
      <c r="A846" s="49"/>
      <c r="B846" s="49"/>
      <c r="C846" s="49"/>
      <c r="D846" s="49"/>
      <c r="E846" s="49"/>
      <c r="F846" s="49"/>
      <c r="G846" s="49"/>
      <c r="H846" s="49"/>
      <c r="I846" s="49"/>
      <c r="J846" s="49"/>
      <c r="K846" s="49"/>
      <c r="L846" s="49"/>
      <c r="M846" s="49"/>
      <c r="N846" s="49"/>
      <c r="O846" s="48"/>
      <c r="P846" s="48"/>
      <c r="Q846" s="48"/>
      <c r="R846" s="48"/>
      <c r="S846" s="48"/>
      <c r="T846" s="48"/>
      <c r="U846" s="48"/>
      <c r="V846" s="48"/>
      <c r="W846" s="48"/>
      <c r="X846" s="48"/>
      <c r="Y846" s="48"/>
      <c r="Z846" s="48"/>
    </row>
    <row r="847" ht="15.75" customHeight="1">
      <c r="A847" s="49"/>
      <c r="B847" s="49"/>
      <c r="C847" s="49"/>
      <c r="D847" s="49"/>
      <c r="E847" s="49"/>
      <c r="F847" s="49"/>
      <c r="G847" s="49"/>
      <c r="H847" s="49"/>
      <c r="I847" s="49"/>
      <c r="J847" s="49"/>
      <c r="K847" s="49"/>
      <c r="L847" s="49"/>
      <c r="M847" s="49"/>
      <c r="N847" s="49"/>
      <c r="O847" s="48"/>
      <c r="P847" s="48"/>
      <c r="Q847" s="48"/>
      <c r="R847" s="48"/>
      <c r="S847" s="48"/>
      <c r="T847" s="48"/>
      <c r="U847" s="48"/>
      <c r="V847" s="48"/>
      <c r="W847" s="48"/>
      <c r="X847" s="48"/>
      <c r="Y847" s="48"/>
      <c r="Z847" s="48"/>
    </row>
    <row r="848" ht="15.75" customHeight="1">
      <c r="A848" s="49"/>
      <c r="B848" s="49"/>
      <c r="C848" s="49"/>
      <c r="D848" s="49"/>
      <c r="E848" s="49"/>
      <c r="F848" s="49"/>
      <c r="G848" s="49"/>
      <c r="H848" s="49"/>
      <c r="I848" s="49"/>
      <c r="J848" s="49"/>
      <c r="K848" s="49"/>
      <c r="L848" s="49"/>
      <c r="M848" s="49"/>
      <c r="N848" s="49"/>
      <c r="O848" s="48"/>
      <c r="P848" s="48"/>
      <c r="Q848" s="48"/>
      <c r="R848" s="48"/>
      <c r="S848" s="48"/>
      <c r="T848" s="48"/>
      <c r="U848" s="48"/>
      <c r="V848" s="48"/>
      <c r="W848" s="48"/>
      <c r="X848" s="48"/>
      <c r="Y848" s="48"/>
      <c r="Z848" s="48"/>
    </row>
    <row r="849" ht="15.75" customHeight="1">
      <c r="A849" s="49"/>
      <c r="B849" s="49"/>
      <c r="C849" s="49"/>
      <c r="D849" s="49"/>
      <c r="E849" s="49"/>
      <c r="F849" s="49"/>
      <c r="G849" s="49"/>
      <c r="H849" s="49"/>
      <c r="I849" s="49"/>
      <c r="J849" s="49"/>
      <c r="K849" s="49"/>
      <c r="L849" s="49"/>
      <c r="M849" s="49"/>
      <c r="N849" s="49"/>
      <c r="O849" s="48"/>
      <c r="P849" s="48"/>
      <c r="Q849" s="48"/>
      <c r="R849" s="48"/>
      <c r="S849" s="48"/>
      <c r="T849" s="48"/>
      <c r="U849" s="48"/>
      <c r="V849" s="48"/>
      <c r="W849" s="48"/>
      <c r="X849" s="48"/>
      <c r="Y849" s="48"/>
      <c r="Z849" s="48"/>
    </row>
    <row r="850" ht="15.75" customHeight="1">
      <c r="A850" s="49"/>
      <c r="B850" s="49"/>
      <c r="C850" s="49"/>
      <c r="D850" s="49"/>
      <c r="E850" s="49"/>
      <c r="F850" s="49"/>
      <c r="G850" s="49"/>
      <c r="H850" s="49"/>
      <c r="I850" s="49"/>
      <c r="J850" s="49"/>
      <c r="K850" s="49"/>
      <c r="L850" s="49"/>
      <c r="M850" s="49"/>
      <c r="N850" s="49"/>
      <c r="O850" s="48"/>
      <c r="P850" s="48"/>
      <c r="Q850" s="48"/>
      <c r="R850" s="48"/>
      <c r="S850" s="48"/>
      <c r="T850" s="48"/>
      <c r="U850" s="48"/>
      <c r="V850" s="48"/>
      <c r="W850" s="48"/>
      <c r="X850" s="48"/>
      <c r="Y850" s="48"/>
      <c r="Z850" s="48"/>
    </row>
    <row r="851" ht="15.75" customHeight="1">
      <c r="A851" s="49"/>
      <c r="B851" s="49"/>
      <c r="C851" s="49"/>
      <c r="D851" s="49"/>
      <c r="E851" s="49"/>
      <c r="F851" s="49"/>
      <c r="G851" s="49"/>
      <c r="H851" s="49"/>
      <c r="I851" s="49"/>
      <c r="J851" s="49"/>
      <c r="K851" s="49"/>
      <c r="L851" s="49"/>
      <c r="M851" s="49"/>
      <c r="N851" s="49"/>
      <c r="O851" s="48"/>
      <c r="P851" s="48"/>
      <c r="Q851" s="48"/>
      <c r="R851" s="48"/>
      <c r="S851" s="48"/>
      <c r="T851" s="48"/>
      <c r="U851" s="48"/>
      <c r="V851" s="48"/>
      <c r="W851" s="48"/>
      <c r="X851" s="48"/>
      <c r="Y851" s="48"/>
      <c r="Z851" s="48"/>
    </row>
    <row r="852" ht="15.75" customHeight="1">
      <c r="A852" s="49"/>
      <c r="B852" s="49"/>
      <c r="C852" s="49"/>
      <c r="D852" s="49"/>
      <c r="E852" s="49"/>
      <c r="F852" s="49"/>
      <c r="G852" s="49"/>
      <c r="H852" s="49"/>
      <c r="I852" s="49"/>
      <c r="J852" s="49"/>
      <c r="K852" s="49"/>
      <c r="L852" s="49"/>
      <c r="M852" s="49"/>
      <c r="N852" s="49"/>
      <c r="O852" s="48"/>
      <c r="P852" s="48"/>
      <c r="Q852" s="48"/>
      <c r="R852" s="48"/>
      <c r="S852" s="48"/>
      <c r="T852" s="48"/>
      <c r="U852" s="48"/>
      <c r="V852" s="48"/>
      <c r="W852" s="48"/>
      <c r="X852" s="48"/>
      <c r="Y852" s="48"/>
      <c r="Z852" s="48"/>
    </row>
    <row r="853" ht="15.75" customHeight="1">
      <c r="A853" s="49"/>
      <c r="B853" s="49"/>
      <c r="C853" s="49"/>
      <c r="D853" s="49"/>
      <c r="E853" s="49"/>
      <c r="F853" s="49"/>
      <c r="G853" s="49"/>
      <c r="H853" s="49"/>
      <c r="I853" s="49"/>
      <c r="J853" s="49"/>
      <c r="K853" s="49"/>
      <c r="L853" s="49"/>
      <c r="M853" s="49"/>
      <c r="N853" s="49"/>
      <c r="O853" s="48"/>
      <c r="P853" s="48"/>
      <c r="Q853" s="48"/>
      <c r="R853" s="48"/>
      <c r="S853" s="48"/>
      <c r="T853" s="48"/>
      <c r="U853" s="48"/>
      <c r="V853" s="48"/>
      <c r="W853" s="48"/>
      <c r="X853" s="48"/>
      <c r="Y853" s="48"/>
      <c r="Z853" s="48"/>
    </row>
    <row r="854" ht="15.75" customHeight="1">
      <c r="A854" s="49"/>
      <c r="B854" s="49"/>
      <c r="C854" s="49"/>
      <c r="D854" s="49"/>
      <c r="E854" s="49"/>
      <c r="F854" s="49"/>
      <c r="G854" s="49"/>
      <c r="H854" s="49"/>
      <c r="I854" s="49"/>
      <c r="J854" s="49"/>
      <c r="K854" s="49"/>
      <c r="L854" s="49"/>
      <c r="M854" s="49"/>
      <c r="N854" s="49"/>
      <c r="O854" s="48"/>
      <c r="P854" s="48"/>
      <c r="Q854" s="48"/>
      <c r="R854" s="48"/>
      <c r="S854" s="48"/>
      <c r="T854" s="48"/>
      <c r="U854" s="48"/>
      <c r="V854" s="48"/>
      <c r="W854" s="48"/>
      <c r="X854" s="48"/>
      <c r="Y854" s="48"/>
      <c r="Z854" s="48"/>
    </row>
    <row r="855" ht="15.75" customHeight="1">
      <c r="A855" s="49"/>
      <c r="B855" s="49"/>
      <c r="C855" s="49"/>
      <c r="D855" s="49"/>
      <c r="E855" s="49"/>
      <c r="F855" s="49"/>
      <c r="G855" s="49"/>
      <c r="H855" s="49"/>
      <c r="I855" s="49"/>
      <c r="J855" s="49"/>
      <c r="K855" s="49"/>
      <c r="L855" s="49"/>
      <c r="M855" s="49"/>
      <c r="N855" s="49"/>
      <c r="O855" s="48"/>
      <c r="P855" s="48"/>
      <c r="Q855" s="48"/>
      <c r="R855" s="48"/>
      <c r="S855" s="48"/>
      <c r="T855" s="48"/>
      <c r="U855" s="48"/>
      <c r="V855" s="48"/>
      <c r="W855" s="48"/>
      <c r="X855" s="48"/>
      <c r="Y855" s="48"/>
      <c r="Z855" s="48"/>
    </row>
    <row r="856" ht="15.75" customHeight="1">
      <c r="A856" s="49"/>
      <c r="B856" s="49"/>
      <c r="C856" s="49"/>
      <c r="D856" s="49"/>
      <c r="E856" s="49"/>
      <c r="F856" s="49"/>
      <c r="G856" s="49"/>
      <c r="H856" s="49"/>
      <c r="I856" s="49"/>
      <c r="J856" s="49"/>
      <c r="K856" s="49"/>
      <c r="L856" s="49"/>
      <c r="M856" s="49"/>
      <c r="N856" s="49"/>
      <c r="O856" s="48"/>
      <c r="P856" s="48"/>
      <c r="Q856" s="48"/>
      <c r="R856" s="48"/>
      <c r="S856" s="48"/>
      <c r="T856" s="48"/>
      <c r="U856" s="48"/>
      <c r="V856" s="48"/>
      <c r="W856" s="48"/>
      <c r="X856" s="48"/>
      <c r="Y856" s="48"/>
      <c r="Z856" s="48"/>
    </row>
    <row r="857" ht="15.75" customHeight="1">
      <c r="A857" s="49"/>
      <c r="B857" s="49"/>
      <c r="C857" s="49"/>
      <c r="D857" s="49"/>
      <c r="E857" s="49"/>
      <c r="F857" s="49"/>
      <c r="G857" s="49"/>
      <c r="H857" s="49"/>
      <c r="I857" s="49"/>
      <c r="J857" s="49"/>
      <c r="K857" s="49"/>
      <c r="L857" s="49"/>
      <c r="M857" s="49"/>
      <c r="N857" s="49"/>
      <c r="O857" s="48"/>
      <c r="P857" s="48"/>
      <c r="Q857" s="48"/>
      <c r="R857" s="48"/>
      <c r="S857" s="48"/>
      <c r="T857" s="48"/>
      <c r="U857" s="48"/>
      <c r="V857" s="48"/>
      <c r="W857" s="48"/>
      <c r="X857" s="48"/>
      <c r="Y857" s="48"/>
      <c r="Z857" s="48"/>
    </row>
    <row r="858" ht="15.75" customHeight="1">
      <c r="A858" s="49"/>
      <c r="B858" s="49"/>
      <c r="C858" s="49"/>
      <c r="D858" s="49"/>
      <c r="E858" s="49"/>
      <c r="F858" s="49"/>
      <c r="G858" s="49"/>
      <c r="H858" s="49"/>
      <c r="I858" s="49"/>
      <c r="J858" s="49"/>
      <c r="K858" s="49"/>
      <c r="L858" s="49"/>
      <c r="M858" s="49"/>
      <c r="N858" s="49"/>
      <c r="O858" s="48"/>
      <c r="P858" s="48"/>
      <c r="Q858" s="48"/>
      <c r="R858" s="48"/>
      <c r="S858" s="48"/>
      <c r="T858" s="48"/>
      <c r="U858" s="48"/>
      <c r="V858" s="48"/>
      <c r="W858" s="48"/>
      <c r="X858" s="48"/>
      <c r="Y858" s="48"/>
      <c r="Z858" s="48"/>
    </row>
    <row r="859" ht="15.75" customHeight="1">
      <c r="A859" s="49"/>
      <c r="B859" s="49"/>
      <c r="C859" s="49"/>
      <c r="D859" s="49"/>
      <c r="E859" s="49"/>
      <c r="F859" s="49"/>
      <c r="G859" s="49"/>
      <c r="H859" s="49"/>
      <c r="I859" s="49"/>
      <c r="J859" s="49"/>
      <c r="K859" s="49"/>
      <c r="L859" s="49"/>
      <c r="M859" s="49"/>
      <c r="N859" s="49"/>
      <c r="O859" s="48"/>
      <c r="P859" s="48"/>
      <c r="Q859" s="48"/>
      <c r="R859" s="48"/>
      <c r="S859" s="48"/>
      <c r="T859" s="48"/>
      <c r="U859" s="48"/>
      <c r="V859" s="48"/>
      <c r="W859" s="48"/>
      <c r="X859" s="48"/>
      <c r="Y859" s="48"/>
      <c r="Z859" s="48"/>
    </row>
    <row r="860" ht="15.75" customHeight="1">
      <c r="A860" s="49"/>
      <c r="B860" s="49"/>
      <c r="C860" s="49"/>
      <c r="D860" s="49"/>
      <c r="E860" s="49"/>
      <c r="F860" s="49"/>
      <c r="G860" s="49"/>
      <c r="H860" s="49"/>
      <c r="I860" s="49"/>
      <c r="J860" s="49"/>
      <c r="K860" s="49"/>
      <c r="L860" s="49"/>
      <c r="M860" s="49"/>
      <c r="N860" s="49"/>
      <c r="O860" s="48"/>
      <c r="P860" s="48"/>
      <c r="Q860" s="48"/>
      <c r="R860" s="48"/>
      <c r="S860" s="48"/>
      <c r="T860" s="48"/>
      <c r="U860" s="48"/>
      <c r="V860" s="48"/>
      <c r="W860" s="48"/>
      <c r="X860" s="48"/>
      <c r="Y860" s="48"/>
      <c r="Z860" s="48"/>
    </row>
    <row r="861" ht="15.75" customHeight="1">
      <c r="A861" s="49"/>
      <c r="B861" s="49"/>
      <c r="C861" s="49"/>
      <c r="D861" s="49"/>
      <c r="E861" s="49"/>
      <c r="F861" s="49"/>
      <c r="G861" s="49"/>
      <c r="H861" s="49"/>
      <c r="I861" s="49"/>
      <c r="J861" s="49"/>
      <c r="K861" s="49"/>
      <c r="L861" s="49"/>
      <c r="M861" s="49"/>
      <c r="N861" s="49"/>
      <c r="O861" s="48"/>
      <c r="P861" s="48"/>
      <c r="Q861" s="48"/>
      <c r="R861" s="48"/>
      <c r="S861" s="48"/>
      <c r="T861" s="48"/>
      <c r="U861" s="48"/>
      <c r="V861" s="48"/>
      <c r="W861" s="48"/>
      <c r="X861" s="48"/>
      <c r="Y861" s="48"/>
      <c r="Z861" s="48"/>
    </row>
    <row r="862" ht="15.75" customHeight="1">
      <c r="A862" s="49"/>
      <c r="B862" s="49"/>
      <c r="C862" s="49"/>
      <c r="D862" s="49"/>
      <c r="E862" s="49"/>
      <c r="F862" s="49"/>
      <c r="G862" s="49"/>
      <c r="H862" s="49"/>
      <c r="I862" s="49"/>
      <c r="J862" s="49"/>
      <c r="K862" s="49"/>
      <c r="L862" s="49"/>
      <c r="M862" s="49"/>
      <c r="N862" s="49"/>
      <c r="O862" s="48"/>
      <c r="P862" s="48"/>
      <c r="Q862" s="48"/>
      <c r="R862" s="48"/>
      <c r="S862" s="48"/>
      <c r="T862" s="48"/>
      <c r="U862" s="48"/>
      <c r="V862" s="48"/>
      <c r="W862" s="48"/>
      <c r="X862" s="48"/>
      <c r="Y862" s="48"/>
      <c r="Z862" s="48"/>
    </row>
    <row r="863" ht="15.75" customHeight="1">
      <c r="A863" s="49"/>
      <c r="B863" s="49"/>
      <c r="C863" s="49"/>
      <c r="D863" s="49"/>
      <c r="E863" s="49"/>
      <c r="F863" s="49"/>
      <c r="G863" s="49"/>
      <c r="H863" s="49"/>
      <c r="I863" s="49"/>
      <c r="J863" s="49"/>
      <c r="K863" s="49"/>
      <c r="L863" s="49"/>
      <c r="M863" s="49"/>
      <c r="N863" s="49"/>
      <c r="O863" s="48"/>
      <c r="P863" s="48"/>
      <c r="Q863" s="48"/>
      <c r="R863" s="48"/>
      <c r="S863" s="48"/>
      <c r="T863" s="48"/>
      <c r="U863" s="48"/>
      <c r="V863" s="48"/>
      <c r="W863" s="48"/>
      <c r="X863" s="48"/>
      <c r="Y863" s="48"/>
      <c r="Z863" s="48"/>
    </row>
    <row r="864" ht="15.75" customHeight="1">
      <c r="A864" s="49"/>
      <c r="B864" s="49"/>
      <c r="C864" s="49"/>
      <c r="D864" s="49"/>
      <c r="E864" s="49"/>
      <c r="F864" s="49"/>
      <c r="G864" s="49"/>
      <c r="H864" s="49"/>
      <c r="I864" s="49"/>
      <c r="J864" s="49"/>
      <c r="K864" s="49"/>
      <c r="L864" s="49"/>
      <c r="M864" s="49"/>
      <c r="N864" s="49"/>
      <c r="O864" s="48"/>
      <c r="P864" s="48"/>
      <c r="Q864" s="48"/>
      <c r="R864" s="48"/>
      <c r="S864" s="48"/>
      <c r="T864" s="48"/>
      <c r="U864" s="48"/>
      <c r="V864" s="48"/>
      <c r="W864" s="48"/>
      <c r="X864" s="48"/>
      <c r="Y864" s="48"/>
      <c r="Z864" s="48"/>
    </row>
    <row r="865" ht="15.75" customHeight="1">
      <c r="A865" s="49"/>
      <c r="B865" s="49"/>
      <c r="C865" s="49"/>
      <c r="D865" s="49"/>
      <c r="E865" s="49"/>
      <c r="F865" s="49"/>
      <c r="G865" s="49"/>
      <c r="H865" s="49"/>
      <c r="I865" s="49"/>
      <c r="J865" s="49"/>
      <c r="K865" s="49"/>
      <c r="L865" s="49"/>
      <c r="M865" s="49"/>
      <c r="N865" s="49"/>
      <c r="O865" s="48"/>
      <c r="P865" s="48"/>
      <c r="Q865" s="48"/>
      <c r="R865" s="48"/>
      <c r="S865" s="48"/>
      <c r="T865" s="48"/>
      <c r="U865" s="48"/>
      <c r="V865" s="48"/>
      <c r="W865" s="48"/>
      <c r="X865" s="48"/>
      <c r="Y865" s="48"/>
      <c r="Z865" s="48"/>
    </row>
    <row r="866" ht="15.75" customHeight="1">
      <c r="A866" s="49"/>
      <c r="B866" s="49"/>
      <c r="C866" s="49"/>
      <c r="D866" s="49"/>
      <c r="E866" s="49"/>
      <c r="F866" s="49"/>
      <c r="G866" s="49"/>
      <c r="H866" s="49"/>
      <c r="I866" s="49"/>
      <c r="J866" s="49"/>
      <c r="K866" s="49"/>
      <c r="L866" s="49"/>
      <c r="M866" s="49"/>
      <c r="N866" s="49"/>
      <c r="O866" s="48"/>
      <c r="P866" s="48"/>
      <c r="Q866" s="48"/>
      <c r="R866" s="48"/>
      <c r="S866" s="48"/>
      <c r="T866" s="48"/>
      <c r="U866" s="48"/>
      <c r="V866" s="48"/>
      <c r="W866" s="48"/>
      <c r="X866" s="48"/>
      <c r="Y866" s="48"/>
      <c r="Z866" s="48"/>
    </row>
    <row r="867" ht="15.75" customHeight="1">
      <c r="A867" s="49"/>
      <c r="B867" s="49"/>
      <c r="C867" s="49"/>
      <c r="D867" s="49"/>
      <c r="E867" s="49"/>
      <c r="F867" s="49"/>
      <c r="G867" s="49"/>
      <c r="H867" s="49"/>
      <c r="I867" s="49"/>
      <c r="J867" s="49"/>
      <c r="K867" s="49"/>
      <c r="L867" s="49"/>
      <c r="M867" s="49"/>
      <c r="N867" s="49"/>
      <c r="O867" s="48"/>
      <c r="P867" s="48"/>
      <c r="Q867" s="48"/>
      <c r="R867" s="48"/>
      <c r="S867" s="48"/>
      <c r="T867" s="48"/>
      <c r="U867" s="48"/>
      <c r="V867" s="48"/>
      <c r="W867" s="48"/>
      <c r="X867" s="48"/>
      <c r="Y867" s="48"/>
      <c r="Z867" s="48"/>
    </row>
    <row r="868" ht="15.75" customHeight="1">
      <c r="A868" s="49"/>
      <c r="B868" s="49"/>
      <c r="C868" s="49"/>
      <c r="D868" s="49"/>
      <c r="E868" s="49"/>
      <c r="F868" s="49"/>
      <c r="G868" s="49"/>
      <c r="H868" s="49"/>
      <c r="I868" s="49"/>
      <c r="J868" s="49"/>
      <c r="K868" s="49"/>
      <c r="L868" s="49"/>
      <c r="M868" s="49"/>
      <c r="N868" s="49"/>
      <c r="O868" s="48"/>
      <c r="P868" s="48"/>
      <c r="Q868" s="48"/>
      <c r="R868" s="48"/>
      <c r="S868" s="48"/>
      <c r="T868" s="48"/>
      <c r="U868" s="48"/>
      <c r="V868" s="48"/>
      <c r="W868" s="48"/>
      <c r="X868" s="48"/>
      <c r="Y868" s="48"/>
      <c r="Z868" s="48"/>
    </row>
    <row r="869" ht="15.75" customHeight="1">
      <c r="A869" s="49"/>
      <c r="B869" s="49"/>
      <c r="C869" s="49"/>
      <c r="D869" s="49"/>
      <c r="E869" s="49"/>
      <c r="F869" s="49"/>
      <c r="G869" s="49"/>
      <c r="H869" s="49"/>
      <c r="I869" s="49"/>
      <c r="J869" s="49"/>
      <c r="K869" s="49"/>
      <c r="L869" s="49"/>
      <c r="M869" s="49"/>
      <c r="N869" s="49"/>
      <c r="O869" s="48"/>
      <c r="P869" s="48"/>
      <c r="Q869" s="48"/>
      <c r="R869" s="48"/>
      <c r="S869" s="48"/>
      <c r="T869" s="48"/>
      <c r="U869" s="48"/>
      <c r="V869" s="48"/>
      <c r="W869" s="48"/>
      <c r="X869" s="48"/>
      <c r="Y869" s="48"/>
      <c r="Z869" s="48"/>
    </row>
    <row r="870" ht="15.75" customHeight="1">
      <c r="A870" s="49"/>
      <c r="B870" s="49"/>
      <c r="C870" s="49"/>
      <c r="D870" s="49"/>
      <c r="E870" s="49"/>
      <c r="F870" s="49"/>
      <c r="G870" s="49"/>
      <c r="H870" s="49"/>
      <c r="I870" s="49"/>
      <c r="J870" s="49"/>
      <c r="K870" s="49"/>
      <c r="L870" s="49"/>
      <c r="M870" s="49"/>
      <c r="N870" s="49"/>
      <c r="O870" s="48"/>
      <c r="P870" s="48"/>
      <c r="Q870" s="48"/>
      <c r="R870" s="48"/>
      <c r="S870" s="48"/>
      <c r="T870" s="48"/>
      <c r="U870" s="48"/>
      <c r="V870" s="48"/>
      <c r="W870" s="48"/>
      <c r="X870" s="48"/>
      <c r="Y870" s="48"/>
      <c r="Z870" s="48"/>
    </row>
    <row r="871" ht="15.75" customHeight="1">
      <c r="A871" s="49"/>
      <c r="B871" s="49"/>
      <c r="C871" s="49"/>
      <c r="D871" s="49"/>
      <c r="E871" s="49"/>
      <c r="F871" s="49"/>
      <c r="G871" s="49"/>
      <c r="H871" s="49"/>
      <c r="I871" s="49"/>
      <c r="J871" s="49"/>
      <c r="K871" s="49"/>
      <c r="L871" s="49"/>
      <c r="M871" s="49"/>
      <c r="N871" s="49"/>
      <c r="O871" s="48"/>
      <c r="P871" s="48"/>
      <c r="Q871" s="48"/>
      <c r="R871" s="48"/>
      <c r="S871" s="48"/>
      <c r="T871" s="48"/>
      <c r="U871" s="48"/>
      <c r="V871" s="48"/>
      <c r="W871" s="48"/>
      <c r="X871" s="48"/>
      <c r="Y871" s="48"/>
      <c r="Z871" s="48"/>
    </row>
    <row r="872" ht="15.75" customHeight="1">
      <c r="A872" s="49"/>
      <c r="B872" s="49"/>
      <c r="C872" s="49"/>
      <c r="D872" s="49"/>
      <c r="E872" s="49"/>
      <c r="F872" s="49"/>
      <c r="G872" s="49"/>
      <c r="H872" s="49"/>
      <c r="I872" s="49"/>
      <c r="J872" s="49"/>
      <c r="K872" s="49"/>
      <c r="L872" s="49"/>
      <c r="M872" s="49"/>
      <c r="N872" s="49"/>
      <c r="O872" s="48"/>
      <c r="P872" s="48"/>
      <c r="Q872" s="48"/>
      <c r="R872" s="48"/>
      <c r="S872" s="48"/>
      <c r="T872" s="48"/>
      <c r="U872" s="48"/>
      <c r="V872" s="48"/>
      <c r="W872" s="48"/>
      <c r="X872" s="48"/>
      <c r="Y872" s="48"/>
      <c r="Z872" s="48"/>
    </row>
    <row r="873" ht="15.75" customHeight="1">
      <c r="A873" s="49"/>
      <c r="B873" s="49"/>
      <c r="C873" s="49"/>
      <c r="D873" s="49"/>
      <c r="E873" s="49"/>
      <c r="F873" s="49"/>
      <c r="G873" s="49"/>
      <c r="H873" s="49"/>
      <c r="I873" s="49"/>
      <c r="J873" s="49"/>
      <c r="K873" s="49"/>
      <c r="L873" s="49"/>
      <c r="M873" s="49"/>
      <c r="N873" s="49"/>
      <c r="O873" s="48"/>
      <c r="P873" s="48"/>
      <c r="Q873" s="48"/>
      <c r="R873" s="48"/>
      <c r="S873" s="48"/>
      <c r="T873" s="48"/>
      <c r="U873" s="48"/>
      <c r="V873" s="48"/>
      <c r="W873" s="48"/>
      <c r="X873" s="48"/>
      <c r="Y873" s="48"/>
      <c r="Z873" s="48"/>
    </row>
    <row r="874" ht="15.75" customHeight="1">
      <c r="A874" s="49"/>
      <c r="B874" s="49"/>
      <c r="C874" s="49"/>
      <c r="D874" s="49"/>
      <c r="E874" s="49"/>
      <c r="F874" s="49"/>
      <c r="G874" s="49"/>
      <c r="H874" s="49"/>
      <c r="I874" s="49"/>
      <c r="J874" s="49"/>
      <c r="K874" s="49"/>
      <c r="L874" s="49"/>
      <c r="M874" s="49"/>
      <c r="N874" s="49"/>
      <c r="O874" s="48"/>
      <c r="P874" s="48"/>
      <c r="Q874" s="48"/>
      <c r="R874" s="48"/>
      <c r="S874" s="48"/>
      <c r="T874" s="48"/>
      <c r="U874" s="48"/>
      <c r="V874" s="48"/>
      <c r="W874" s="48"/>
      <c r="X874" s="48"/>
      <c r="Y874" s="48"/>
      <c r="Z874" s="48"/>
    </row>
    <row r="875" ht="15.75" customHeight="1">
      <c r="A875" s="49"/>
      <c r="B875" s="49"/>
      <c r="C875" s="49"/>
      <c r="D875" s="49"/>
      <c r="E875" s="49"/>
      <c r="F875" s="49"/>
      <c r="G875" s="49"/>
      <c r="H875" s="49"/>
      <c r="I875" s="49"/>
      <c r="J875" s="49"/>
      <c r="K875" s="49"/>
      <c r="L875" s="49"/>
      <c r="M875" s="49"/>
      <c r="N875" s="49"/>
      <c r="O875" s="48"/>
      <c r="P875" s="48"/>
      <c r="Q875" s="48"/>
      <c r="R875" s="48"/>
      <c r="S875" s="48"/>
      <c r="T875" s="48"/>
      <c r="U875" s="48"/>
      <c r="V875" s="48"/>
      <c r="W875" s="48"/>
      <c r="X875" s="48"/>
      <c r="Y875" s="48"/>
      <c r="Z875" s="48"/>
    </row>
    <row r="876" ht="15.75" customHeight="1">
      <c r="A876" s="49"/>
      <c r="B876" s="49"/>
      <c r="C876" s="49"/>
      <c r="D876" s="49"/>
      <c r="E876" s="49"/>
      <c r="F876" s="49"/>
      <c r="G876" s="49"/>
      <c r="H876" s="49"/>
      <c r="I876" s="49"/>
      <c r="J876" s="49"/>
      <c r="K876" s="49"/>
      <c r="L876" s="49"/>
      <c r="M876" s="49"/>
      <c r="N876" s="49"/>
      <c r="O876" s="48"/>
      <c r="P876" s="48"/>
      <c r="Q876" s="48"/>
      <c r="R876" s="48"/>
      <c r="S876" s="48"/>
      <c r="T876" s="48"/>
      <c r="U876" s="48"/>
      <c r="V876" s="48"/>
      <c r="W876" s="48"/>
      <c r="X876" s="48"/>
      <c r="Y876" s="48"/>
      <c r="Z876" s="48"/>
    </row>
    <row r="877" ht="15.75" customHeight="1">
      <c r="A877" s="49"/>
      <c r="B877" s="49"/>
      <c r="C877" s="49"/>
      <c r="D877" s="49"/>
      <c r="E877" s="49"/>
      <c r="F877" s="49"/>
      <c r="G877" s="49"/>
      <c r="H877" s="49"/>
      <c r="I877" s="49"/>
      <c r="J877" s="49"/>
      <c r="K877" s="49"/>
      <c r="L877" s="49"/>
      <c r="M877" s="49"/>
      <c r="N877" s="49"/>
      <c r="O877" s="48"/>
      <c r="P877" s="48"/>
      <c r="Q877" s="48"/>
      <c r="R877" s="48"/>
      <c r="S877" s="48"/>
      <c r="T877" s="48"/>
      <c r="U877" s="48"/>
      <c r="V877" s="48"/>
      <c r="W877" s="48"/>
      <c r="X877" s="48"/>
      <c r="Y877" s="48"/>
      <c r="Z877" s="48"/>
    </row>
    <row r="878" ht="15.75" customHeight="1">
      <c r="A878" s="49"/>
      <c r="B878" s="49"/>
      <c r="C878" s="49"/>
      <c r="D878" s="49"/>
      <c r="E878" s="49"/>
      <c r="F878" s="49"/>
      <c r="G878" s="49"/>
      <c r="H878" s="49"/>
      <c r="I878" s="49"/>
      <c r="J878" s="49"/>
      <c r="K878" s="49"/>
      <c r="L878" s="49"/>
      <c r="M878" s="49"/>
      <c r="N878" s="49"/>
      <c r="O878" s="48"/>
      <c r="P878" s="48"/>
      <c r="Q878" s="48"/>
      <c r="R878" s="48"/>
      <c r="S878" s="48"/>
      <c r="T878" s="48"/>
      <c r="U878" s="48"/>
      <c r="V878" s="48"/>
      <c r="W878" s="48"/>
      <c r="X878" s="48"/>
      <c r="Y878" s="48"/>
      <c r="Z878" s="48"/>
    </row>
    <row r="879" ht="15.75" customHeight="1">
      <c r="A879" s="49"/>
      <c r="B879" s="49"/>
      <c r="C879" s="49"/>
      <c r="D879" s="49"/>
      <c r="E879" s="49"/>
      <c r="F879" s="49"/>
      <c r="G879" s="49"/>
      <c r="H879" s="49"/>
      <c r="I879" s="49"/>
      <c r="J879" s="49"/>
      <c r="K879" s="49"/>
      <c r="L879" s="49"/>
      <c r="M879" s="49"/>
      <c r="N879" s="49"/>
      <c r="O879" s="48"/>
      <c r="P879" s="48"/>
      <c r="Q879" s="48"/>
      <c r="R879" s="48"/>
      <c r="S879" s="48"/>
      <c r="T879" s="48"/>
      <c r="U879" s="48"/>
      <c r="V879" s="48"/>
      <c r="W879" s="48"/>
      <c r="X879" s="48"/>
      <c r="Y879" s="48"/>
      <c r="Z879" s="48"/>
    </row>
    <row r="880" ht="15.75" customHeight="1">
      <c r="A880" s="49"/>
      <c r="B880" s="49"/>
      <c r="C880" s="49"/>
      <c r="D880" s="49"/>
      <c r="E880" s="49"/>
      <c r="F880" s="49"/>
      <c r="G880" s="49"/>
      <c r="H880" s="49"/>
      <c r="I880" s="49"/>
      <c r="J880" s="49"/>
      <c r="K880" s="49"/>
      <c r="L880" s="49"/>
      <c r="M880" s="49"/>
      <c r="N880" s="49"/>
      <c r="O880" s="48"/>
      <c r="P880" s="48"/>
      <c r="Q880" s="48"/>
      <c r="R880" s="48"/>
      <c r="S880" s="48"/>
      <c r="T880" s="48"/>
      <c r="U880" s="48"/>
      <c r="V880" s="48"/>
      <c r="W880" s="48"/>
      <c r="X880" s="48"/>
      <c r="Y880" s="48"/>
      <c r="Z880" s="48"/>
    </row>
    <row r="881" ht="15.75" customHeight="1">
      <c r="A881" s="49"/>
      <c r="B881" s="49"/>
      <c r="C881" s="49"/>
      <c r="D881" s="49"/>
      <c r="E881" s="49"/>
      <c r="F881" s="49"/>
      <c r="G881" s="49"/>
      <c r="H881" s="49"/>
      <c r="I881" s="49"/>
      <c r="J881" s="49"/>
      <c r="K881" s="49"/>
      <c r="L881" s="49"/>
      <c r="M881" s="49"/>
      <c r="N881" s="49"/>
      <c r="O881" s="48"/>
      <c r="P881" s="48"/>
      <c r="Q881" s="48"/>
      <c r="R881" s="48"/>
      <c r="S881" s="48"/>
      <c r="T881" s="48"/>
      <c r="U881" s="48"/>
      <c r="V881" s="48"/>
      <c r="W881" s="48"/>
      <c r="X881" s="48"/>
      <c r="Y881" s="48"/>
      <c r="Z881" s="48"/>
    </row>
    <row r="882" ht="15.75" customHeight="1">
      <c r="A882" s="49"/>
      <c r="B882" s="49"/>
      <c r="C882" s="49"/>
      <c r="D882" s="49"/>
      <c r="E882" s="49"/>
      <c r="F882" s="49"/>
      <c r="G882" s="49"/>
      <c r="H882" s="49"/>
      <c r="I882" s="49"/>
      <c r="J882" s="49"/>
      <c r="K882" s="49"/>
      <c r="L882" s="49"/>
      <c r="M882" s="49"/>
      <c r="N882" s="49"/>
      <c r="O882" s="48"/>
      <c r="P882" s="48"/>
      <c r="Q882" s="48"/>
      <c r="R882" s="48"/>
      <c r="S882" s="48"/>
      <c r="T882" s="48"/>
      <c r="U882" s="48"/>
      <c r="V882" s="48"/>
      <c r="W882" s="48"/>
      <c r="X882" s="48"/>
      <c r="Y882" s="48"/>
      <c r="Z882" s="48"/>
    </row>
    <row r="883" ht="15.75" customHeight="1">
      <c r="A883" s="49"/>
      <c r="B883" s="49"/>
      <c r="C883" s="49"/>
      <c r="D883" s="49"/>
      <c r="E883" s="49"/>
      <c r="F883" s="49"/>
      <c r="G883" s="49"/>
      <c r="H883" s="49"/>
      <c r="I883" s="49"/>
      <c r="J883" s="49"/>
      <c r="K883" s="49"/>
      <c r="L883" s="49"/>
      <c r="M883" s="49"/>
      <c r="N883" s="49"/>
      <c r="O883" s="48"/>
      <c r="P883" s="48"/>
      <c r="Q883" s="48"/>
      <c r="R883" s="48"/>
      <c r="S883" s="48"/>
      <c r="T883" s="48"/>
      <c r="U883" s="48"/>
      <c r="V883" s="48"/>
      <c r="W883" s="48"/>
      <c r="X883" s="48"/>
      <c r="Y883" s="48"/>
      <c r="Z883" s="48"/>
    </row>
    <row r="884" ht="15.75" customHeight="1">
      <c r="A884" s="49"/>
      <c r="B884" s="49"/>
      <c r="C884" s="49"/>
      <c r="D884" s="49"/>
      <c r="E884" s="49"/>
      <c r="F884" s="49"/>
      <c r="G884" s="49"/>
      <c r="H884" s="49"/>
      <c r="I884" s="49"/>
      <c r="J884" s="49"/>
      <c r="K884" s="49"/>
      <c r="L884" s="49"/>
      <c r="M884" s="49"/>
      <c r="N884" s="49"/>
      <c r="O884" s="48"/>
      <c r="P884" s="48"/>
      <c r="Q884" s="48"/>
      <c r="R884" s="48"/>
      <c r="S884" s="48"/>
      <c r="T884" s="48"/>
      <c r="U884" s="48"/>
      <c r="V884" s="48"/>
      <c r="W884" s="48"/>
      <c r="X884" s="48"/>
      <c r="Y884" s="48"/>
      <c r="Z884" s="48"/>
    </row>
    <row r="885" ht="15.75" customHeight="1">
      <c r="A885" s="49"/>
      <c r="B885" s="49"/>
      <c r="C885" s="49"/>
      <c r="D885" s="49"/>
      <c r="E885" s="49"/>
      <c r="F885" s="49"/>
      <c r="G885" s="49"/>
      <c r="H885" s="49"/>
      <c r="I885" s="49"/>
      <c r="J885" s="49"/>
      <c r="K885" s="49"/>
      <c r="L885" s="49"/>
      <c r="M885" s="49"/>
      <c r="N885" s="49"/>
      <c r="O885" s="48"/>
      <c r="P885" s="48"/>
      <c r="Q885" s="48"/>
      <c r="R885" s="48"/>
      <c r="S885" s="48"/>
      <c r="T885" s="48"/>
      <c r="U885" s="48"/>
      <c r="V885" s="48"/>
      <c r="W885" s="48"/>
      <c r="X885" s="48"/>
      <c r="Y885" s="48"/>
      <c r="Z885" s="48"/>
    </row>
    <row r="886" ht="15.75" customHeight="1">
      <c r="A886" s="49"/>
      <c r="B886" s="49"/>
      <c r="C886" s="49"/>
      <c r="D886" s="49"/>
      <c r="E886" s="49"/>
      <c r="F886" s="49"/>
      <c r="G886" s="49"/>
      <c r="H886" s="49"/>
      <c r="I886" s="49"/>
      <c r="J886" s="49"/>
      <c r="K886" s="49"/>
      <c r="L886" s="49"/>
      <c r="M886" s="49"/>
      <c r="N886" s="49"/>
      <c r="O886" s="48"/>
      <c r="P886" s="48"/>
      <c r="Q886" s="48"/>
      <c r="R886" s="48"/>
      <c r="S886" s="48"/>
      <c r="T886" s="48"/>
      <c r="U886" s="48"/>
      <c r="V886" s="48"/>
      <c r="W886" s="48"/>
      <c r="X886" s="48"/>
      <c r="Y886" s="48"/>
      <c r="Z886" s="48"/>
    </row>
    <row r="887" ht="15.75" customHeight="1">
      <c r="A887" s="49"/>
      <c r="B887" s="49"/>
      <c r="C887" s="49"/>
      <c r="D887" s="49"/>
      <c r="E887" s="49"/>
      <c r="F887" s="49"/>
      <c r="G887" s="49"/>
      <c r="H887" s="49"/>
      <c r="I887" s="49"/>
      <c r="J887" s="49"/>
      <c r="K887" s="49"/>
      <c r="L887" s="49"/>
      <c r="M887" s="49"/>
      <c r="N887" s="49"/>
      <c r="O887" s="48"/>
      <c r="P887" s="48"/>
      <c r="Q887" s="48"/>
      <c r="R887" s="48"/>
      <c r="S887" s="48"/>
      <c r="T887" s="48"/>
      <c r="U887" s="48"/>
      <c r="V887" s="48"/>
      <c r="W887" s="48"/>
      <c r="X887" s="48"/>
      <c r="Y887" s="48"/>
      <c r="Z887" s="48"/>
    </row>
    <row r="888" ht="15.75" customHeight="1">
      <c r="A888" s="49"/>
      <c r="B888" s="49"/>
      <c r="C888" s="49"/>
      <c r="D888" s="49"/>
      <c r="E888" s="49"/>
      <c r="F888" s="49"/>
      <c r="G888" s="49"/>
      <c r="H888" s="49"/>
      <c r="I888" s="49"/>
      <c r="J888" s="49"/>
      <c r="K888" s="49"/>
      <c r="L888" s="49"/>
      <c r="M888" s="49"/>
      <c r="N888" s="49"/>
      <c r="O888" s="48"/>
      <c r="P888" s="48"/>
      <c r="Q888" s="48"/>
      <c r="R888" s="48"/>
      <c r="S888" s="48"/>
      <c r="T888" s="48"/>
      <c r="U888" s="48"/>
      <c r="V888" s="48"/>
      <c r="W888" s="48"/>
      <c r="X888" s="48"/>
      <c r="Y888" s="48"/>
      <c r="Z888" s="48"/>
    </row>
    <row r="889" ht="15.75" customHeight="1">
      <c r="A889" s="49"/>
      <c r="B889" s="49"/>
      <c r="C889" s="49"/>
      <c r="D889" s="49"/>
      <c r="E889" s="49"/>
      <c r="F889" s="49"/>
      <c r="G889" s="49"/>
      <c r="H889" s="49"/>
      <c r="I889" s="49"/>
      <c r="J889" s="49"/>
      <c r="K889" s="49"/>
      <c r="L889" s="49"/>
      <c r="M889" s="49"/>
      <c r="N889" s="49"/>
      <c r="O889" s="48"/>
      <c r="P889" s="48"/>
      <c r="Q889" s="48"/>
      <c r="R889" s="48"/>
      <c r="S889" s="48"/>
      <c r="T889" s="48"/>
      <c r="U889" s="48"/>
      <c r="V889" s="48"/>
      <c r="W889" s="48"/>
      <c r="X889" s="48"/>
      <c r="Y889" s="48"/>
      <c r="Z889" s="48"/>
    </row>
    <row r="890" ht="15.75" customHeight="1">
      <c r="A890" s="49"/>
      <c r="B890" s="49"/>
      <c r="C890" s="49"/>
      <c r="D890" s="49"/>
      <c r="E890" s="49"/>
      <c r="F890" s="49"/>
      <c r="G890" s="49"/>
      <c r="H890" s="49"/>
      <c r="I890" s="49"/>
      <c r="J890" s="49"/>
      <c r="K890" s="49"/>
      <c r="L890" s="49"/>
      <c r="M890" s="49"/>
      <c r="N890" s="49"/>
      <c r="O890" s="48"/>
      <c r="P890" s="48"/>
      <c r="Q890" s="48"/>
      <c r="R890" s="48"/>
      <c r="S890" s="48"/>
      <c r="T890" s="48"/>
      <c r="U890" s="48"/>
      <c r="V890" s="48"/>
      <c r="W890" s="48"/>
      <c r="X890" s="48"/>
      <c r="Y890" s="48"/>
      <c r="Z890" s="48"/>
    </row>
    <row r="891" ht="15.75" customHeight="1">
      <c r="A891" s="49"/>
      <c r="B891" s="49"/>
      <c r="C891" s="49"/>
      <c r="D891" s="49"/>
      <c r="E891" s="49"/>
      <c r="F891" s="49"/>
      <c r="G891" s="49"/>
      <c r="H891" s="49"/>
      <c r="I891" s="49"/>
      <c r="J891" s="49"/>
      <c r="K891" s="49"/>
      <c r="L891" s="49"/>
      <c r="M891" s="49"/>
      <c r="N891" s="49"/>
      <c r="O891" s="48"/>
      <c r="P891" s="48"/>
      <c r="Q891" s="48"/>
      <c r="R891" s="48"/>
      <c r="S891" s="48"/>
      <c r="T891" s="48"/>
      <c r="U891" s="48"/>
      <c r="V891" s="48"/>
      <c r="W891" s="48"/>
      <c r="X891" s="48"/>
      <c r="Y891" s="48"/>
      <c r="Z891" s="48"/>
    </row>
    <row r="892" ht="15.75" customHeight="1">
      <c r="A892" s="49"/>
      <c r="B892" s="49"/>
      <c r="C892" s="49"/>
      <c r="D892" s="49"/>
      <c r="E892" s="49"/>
      <c r="F892" s="49"/>
      <c r="G892" s="49"/>
      <c r="H892" s="49"/>
      <c r="I892" s="49"/>
      <c r="J892" s="49"/>
      <c r="K892" s="49"/>
      <c r="L892" s="49"/>
      <c r="M892" s="49"/>
      <c r="N892" s="49"/>
      <c r="O892" s="48"/>
      <c r="P892" s="48"/>
      <c r="Q892" s="48"/>
      <c r="R892" s="48"/>
      <c r="S892" s="48"/>
      <c r="T892" s="48"/>
      <c r="U892" s="48"/>
      <c r="V892" s="48"/>
      <c r="W892" s="48"/>
      <c r="X892" s="48"/>
      <c r="Y892" s="48"/>
      <c r="Z892" s="48"/>
    </row>
    <row r="893" ht="15.75" customHeight="1">
      <c r="A893" s="49"/>
      <c r="B893" s="49"/>
      <c r="C893" s="49"/>
      <c r="D893" s="49"/>
      <c r="E893" s="49"/>
      <c r="F893" s="49"/>
      <c r="G893" s="49"/>
      <c r="H893" s="49"/>
      <c r="I893" s="49"/>
      <c r="J893" s="49"/>
      <c r="K893" s="49"/>
      <c r="L893" s="49"/>
      <c r="M893" s="49"/>
      <c r="N893" s="49"/>
      <c r="O893" s="48"/>
      <c r="P893" s="48"/>
      <c r="Q893" s="48"/>
      <c r="R893" s="48"/>
      <c r="S893" s="48"/>
      <c r="T893" s="48"/>
      <c r="U893" s="48"/>
      <c r="V893" s="48"/>
      <c r="W893" s="48"/>
      <c r="X893" s="48"/>
      <c r="Y893" s="48"/>
      <c r="Z893" s="48"/>
    </row>
    <row r="894" ht="15.75" customHeight="1">
      <c r="A894" s="49"/>
      <c r="B894" s="49"/>
      <c r="C894" s="49"/>
      <c r="D894" s="49"/>
      <c r="E894" s="49"/>
      <c r="F894" s="49"/>
      <c r="G894" s="49"/>
      <c r="H894" s="49"/>
      <c r="I894" s="49"/>
      <c r="J894" s="49"/>
      <c r="K894" s="49"/>
      <c r="L894" s="49"/>
      <c r="M894" s="49"/>
      <c r="N894" s="49"/>
      <c r="O894" s="48"/>
      <c r="P894" s="48"/>
      <c r="Q894" s="48"/>
      <c r="R894" s="48"/>
      <c r="S894" s="48"/>
      <c r="T894" s="48"/>
      <c r="U894" s="48"/>
      <c r="V894" s="48"/>
      <c r="W894" s="48"/>
      <c r="X894" s="48"/>
      <c r="Y894" s="48"/>
      <c r="Z894" s="48"/>
    </row>
    <row r="895" ht="15.75" customHeight="1">
      <c r="A895" s="49"/>
      <c r="B895" s="49"/>
      <c r="C895" s="49"/>
      <c r="D895" s="49"/>
      <c r="E895" s="49"/>
      <c r="F895" s="49"/>
      <c r="G895" s="49"/>
      <c r="H895" s="49"/>
      <c r="I895" s="49"/>
      <c r="J895" s="49"/>
      <c r="K895" s="49"/>
      <c r="L895" s="49"/>
      <c r="M895" s="49"/>
      <c r="N895" s="49"/>
      <c r="O895" s="48"/>
      <c r="P895" s="48"/>
      <c r="Q895" s="48"/>
      <c r="R895" s="48"/>
      <c r="S895" s="48"/>
      <c r="T895" s="48"/>
      <c r="U895" s="48"/>
      <c r="V895" s="48"/>
      <c r="W895" s="48"/>
      <c r="X895" s="48"/>
      <c r="Y895" s="48"/>
      <c r="Z895" s="48"/>
    </row>
    <row r="896" ht="15.75" customHeight="1">
      <c r="A896" s="49"/>
      <c r="B896" s="49"/>
      <c r="C896" s="49"/>
      <c r="D896" s="49"/>
      <c r="E896" s="49"/>
      <c r="F896" s="49"/>
      <c r="G896" s="49"/>
      <c r="H896" s="49"/>
      <c r="I896" s="49"/>
      <c r="J896" s="49"/>
      <c r="K896" s="49"/>
      <c r="L896" s="49"/>
      <c r="M896" s="49"/>
      <c r="N896" s="49"/>
      <c r="O896" s="48"/>
      <c r="P896" s="48"/>
      <c r="Q896" s="48"/>
      <c r="R896" s="48"/>
      <c r="S896" s="48"/>
      <c r="T896" s="48"/>
      <c r="U896" s="48"/>
      <c r="V896" s="48"/>
      <c r="W896" s="48"/>
      <c r="X896" s="48"/>
      <c r="Y896" s="48"/>
      <c r="Z896" s="48"/>
    </row>
    <row r="897" ht="15.75" customHeight="1">
      <c r="A897" s="49"/>
      <c r="B897" s="49"/>
      <c r="C897" s="49"/>
      <c r="D897" s="49"/>
      <c r="E897" s="49"/>
      <c r="F897" s="49"/>
      <c r="G897" s="49"/>
      <c r="H897" s="49"/>
      <c r="I897" s="49"/>
      <c r="J897" s="49"/>
      <c r="K897" s="49"/>
      <c r="L897" s="49"/>
      <c r="M897" s="49"/>
      <c r="N897" s="49"/>
      <c r="O897" s="48"/>
      <c r="P897" s="48"/>
      <c r="Q897" s="48"/>
      <c r="R897" s="48"/>
      <c r="S897" s="48"/>
      <c r="T897" s="48"/>
      <c r="U897" s="48"/>
      <c r="V897" s="48"/>
      <c r="W897" s="48"/>
      <c r="X897" s="48"/>
      <c r="Y897" s="48"/>
      <c r="Z897" s="48"/>
    </row>
    <row r="898" ht="15.75" customHeight="1">
      <c r="A898" s="49"/>
      <c r="B898" s="49"/>
      <c r="C898" s="49"/>
      <c r="D898" s="49"/>
      <c r="E898" s="49"/>
      <c r="F898" s="49"/>
      <c r="G898" s="49"/>
      <c r="H898" s="49"/>
      <c r="I898" s="49"/>
      <c r="J898" s="49"/>
      <c r="K898" s="49"/>
      <c r="L898" s="49"/>
      <c r="M898" s="49"/>
      <c r="N898" s="49"/>
      <c r="O898" s="48"/>
      <c r="P898" s="48"/>
      <c r="Q898" s="48"/>
      <c r="R898" s="48"/>
      <c r="S898" s="48"/>
      <c r="T898" s="48"/>
      <c r="U898" s="48"/>
      <c r="V898" s="48"/>
      <c r="W898" s="48"/>
      <c r="X898" s="48"/>
      <c r="Y898" s="48"/>
      <c r="Z898" s="48"/>
    </row>
    <row r="899" ht="15.75" customHeight="1">
      <c r="A899" s="49"/>
      <c r="B899" s="49"/>
      <c r="C899" s="49"/>
      <c r="D899" s="49"/>
      <c r="E899" s="49"/>
      <c r="F899" s="49"/>
      <c r="G899" s="49"/>
      <c r="H899" s="49"/>
      <c r="I899" s="49"/>
      <c r="J899" s="49"/>
      <c r="K899" s="49"/>
      <c r="L899" s="49"/>
      <c r="M899" s="49"/>
      <c r="N899" s="49"/>
      <c r="O899" s="48"/>
      <c r="P899" s="48"/>
      <c r="Q899" s="48"/>
      <c r="R899" s="48"/>
      <c r="S899" s="48"/>
      <c r="T899" s="48"/>
      <c r="U899" s="48"/>
      <c r="V899" s="48"/>
      <c r="W899" s="48"/>
      <c r="X899" s="48"/>
      <c r="Y899" s="48"/>
      <c r="Z899" s="48"/>
    </row>
    <row r="900" ht="15.75" customHeight="1">
      <c r="A900" s="49"/>
      <c r="B900" s="49"/>
      <c r="C900" s="49"/>
      <c r="D900" s="49"/>
      <c r="E900" s="49"/>
      <c r="F900" s="49"/>
      <c r="G900" s="49"/>
      <c r="H900" s="49"/>
      <c r="I900" s="49"/>
      <c r="J900" s="49"/>
      <c r="K900" s="49"/>
      <c r="L900" s="49"/>
      <c r="M900" s="49"/>
      <c r="N900" s="49"/>
      <c r="O900" s="48"/>
      <c r="P900" s="48"/>
      <c r="Q900" s="48"/>
      <c r="R900" s="48"/>
      <c r="S900" s="48"/>
      <c r="T900" s="48"/>
      <c r="U900" s="48"/>
      <c r="V900" s="48"/>
      <c r="W900" s="48"/>
      <c r="X900" s="48"/>
      <c r="Y900" s="48"/>
      <c r="Z900" s="48"/>
    </row>
    <row r="901" ht="15.75" customHeight="1">
      <c r="A901" s="49"/>
      <c r="B901" s="49"/>
      <c r="C901" s="49"/>
      <c r="D901" s="49"/>
      <c r="E901" s="49"/>
      <c r="F901" s="49"/>
      <c r="G901" s="49"/>
      <c r="H901" s="49"/>
      <c r="I901" s="49"/>
      <c r="J901" s="49"/>
      <c r="K901" s="49"/>
      <c r="L901" s="49"/>
      <c r="M901" s="49"/>
      <c r="N901" s="49"/>
      <c r="O901" s="48"/>
      <c r="P901" s="48"/>
      <c r="Q901" s="48"/>
      <c r="R901" s="48"/>
      <c r="S901" s="48"/>
      <c r="T901" s="48"/>
      <c r="U901" s="48"/>
      <c r="V901" s="48"/>
      <c r="W901" s="48"/>
      <c r="X901" s="48"/>
      <c r="Y901" s="48"/>
      <c r="Z901" s="48"/>
    </row>
    <row r="902" ht="15.75" customHeight="1">
      <c r="A902" s="49"/>
      <c r="B902" s="49"/>
      <c r="C902" s="49"/>
      <c r="D902" s="49"/>
      <c r="E902" s="49"/>
      <c r="F902" s="49"/>
      <c r="G902" s="49"/>
      <c r="H902" s="49"/>
      <c r="I902" s="49"/>
      <c r="J902" s="49"/>
      <c r="K902" s="49"/>
      <c r="L902" s="49"/>
      <c r="M902" s="49"/>
      <c r="N902" s="49"/>
      <c r="O902" s="48"/>
      <c r="P902" s="48"/>
      <c r="Q902" s="48"/>
      <c r="R902" s="48"/>
      <c r="S902" s="48"/>
      <c r="T902" s="48"/>
      <c r="U902" s="48"/>
      <c r="V902" s="48"/>
      <c r="W902" s="48"/>
      <c r="X902" s="48"/>
      <c r="Y902" s="48"/>
      <c r="Z902" s="48"/>
    </row>
    <row r="903" ht="15.75" customHeight="1">
      <c r="A903" s="49"/>
      <c r="B903" s="49"/>
      <c r="C903" s="49"/>
      <c r="D903" s="49"/>
      <c r="E903" s="49"/>
      <c r="F903" s="49"/>
      <c r="G903" s="49"/>
      <c r="H903" s="49"/>
      <c r="I903" s="49"/>
      <c r="J903" s="49"/>
      <c r="K903" s="49"/>
      <c r="L903" s="49"/>
      <c r="M903" s="49"/>
      <c r="N903" s="49"/>
      <c r="O903" s="48"/>
      <c r="P903" s="48"/>
      <c r="Q903" s="48"/>
      <c r="R903" s="48"/>
      <c r="S903" s="48"/>
      <c r="T903" s="48"/>
      <c r="U903" s="48"/>
      <c r="V903" s="48"/>
      <c r="W903" s="48"/>
      <c r="X903" s="48"/>
      <c r="Y903" s="48"/>
      <c r="Z903" s="48"/>
    </row>
    <row r="904" ht="15.75" customHeight="1">
      <c r="A904" s="49"/>
      <c r="B904" s="49"/>
      <c r="C904" s="49"/>
      <c r="D904" s="49"/>
      <c r="E904" s="49"/>
      <c r="F904" s="49"/>
      <c r="G904" s="49"/>
      <c r="H904" s="49"/>
      <c r="I904" s="49"/>
      <c r="J904" s="49"/>
      <c r="K904" s="49"/>
      <c r="L904" s="49"/>
      <c r="M904" s="49"/>
      <c r="N904" s="49"/>
      <c r="O904" s="48"/>
      <c r="P904" s="48"/>
      <c r="Q904" s="48"/>
      <c r="R904" s="48"/>
      <c r="S904" s="48"/>
      <c r="T904" s="48"/>
      <c r="U904" s="48"/>
      <c r="V904" s="48"/>
      <c r="W904" s="48"/>
      <c r="X904" s="48"/>
      <c r="Y904" s="48"/>
      <c r="Z904" s="48"/>
    </row>
    <row r="905" ht="15.75" customHeight="1">
      <c r="A905" s="49"/>
      <c r="B905" s="49"/>
      <c r="C905" s="49"/>
      <c r="D905" s="49"/>
      <c r="E905" s="49"/>
      <c r="F905" s="49"/>
      <c r="G905" s="49"/>
      <c r="H905" s="49"/>
      <c r="I905" s="49"/>
      <c r="J905" s="49"/>
      <c r="K905" s="49"/>
      <c r="L905" s="49"/>
      <c r="M905" s="49"/>
      <c r="N905" s="49"/>
      <c r="O905" s="48"/>
      <c r="P905" s="48"/>
      <c r="Q905" s="48"/>
      <c r="R905" s="48"/>
      <c r="S905" s="48"/>
      <c r="T905" s="48"/>
      <c r="U905" s="48"/>
      <c r="V905" s="48"/>
      <c r="W905" s="48"/>
      <c r="X905" s="48"/>
      <c r="Y905" s="48"/>
      <c r="Z905" s="48"/>
    </row>
    <row r="906" ht="15.75" customHeight="1">
      <c r="A906" s="49"/>
      <c r="B906" s="49"/>
      <c r="C906" s="49"/>
      <c r="D906" s="49"/>
      <c r="E906" s="49"/>
      <c r="F906" s="49"/>
      <c r="G906" s="49"/>
      <c r="H906" s="49"/>
      <c r="I906" s="49"/>
      <c r="J906" s="49"/>
      <c r="K906" s="49"/>
      <c r="L906" s="49"/>
      <c r="M906" s="49"/>
      <c r="N906" s="49"/>
      <c r="O906" s="48"/>
      <c r="P906" s="48"/>
      <c r="Q906" s="48"/>
      <c r="R906" s="48"/>
      <c r="S906" s="48"/>
      <c r="T906" s="48"/>
      <c r="U906" s="48"/>
      <c r="V906" s="48"/>
      <c r="W906" s="48"/>
      <c r="X906" s="48"/>
      <c r="Y906" s="48"/>
      <c r="Z906" s="48"/>
    </row>
    <row r="907" ht="15.75" customHeight="1">
      <c r="A907" s="49"/>
      <c r="B907" s="49"/>
      <c r="C907" s="49"/>
      <c r="D907" s="49"/>
      <c r="E907" s="49"/>
      <c r="F907" s="49"/>
      <c r="G907" s="49"/>
      <c r="H907" s="49"/>
      <c r="I907" s="49"/>
      <c r="J907" s="49"/>
      <c r="K907" s="49"/>
      <c r="L907" s="49"/>
      <c r="M907" s="49"/>
      <c r="N907" s="49"/>
      <c r="O907" s="48"/>
      <c r="P907" s="48"/>
      <c r="Q907" s="48"/>
      <c r="R907" s="48"/>
      <c r="S907" s="48"/>
      <c r="T907" s="48"/>
      <c r="U907" s="48"/>
      <c r="V907" s="48"/>
      <c r="W907" s="48"/>
      <c r="X907" s="48"/>
      <c r="Y907" s="48"/>
      <c r="Z907" s="48"/>
    </row>
    <row r="908" ht="15.75" customHeight="1">
      <c r="A908" s="49"/>
      <c r="B908" s="49"/>
      <c r="C908" s="49"/>
      <c r="D908" s="49"/>
      <c r="E908" s="49"/>
      <c r="F908" s="49"/>
      <c r="G908" s="49"/>
      <c r="H908" s="49"/>
      <c r="I908" s="49"/>
      <c r="J908" s="49"/>
      <c r="K908" s="49"/>
      <c r="L908" s="49"/>
      <c r="M908" s="49"/>
      <c r="N908" s="49"/>
      <c r="O908" s="48"/>
      <c r="P908" s="48"/>
      <c r="Q908" s="48"/>
      <c r="R908" s="48"/>
      <c r="S908" s="48"/>
      <c r="T908" s="48"/>
      <c r="U908" s="48"/>
      <c r="V908" s="48"/>
      <c r="W908" s="48"/>
      <c r="X908" s="48"/>
      <c r="Y908" s="48"/>
      <c r="Z908" s="48"/>
    </row>
    <row r="909" ht="15.75" customHeight="1">
      <c r="A909" s="49"/>
      <c r="B909" s="49"/>
      <c r="C909" s="49"/>
      <c r="D909" s="49"/>
      <c r="E909" s="49"/>
      <c r="F909" s="49"/>
      <c r="G909" s="49"/>
      <c r="H909" s="49"/>
      <c r="I909" s="49"/>
      <c r="J909" s="49"/>
      <c r="K909" s="49"/>
      <c r="L909" s="49"/>
      <c r="M909" s="49"/>
      <c r="N909" s="49"/>
      <c r="O909" s="48"/>
      <c r="P909" s="48"/>
      <c r="Q909" s="48"/>
      <c r="R909" s="48"/>
      <c r="S909" s="48"/>
      <c r="T909" s="48"/>
      <c r="U909" s="48"/>
      <c r="V909" s="48"/>
      <c r="W909" s="48"/>
      <c r="X909" s="48"/>
      <c r="Y909" s="48"/>
      <c r="Z909" s="48"/>
    </row>
    <row r="910" ht="15.75" customHeight="1">
      <c r="A910" s="49"/>
      <c r="B910" s="49"/>
      <c r="C910" s="49"/>
      <c r="D910" s="49"/>
      <c r="E910" s="49"/>
      <c r="F910" s="49"/>
      <c r="G910" s="49"/>
      <c r="H910" s="49"/>
      <c r="I910" s="49"/>
      <c r="J910" s="49"/>
      <c r="K910" s="49"/>
      <c r="L910" s="49"/>
      <c r="M910" s="49"/>
      <c r="N910" s="49"/>
      <c r="O910" s="48"/>
      <c r="P910" s="48"/>
      <c r="Q910" s="48"/>
      <c r="R910" s="48"/>
      <c r="S910" s="48"/>
      <c r="T910" s="48"/>
      <c r="U910" s="48"/>
      <c r="V910" s="48"/>
      <c r="W910" s="48"/>
      <c r="X910" s="48"/>
      <c r="Y910" s="48"/>
      <c r="Z910" s="48"/>
    </row>
    <row r="911" ht="15.75" customHeight="1">
      <c r="A911" s="49"/>
      <c r="B911" s="49"/>
      <c r="C911" s="49"/>
      <c r="D911" s="49"/>
      <c r="E911" s="49"/>
      <c r="F911" s="49"/>
      <c r="G911" s="49"/>
      <c r="H911" s="49"/>
      <c r="I911" s="49"/>
      <c r="J911" s="49"/>
      <c r="K911" s="49"/>
      <c r="L911" s="49"/>
      <c r="M911" s="49"/>
      <c r="N911" s="49"/>
      <c r="O911" s="48"/>
      <c r="P911" s="48"/>
      <c r="Q911" s="48"/>
      <c r="R911" s="48"/>
      <c r="S911" s="48"/>
      <c r="T911" s="48"/>
      <c r="U911" s="48"/>
      <c r="V911" s="48"/>
      <c r="W911" s="48"/>
      <c r="X911" s="48"/>
      <c r="Y911" s="48"/>
      <c r="Z911" s="48"/>
    </row>
    <row r="912" ht="15.75" customHeight="1">
      <c r="A912" s="49"/>
      <c r="B912" s="49"/>
      <c r="C912" s="49"/>
      <c r="D912" s="49"/>
      <c r="E912" s="49"/>
      <c r="F912" s="49"/>
      <c r="G912" s="49"/>
      <c r="H912" s="49"/>
      <c r="I912" s="49"/>
      <c r="J912" s="49"/>
      <c r="K912" s="49"/>
      <c r="L912" s="49"/>
      <c r="M912" s="49"/>
      <c r="N912" s="49"/>
      <c r="O912" s="48"/>
      <c r="P912" s="48"/>
      <c r="Q912" s="48"/>
      <c r="R912" s="48"/>
      <c r="S912" s="48"/>
      <c r="T912" s="48"/>
      <c r="U912" s="48"/>
      <c r="V912" s="48"/>
      <c r="W912" s="48"/>
      <c r="X912" s="48"/>
      <c r="Y912" s="48"/>
      <c r="Z912" s="48"/>
    </row>
    <row r="913" ht="15.75" customHeight="1">
      <c r="A913" s="49"/>
      <c r="B913" s="49"/>
      <c r="C913" s="49"/>
      <c r="D913" s="49"/>
      <c r="E913" s="49"/>
      <c r="F913" s="49"/>
      <c r="G913" s="49"/>
      <c r="H913" s="49"/>
      <c r="I913" s="49"/>
      <c r="J913" s="49"/>
      <c r="K913" s="49"/>
      <c r="L913" s="49"/>
      <c r="M913" s="49"/>
      <c r="N913" s="49"/>
      <c r="O913" s="48"/>
      <c r="P913" s="48"/>
      <c r="Q913" s="48"/>
      <c r="R913" s="48"/>
      <c r="S913" s="48"/>
      <c r="T913" s="48"/>
      <c r="U913" s="48"/>
      <c r="V913" s="48"/>
      <c r="W913" s="48"/>
      <c r="X913" s="48"/>
      <c r="Y913" s="48"/>
      <c r="Z913" s="48"/>
    </row>
    <row r="914" ht="15.75" customHeight="1">
      <c r="A914" s="49"/>
      <c r="B914" s="49"/>
      <c r="C914" s="49"/>
      <c r="D914" s="49"/>
      <c r="E914" s="49"/>
      <c r="F914" s="49"/>
      <c r="G914" s="49"/>
      <c r="H914" s="49"/>
      <c r="I914" s="49"/>
      <c r="J914" s="49"/>
      <c r="K914" s="49"/>
      <c r="L914" s="49"/>
      <c r="M914" s="49"/>
      <c r="N914" s="49"/>
      <c r="O914" s="48"/>
      <c r="P914" s="48"/>
      <c r="Q914" s="48"/>
      <c r="R914" s="48"/>
      <c r="S914" s="48"/>
      <c r="T914" s="48"/>
      <c r="U914" s="48"/>
      <c r="V914" s="48"/>
      <c r="W914" s="48"/>
      <c r="X914" s="48"/>
      <c r="Y914" s="48"/>
      <c r="Z914" s="48"/>
    </row>
    <row r="915" ht="15.75" customHeight="1">
      <c r="A915" s="49"/>
      <c r="B915" s="49"/>
      <c r="C915" s="49"/>
      <c r="D915" s="49"/>
      <c r="E915" s="49"/>
      <c r="F915" s="49"/>
      <c r="G915" s="49"/>
      <c r="H915" s="49"/>
      <c r="I915" s="49"/>
      <c r="J915" s="49"/>
      <c r="K915" s="49"/>
      <c r="L915" s="49"/>
      <c r="M915" s="49"/>
      <c r="N915" s="49"/>
      <c r="O915" s="48"/>
      <c r="P915" s="48"/>
      <c r="Q915" s="48"/>
      <c r="R915" s="48"/>
      <c r="S915" s="48"/>
      <c r="T915" s="48"/>
      <c r="U915" s="48"/>
      <c r="V915" s="48"/>
      <c r="W915" s="48"/>
      <c r="X915" s="48"/>
      <c r="Y915" s="48"/>
      <c r="Z915" s="48"/>
    </row>
    <row r="916" ht="15.75" customHeight="1">
      <c r="A916" s="49"/>
      <c r="B916" s="49"/>
      <c r="C916" s="49"/>
      <c r="D916" s="49"/>
      <c r="E916" s="49"/>
      <c r="F916" s="49"/>
      <c r="G916" s="49"/>
      <c r="H916" s="49"/>
      <c r="I916" s="49"/>
      <c r="J916" s="49"/>
      <c r="K916" s="49"/>
      <c r="L916" s="49"/>
      <c r="M916" s="49"/>
      <c r="N916" s="49"/>
      <c r="O916" s="48"/>
      <c r="P916" s="48"/>
      <c r="Q916" s="48"/>
      <c r="R916" s="48"/>
      <c r="S916" s="48"/>
      <c r="T916" s="48"/>
      <c r="U916" s="48"/>
      <c r="V916" s="48"/>
      <c r="W916" s="48"/>
      <c r="X916" s="48"/>
      <c r="Y916" s="48"/>
      <c r="Z916" s="48"/>
    </row>
    <row r="917" ht="15.75" customHeight="1">
      <c r="A917" s="49"/>
      <c r="B917" s="49"/>
      <c r="C917" s="49"/>
      <c r="D917" s="49"/>
      <c r="E917" s="49"/>
      <c r="F917" s="49"/>
      <c r="G917" s="49"/>
      <c r="H917" s="49"/>
      <c r="I917" s="49"/>
      <c r="J917" s="49"/>
      <c r="K917" s="49"/>
      <c r="L917" s="49"/>
      <c r="M917" s="49"/>
      <c r="N917" s="49"/>
      <c r="O917" s="48"/>
      <c r="P917" s="48"/>
      <c r="Q917" s="48"/>
      <c r="R917" s="48"/>
      <c r="S917" s="48"/>
      <c r="T917" s="48"/>
      <c r="U917" s="48"/>
      <c r="V917" s="48"/>
      <c r="W917" s="48"/>
      <c r="X917" s="48"/>
      <c r="Y917" s="48"/>
      <c r="Z917" s="48"/>
    </row>
    <row r="918" ht="15.75" customHeight="1">
      <c r="A918" s="49"/>
      <c r="B918" s="49"/>
      <c r="C918" s="49"/>
      <c r="D918" s="49"/>
      <c r="E918" s="49"/>
      <c r="F918" s="49"/>
      <c r="G918" s="49"/>
      <c r="H918" s="49"/>
      <c r="I918" s="49"/>
      <c r="J918" s="49"/>
      <c r="K918" s="49"/>
      <c r="L918" s="49"/>
      <c r="M918" s="49"/>
      <c r="N918" s="49"/>
      <c r="O918" s="48"/>
      <c r="P918" s="48"/>
      <c r="Q918" s="48"/>
      <c r="R918" s="48"/>
      <c r="S918" s="48"/>
      <c r="T918" s="48"/>
      <c r="U918" s="48"/>
      <c r="V918" s="48"/>
      <c r="W918" s="48"/>
      <c r="X918" s="48"/>
      <c r="Y918" s="48"/>
      <c r="Z918" s="48"/>
    </row>
    <row r="919" ht="15.75" customHeight="1">
      <c r="A919" s="49"/>
      <c r="B919" s="49"/>
      <c r="C919" s="49"/>
      <c r="D919" s="49"/>
      <c r="E919" s="49"/>
      <c r="F919" s="49"/>
      <c r="G919" s="49"/>
      <c r="H919" s="49"/>
      <c r="I919" s="49"/>
      <c r="J919" s="49"/>
      <c r="K919" s="49"/>
      <c r="L919" s="49"/>
      <c r="M919" s="49"/>
      <c r="N919" s="49"/>
      <c r="O919" s="48"/>
      <c r="P919" s="48"/>
      <c r="Q919" s="48"/>
      <c r="R919" s="48"/>
      <c r="S919" s="48"/>
      <c r="T919" s="48"/>
      <c r="U919" s="48"/>
      <c r="V919" s="48"/>
      <c r="W919" s="48"/>
      <c r="X919" s="48"/>
      <c r="Y919" s="48"/>
      <c r="Z919" s="48"/>
    </row>
    <row r="920" ht="15.75" customHeight="1">
      <c r="A920" s="49"/>
      <c r="B920" s="49"/>
      <c r="C920" s="49"/>
      <c r="D920" s="49"/>
      <c r="E920" s="49"/>
      <c r="F920" s="49"/>
      <c r="G920" s="49"/>
      <c r="H920" s="49"/>
      <c r="I920" s="49"/>
      <c r="J920" s="49"/>
      <c r="K920" s="49"/>
      <c r="L920" s="49"/>
      <c r="M920" s="49"/>
      <c r="N920" s="49"/>
      <c r="O920" s="48"/>
      <c r="P920" s="48"/>
      <c r="Q920" s="48"/>
      <c r="R920" s="48"/>
      <c r="S920" s="48"/>
      <c r="T920" s="48"/>
      <c r="U920" s="48"/>
      <c r="V920" s="48"/>
      <c r="W920" s="48"/>
      <c r="X920" s="48"/>
      <c r="Y920" s="48"/>
      <c r="Z920" s="48"/>
    </row>
    <row r="921" ht="15.75" customHeight="1">
      <c r="A921" s="49"/>
      <c r="B921" s="49"/>
      <c r="C921" s="49"/>
      <c r="D921" s="49"/>
      <c r="E921" s="49"/>
      <c r="F921" s="49"/>
      <c r="G921" s="49"/>
      <c r="H921" s="49"/>
      <c r="I921" s="49"/>
      <c r="J921" s="49"/>
      <c r="K921" s="49"/>
      <c r="L921" s="49"/>
      <c r="M921" s="49"/>
      <c r="N921" s="49"/>
      <c r="O921" s="48"/>
      <c r="P921" s="48"/>
      <c r="Q921" s="48"/>
      <c r="R921" s="48"/>
      <c r="S921" s="48"/>
      <c r="T921" s="48"/>
      <c r="U921" s="48"/>
      <c r="V921" s="48"/>
      <c r="W921" s="48"/>
      <c r="X921" s="48"/>
      <c r="Y921" s="48"/>
      <c r="Z921" s="48"/>
    </row>
    <row r="922" ht="15.75" customHeight="1">
      <c r="A922" s="49"/>
      <c r="B922" s="49"/>
      <c r="C922" s="49"/>
      <c r="D922" s="49"/>
      <c r="E922" s="49"/>
      <c r="F922" s="49"/>
      <c r="G922" s="49"/>
      <c r="H922" s="49"/>
      <c r="I922" s="49"/>
      <c r="J922" s="49"/>
      <c r="K922" s="49"/>
      <c r="L922" s="49"/>
      <c r="M922" s="49"/>
      <c r="N922" s="49"/>
      <c r="O922" s="48"/>
      <c r="P922" s="48"/>
      <c r="Q922" s="48"/>
      <c r="R922" s="48"/>
      <c r="S922" s="48"/>
      <c r="T922" s="48"/>
      <c r="U922" s="48"/>
      <c r="V922" s="48"/>
      <c r="W922" s="48"/>
      <c r="X922" s="48"/>
      <c r="Y922" s="48"/>
      <c r="Z922" s="48"/>
    </row>
    <row r="923" ht="15.75" customHeight="1">
      <c r="A923" s="49"/>
      <c r="B923" s="49"/>
      <c r="C923" s="49"/>
      <c r="D923" s="49"/>
      <c r="E923" s="49"/>
      <c r="F923" s="49"/>
      <c r="G923" s="49"/>
      <c r="H923" s="49"/>
      <c r="I923" s="49"/>
      <c r="J923" s="49"/>
      <c r="K923" s="49"/>
      <c r="L923" s="49"/>
      <c r="M923" s="49"/>
      <c r="N923" s="49"/>
      <c r="O923" s="48"/>
      <c r="P923" s="48"/>
      <c r="Q923" s="48"/>
      <c r="R923" s="48"/>
      <c r="S923" s="48"/>
      <c r="T923" s="48"/>
      <c r="U923" s="48"/>
      <c r="V923" s="48"/>
      <c r="W923" s="48"/>
      <c r="X923" s="48"/>
      <c r="Y923" s="48"/>
      <c r="Z923" s="48"/>
    </row>
    <row r="924" ht="15.75" customHeight="1">
      <c r="A924" s="49"/>
      <c r="B924" s="49"/>
      <c r="C924" s="49"/>
      <c r="D924" s="49"/>
      <c r="E924" s="49"/>
      <c r="F924" s="49"/>
      <c r="G924" s="49"/>
      <c r="H924" s="49"/>
      <c r="I924" s="49"/>
      <c r="J924" s="49"/>
      <c r="K924" s="49"/>
      <c r="L924" s="49"/>
      <c r="M924" s="49"/>
      <c r="N924" s="49"/>
      <c r="O924" s="48"/>
      <c r="P924" s="48"/>
      <c r="Q924" s="48"/>
      <c r="R924" s="48"/>
      <c r="S924" s="48"/>
      <c r="T924" s="48"/>
      <c r="U924" s="48"/>
      <c r="V924" s="48"/>
      <c r="W924" s="48"/>
      <c r="X924" s="48"/>
      <c r="Y924" s="48"/>
      <c r="Z924" s="48"/>
    </row>
    <row r="925" ht="15.75" customHeight="1">
      <c r="A925" s="49"/>
      <c r="B925" s="49"/>
      <c r="C925" s="49"/>
      <c r="D925" s="49"/>
      <c r="E925" s="49"/>
      <c r="F925" s="49"/>
      <c r="G925" s="49"/>
      <c r="H925" s="49"/>
      <c r="I925" s="49"/>
      <c r="J925" s="49"/>
      <c r="K925" s="49"/>
      <c r="L925" s="49"/>
      <c r="M925" s="49"/>
      <c r="N925" s="49"/>
      <c r="O925" s="48"/>
      <c r="P925" s="48"/>
      <c r="Q925" s="48"/>
      <c r="R925" s="48"/>
      <c r="S925" s="48"/>
      <c r="T925" s="48"/>
      <c r="U925" s="48"/>
      <c r="V925" s="48"/>
      <c r="W925" s="48"/>
      <c r="X925" s="48"/>
      <c r="Y925" s="48"/>
      <c r="Z925" s="48"/>
    </row>
    <row r="926" ht="15.75" customHeight="1">
      <c r="A926" s="49"/>
      <c r="B926" s="49"/>
      <c r="C926" s="49"/>
      <c r="D926" s="49"/>
      <c r="E926" s="49"/>
      <c r="F926" s="49"/>
      <c r="G926" s="49"/>
      <c r="H926" s="49"/>
      <c r="I926" s="49"/>
      <c r="J926" s="49"/>
      <c r="K926" s="49"/>
      <c r="L926" s="49"/>
      <c r="M926" s="49"/>
      <c r="N926" s="49"/>
      <c r="O926" s="48"/>
      <c r="P926" s="48"/>
      <c r="Q926" s="48"/>
      <c r="R926" s="48"/>
      <c r="S926" s="48"/>
      <c r="T926" s="48"/>
      <c r="U926" s="48"/>
      <c r="V926" s="48"/>
      <c r="W926" s="48"/>
      <c r="X926" s="48"/>
      <c r="Y926" s="48"/>
      <c r="Z926" s="48"/>
    </row>
    <row r="927" ht="15.75" customHeight="1">
      <c r="A927" s="49"/>
      <c r="B927" s="49"/>
      <c r="C927" s="49"/>
      <c r="D927" s="49"/>
      <c r="E927" s="49"/>
      <c r="F927" s="49"/>
      <c r="G927" s="49"/>
      <c r="H927" s="49"/>
      <c r="I927" s="49"/>
      <c r="J927" s="49"/>
      <c r="K927" s="49"/>
      <c r="L927" s="49"/>
      <c r="M927" s="49"/>
      <c r="N927" s="49"/>
      <c r="O927" s="48"/>
      <c r="P927" s="48"/>
      <c r="Q927" s="48"/>
      <c r="R927" s="48"/>
      <c r="S927" s="48"/>
      <c r="T927" s="48"/>
      <c r="U927" s="48"/>
      <c r="V927" s="48"/>
      <c r="W927" s="48"/>
      <c r="X927" s="48"/>
      <c r="Y927" s="48"/>
      <c r="Z927" s="48"/>
    </row>
    <row r="928" ht="15.75" customHeight="1">
      <c r="A928" s="49"/>
      <c r="B928" s="49"/>
      <c r="C928" s="49"/>
      <c r="D928" s="49"/>
      <c r="E928" s="49"/>
      <c r="F928" s="49"/>
      <c r="G928" s="49"/>
      <c r="H928" s="49"/>
      <c r="I928" s="49"/>
      <c r="J928" s="49"/>
      <c r="K928" s="49"/>
      <c r="L928" s="49"/>
      <c r="M928" s="49"/>
      <c r="N928" s="49"/>
      <c r="O928" s="48"/>
      <c r="P928" s="48"/>
      <c r="Q928" s="48"/>
      <c r="R928" s="48"/>
      <c r="S928" s="48"/>
      <c r="T928" s="48"/>
      <c r="U928" s="48"/>
      <c r="V928" s="48"/>
      <c r="W928" s="48"/>
      <c r="X928" s="48"/>
      <c r="Y928" s="48"/>
      <c r="Z928" s="48"/>
    </row>
    <row r="929" ht="15.75" customHeight="1">
      <c r="A929" s="49"/>
      <c r="B929" s="49"/>
      <c r="C929" s="49"/>
      <c r="D929" s="49"/>
      <c r="E929" s="49"/>
      <c r="F929" s="49"/>
      <c r="G929" s="49"/>
      <c r="H929" s="49"/>
      <c r="I929" s="49"/>
      <c r="J929" s="49"/>
      <c r="K929" s="49"/>
      <c r="L929" s="49"/>
      <c r="M929" s="49"/>
      <c r="N929" s="49"/>
      <c r="O929" s="48"/>
      <c r="P929" s="48"/>
      <c r="Q929" s="48"/>
      <c r="R929" s="48"/>
      <c r="S929" s="48"/>
      <c r="T929" s="48"/>
      <c r="U929" s="48"/>
      <c r="V929" s="48"/>
      <c r="W929" s="48"/>
      <c r="X929" s="48"/>
      <c r="Y929" s="48"/>
      <c r="Z929" s="48"/>
    </row>
    <row r="930" ht="15.75" customHeight="1">
      <c r="A930" s="49"/>
      <c r="B930" s="49"/>
      <c r="C930" s="49"/>
      <c r="D930" s="49"/>
      <c r="E930" s="49"/>
      <c r="F930" s="49"/>
      <c r="G930" s="49"/>
      <c r="H930" s="49"/>
      <c r="I930" s="49"/>
      <c r="J930" s="49"/>
      <c r="K930" s="49"/>
      <c r="L930" s="49"/>
      <c r="M930" s="49"/>
      <c r="N930" s="49"/>
      <c r="O930" s="48"/>
      <c r="P930" s="48"/>
      <c r="Q930" s="48"/>
      <c r="R930" s="48"/>
      <c r="S930" s="48"/>
      <c r="T930" s="48"/>
      <c r="U930" s="48"/>
      <c r="V930" s="48"/>
      <c r="W930" s="48"/>
      <c r="X930" s="48"/>
      <c r="Y930" s="48"/>
      <c r="Z930" s="48"/>
    </row>
    <row r="931" ht="15.75" customHeight="1">
      <c r="A931" s="49"/>
      <c r="B931" s="49"/>
      <c r="C931" s="49"/>
      <c r="D931" s="49"/>
      <c r="E931" s="49"/>
      <c r="F931" s="49"/>
      <c r="G931" s="49"/>
      <c r="H931" s="49"/>
      <c r="I931" s="49"/>
      <c r="J931" s="49"/>
      <c r="K931" s="49"/>
      <c r="L931" s="49"/>
      <c r="M931" s="49"/>
      <c r="N931" s="49"/>
      <c r="O931" s="48"/>
      <c r="P931" s="48"/>
      <c r="Q931" s="48"/>
      <c r="R931" s="48"/>
      <c r="S931" s="48"/>
      <c r="T931" s="48"/>
      <c r="U931" s="48"/>
      <c r="V931" s="48"/>
      <c r="W931" s="48"/>
      <c r="X931" s="48"/>
      <c r="Y931" s="48"/>
      <c r="Z931" s="48"/>
    </row>
    <row r="932" ht="15.75" customHeight="1">
      <c r="A932" s="49"/>
      <c r="B932" s="49"/>
      <c r="C932" s="49"/>
      <c r="D932" s="49"/>
      <c r="E932" s="49"/>
      <c r="F932" s="49"/>
      <c r="G932" s="49"/>
      <c r="H932" s="49"/>
      <c r="I932" s="49"/>
      <c r="J932" s="49"/>
      <c r="K932" s="49"/>
      <c r="L932" s="49"/>
      <c r="M932" s="49"/>
      <c r="N932" s="49"/>
      <c r="O932" s="48"/>
      <c r="P932" s="48"/>
      <c r="Q932" s="48"/>
      <c r="R932" s="48"/>
      <c r="S932" s="48"/>
      <c r="T932" s="48"/>
      <c r="U932" s="48"/>
      <c r="V932" s="48"/>
      <c r="W932" s="48"/>
      <c r="X932" s="48"/>
      <c r="Y932" s="48"/>
      <c r="Z932" s="48"/>
    </row>
    <row r="933" ht="15.75" customHeight="1">
      <c r="A933" s="49"/>
      <c r="B933" s="49"/>
      <c r="C933" s="49"/>
      <c r="D933" s="49"/>
      <c r="E933" s="49"/>
      <c r="F933" s="49"/>
      <c r="G933" s="49"/>
      <c r="H933" s="49"/>
      <c r="I933" s="49"/>
      <c r="J933" s="49"/>
      <c r="K933" s="49"/>
      <c r="L933" s="49"/>
      <c r="M933" s="49"/>
      <c r="N933" s="49"/>
      <c r="O933" s="48"/>
      <c r="P933" s="48"/>
      <c r="Q933" s="48"/>
      <c r="R933" s="48"/>
      <c r="S933" s="48"/>
      <c r="T933" s="48"/>
      <c r="U933" s="48"/>
      <c r="V933" s="48"/>
      <c r="W933" s="48"/>
      <c r="X933" s="48"/>
      <c r="Y933" s="48"/>
      <c r="Z933" s="48"/>
    </row>
    <row r="934" ht="15.75" customHeight="1">
      <c r="A934" s="49"/>
      <c r="B934" s="49"/>
      <c r="C934" s="49"/>
      <c r="D934" s="49"/>
      <c r="E934" s="49"/>
      <c r="F934" s="49"/>
      <c r="G934" s="49"/>
      <c r="H934" s="49"/>
      <c r="I934" s="49"/>
      <c r="J934" s="49"/>
      <c r="K934" s="49"/>
      <c r="L934" s="49"/>
      <c r="M934" s="49"/>
      <c r="N934" s="49"/>
      <c r="O934" s="48"/>
      <c r="P934" s="48"/>
      <c r="Q934" s="48"/>
      <c r="R934" s="48"/>
      <c r="S934" s="48"/>
      <c r="T934" s="48"/>
      <c r="U934" s="48"/>
      <c r="V934" s="48"/>
      <c r="W934" s="48"/>
      <c r="X934" s="48"/>
      <c r="Y934" s="48"/>
      <c r="Z934" s="48"/>
    </row>
    <row r="935" ht="15.75" customHeight="1">
      <c r="A935" s="49"/>
      <c r="B935" s="49"/>
      <c r="C935" s="49"/>
      <c r="D935" s="49"/>
      <c r="E935" s="49"/>
      <c r="F935" s="49"/>
      <c r="G935" s="49"/>
      <c r="H935" s="49"/>
      <c r="I935" s="49"/>
      <c r="J935" s="49"/>
      <c r="K935" s="49"/>
      <c r="L935" s="49"/>
      <c r="M935" s="49"/>
      <c r="N935" s="49"/>
      <c r="O935" s="48"/>
      <c r="P935" s="48"/>
      <c r="Q935" s="48"/>
      <c r="R935" s="48"/>
      <c r="S935" s="48"/>
      <c r="T935" s="48"/>
      <c r="U935" s="48"/>
      <c r="V935" s="48"/>
      <c r="W935" s="48"/>
      <c r="X935" s="48"/>
      <c r="Y935" s="48"/>
      <c r="Z935" s="48"/>
    </row>
    <row r="936" ht="15.75" customHeight="1">
      <c r="A936" s="49"/>
      <c r="B936" s="49"/>
      <c r="C936" s="49"/>
      <c r="D936" s="49"/>
      <c r="E936" s="49"/>
      <c r="F936" s="49"/>
      <c r="G936" s="49"/>
      <c r="H936" s="49"/>
      <c r="I936" s="49"/>
      <c r="J936" s="49"/>
      <c r="K936" s="49"/>
      <c r="L936" s="49"/>
      <c r="M936" s="49"/>
      <c r="N936" s="49"/>
      <c r="O936" s="48"/>
      <c r="P936" s="48"/>
      <c r="Q936" s="48"/>
      <c r="R936" s="48"/>
      <c r="S936" s="48"/>
      <c r="T936" s="48"/>
      <c r="U936" s="48"/>
      <c r="V936" s="48"/>
      <c r="W936" s="48"/>
      <c r="X936" s="48"/>
      <c r="Y936" s="48"/>
      <c r="Z936" s="48"/>
    </row>
    <row r="937" ht="15.75" customHeight="1">
      <c r="A937" s="49"/>
      <c r="B937" s="49"/>
      <c r="C937" s="49"/>
      <c r="D937" s="49"/>
      <c r="E937" s="49"/>
      <c r="F937" s="49"/>
      <c r="G937" s="49"/>
      <c r="H937" s="49"/>
      <c r="I937" s="49"/>
      <c r="J937" s="49"/>
      <c r="K937" s="49"/>
      <c r="L937" s="49"/>
      <c r="M937" s="49"/>
      <c r="N937" s="49"/>
      <c r="O937" s="48"/>
      <c r="P937" s="48"/>
      <c r="Q937" s="48"/>
      <c r="R937" s="48"/>
      <c r="S937" s="48"/>
      <c r="T937" s="48"/>
      <c r="U937" s="48"/>
      <c r="V937" s="48"/>
      <c r="W937" s="48"/>
      <c r="X937" s="48"/>
      <c r="Y937" s="48"/>
      <c r="Z937" s="48"/>
    </row>
    <row r="938" ht="15.75" customHeight="1">
      <c r="A938" s="49"/>
      <c r="B938" s="49"/>
      <c r="C938" s="49"/>
      <c r="D938" s="49"/>
      <c r="E938" s="49"/>
      <c r="F938" s="49"/>
      <c r="G938" s="49"/>
      <c r="H938" s="49"/>
      <c r="I938" s="49"/>
      <c r="J938" s="49"/>
      <c r="K938" s="49"/>
      <c r="L938" s="49"/>
      <c r="M938" s="49"/>
      <c r="N938" s="49"/>
      <c r="O938" s="48"/>
      <c r="P938" s="48"/>
      <c r="Q938" s="48"/>
      <c r="R938" s="48"/>
      <c r="S938" s="48"/>
      <c r="T938" s="48"/>
      <c r="U938" s="48"/>
      <c r="V938" s="48"/>
      <c r="W938" s="48"/>
      <c r="X938" s="48"/>
      <c r="Y938" s="48"/>
      <c r="Z938" s="48"/>
    </row>
    <row r="939" ht="15.75" customHeight="1">
      <c r="A939" s="49"/>
      <c r="B939" s="49"/>
      <c r="C939" s="49"/>
      <c r="D939" s="49"/>
      <c r="E939" s="49"/>
      <c r="F939" s="49"/>
      <c r="G939" s="49"/>
      <c r="H939" s="49"/>
      <c r="I939" s="49"/>
      <c r="J939" s="49"/>
      <c r="K939" s="49"/>
      <c r="L939" s="49"/>
      <c r="M939" s="49"/>
      <c r="N939" s="49"/>
      <c r="O939" s="48"/>
      <c r="P939" s="48"/>
      <c r="Q939" s="48"/>
      <c r="R939" s="48"/>
      <c r="S939" s="48"/>
      <c r="T939" s="48"/>
      <c r="U939" s="48"/>
      <c r="V939" s="48"/>
      <c r="W939" s="48"/>
      <c r="X939" s="48"/>
      <c r="Y939" s="48"/>
      <c r="Z939" s="48"/>
    </row>
    <row r="940" ht="15.75" customHeight="1">
      <c r="A940" s="49"/>
      <c r="B940" s="49"/>
      <c r="C940" s="49"/>
      <c r="D940" s="49"/>
      <c r="E940" s="49"/>
      <c r="F940" s="49"/>
      <c r="G940" s="49"/>
      <c r="H940" s="49"/>
      <c r="I940" s="49"/>
      <c r="J940" s="49"/>
      <c r="K940" s="49"/>
      <c r="L940" s="49"/>
      <c r="M940" s="49"/>
      <c r="N940" s="49"/>
      <c r="O940" s="48"/>
      <c r="P940" s="48"/>
      <c r="Q940" s="48"/>
      <c r="R940" s="48"/>
      <c r="S940" s="48"/>
      <c r="T940" s="48"/>
      <c r="U940" s="48"/>
      <c r="V940" s="48"/>
      <c r="W940" s="48"/>
      <c r="X940" s="48"/>
      <c r="Y940" s="48"/>
      <c r="Z940" s="48"/>
    </row>
    <row r="941" ht="15.75" customHeight="1">
      <c r="A941" s="49"/>
      <c r="B941" s="49"/>
      <c r="C941" s="49"/>
      <c r="D941" s="49"/>
      <c r="E941" s="49"/>
      <c r="F941" s="49"/>
      <c r="G941" s="49"/>
      <c r="H941" s="49"/>
      <c r="I941" s="49"/>
      <c r="J941" s="49"/>
      <c r="K941" s="49"/>
      <c r="L941" s="49"/>
      <c r="M941" s="49"/>
      <c r="N941" s="49"/>
      <c r="O941" s="48"/>
      <c r="P941" s="48"/>
      <c r="Q941" s="48"/>
      <c r="R941" s="48"/>
      <c r="S941" s="48"/>
      <c r="T941" s="48"/>
      <c r="U941" s="48"/>
      <c r="V941" s="48"/>
      <c r="W941" s="48"/>
      <c r="X941" s="48"/>
      <c r="Y941" s="48"/>
      <c r="Z941" s="48"/>
    </row>
    <row r="942" ht="15.75" customHeight="1">
      <c r="A942" s="49"/>
      <c r="B942" s="49"/>
      <c r="C942" s="49"/>
      <c r="D942" s="49"/>
      <c r="E942" s="49"/>
      <c r="F942" s="49"/>
      <c r="G942" s="49"/>
      <c r="H942" s="49"/>
      <c r="I942" s="49"/>
      <c r="J942" s="49"/>
      <c r="K942" s="49"/>
      <c r="L942" s="49"/>
      <c r="M942" s="49"/>
      <c r="N942" s="49"/>
      <c r="O942" s="48"/>
      <c r="P942" s="48"/>
      <c r="Q942" s="48"/>
      <c r="R942" s="48"/>
      <c r="S942" s="48"/>
      <c r="T942" s="48"/>
      <c r="U942" s="48"/>
      <c r="V942" s="48"/>
      <c r="W942" s="48"/>
      <c r="X942" s="48"/>
      <c r="Y942" s="48"/>
      <c r="Z942" s="48"/>
    </row>
    <row r="943" ht="15.75" customHeight="1">
      <c r="A943" s="49"/>
      <c r="B943" s="49"/>
      <c r="C943" s="49"/>
      <c r="D943" s="49"/>
      <c r="E943" s="49"/>
      <c r="F943" s="49"/>
      <c r="G943" s="49"/>
      <c r="H943" s="49"/>
      <c r="I943" s="49"/>
      <c r="J943" s="49"/>
      <c r="K943" s="49"/>
      <c r="L943" s="49"/>
      <c r="M943" s="49"/>
      <c r="N943" s="49"/>
      <c r="O943" s="48"/>
      <c r="P943" s="48"/>
      <c r="Q943" s="48"/>
      <c r="R943" s="48"/>
      <c r="S943" s="48"/>
      <c r="T943" s="48"/>
      <c r="U943" s="48"/>
      <c r="V943" s="48"/>
      <c r="W943" s="48"/>
      <c r="X943" s="48"/>
      <c r="Y943" s="48"/>
      <c r="Z943" s="48"/>
    </row>
    <row r="944" ht="15.75" customHeight="1">
      <c r="A944" s="49"/>
      <c r="B944" s="49"/>
      <c r="C944" s="49"/>
      <c r="D944" s="49"/>
      <c r="E944" s="49"/>
      <c r="F944" s="49"/>
      <c r="G944" s="49"/>
      <c r="H944" s="49"/>
      <c r="I944" s="49"/>
      <c r="J944" s="49"/>
      <c r="K944" s="49"/>
      <c r="L944" s="49"/>
      <c r="M944" s="49"/>
      <c r="N944" s="49"/>
      <c r="O944" s="48"/>
      <c r="P944" s="48"/>
      <c r="Q944" s="48"/>
      <c r="R944" s="48"/>
      <c r="S944" s="48"/>
      <c r="T944" s="48"/>
      <c r="U944" s="48"/>
      <c r="V944" s="48"/>
      <c r="W944" s="48"/>
      <c r="X944" s="48"/>
      <c r="Y944" s="48"/>
      <c r="Z944" s="48"/>
    </row>
    <row r="945" ht="15.75" customHeight="1">
      <c r="A945" s="49"/>
      <c r="B945" s="49"/>
      <c r="C945" s="49"/>
      <c r="D945" s="49"/>
      <c r="E945" s="49"/>
      <c r="F945" s="49"/>
      <c r="G945" s="49"/>
      <c r="H945" s="49"/>
      <c r="I945" s="49"/>
      <c r="J945" s="49"/>
      <c r="K945" s="49"/>
      <c r="L945" s="49"/>
      <c r="M945" s="49"/>
      <c r="N945" s="49"/>
      <c r="O945" s="48"/>
      <c r="P945" s="48"/>
      <c r="Q945" s="48"/>
      <c r="R945" s="48"/>
      <c r="S945" s="48"/>
      <c r="T945" s="48"/>
      <c r="U945" s="48"/>
      <c r="V945" s="48"/>
      <c r="W945" s="48"/>
      <c r="X945" s="48"/>
      <c r="Y945" s="48"/>
      <c r="Z945" s="48"/>
    </row>
    <row r="946" ht="15.75" customHeight="1">
      <c r="A946" s="49"/>
      <c r="B946" s="49"/>
      <c r="C946" s="49"/>
      <c r="D946" s="49"/>
      <c r="E946" s="49"/>
      <c r="F946" s="49"/>
      <c r="G946" s="49"/>
      <c r="H946" s="49"/>
      <c r="I946" s="49"/>
      <c r="J946" s="49"/>
      <c r="K946" s="49"/>
      <c r="L946" s="49"/>
      <c r="M946" s="49"/>
      <c r="N946" s="49"/>
      <c r="O946" s="48"/>
      <c r="P946" s="48"/>
      <c r="Q946" s="48"/>
      <c r="R946" s="48"/>
      <c r="S946" s="48"/>
      <c r="T946" s="48"/>
      <c r="U946" s="48"/>
      <c r="V946" s="48"/>
      <c r="W946" s="48"/>
      <c r="X946" s="48"/>
      <c r="Y946" s="48"/>
      <c r="Z946" s="48"/>
    </row>
    <row r="947" ht="15.75" customHeight="1">
      <c r="A947" s="49"/>
      <c r="B947" s="49"/>
      <c r="C947" s="49"/>
      <c r="D947" s="49"/>
      <c r="E947" s="49"/>
      <c r="F947" s="49"/>
      <c r="G947" s="49"/>
      <c r="H947" s="49"/>
      <c r="I947" s="49"/>
      <c r="J947" s="49"/>
      <c r="K947" s="49"/>
      <c r="L947" s="49"/>
      <c r="M947" s="49"/>
      <c r="N947" s="49"/>
      <c r="O947" s="48"/>
      <c r="P947" s="48"/>
      <c r="Q947" s="48"/>
      <c r="R947" s="48"/>
      <c r="S947" s="48"/>
      <c r="T947" s="48"/>
      <c r="U947" s="48"/>
      <c r="V947" s="48"/>
      <c r="W947" s="48"/>
      <c r="X947" s="48"/>
      <c r="Y947" s="48"/>
      <c r="Z947" s="48"/>
    </row>
    <row r="948" ht="15.75" customHeight="1">
      <c r="A948" s="49"/>
      <c r="B948" s="49"/>
      <c r="C948" s="49"/>
      <c r="D948" s="49"/>
      <c r="E948" s="49"/>
      <c r="F948" s="49"/>
      <c r="G948" s="49"/>
      <c r="H948" s="49"/>
      <c r="I948" s="49"/>
      <c r="J948" s="49"/>
      <c r="K948" s="49"/>
      <c r="L948" s="49"/>
      <c r="M948" s="49"/>
      <c r="N948" s="49"/>
      <c r="O948" s="48"/>
      <c r="P948" s="48"/>
      <c r="Q948" s="48"/>
      <c r="R948" s="48"/>
      <c r="S948" s="48"/>
      <c r="T948" s="48"/>
      <c r="U948" s="48"/>
      <c r="V948" s="48"/>
      <c r="W948" s="48"/>
      <c r="X948" s="48"/>
      <c r="Y948" s="48"/>
      <c r="Z948" s="48"/>
    </row>
    <row r="949" ht="15.75" customHeight="1">
      <c r="A949" s="49"/>
      <c r="B949" s="49"/>
      <c r="C949" s="49"/>
      <c r="D949" s="49"/>
      <c r="E949" s="49"/>
      <c r="F949" s="49"/>
      <c r="G949" s="49"/>
      <c r="H949" s="49"/>
      <c r="I949" s="49"/>
      <c r="J949" s="49"/>
      <c r="K949" s="49"/>
      <c r="L949" s="49"/>
      <c r="M949" s="49"/>
      <c r="N949" s="49"/>
      <c r="O949" s="48"/>
      <c r="P949" s="48"/>
      <c r="Q949" s="48"/>
      <c r="R949" s="48"/>
      <c r="S949" s="48"/>
      <c r="T949" s="48"/>
      <c r="U949" s="48"/>
      <c r="V949" s="48"/>
      <c r="W949" s="48"/>
      <c r="X949" s="48"/>
      <c r="Y949" s="48"/>
      <c r="Z949" s="48"/>
    </row>
    <row r="950" ht="15.75" customHeight="1">
      <c r="A950" s="49"/>
      <c r="B950" s="49"/>
      <c r="C950" s="49"/>
      <c r="D950" s="49"/>
      <c r="E950" s="49"/>
      <c r="F950" s="49"/>
      <c r="G950" s="49"/>
      <c r="H950" s="49"/>
      <c r="I950" s="49"/>
      <c r="J950" s="49"/>
      <c r="K950" s="49"/>
      <c r="L950" s="49"/>
      <c r="M950" s="49"/>
      <c r="N950" s="49"/>
      <c r="O950" s="48"/>
      <c r="P950" s="48"/>
      <c r="Q950" s="48"/>
      <c r="R950" s="48"/>
      <c r="S950" s="48"/>
      <c r="T950" s="48"/>
      <c r="U950" s="48"/>
      <c r="V950" s="48"/>
      <c r="W950" s="48"/>
      <c r="X950" s="48"/>
      <c r="Y950" s="48"/>
      <c r="Z950" s="48"/>
    </row>
    <row r="951" ht="15.75" customHeight="1">
      <c r="A951" s="49"/>
      <c r="B951" s="49"/>
      <c r="C951" s="49"/>
      <c r="D951" s="49"/>
      <c r="E951" s="49"/>
      <c r="F951" s="49"/>
      <c r="G951" s="49"/>
      <c r="H951" s="49"/>
      <c r="I951" s="49"/>
      <c r="J951" s="49"/>
      <c r="K951" s="49"/>
      <c r="L951" s="49"/>
      <c r="M951" s="49"/>
      <c r="N951" s="49"/>
      <c r="O951" s="48"/>
      <c r="P951" s="48"/>
      <c r="Q951" s="48"/>
      <c r="R951" s="48"/>
      <c r="S951" s="48"/>
      <c r="T951" s="48"/>
      <c r="U951" s="48"/>
      <c r="V951" s="48"/>
      <c r="W951" s="48"/>
      <c r="X951" s="48"/>
      <c r="Y951" s="48"/>
      <c r="Z951" s="48"/>
    </row>
    <row r="952" ht="15.75" customHeight="1">
      <c r="A952" s="49"/>
      <c r="B952" s="49"/>
      <c r="C952" s="49"/>
      <c r="D952" s="49"/>
      <c r="E952" s="49"/>
      <c r="F952" s="49"/>
      <c r="G952" s="49"/>
      <c r="H952" s="49"/>
      <c r="I952" s="49"/>
      <c r="J952" s="49"/>
      <c r="K952" s="49"/>
      <c r="L952" s="49"/>
      <c r="M952" s="49"/>
      <c r="N952" s="49"/>
      <c r="O952" s="48"/>
      <c r="P952" s="48"/>
      <c r="Q952" s="48"/>
      <c r="R952" s="48"/>
      <c r="S952" s="48"/>
      <c r="T952" s="48"/>
      <c r="U952" s="48"/>
      <c r="V952" s="48"/>
      <c r="W952" s="48"/>
      <c r="X952" s="48"/>
      <c r="Y952" s="48"/>
      <c r="Z952" s="48"/>
    </row>
    <row r="953" ht="15.75" customHeight="1">
      <c r="A953" s="49"/>
      <c r="B953" s="49"/>
      <c r="C953" s="49"/>
      <c r="D953" s="49"/>
      <c r="E953" s="49"/>
      <c r="F953" s="49"/>
      <c r="G953" s="49"/>
      <c r="H953" s="49"/>
      <c r="I953" s="49"/>
      <c r="J953" s="49"/>
      <c r="K953" s="49"/>
      <c r="L953" s="49"/>
      <c r="M953" s="49"/>
      <c r="N953" s="49"/>
      <c r="O953" s="48"/>
      <c r="P953" s="48"/>
      <c r="Q953" s="48"/>
      <c r="R953" s="48"/>
      <c r="S953" s="48"/>
      <c r="T953" s="48"/>
      <c r="U953" s="48"/>
      <c r="V953" s="48"/>
      <c r="W953" s="48"/>
      <c r="X953" s="48"/>
      <c r="Y953" s="48"/>
      <c r="Z953" s="48"/>
    </row>
    <row r="954" ht="15.75" customHeight="1">
      <c r="A954" s="49"/>
      <c r="B954" s="49"/>
      <c r="C954" s="49"/>
      <c r="D954" s="49"/>
      <c r="E954" s="49"/>
      <c r="F954" s="49"/>
      <c r="G954" s="49"/>
      <c r="H954" s="49"/>
      <c r="I954" s="49"/>
      <c r="J954" s="49"/>
      <c r="K954" s="49"/>
      <c r="L954" s="49"/>
      <c r="M954" s="49"/>
      <c r="N954" s="49"/>
      <c r="O954" s="48"/>
      <c r="P954" s="48"/>
      <c r="Q954" s="48"/>
      <c r="R954" s="48"/>
      <c r="S954" s="48"/>
      <c r="T954" s="48"/>
      <c r="U954" s="48"/>
      <c r="V954" s="48"/>
      <c r="W954" s="48"/>
      <c r="X954" s="48"/>
      <c r="Y954" s="48"/>
      <c r="Z954" s="48"/>
    </row>
    <row r="955" ht="15.75" customHeight="1">
      <c r="A955" s="49"/>
      <c r="B955" s="49"/>
      <c r="C955" s="49"/>
      <c r="D955" s="49"/>
      <c r="E955" s="49"/>
      <c r="F955" s="49"/>
      <c r="G955" s="49"/>
      <c r="H955" s="49"/>
      <c r="I955" s="49"/>
      <c r="J955" s="49"/>
      <c r="K955" s="49"/>
      <c r="L955" s="49"/>
      <c r="M955" s="49"/>
      <c r="N955" s="49"/>
      <c r="O955" s="48"/>
      <c r="P955" s="48"/>
      <c r="Q955" s="48"/>
      <c r="R955" s="48"/>
      <c r="S955" s="48"/>
      <c r="T955" s="48"/>
      <c r="U955" s="48"/>
      <c r="V955" s="48"/>
      <c r="W955" s="48"/>
      <c r="X955" s="48"/>
      <c r="Y955" s="48"/>
      <c r="Z955" s="48"/>
    </row>
    <row r="956" ht="15.75" customHeight="1">
      <c r="A956" s="49"/>
      <c r="B956" s="49"/>
      <c r="C956" s="49"/>
      <c r="D956" s="49"/>
      <c r="E956" s="49"/>
      <c r="F956" s="49"/>
      <c r="G956" s="49"/>
      <c r="H956" s="49"/>
      <c r="I956" s="49"/>
      <c r="J956" s="49"/>
      <c r="K956" s="49"/>
      <c r="L956" s="49"/>
      <c r="M956" s="49"/>
      <c r="N956" s="49"/>
      <c r="O956" s="48"/>
      <c r="P956" s="48"/>
      <c r="Q956" s="48"/>
      <c r="R956" s="48"/>
      <c r="S956" s="48"/>
      <c r="T956" s="48"/>
      <c r="U956" s="48"/>
      <c r="V956" s="48"/>
      <c r="W956" s="48"/>
      <c r="X956" s="48"/>
      <c r="Y956" s="48"/>
      <c r="Z956" s="48"/>
    </row>
    <row r="957" ht="15.75" customHeight="1">
      <c r="A957" s="49"/>
      <c r="B957" s="49"/>
      <c r="C957" s="49"/>
      <c r="D957" s="49"/>
      <c r="E957" s="49"/>
      <c r="F957" s="49"/>
      <c r="G957" s="49"/>
      <c r="H957" s="49"/>
      <c r="I957" s="49"/>
      <c r="J957" s="49"/>
      <c r="K957" s="49"/>
      <c r="L957" s="49"/>
      <c r="M957" s="49"/>
      <c r="N957" s="49"/>
      <c r="O957" s="48"/>
      <c r="P957" s="48"/>
      <c r="Q957" s="48"/>
      <c r="R957" s="48"/>
      <c r="S957" s="48"/>
      <c r="T957" s="48"/>
      <c r="U957" s="48"/>
      <c r="V957" s="48"/>
      <c r="W957" s="48"/>
      <c r="X957" s="48"/>
      <c r="Y957" s="48"/>
      <c r="Z957" s="48"/>
    </row>
    <row r="958" ht="15.75" customHeight="1">
      <c r="A958" s="49"/>
      <c r="B958" s="49"/>
      <c r="C958" s="49"/>
      <c r="D958" s="49"/>
      <c r="E958" s="49"/>
      <c r="F958" s="49"/>
      <c r="G958" s="49"/>
      <c r="H958" s="49"/>
      <c r="I958" s="49"/>
      <c r="J958" s="49"/>
      <c r="K958" s="49"/>
      <c r="L958" s="49"/>
      <c r="M958" s="49"/>
      <c r="N958" s="49"/>
      <c r="O958" s="48"/>
      <c r="P958" s="48"/>
      <c r="Q958" s="48"/>
      <c r="R958" s="48"/>
      <c r="S958" s="48"/>
      <c r="T958" s="48"/>
      <c r="U958" s="48"/>
      <c r="V958" s="48"/>
      <c r="W958" s="48"/>
      <c r="X958" s="48"/>
      <c r="Y958" s="48"/>
      <c r="Z958" s="48"/>
    </row>
    <row r="959" ht="15.75" customHeight="1">
      <c r="A959" s="49"/>
      <c r="B959" s="49"/>
      <c r="C959" s="49"/>
      <c r="D959" s="49"/>
      <c r="E959" s="49"/>
      <c r="F959" s="49"/>
      <c r="G959" s="49"/>
      <c r="H959" s="49"/>
      <c r="I959" s="49"/>
      <c r="J959" s="49"/>
      <c r="K959" s="49"/>
      <c r="L959" s="49"/>
      <c r="M959" s="49"/>
      <c r="N959" s="49"/>
      <c r="O959" s="48"/>
      <c r="P959" s="48"/>
      <c r="Q959" s="48"/>
      <c r="R959" s="48"/>
      <c r="S959" s="48"/>
      <c r="T959" s="48"/>
      <c r="U959" s="48"/>
      <c r="V959" s="48"/>
      <c r="W959" s="48"/>
      <c r="X959" s="48"/>
      <c r="Y959" s="48"/>
      <c r="Z959" s="48"/>
    </row>
    <row r="960" ht="15.75" customHeight="1">
      <c r="A960" s="49"/>
      <c r="B960" s="49"/>
      <c r="C960" s="49"/>
      <c r="D960" s="49"/>
      <c r="E960" s="49"/>
      <c r="F960" s="49"/>
      <c r="G960" s="49"/>
      <c r="H960" s="49"/>
      <c r="I960" s="49"/>
      <c r="J960" s="49"/>
      <c r="K960" s="49"/>
      <c r="L960" s="49"/>
      <c r="M960" s="49"/>
      <c r="N960" s="49"/>
      <c r="O960" s="48"/>
      <c r="P960" s="48"/>
      <c r="Q960" s="48"/>
      <c r="R960" s="48"/>
      <c r="S960" s="48"/>
      <c r="T960" s="48"/>
      <c r="U960" s="48"/>
      <c r="V960" s="48"/>
      <c r="W960" s="48"/>
      <c r="X960" s="48"/>
      <c r="Y960" s="48"/>
      <c r="Z960" s="48"/>
    </row>
    <row r="961" ht="15.75" customHeight="1">
      <c r="A961" s="49"/>
      <c r="B961" s="49"/>
      <c r="C961" s="49"/>
      <c r="D961" s="49"/>
      <c r="E961" s="49"/>
      <c r="F961" s="49"/>
      <c r="G961" s="49"/>
      <c r="H961" s="49"/>
      <c r="I961" s="49"/>
      <c r="J961" s="49"/>
      <c r="K961" s="49"/>
      <c r="L961" s="49"/>
      <c r="M961" s="49"/>
      <c r="N961" s="49"/>
      <c r="O961" s="48"/>
      <c r="P961" s="48"/>
      <c r="Q961" s="48"/>
      <c r="R961" s="48"/>
      <c r="S961" s="48"/>
      <c r="T961" s="48"/>
      <c r="U961" s="48"/>
      <c r="V961" s="48"/>
      <c r="W961" s="48"/>
      <c r="X961" s="48"/>
      <c r="Y961" s="48"/>
      <c r="Z961" s="48"/>
    </row>
    <row r="962" ht="15.75" customHeight="1">
      <c r="A962" s="49"/>
      <c r="B962" s="49"/>
      <c r="C962" s="49"/>
      <c r="D962" s="49"/>
      <c r="E962" s="49"/>
      <c r="F962" s="49"/>
      <c r="G962" s="49"/>
      <c r="H962" s="49"/>
      <c r="I962" s="49"/>
      <c r="J962" s="49"/>
      <c r="K962" s="49"/>
      <c r="L962" s="49"/>
      <c r="M962" s="49"/>
      <c r="N962" s="49"/>
      <c r="O962" s="48"/>
      <c r="P962" s="48"/>
      <c r="Q962" s="48"/>
      <c r="R962" s="48"/>
      <c r="S962" s="48"/>
      <c r="T962" s="48"/>
      <c r="U962" s="48"/>
      <c r="V962" s="48"/>
      <c r="W962" s="48"/>
      <c r="X962" s="48"/>
      <c r="Y962" s="48"/>
      <c r="Z962" s="48"/>
    </row>
    <row r="963" ht="15.75" customHeight="1">
      <c r="A963" s="49"/>
      <c r="B963" s="49"/>
      <c r="C963" s="49"/>
      <c r="D963" s="49"/>
      <c r="E963" s="49"/>
      <c r="F963" s="49"/>
      <c r="G963" s="49"/>
      <c r="H963" s="49"/>
      <c r="I963" s="49"/>
      <c r="J963" s="49"/>
      <c r="K963" s="49"/>
      <c r="L963" s="49"/>
      <c r="M963" s="49"/>
      <c r="N963" s="49"/>
      <c r="O963" s="48"/>
      <c r="P963" s="48"/>
      <c r="Q963" s="48"/>
      <c r="R963" s="48"/>
      <c r="S963" s="48"/>
      <c r="T963" s="48"/>
      <c r="U963" s="48"/>
      <c r="V963" s="48"/>
      <c r="W963" s="48"/>
      <c r="X963" s="48"/>
      <c r="Y963" s="48"/>
      <c r="Z963" s="48"/>
    </row>
    <row r="964" ht="15.75" customHeight="1">
      <c r="A964" s="49"/>
      <c r="B964" s="49"/>
      <c r="C964" s="49"/>
      <c r="D964" s="49"/>
      <c r="E964" s="49"/>
      <c r="F964" s="49"/>
      <c r="G964" s="49"/>
      <c r="H964" s="49"/>
      <c r="I964" s="49"/>
      <c r="J964" s="49"/>
      <c r="K964" s="49"/>
      <c r="L964" s="49"/>
      <c r="M964" s="49"/>
      <c r="N964" s="49"/>
      <c r="O964" s="48"/>
      <c r="P964" s="48"/>
      <c r="Q964" s="48"/>
      <c r="R964" s="48"/>
      <c r="S964" s="48"/>
      <c r="T964" s="48"/>
      <c r="U964" s="48"/>
      <c r="V964" s="48"/>
      <c r="W964" s="48"/>
      <c r="X964" s="48"/>
      <c r="Y964" s="48"/>
      <c r="Z964" s="48"/>
    </row>
    <row r="965" ht="15.75" customHeight="1">
      <c r="A965" s="49"/>
      <c r="B965" s="49"/>
      <c r="C965" s="49"/>
      <c r="D965" s="49"/>
      <c r="E965" s="49"/>
      <c r="F965" s="49"/>
      <c r="G965" s="49"/>
      <c r="H965" s="49"/>
      <c r="I965" s="49"/>
      <c r="J965" s="49"/>
      <c r="K965" s="49"/>
      <c r="L965" s="49"/>
      <c r="M965" s="49"/>
      <c r="N965" s="49"/>
      <c r="O965" s="48"/>
      <c r="P965" s="48"/>
      <c r="Q965" s="48"/>
      <c r="R965" s="48"/>
      <c r="S965" s="48"/>
      <c r="T965" s="48"/>
      <c r="U965" s="48"/>
      <c r="V965" s="48"/>
      <c r="W965" s="48"/>
      <c r="X965" s="48"/>
      <c r="Y965" s="48"/>
      <c r="Z965" s="48"/>
    </row>
    <row r="966" ht="15.75" customHeight="1">
      <c r="A966" s="49"/>
      <c r="B966" s="49"/>
      <c r="C966" s="49"/>
      <c r="D966" s="49"/>
      <c r="E966" s="49"/>
      <c r="F966" s="49"/>
      <c r="G966" s="49"/>
      <c r="H966" s="49"/>
      <c r="I966" s="49"/>
      <c r="J966" s="49"/>
      <c r="K966" s="49"/>
      <c r="L966" s="49"/>
      <c r="M966" s="49"/>
      <c r="N966" s="49"/>
      <c r="O966" s="48"/>
      <c r="P966" s="48"/>
      <c r="Q966" s="48"/>
      <c r="R966" s="48"/>
      <c r="S966" s="48"/>
      <c r="T966" s="48"/>
      <c r="U966" s="48"/>
      <c r="V966" s="48"/>
      <c r="W966" s="48"/>
      <c r="X966" s="48"/>
      <c r="Y966" s="48"/>
      <c r="Z966" s="48"/>
    </row>
    <row r="967" ht="15.75" customHeight="1">
      <c r="A967" s="49"/>
      <c r="B967" s="49"/>
      <c r="C967" s="49"/>
      <c r="D967" s="49"/>
      <c r="E967" s="49"/>
      <c r="F967" s="49"/>
      <c r="G967" s="49"/>
      <c r="H967" s="49"/>
      <c r="I967" s="49"/>
      <c r="J967" s="49"/>
      <c r="K967" s="49"/>
      <c r="L967" s="49"/>
      <c r="M967" s="49"/>
      <c r="N967" s="49"/>
      <c r="O967" s="48"/>
      <c r="P967" s="48"/>
      <c r="Q967" s="48"/>
      <c r="R967" s="48"/>
      <c r="S967" s="48"/>
      <c r="T967" s="48"/>
      <c r="U967" s="48"/>
      <c r="V967" s="48"/>
      <c r="W967" s="48"/>
      <c r="X967" s="48"/>
      <c r="Y967" s="48"/>
      <c r="Z967" s="48"/>
    </row>
    <row r="968" ht="15.75" customHeight="1">
      <c r="A968" s="49"/>
      <c r="B968" s="49"/>
      <c r="C968" s="49"/>
      <c r="D968" s="49"/>
      <c r="E968" s="49"/>
      <c r="F968" s="49"/>
      <c r="G968" s="49"/>
      <c r="H968" s="49"/>
      <c r="I968" s="49"/>
      <c r="J968" s="49"/>
      <c r="K968" s="49"/>
      <c r="L968" s="49"/>
      <c r="M968" s="49"/>
      <c r="N968" s="49"/>
      <c r="O968" s="48"/>
      <c r="P968" s="48"/>
      <c r="Q968" s="48"/>
      <c r="R968" s="48"/>
      <c r="S968" s="48"/>
      <c r="T968" s="48"/>
      <c r="U968" s="48"/>
      <c r="V968" s="48"/>
      <c r="W968" s="48"/>
      <c r="X968" s="48"/>
      <c r="Y968" s="48"/>
      <c r="Z968" s="48"/>
    </row>
    <row r="969" ht="15.75" customHeight="1">
      <c r="A969" s="49"/>
      <c r="B969" s="49"/>
      <c r="C969" s="49"/>
      <c r="D969" s="49"/>
      <c r="E969" s="49"/>
      <c r="F969" s="49"/>
      <c r="G969" s="49"/>
      <c r="H969" s="49"/>
      <c r="I969" s="49"/>
      <c r="J969" s="49"/>
      <c r="K969" s="49"/>
      <c r="L969" s="49"/>
      <c r="M969" s="49"/>
      <c r="N969" s="49"/>
      <c r="O969" s="48"/>
      <c r="P969" s="48"/>
      <c r="Q969" s="48"/>
      <c r="R969" s="48"/>
      <c r="S969" s="48"/>
      <c r="T969" s="48"/>
      <c r="U969" s="48"/>
      <c r="V969" s="48"/>
      <c r="W969" s="48"/>
      <c r="X969" s="48"/>
      <c r="Y969" s="48"/>
      <c r="Z969" s="48"/>
    </row>
    <row r="970" ht="15.75" customHeight="1">
      <c r="A970" s="49"/>
      <c r="B970" s="49"/>
      <c r="C970" s="49"/>
      <c r="D970" s="49"/>
      <c r="E970" s="49"/>
      <c r="F970" s="49"/>
      <c r="G970" s="49"/>
      <c r="H970" s="49"/>
      <c r="I970" s="49"/>
      <c r="J970" s="49"/>
      <c r="K970" s="49"/>
      <c r="L970" s="49"/>
      <c r="M970" s="49"/>
      <c r="N970" s="49"/>
      <c r="O970" s="48"/>
      <c r="P970" s="48"/>
      <c r="Q970" s="48"/>
      <c r="R970" s="48"/>
      <c r="S970" s="48"/>
      <c r="T970" s="48"/>
      <c r="U970" s="48"/>
      <c r="V970" s="48"/>
      <c r="W970" s="48"/>
      <c r="X970" s="48"/>
      <c r="Y970" s="48"/>
      <c r="Z970" s="48"/>
    </row>
    <row r="971" ht="15.75" customHeight="1">
      <c r="A971" s="49"/>
      <c r="B971" s="49"/>
      <c r="C971" s="49"/>
      <c r="D971" s="49"/>
      <c r="E971" s="49"/>
      <c r="F971" s="49"/>
      <c r="G971" s="49"/>
      <c r="H971" s="49"/>
      <c r="I971" s="49"/>
      <c r="J971" s="49"/>
      <c r="K971" s="49"/>
      <c r="L971" s="49"/>
      <c r="M971" s="49"/>
      <c r="N971" s="49"/>
      <c r="O971" s="48"/>
      <c r="P971" s="48"/>
      <c r="Q971" s="48"/>
      <c r="R971" s="48"/>
      <c r="S971" s="48"/>
      <c r="T971" s="48"/>
      <c r="U971" s="48"/>
      <c r="V971" s="48"/>
      <c r="W971" s="48"/>
      <c r="X971" s="48"/>
      <c r="Y971" s="48"/>
      <c r="Z971" s="48"/>
    </row>
    <row r="972" ht="15.75" customHeight="1">
      <c r="A972" s="49"/>
      <c r="B972" s="49"/>
      <c r="C972" s="49"/>
      <c r="D972" s="49"/>
      <c r="E972" s="49"/>
      <c r="F972" s="49"/>
      <c r="G972" s="49"/>
      <c r="H972" s="49"/>
      <c r="I972" s="49"/>
      <c r="J972" s="49"/>
      <c r="K972" s="49"/>
      <c r="L972" s="49"/>
      <c r="M972" s="49"/>
      <c r="N972" s="49"/>
      <c r="O972" s="48"/>
      <c r="P972" s="48"/>
      <c r="Q972" s="48"/>
      <c r="R972" s="48"/>
      <c r="S972" s="48"/>
      <c r="T972" s="48"/>
      <c r="U972" s="48"/>
      <c r="V972" s="48"/>
      <c r="W972" s="48"/>
      <c r="X972" s="48"/>
      <c r="Y972" s="48"/>
      <c r="Z972" s="48"/>
    </row>
    <row r="973" ht="15.75" customHeight="1">
      <c r="A973" s="49"/>
      <c r="B973" s="49"/>
      <c r="C973" s="49"/>
      <c r="D973" s="49"/>
      <c r="E973" s="49"/>
      <c r="F973" s="49"/>
      <c r="G973" s="49"/>
      <c r="H973" s="49"/>
      <c r="I973" s="49"/>
      <c r="J973" s="49"/>
      <c r="K973" s="49"/>
      <c r="L973" s="49"/>
      <c r="M973" s="49"/>
      <c r="N973" s="49"/>
      <c r="O973" s="48"/>
      <c r="P973" s="48"/>
      <c r="Q973" s="48"/>
      <c r="R973" s="48"/>
      <c r="S973" s="48"/>
      <c r="T973" s="48"/>
      <c r="U973" s="48"/>
      <c r="V973" s="48"/>
      <c r="W973" s="48"/>
      <c r="X973" s="48"/>
      <c r="Y973" s="48"/>
      <c r="Z973" s="48"/>
    </row>
    <row r="974" ht="15.75" customHeight="1">
      <c r="A974" s="49"/>
      <c r="B974" s="49"/>
      <c r="C974" s="49"/>
      <c r="D974" s="49"/>
      <c r="E974" s="49"/>
      <c r="F974" s="49"/>
      <c r="G974" s="49"/>
      <c r="H974" s="49"/>
      <c r="I974" s="49"/>
      <c r="J974" s="49"/>
      <c r="K974" s="49"/>
      <c r="L974" s="49"/>
      <c r="M974" s="49"/>
      <c r="N974" s="49"/>
      <c r="O974" s="48"/>
      <c r="P974" s="48"/>
      <c r="Q974" s="48"/>
      <c r="R974" s="48"/>
      <c r="S974" s="48"/>
      <c r="T974" s="48"/>
      <c r="U974" s="48"/>
      <c r="V974" s="48"/>
      <c r="W974" s="48"/>
      <c r="X974" s="48"/>
      <c r="Y974" s="48"/>
      <c r="Z974" s="48"/>
    </row>
    <row r="975" ht="15.75" customHeight="1">
      <c r="A975" s="49"/>
      <c r="B975" s="49"/>
      <c r="C975" s="49"/>
      <c r="D975" s="49"/>
      <c r="E975" s="49"/>
      <c r="F975" s="49"/>
      <c r="G975" s="49"/>
      <c r="H975" s="49"/>
      <c r="I975" s="49"/>
      <c r="J975" s="49"/>
      <c r="K975" s="49"/>
      <c r="L975" s="49"/>
      <c r="M975" s="49"/>
      <c r="N975" s="49"/>
      <c r="O975" s="48"/>
      <c r="P975" s="48"/>
      <c r="Q975" s="48"/>
      <c r="R975" s="48"/>
      <c r="S975" s="48"/>
      <c r="T975" s="48"/>
      <c r="U975" s="48"/>
      <c r="V975" s="48"/>
      <c r="W975" s="48"/>
      <c r="X975" s="48"/>
      <c r="Y975" s="48"/>
      <c r="Z975" s="48"/>
    </row>
    <row r="976" ht="15.75" customHeight="1">
      <c r="A976" s="49"/>
      <c r="B976" s="49"/>
      <c r="C976" s="49"/>
      <c r="D976" s="49"/>
      <c r="E976" s="49"/>
      <c r="F976" s="49"/>
      <c r="G976" s="49"/>
      <c r="H976" s="49"/>
      <c r="I976" s="49"/>
      <c r="J976" s="49"/>
      <c r="K976" s="49"/>
      <c r="L976" s="49"/>
      <c r="M976" s="49"/>
      <c r="N976" s="49"/>
      <c r="O976" s="48"/>
      <c r="P976" s="48"/>
      <c r="Q976" s="48"/>
      <c r="R976" s="48"/>
      <c r="S976" s="48"/>
      <c r="T976" s="48"/>
      <c r="U976" s="48"/>
      <c r="V976" s="48"/>
      <c r="W976" s="48"/>
      <c r="X976" s="48"/>
      <c r="Y976" s="48"/>
      <c r="Z976" s="48"/>
    </row>
    <row r="977" ht="15.75" customHeight="1">
      <c r="A977" s="49"/>
      <c r="B977" s="49"/>
      <c r="C977" s="49"/>
      <c r="D977" s="49"/>
      <c r="E977" s="49"/>
      <c r="F977" s="49"/>
      <c r="G977" s="49"/>
      <c r="H977" s="49"/>
      <c r="I977" s="49"/>
      <c r="J977" s="49"/>
      <c r="K977" s="49"/>
      <c r="L977" s="49"/>
      <c r="M977" s="49"/>
      <c r="N977" s="49"/>
      <c r="O977" s="48"/>
      <c r="P977" s="48"/>
      <c r="Q977" s="48"/>
      <c r="R977" s="48"/>
      <c r="S977" s="48"/>
      <c r="T977" s="48"/>
      <c r="U977" s="48"/>
      <c r="V977" s="48"/>
      <c r="W977" s="48"/>
      <c r="X977" s="48"/>
      <c r="Y977" s="48"/>
      <c r="Z977" s="48"/>
    </row>
    <row r="978" ht="15.75" customHeight="1">
      <c r="A978" s="49"/>
      <c r="B978" s="49"/>
      <c r="C978" s="49"/>
      <c r="D978" s="49"/>
      <c r="E978" s="49"/>
      <c r="F978" s="49"/>
      <c r="G978" s="49"/>
      <c r="H978" s="49"/>
      <c r="I978" s="49"/>
      <c r="J978" s="49"/>
      <c r="K978" s="49"/>
      <c r="L978" s="49"/>
      <c r="M978" s="49"/>
      <c r="N978" s="49"/>
      <c r="O978" s="48"/>
      <c r="P978" s="48"/>
      <c r="Q978" s="48"/>
      <c r="R978" s="48"/>
      <c r="S978" s="48"/>
      <c r="T978" s="48"/>
      <c r="U978" s="48"/>
      <c r="V978" s="48"/>
      <c r="W978" s="48"/>
      <c r="X978" s="48"/>
      <c r="Y978" s="48"/>
      <c r="Z978" s="48"/>
    </row>
    <row r="979" ht="15.75" customHeight="1">
      <c r="A979" s="49"/>
      <c r="B979" s="49"/>
      <c r="C979" s="49"/>
      <c r="D979" s="49"/>
      <c r="E979" s="49"/>
      <c r="F979" s="49"/>
      <c r="G979" s="49"/>
      <c r="H979" s="49"/>
      <c r="I979" s="49"/>
      <c r="J979" s="49"/>
      <c r="K979" s="49"/>
      <c r="L979" s="49"/>
      <c r="M979" s="49"/>
      <c r="N979" s="49"/>
      <c r="O979" s="48"/>
      <c r="P979" s="48"/>
      <c r="Q979" s="48"/>
      <c r="R979" s="48"/>
      <c r="S979" s="48"/>
      <c r="T979" s="48"/>
      <c r="U979" s="48"/>
      <c r="V979" s="48"/>
      <c r="W979" s="48"/>
      <c r="X979" s="48"/>
      <c r="Y979" s="48"/>
      <c r="Z979" s="48"/>
    </row>
    <row r="980" ht="15.75" customHeight="1">
      <c r="A980" s="49"/>
      <c r="B980" s="49"/>
      <c r="C980" s="49"/>
      <c r="D980" s="49"/>
      <c r="E980" s="49"/>
      <c r="F980" s="49"/>
      <c r="G980" s="49"/>
      <c r="H980" s="49"/>
      <c r="I980" s="49"/>
      <c r="J980" s="49"/>
      <c r="K980" s="49"/>
      <c r="L980" s="49"/>
      <c r="M980" s="49"/>
      <c r="N980" s="49"/>
      <c r="O980" s="48"/>
      <c r="P980" s="48"/>
      <c r="Q980" s="48"/>
      <c r="R980" s="48"/>
      <c r="S980" s="48"/>
      <c r="T980" s="48"/>
      <c r="U980" s="48"/>
      <c r="V980" s="48"/>
      <c r="W980" s="48"/>
      <c r="X980" s="48"/>
      <c r="Y980" s="48"/>
      <c r="Z980" s="48"/>
    </row>
    <row r="981" ht="15.75" customHeight="1">
      <c r="A981" s="49"/>
      <c r="B981" s="49"/>
      <c r="C981" s="49"/>
      <c r="D981" s="49"/>
      <c r="E981" s="49"/>
      <c r="F981" s="49"/>
      <c r="G981" s="49"/>
      <c r="H981" s="49"/>
      <c r="I981" s="49"/>
      <c r="J981" s="49"/>
      <c r="K981" s="49"/>
      <c r="L981" s="49"/>
      <c r="M981" s="49"/>
      <c r="N981" s="49"/>
      <c r="O981" s="48"/>
      <c r="P981" s="48"/>
      <c r="Q981" s="48"/>
      <c r="R981" s="48"/>
      <c r="S981" s="48"/>
      <c r="T981" s="48"/>
      <c r="U981" s="48"/>
      <c r="V981" s="48"/>
      <c r="W981" s="48"/>
      <c r="X981" s="48"/>
      <c r="Y981" s="48"/>
      <c r="Z981" s="48"/>
    </row>
    <row r="982" ht="15.75" customHeight="1">
      <c r="A982" s="49"/>
      <c r="B982" s="49"/>
      <c r="C982" s="49"/>
      <c r="D982" s="49"/>
      <c r="E982" s="49"/>
      <c r="F982" s="49"/>
      <c r="G982" s="49"/>
      <c r="H982" s="49"/>
      <c r="I982" s="49"/>
      <c r="J982" s="49"/>
      <c r="K982" s="49"/>
      <c r="L982" s="49"/>
      <c r="M982" s="49"/>
      <c r="N982" s="49"/>
      <c r="O982" s="48"/>
      <c r="P982" s="48"/>
      <c r="Q982" s="48"/>
      <c r="R982" s="48"/>
      <c r="S982" s="48"/>
      <c r="T982" s="48"/>
      <c r="U982" s="48"/>
      <c r="V982" s="48"/>
      <c r="W982" s="48"/>
      <c r="X982" s="48"/>
      <c r="Y982" s="48"/>
      <c r="Z982" s="48"/>
    </row>
    <row r="983" ht="15.75" customHeight="1">
      <c r="A983" s="49"/>
      <c r="B983" s="49"/>
      <c r="C983" s="49"/>
      <c r="D983" s="49"/>
      <c r="E983" s="49"/>
      <c r="F983" s="49"/>
      <c r="G983" s="49"/>
      <c r="H983" s="49"/>
      <c r="I983" s="49"/>
      <c r="J983" s="49"/>
      <c r="K983" s="49"/>
      <c r="L983" s="49"/>
      <c r="M983" s="49"/>
      <c r="N983" s="49"/>
      <c r="O983" s="48"/>
      <c r="P983" s="48"/>
      <c r="Q983" s="48"/>
      <c r="R983" s="48"/>
      <c r="S983" s="48"/>
      <c r="T983" s="48"/>
      <c r="U983" s="48"/>
      <c r="V983" s="48"/>
      <c r="W983" s="48"/>
      <c r="X983" s="48"/>
      <c r="Y983" s="48"/>
      <c r="Z983" s="48"/>
    </row>
    <row r="984" ht="15.75" customHeight="1">
      <c r="A984" s="49"/>
      <c r="B984" s="49"/>
      <c r="C984" s="49"/>
      <c r="D984" s="49"/>
      <c r="E984" s="49"/>
      <c r="F984" s="49"/>
      <c r="G984" s="49"/>
      <c r="H984" s="49"/>
      <c r="I984" s="49"/>
      <c r="J984" s="49"/>
      <c r="K984" s="49"/>
      <c r="L984" s="49"/>
      <c r="M984" s="49"/>
      <c r="N984" s="49"/>
      <c r="O984" s="48"/>
      <c r="P984" s="48"/>
      <c r="Q984" s="48"/>
      <c r="R984" s="48"/>
      <c r="S984" s="48"/>
      <c r="T984" s="48"/>
      <c r="U984" s="48"/>
      <c r="V984" s="48"/>
      <c r="W984" s="48"/>
      <c r="X984" s="48"/>
      <c r="Y984" s="48"/>
      <c r="Z984" s="48"/>
    </row>
    <row r="985" ht="15.75" customHeight="1">
      <c r="A985" s="49"/>
      <c r="B985" s="49"/>
      <c r="C985" s="49"/>
      <c r="D985" s="49"/>
      <c r="E985" s="49"/>
      <c r="F985" s="49"/>
      <c r="G985" s="49"/>
      <c r="H985" s="49"/>
      <c r="I985" s="49"/>
      <c r="J985" s="49"/>
      <c r="K985" s="49"/>
      <c r="L985" s="49"/>
      <c r="M985" s="49"/>
      <c r="N985" s="49"/>
      <c r="O985" s="48"/>
      <c r="P985" s="48"/>
      <c r="Q985" s="48"/>
      <c r="R985" s="48"/>
      <c r="S985" s="48"/>
      <c r="T985" s="48"/>
      <c r="U985" s="48"/>
      <c r="V985" s="48"/>
      <c r="W985" s="48"/>
      <c r="X985" s="48"/>
      <c r="Y985" s="48"/>
      <c r="Z985" s="48"/>
    </row>
    <row r="986" ht="15.75" customHeight="1">
      <c r="A986" s="49"/>
      <c r="B986" s="49"/>
      <c r="C986" s="49"/>
      <c r="D986" s="49"/>
      <c r="E986" s="49"/>
      <c r="F986" s="49"/>
      <c r="G986" s="49"/>
      <c r="H986" s="49"/>
      <c r="I986" s="49"/>
      <c r="J986" s="49"/>
      <c r="K986" s="49"/>
      <c r="L986" s="49"/>
      <c r="M986" s="49"/>
      <c r="N986" s="49"/>
      <c r="O986" s="48"/>
      <c r="P986" s="48"/>
      <c r="Q986" s="48"/>
      <c r="R986" s="48"/>
      <c r="S986" s="48"/>
      <c r="T986" s="48"/>
      <c r="U986" s="48"/>
      <c r="V986" s="48"/>
      <c r="W986" s="48"/>
      <c r="X986" s="48"/>
      <c r="Y986" s="48"/>
      <c r="Z986" s="48"/>
    </row>
    <row r="987" ht="15.75" customHeight="1">
      <c r="A987" s="49"/>
      <c r="B987" s="49"/>
      <c r="C987" s="49"/>
      <c r="D987" s="49"/>
      <c r="E987" s="49"/>
      <c r="F987" s="49"/>
      <c r="G987" s="49"/>
      <c r="H987" s="49"/>
      <c r="I987" s="49"/>
      <c r="J987" s="49"/>
      <c r="K987" s="49"/>
      <c r="L987" s="49"/>
      <c r="M987" s="49"/>
      <c r="N987" s="49"/>
      <c r="O987" s="48"/>
      <c r="P987" s="48"/>
      <c r="Q987" s="48"/>
      <c r="R987" s="48"/>
      <c r="S987" s="48"/>
      <c r="T987" s="48"/>
      <c r="U987" s="48"/>
      <c r="V987" s="48"/>
      <c r="W987" s="48"/>
      <c r="X987" s="48"/>
      <c r="Y987" s="48"/>
      <c r="Z987" s="48"/>
    </row>
    <row r="988" ht="15.75" customHeight="1">
      <c r="A988" s="49"/>
      <c r="B988" s="49"/>
      <c r="C988" s="49"/>
      <c r="D988" s="49"/>
      <c r="E988" s="49"/>
      <c r="F988" s="49"/>
      <c r="G988" s="49"/>
      <c r="H988" s="49"/>
      <c r="I988" s="49"/>
      <c r="J988" s="49"/>
      <c r="K988" s="49"/>
      <c r="L988" s="49"/>
      <c r="M988" s="49"/>
      <c r="N988" s="49"/>
      <c r="O988" s="48"/>
      <c r="P988" s="48"/>
      <c r="Q988" s="48"/>
      <c r="R988" s="48"/>
      <c r="S988" s="48"/>
      <c r="T988" s="48"/>
      <c r="U988" s="48"/>
      <c r="V988" s="48"/>
      <c r="W988" s="48"/>
      <c r="X988" s="48"/>
      <c r="Y988" s="48"/>
      <c r="Z988" s="48"/>
    </row>
    <row r="989" ht="15.75" customHeight="1">
      <c r="A989" s="49"/>
      <c r="B989" s="49"/>
      <c r="C989" s="49"/>
      <c r="D989" s="49"/>
      <c r="E989" s="49"/>
      <c r="F989" s="49"/>
      <c r="G989" s="49"/>
      <c r="H989" s="49"/>
      <c r="I989" s="49"/>
      <c r="J989" s="49"/>
      <c r="K989" s="49"/>
      <c r="L989" s="49"/>
      <c r="M989" s="49"/>
      <c r="N989" s="49"/>
      <c r="O989" s="48"/>
      <c r="P989" s="48"/>
      <c r="Q989" s="48"/>
      <c r="R989" s="48"/>
      <c r="S989" s="48"/>
      <c r="T989" s="48"/>
      <c r="U989" s="48"/>
      <c r="V989" s="48"/>
      <c r="W989" s="48"/>
      <c r="X989" s="48"/>
      <c r="Y989" s="48"/>
      <c r="Z989" s="48"/>
    </row>
    <row r="990" ht="15.75" customHeight="1">
      <c r="A990" s="49"/>
      <c r="B990" s="49"/>
      <c r="C990" s="49"/>
      <c r="D990" s="49"/>
      <c r="E990" s="49"/>
      <c r="F990" s="49"/>
      <c r="G990" s="49"/>
      <c r="H990" s="49"/>
      <c r="I990" s="49"/>
      <c r="J990" s="49"/>
      <c r="K990" s="49"/>
      <c r="L990" s="49"/>
      <c r="M990" s="49"/>
      <c r="N990" s="49"/>
      <c r="O990" s="48"/>
      <c r="P990" s="48"/>
      <c r="Q990" s="48"/>
      <c r="R990" s="48"/>
      <c r="S990" s="48"/>
      <c r="T990" s="48"/>
      <c r="U990" s="48"/>
      <c r="V990" s="48"/>
      <c r="W990" s="48"/>
      <c r="X990" s="48"/>
      <c r="Y990" s="48"/>
      <c r="Z990" s="48"/>
    </row>
    <row r="991" ht="15.75" customHeight="1">
      <c r="A991" s="49"/>
      <c r="B991" s="49"/>
      <c r="C991" s="49"/>
      <c r="D991" s="49"/>
      <c r="E991" s="49"/>
      <c r="F991" s="49"/>
      <c r="G991" s="49"/>
      <c r="H991" s="49"/>
      <c r="I991" s="49"/>
      <c r="J991" s="49"/>
      <c r="K991" s="49"/>
      <c r="L991" s="49"/>
      <c r="M991" s="49"/>
      <c r="N991" s="49"/>
      <c r="O991" s="48"/>
      <c r="P991" s="48"/>
      <c r="Q991" s="48"/>
      <c r="R991" s="48"/>
      <c r="S991" s="48"/>
      <c r="T991" s="48"/>
      <c r="U991" s="48"/>
      <c r="V991" s="48"/>
      <c r="W991" s="48"/>
      <c r="X991" s="48"/>
      <c r="Y991" s="48"/>
      <c r="Z991" s="48"/>
    </row>
    <row r="992" ht="15.75" customHeight="1">
      <c r="A992" s="49"/>
      <c r="B992" s="49"/>
      <c r="C992" s="49"/>
      <c r="D992" s="49"/>
      <c r="E992" s="49"/>
      <c r="F992" s="49"/>
      <c r="G992" s="49"/>
      <c r="H992" s="49"/>
      <c r="I992" s="49"/>
      <c r="J992" s="49"/>
      <c r="K992" s="49"/>
      <c r="L992" s="49"/>
      <c r="M992" s="49"/>
      <c r="N992" s="49"/>
      <c r="O992" s="48"/>
      <c r="P992" s="48"/>
      <c r="Q992" s="48"/>
      <c r="R992" s="48"/>
      <c r="S992" s="48"/>
      <c r="T992" s="48"/>
      <c r="U992" s="48"/>
      <c r="V992" s="48"/>
      <c r="W992" s="48"/>
      <c r="X992" s="48"/>
      <c r="Y992" s="48"/>
      <c r="Z992" s="48"/>
    </row>
    <row r="993" ht="15.75" customHeight="1">
      <c r="A993" s="49"/>
      <c r="B993" s="49"/>
      <c r="C993" s="49"/>
      <c r="D993" s="49"/>
      <c r="E993" s="49"/>
      <c r="F993" s="49"/>
      <c r="G993" s="49"/>
      <c r="H993" s="49"/>
      <c r="I993" s="49"/>
      <c r="J993" s="49"/>
      <c r="K993" s="49"/>
      <c r="L993" s="49"/>
      <c r="M993" s="49"/>
      <c r="N993" s="49"/>
      <c r="O993" s="48"/>
      <c r="P993" s="48"/>
      <c r="Q993" s="48"/>
      <c r="R993" s="48"/>
      <c r="S993" s="48"/>
      <c r="T993" s="48"/>
      <c r="U993" s="48"/>
      <c r="V993" s="48"/>
      <c r="W993" s="48"/>
      <c r="X993" s="48"/>
      <c r="Y993" s="48"/>
      <c r="Z993" s="48"/>
    </row>
    <row r="994" ht="15.75" customHeight="1">
      <c r="A994" s="49"/>
      <c r="B994" s="49"/>
      <c r="C994" s="49"/>
      <c r="D994" s="49"/>
      <c r="E994" s="49"/>
      <c r="F994" s="49"/>
      <c r="G994" s="49"/>
      <c r="H994" s="49"/>
      <c r="I994" s="49"/>
      <c r="J994" s="49"/>
      <c r="K994" s="49"/>
      <c r="L994" s="49"/>
      <c r="M994" s="49"/>
      <c r="N994" s="49"/>
      <c r="O994" s="48"/>
      <c r="P994" s="48"/>
      <c r="Q994" s="48"/>
      <c r="R994" s="48"/>
      <c r="S994" s="48"/>
      <c r="T994" s="48"/>
      <c r="U994" s="48"/>
      <c r="V994" s="48"/>
      <c r="W994" s="48"/>
      <c r="X994" s="48"/>
      <c r="Y994" s="48"/>
      <c r="Z994" s="48"/>
    </row>
    <row r="995" ht="15.75" customHeight="1">
      <c r="A995" s="49"/>
      <c r="B995" s="49"/>
      <c r="C995" s="49"/>
      <c r="D995" s="49"/>
      <c r="E995" s="49"/>
      <c r="F995" s="49"/>
      <c r="G995" s="49"/>
      <c r="H995" s="49"/>
      <c r="I995" s="49"/>
      <c r="J995" s="49"/>
      <c r="K995" s="49"/>
      <c r="L995" s="49"/>
      <c r="M995" s="49"/>
      <c r="N995" s="49"/>
      <c r="O995" s="48"/>
      <c r="P995" s="48"/>
      <c r="Q995" s="48"/>
      <c r="R995" s="48"/>
      <c r="S995" s="48"/>
      <c r="T995" s="48"/>
      <c r="U995" s="48"/>
      <c r="V995" s="48"/>
      <c r="W995" s="48"/>
      <c r="X995" s="48"/>
      <c r="Y995" s="48"/>
      <c r="Z995" s="48"/>
    </row>
    <row r="996" ht="15.75" customHeight="1">
      <c r="A996" s="49"/>
      <c r="B996" s="49"/>
      <c r="C996" s="49"/>
      <c r="D996" s="49"/>
      <c r="E996" s="49"/>
      <c r="F996" s="49"/>
      <c r="G996" s="49"/>
      <c r="H996" s="49"/>
      <c r="I996" s="49"/>
      <c r="J996" s="49"/>
      <c r="K996" s="49"/>
      <c r="L996" s="49"/>
      <c r="M996" s="49"/>
      <c r="N996" s="49"/>
      <c r="O996" s="48"/>
      <c r="P996" s="48"/>
      <c r="Q996" s="48"/>
      <c r="R996" s="48"/>
      <c r="S996" s="48"/>
      <c r="T996" s="48"/>
      <c r="U996" s="48"/>
      <c r="V996" s="48"/>
      <c r="W996" s="48"/>
      <c r="X996" s="48"/>
      <c r="Y996" s="48"/>
      <c r="Z996" s="48"/>
    </row>
    <row r="997" ht="15.75" customHeight="1">
      <c r="A997" s="49"/>
      <c r="B997" s="49"/>
      <c r="C997" s="49"/>
      <c r="D997" s="49"/>
      <c r="E997" s="49"/>
      <c r="F997" s="49"/>
      <c r="G997" s="49"/>
      <c r="H997" s="49"/>
      <c r="I997" s="49"/>
      <c r="J997" s="49"/>
      <c r="K997" s="49"/>
      <c r="L997" s="49"/>
      <c r="M997" s="49"/>
      <c r="N997" s="49"/>
      <c r="O997" s="48"/>
      <c r="P997" s="48"/>
      <c r="Q997" s="48"/>
      <c r="R997" s="48"/>
      <c r="S997" s="48"/>
      <c r="T997" s="48"/>
      <c r="U997" s="48"/>
      <c r="V997" s="48"/>
      <c r="W997" s="48"/>
      <c r="X997" s="48"/>
      <c r="Y997" s="48"/>
      <c r="Z997" s="48"/>
    </row>
    <row r="998" ht="15.75" customHeight="1">
      <c r="A998" s="49"/>
      <c r="B998" s="49"/>
      <c r="C998" s="49"/>
      <c r="D998" s="49"/>
      <c r="E998" s="49"/>
      <c r="F998" s="49"/>
      <c r="G998" s="49"/>
      <c r="H998" s="49"/>
      <c r="I998" s="49"/>
      <c r="J998" s="49"/>
      <c r="K998" s="49"/>
      <c r="L998" s="49"/>
      <c r="M998" s="49"/>
      <c r="N998" s="49"/>
      <c r="O998" s="48"/>
      <c r="P998" s="48"/>
      <c r="Q998" s="48"/>
      <c r="R998" s="48"/>
      <c r="S998" s="48"/>
      <c r="T998" s="48"/>
      <c r="U998" s="48"/>
      <c r="V998" s="48"/>
      <c r="W998" s="48"/>
      <c r="X998" s="48"/>
      <c r="Y998" s="48"/>
      <c r="Z998" s="48"/>
    </row>
    <row r="999" ht="15.75" customHeight="1">
      <c r="A999" s="49"/>
      <c r="B999" s="49"/>
      <c r="C999" s="49"/>
      <c r="D999" s="49"/>
      <c r="E999" s="49"/>
      <c r="F999" s="49"/>
      <c r="G999" s="49"/>
      <c r="H999" s="49"/>
      <c r="I999" s="49"/>
      <c r="J999" s="49"/>
      <c r="K999" s="49"/>
      <c r="L999" s="49"/>
      <c r="M999" s="49"/>
      <c r="N999" s="49"/>
      <c r="O999" s="48"/>
      <c r="P999" s="48"/>
      <c r="Q999" s="48"/>
      <c r="R999" s="48"/>
      <c r="S999" s="48"/>
      <c r="T999" s="48"/>
      <c r="U999" s="48"/>
      <c r="V999" s="48"/>
      <c r="W999" s="48"/>
      <c r="X999" s="48"/>
      <c r="Y999" s="48"/>
      <c r="Z999" s="48"/>
    </row>
    <row r="1000" ht="15.75" customHeight="1">
      <c r="A1000" s="49"/>
      <c r="B1000" s="49"/>
      <c r="C1000" s="49"/>
      <c r="D1000" s="49"/>
      <c r="E1000" s="49"/>
      <c r="F1000" s="49"/>
      <c r="G1000" s="49"/>
      <c r="H1000" s="49"/>
      <c r="I1000" s="49"/>
      <c r="J1000" s="49"/>
      <c r="K1000" s="49"/>
      <c r="L1000" s="49"/>
      <c r="M1000" s="49"/>
      <c r="N1000" s="49"/>
      <c r="O1000" s="48"/>
      <c r="P1000" s="48"/>
      <c r="Q1000" s="48"/>
      <c r="R1000" s="48"/>
      <c r="S1000" s="48"/>
      <c r="T1000" s="48"/>
      <c r="U1000" s="48"/>
      <c r="V1000" s="48"/>
      <c r="W1000" s="48"/>
      <c r="X1000" s="48"/>
      <c r="Y1000" s="48"/>
      <c r="Z1000" s="48"/>
    </row>
  </sheetData>
  <mergeCells count="4">
    <mergeCell ref="A1:N1"/>
    <mergeCell ref="A2:N2"/>
    <mergeCell ref="A3:N3"/>
    <mergeCell ref="A55:N5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2"/>
  <cols>
    <col customWidth="1" min="1" max="1" width="30.14"/>
    <col customWidth="1" min="2" max="3" width="18.43"/>
    <col customWidth="1" min="4" max="4" width="19.43"/>
    <col customWidth="1" min="5" max="7" width="18.43"/>
    <col customWidth="1" min="8" max="8" width="19.43"/>
    <col customWidth="1" min="9" max="11" width="18.43"/>
    <col customWidth="1" min="12" max="26" width="12.86"/>
  </cols>
  <sheetData>
    <row r="1" ht="15.75" customHeight="1">
      <c r="A1" s="47" t="s">
        <v>127</v>
      </c>
      <c r="L1" s="48"/>
      <c r="M1" s="48"/>
      <c r="N1" s="48"/>
      <c r="O1" s="48"/>
      <c r="P1" s="48"/>
      <c r="Q1" s="48"/>
      <c r="R1" s="48"/>
      <c r="S1" s="48"/>
      <c r="T1" s="48"/>
      <c r="U1" s="48"/>
      <c r="V1" s="48"/>
      <c r="W1" s="48"/>
      <c r="X1" s="48"/>
      <c r="Y1" s="48"/>
      <c r="Z1" s="48"/>
    </row>
    <row r="2" ht="15.75" customHeight="1">
      <c r="A2" s="47" t="s">
        <v>104</v>
      </c>
      <c r="L2" s="48"/>
      <c r="M2" s="48"/>
      <c r="N2" s="48"/>
      <c r="O2" s="48"/>
      <c r="P2" s="48"/>
      <c r="Q2" s="48"/>
      <c r="R2" s="48"/>
      <c r="S2" s="48"/>
      <c r="T2" s="48"/>
      <c r="U2" s="48"/>
      <c r="V2" s="48"/>
      <c r="W2" s="48"/>
      <c r="X2" s="48"/>
      <c r="Y2" s="48"/>
      <c r="Z2" s="48"/>
    </row>
    <row r="3" ht="15.75" customHeight="1">
      <c r="A3" s="47" t="s">
        <v>206</v>
      </c>
      <c r="L3" s="48"/>
      <c r="M3" s="48"/>
      <c r="N3" s="48"/>
      <c r="O3" s="48"/>
      <c r="P3" s="48"/>
      <c r="Q3" s="48"/>
      <c r="R3" s="48"/>
      <c r="S3" s="48"/>
      <c r="T3" s="48"/>
      <c r="U3" s="48"/>
      <c r="V3" s="48"/>
      <c r="W3" s="48"/>
      <c r="X3" s="48"/>
      <c r="Y3" s="48"/>
      <c r="Z3" s="48"/>
    </row>
    <row r="4" ht="15.75" customHeight="1">
      <c r="A4" s="49"/>
      <c r="B4" s="49"/>
      <c r="C4" s="49"/>
      <c r="D4" s="49"/>
      <c r="E4" s="49"/>
      <c r="F4" s="49"/>
      <c r="G4" s="49"/>
      <c r="H4" s="49"/>
      <c r="I4" s="49"/>
      <c r="J4" s="49"/>
      <c r="K4" s="49"/>
      <c r="L4" s="48"/>
      <c r="M4" s="48"/>
      <c r="N4" s="48"/>
      <c r="O4" s="48"/>
      <c r="P4" s="48"/>
      <c r="Q4" s="48"/>
      <c r="R4" s="48"/>
      <c r="S4" s="48"/>
      <c r="T4" s="48"/>
      <c r="U4" s="48"/>
      <c r="V4" s="48"/>
      <c r="W4" s="48"/>
      <c r="X4" s="48"/>
      <c r="Y4" s="48"/>
      <c r="Z4" s="48"/>
    </row>
    <row r="5" ht="15.75" customHeight="1">
      <c r="A5" s="50" t="s">
        <v>129</v>
      </c>
      <c r="B5" s="50" t="s">
        <v>207</v>
      </c>
      <c r="C5" s="50" t="s">
        <v>208</v>
      </c>
      <c r="D5" s="50" t="s">
        <v>209</v>
      </c>
      <c r="E5" s="50" t="s">
        <v>210</v>
      </c>
      <c r="F5" s="50" t="s">
        <v>211</v>
      </c>
      <c r="G5" s="50" t="s">
        <v>212</v>
      </c>
      <c r="H5" s="50" t="s">
        <v>213</v>
      </c>
      <c r="I5" s="50" t="s">
        <v>214</v>
      </c>
      <c r="J5" s="50" t="s">
        <v>215</v>
      </c>
      <c r="K5" s="50" t="s">
        <v>142</v>
      </c>
      <c r="L5" s="48"/>
      <c r="M5" s="48"/>
      <c r="N5" s="48"/>
      <c r="O5" s="48"/>
      <c r="P5" s="48"/>
      <c r="Q5" s="48"/>
      <c r="R5" s="48"/>
      <c r="S5" s="48"/>
      <c r="T5" s="48"/>
      <c r="U5" s="48"/>
      <c r="V5" s="48"/>
      <c r="W5" s="48"/>
      <c r="X5" s="48"/>
      <c r="Y5" s="48"/>
      <c r="Z5" s="48"/>
    </row>
    <row r="6" ht="15.75" customHeight="1">
      <c r="A6" s="51" t="s">
        <v>143</v>
      </c>
      <c r="B6" s="49"/>
      <c r="C6" s="49"/>
      <c r="D6" s="49"/>
      <c r="E6" s="49"/>
      <c r="F6" s="49"/>
      <c r="G6" s="49"/>
      <c r="H6" s="49"/>
      <c r="I6" s="49"/>
      <c r="J6" s="49"/>
      <c r="K6" s="49"/>
      <c r="L6" s="48"/>
      <c r="M6" s="48"/>
      <c r="N6" s="48"/>
      <c r="O6" s="48"/>
      <c r="P6" s="48"/>
      <c r="Q6" s="48"/>
      <c r="R6" s="48"/>
      <c r="S6" s="48"/>
      <c r="T6" s="48"/>
      <c r="U6" s="48"/>
      <c r="V6" s="48"/>
      <c r="W6" s="48"/>
      <c r="X6" s="48"/>
      <c r="Y6" s="48"/>
      <c r="Z6" s="48"/>
    </row>
    <row r="7" ht="15.75" customHeight="1" outlineLevel="1">
      <c r="A7" s="51" t="s">
        <v>195</v>
      </c>
      <c r="B7" s="52">
        <v>9846.19</v>
      </c>
      <c r="C7" s="52">
        <v>8222.59</v>
      </c>
      <c r="D7" s="52">
        <v>10931.57</v>
      </c>
      <c r="E7" s="52">
        <v>7336.88</v>
      </c>
      <c r="F7" s="52">
        <v>8746.5</v>
      </c>
      <c r="G7" s="52">
        <v>6475.07</v>
      </c>
      <c r="H7" s="52">
        <v>31376.34</v>
      </c>
      <c r="I7" s="52">
        <v>8500.4</v>
      </c>
      <c r="J7" s="52">
        <v>3691.54</v>
      </c>
      <c r="K7" s="52">
        <f t="shared" ref="K7:K13" si="1">B7+C7+D7+E7+F7+G7+H7+I7+J7</f>
        <v>95127.08</v>
      </c>
      <c r="L7" s="48"/>
      <c r="M7" s="48"/>
      <c r="N7" s="48"/>
      <c r="O7" s="48"/>
      <c r="P7" s="48"/>
      <c r="Q7" s="48"/>
      <c r="R7" s="48"/>
      <c r="S7" s="48"/>
      <c r="T7" s="48"/>
      <c r="U7" s="48"/>
      <c r="V7" s="48"/>
      <c r="W7" s="48"/>
      <c r="X7" s="48"/>
      <c r="Y7" s="48"/>
      <c r="Z7" s="48"/>
    </row>
    <row r="8" ht="15.75" customHeight="1" outlineLevel="1">
      <c r="A8" s="51" t="s">
        <v>144</v>
      </c>
      <c r="B8" s="52">
        <v>78228.28</v>
      </c>
      <c r="C8" s="52">
        <v>84622.71</v>
      </c>
      <c r="D8" s="52">
        <v>85481.54</v>
      </c>
      <c r="E8" s="52">
        <v>93550.18</v>
      </c>
      <c r="F8" s="52">
        <v>90910.6</v>
      </c>
      <c r="G8" s="52">
        <v>77453.01</v>
      </c>
      <c r="H8" s="52">
        <v>81559.75</v>
      </c>
      <c r="I8" s="52">
        <v>83637.63</v>
      </c>
      <c r="J8" s="52">
        <v>77933.06</v>
      </c>
      <c r="K8" s="52">
        <f t="shared" si="1"/>
        <v>753376.76</v>
      </c>
      <c r="L8" s="48"/>
      <c r="M8" s="48"/>
      <c r="N8" s="48"/>
      <c r="O8" s="48"/>
      <c r="P8" s="48"/>
      <c r="Q8" s="48"/>
      <c r="R8" s="48"/>
      <c r="S8" s="48"/>
      <c r="T8" s="48"/>
      <c r="U8" s="48"/>
      <c r="V8" s="48"/>
      <c r="W8" s="48"/>
      <c r="X8" s="48"/>
      <c r="Y8" s="48"/>
      <c r="Z8" s="48"/>
    </row>
    <row r="9" ht="15.75" customHeight="1" outlineLevel="1">
      <c r="A9" s="51" t="s">
        <v>145</v>
      </c>
      <c r="B9" s="52">
        <v>5089.66</v>
      </c>
      <c r="C9" s="52">
        <v>4564.74</v>
      </c>
      <c r="D9" s="52">
        <v>4753.17</v>
      </c>
      <c r="E9" s="52">
        <v>4315.47</v>
      </c>
      <c r="F9" s="52">
        <v>4825.21</v>
      </c>
      <c r="G9" s="52">
        <v>3739.0</v>
      </c>
      <c r="H9" s="52">
        <v>5864.1</v>
      </c>
      <c r="I9" s="52">
        <v>4395.99</v>
      </c>
      <c r="J9" s="52">
        <v>4902.3</v>
      </c>
      <c r="K9" s="52">
        <f t="shared" si="1"/>
        <v>42449.64</v>
      </c>
      <c r="L9" s="48"/>
      <c r="M9" s="48"/>
      <c r="N9" s="48"/>
      <c r="O9" s="48"/>
      <c r="P9" s="48"/>
      <c r="Q9" s="48"/>
      <c r="R9" s="48"/>
      <c r="S9" s="48"/>
      <c r="T9" s="48"/>
      <c r="U9" s="48"/>
      <c r="V9" s="48"/>
      <c r="W9" s="48"/>
      <c r="X9" s="48"/>
      <c r="Y9" s="48"/>
      <c r="Z9" s="48"/>
    </row>
    <row r="10" ht="15.75" customHeight="1" outlineLevel="1">
      <c r="A10" s="51" t="s">
        <v>216</v>
      </c>
      <c r="B10" s="49"/>
      <c r="C10" s="49"/>
      <c r="D10" s="49"/>
      <c r="E10" s="49"/>
      <c r="F10" s="49"/>
      <c r="G10" s="49"/>
      <c r="H10" s="49"/>
      <c r="I10" s="49"/>
      <c r="J10" s="52">
        <v>88312.98</v>
      </c>
      <c r="K10" s="52">
        <f t="shared" si="1"/>
        <v>88312.98</v>
      </c>
      <c r="L10" s="48"/>
      <c r="M10" s="48"/>
      <c r="N10" s="48"/>
      <c r="O10" s="48"/>
      <c r="P10" s="48"/>
      <c r="Q10" s="48"/>
      <c r="R10" s="48"/>
      <c r="S10" s="48"/>
      <c r="T10" s="48"/>
      <c r="U10" s="48"/>
      <c r="V10" s="48"/>
      <c r="W10" s="48"/>
      <c r="X10" s="48"/>
      <c r="Y10" s="48"/>
      <c r="Z10" s="48"/>
    </row>
    <row r="11" ht="15.75" customHeight="1" outlineLevel="1">
      <c r="A11" s="51" t="s">
        <v>146</v>
      </c>
      <c r="B11" s="49"/>
      <c r="C11" s="49"/>
      <c r="D11" s="52">
        <v>1000.0</v>
      </c>
      <c r="E11" s="49"/>
      <c r="F11" s="49"/>
      <c r="G11" s="49"/>
      <c r="H11" s="49"/>
      <c r="I11" s="52">
        <v>1887.12</v>
      </c>
      <c r="J11" s="49"/>
      <c r="K11" s="52">
        <f t="shared" si="1"/>
        <v>2887.12</v>
      </c>
      <c r="L11" s="48"/>
      <c r="M11" s="48"/>
      <c r="N11" s="48"/>
      <c r="O11" s="48"/>
      <c r="P11" s="48"/>
      <c r="Q11" s="48"/>
      <c r="R11" s="48"/>
      <c r="S11" s="48"/>
      <c r="T11" s="48"/>
      <c r="U11" s="48"/>
      <c r="V11" s="48"/>
      <c r="W11" s="48"/>
      <c r="X11" s="48"/>
      <c r="Y11" s="48"/>
      <c r="Z11" s="48"/>
    </row>
    <row r="12" ht="15.75" customHeight="1" outlineLevel="1">
      <c r="A12" s="51" t="s">
        <v>217</v>
      </c>
      <c r="B12" s="49"/>
      <c r="C12" s="49"/>
      <c r="D12" s="49"/>
      <c r="E12" s="49"/>
      <c r="F12" s="49"/>
      <c r="G12" s="49"/>
      <c r="H12" s="49"/>
      <c r="I12" s="49"/>
      <c r="J12" s="52">
        <v>-175.0</v>
      </c>
      <c r="K12" s="52">
        <f t="shared" si="1"/>
        <v>-175</v>
      </c>
      <c r="L12" s="48"/>
      <c r="M12" s="48"/>
      <c r="N12" s="48"/>
      <c r="O12" s="48"/>
      <c r="P12" s="48"/>
      <c r="Q12" s="48"/>
      <c r="R12" s="48"/>
      <c r="S12" s="48"/>
      <c r="T12" s="48"/>
      <c r="U12" s="48"/>
      <c r="V12" s="48"/>
      <c r="W12" s="48"/>
      <c r="X12" s="48"/>
      <c r="Y12" s="48"/>
      <c r="Z12" s="48"/>
    </row>
    <row r="13" ht="15.75" customHeight="1">
      <c r="A13" s="53" t="s">
        <v>147</v>
      </c>
      <c r="B13" s="54">
        <f t="shared" ref="B13:J13" si="2">B7+B8+B9+B10+B11+B12</f>
        <v>93164.13</v>
      </c>
      <c r="C13" s="54">
        <f t="shared" si="2"/>
        <v>97410.04</v>
      </c>
      <c r="D13" s="54">
        <f t="shared" si="2"/>
        <v>102166.28</v>
      </c>
      <c r="E13" s="54">
        <f t="shared" si="2"/>
        <v>105202.53</v>
      </c>
      <c r="F13" s="54">
        <f t="shared" si="2"/>
        <v>104482.31</v>
      </c>
      <c r="G13" s="54">
        <f t="shared" si="2"/>
        <v>87667.08</v>
      </c>
      <c r="H13" s="54">
        <f t="shared" si="2"/>
        <v>118800.19</v>
      </c>
      <c r="I13" s="54">
        <f t="shared" si="2"/>
        <v>98421.14</v>
      </c>
      <c r="J13" s="54">
        <f t="shared" si="2"/>
        <v>174664.88</v>
      </c>
      <c r="K13" s="55">
        <f t="shared" si="1"/>
        <v>981978.58</v>
      </c>
      <c r="L13" s="48"/>
      <c r="M13" s="58">
        <v>315279.71</v>
      </c>
      <c r="N13" s="48"/>
      <c r="O13" s="48"/>
      <c r="P13" s="48"/>
      <c r="Q13" s="48"/>
      <c r="R13" s="48"/>
      <c r="S13" s="48"/>
      <c r="T13" s="48"/>
      <c r="U13" s="48"/>
      <c r="V13" s="48"/>
      <c r="W13" s="48"/>
      <c r="X13" s="48"/>
      <c r="Y13" s="48"/>
      <c r="Z13" s="48"/>
    </row>
    <row r="14" ht="15.75" customHeight="1">
      <c r="A14" s="51" t="s">
        <v>148</v>
      </c>
      <c r="B14" s="49"/>
      <c r="C14" s="49"/>
      <c r="D14" s="49"/>
      <c r="E14" s="49"/>
      <c r="F14" s="49"/>
      <c r="G14" s="49"/>
      <c r="H14" s="49"/>
      <c r="I14" s="49"/>
      <c r="J14" s="49"/>
      <c r="K14" s="49"/>
      <c r="L14" s="48"/>
      <c r="M14" s="59">
        <f>K13+M13</f>
        <v>1297258.29</v>
      </c>
      <c r="N14" s="48"/>
      <c r="O14" s="48"/>
      <c r="P14" s="48"/>
      <c r="Q14" s="48"/>
      <c r="R14" s="48"/>
      <c r="S14" s="48"/>
      <c r="T14" s="48"/>
      <c r="U14" s="48"/>
      <c r="V14" s="48"/>
      <c r="W14" s="48"/>
      <c r="X14" s="48"/>
      <c r="Y14" s="48"/>
      <c r="Z14" s="48"/>
    </row>
    <row r="15" ht="15.75" customHeight="1" outlineLevel="1">
      <c r="A15" s="51" t="s">
        <v>148</v>
      </c>
      <c r="B15" s="52">
        <v>55595.51</v>
      </c>
      <c r="C15" s="52">
        <v>19437.42</v>
      </c>
      <c r="D15" s="52">
        <v>35862.31</v>
      </c>
      <c r="E15" s="52">
        <v>10195.0</v>
      </c>
      <c r="F15" s="52">
        <v>3190.72</v>
      </c>
      <c r="G15" s="52">
        <v>20272.18</v>
      </c>
      <c r="H15" s="52">
        <v>23157.25</v>
      </c>
      <c r="I15" s="52">
        <v>36491.43</v>
      </c>
      <c r="J15" s="52">
        <v>14859.42</v>
      </c>
      <c r="K15" s="52">
        <f t="shared" ref="K15:K19" si="3">B15+C15+D15+E15+F15+G15+H15+I15+J15</f>
        <v>219061.24</v>
      </c>
      <c r="L15" s="48"/>
      <c r="M15" s="59">
        <v>1297258.29</v>
      </c>
      <c r="N15" s="48"/>
      <c r="O15" s="48"/>
      <c r="P15" s="48"/>
      <c r="Q15" s="48"/>
      <c r="R15" s="48"/>
      <c r="S15" s="48"/>
      <c r="T15" s="48"/>
      <c r="U15" s="48"/>
      <c r="V15" s="48"/>
      <c r="W15" s="48"/>
      <c r="X15" s="48"/>
      <c r="Y15" s="48"/>
      <c r="Z15" s="48"/>
    </row>
    <row r="16" ht="15.75" customHeight="1" outlineLevel="1">
      <c r="A16" s="51" t="s">
        <v>149</v>
      </c>
      <c r="B16" s="52">
        <v>13643.19</v>
      </c>
      <c r="C16" s="52">
        <v>21253.38</v>
      </c>
      <c r="D16" s="52">
        <v>18362.06</v>
      </c>
      <c r="E16" s="52">
        <v>24565.16</v>
      </c>
      <c r="F16" s="52">
        <v>25264.22</v>
      </c>
      <c r="G16" s="52">
        <v>36343.86</v>
      </c>
      <c r="H16" s="52">
        <v>35746.97</v>
      </c>
      <c r="I16" s="52">
        <v>20412.24</v>
      </c>
      <c r="J16" s="52">
        <v>33044.81</v>
      </c>
      <c r="K16" s="52">
        <f t="shared" si="3"/>
        <v>228635.89</v>
      </c>
      <c r="L16" s="48"/>
      <c r="M16" s="48"/>
      <c r="N16" s="48"/>
      <c r="O16" s="48"/>
      <c r="P16" s="48"/>
      <c r="Q16" s="48"/>
      <c r="R16" s="48"/>
      <c r="S16" s="48"/>
      <c r="T16" s="48"/>
      <c r="U16" s="48"/>
      <c r="V16" s="48"/>
      <c r="W16" s="48"/>
      <c r="X16" s="48"/>
      <c r="Y16" s="48"/>
      <c r="Z16" s="48"/>
    </row>
    <row r="17" ht="15.75" customHeight="1" outlineLevel="1">
      <c r="A17" s="51" t="s">
        <v>150</v>
      </c>
      <c r="B17" s="52">
        <v>20956.85</v>
      </c>
      <c r="C17" s="52">
        <v>17755.68</v>
      </c>
      <c r="D17" s="52">
        <v>21502.45</v>
      </c>
      <c r="E17" s="52">
        <v>21331.07</v>
      </c>
      <c r="F17" s="52">
        <v>20822.5</v>
      </c>
      <c r="G17" s="52">
        <v>17028.05</v>
      </c>
      <c r="H17" s="52">
        <v>20249.71</v>
      </c>
      <c r="I17" s="52">
        <v>18782.91</v>
      </c>
      <c r="J17" s="52">
        <v>16814.76</v>
      </c>
      <c r="K17" s="52">
        <f t="shared" si="3"/>
        <v>175243.98</v>
      </c>
      <c r="L17" s="48"/>
      <c r="M17" s="48"/>
      <c r="N17" s="48"/>
      <c r="O17" s="48"/>
      <c r="P17" s="48"/>
      <c r="Q17" s="48"/>
      <c r="R17" s="48"/>
      <c r="S17" s="48"/>
      <c r="T17" s="48"/>
      <c r="U17" s="48"/>
      <c r="V17" s="48"/>
      <c r="W17" s="48"/>
      <c r="X17" s="48"/>
      <c r="Y17" s="48"/>
      <c r="Z17" s="48"/>
    </row>
    <row r="18" ht="15.75" customHeight="1">
      <c r="A18" s="53" t="s">
        <v>151</v>
      </c>
      <c r="B18" s="54">
        <f t="shared" ref="B18:J18" si="4">B15+B16+B17</f>
        <v>90195.55</v>
      </c>
      <c r="C18" s="54">
        <f t="shared" si="4"/>
        <v>58446.48</v>
      </c>
      <c r="D18" s="54">
        <f t="shared" si="4"/>
        <v>75726.82</v>
      </c>
      <c r="E18" s="54">
        <f t="shared" si="4"/>
        <v>56091.23</v>
      </c>
      <c r="F18" s="54">
        <f t="shared" si="4"/>
        <v>49277.44</v>
      </c>
      <c r="G18" s="54">
        <f t="shared" si="4"/>
        <v>73644.09</v>
      </c>
      <c r="H18" s="54">
        <f t="shared" si="4"/>
        <v>79153.93</v>
      </c>
      <c r="I18" s="54">
        <f t="shared" si="4"/>
        <v>75686.58</v>
      </c>
      <c r="J18" s="54">
        <f t="shared" si="4"/>
        <v>64718.99</v>
      </c>
      <c r="K18" s="55">
        <f t="shared" si="3"/>
        <v>622941.11</v>
      </c>
      <c r="L18" s="48"/>
      <c r="M18" s="48"/>
      <c r="N18" s="48"/>
      <c r="O18" s="48"/>
      <c r="P18" s="48"/>
      <c r="Q18" s="48"/>
      <c r="R18" s="48"/>
      <c r="S18" s="48"/>
      <c r="T18" s="48"/>
      <c r="U18" s="48"/>
      <c r="V18" s="48"/>
      <c r="W18" s="48"/>
      <c r="X18" s="48"/>
      <c r="Y18" s="48"/>
      <c r="Z18" s="48"/>
    </row>
    <row r="19" ht="15.75" customHeight="1">
      <c r="A19" s="53" t="s">
        <v>152</v>
      </c>
      <c r="B19" s="54">
        <f t="shared" ref="B19:J19" si="5">B13-B18</f>
        <v>2968.58</v>
      </c>
      <c r="C19" s="54">
        <f t="shared" si="5"/>
        <v>38963.56</v>
      </c>
      <c r="D19" s="54">
        <f t="shared" si="5"/>
        <v>26439.46</v>
      </c>
      <c r="E19" s="54">
        <f t="shared" si="5"/>
        <v>49111.3</v>
      </c>
      <c r="F19" s="54">
        <f t="shared" si="5"/>
        <v>55204.87</v>
      </c>
      <c r="G19" s="54">
        <f t="shared" si="5"/>
        <v>14022.99</v>
      </c>
      <c r="H19" s="54">
        <f t="shared" si="5"/>
        <v>39646.26</v>
      </c>
      <c r="I19" s="54">
        <f t="shared" si="5"/>
        <v>22734.56</v>
      </c>
      <c r="J19" s="54">
        <f t="shared" si="5"/>
        <v>109945.89</v>
      </c>
      <c r="K19" s="55">
        <f t="shared" si="3"/>
        <v>359037.47</v>
      </c>
      <c r="L19" s="48"/>
      <c r="M19" s="48"/>
      <c r="N19" s="48"/>
      <c r="O19" s="48"/>
      <c r="P19" s="48"/>
      <c r="Q19" s="48"/>
      <c r="R19" s="48"/>
      <c r="S19" s="48"/>
      <c r="T19" s="48"/>
      <c r="U19" s="48"/>
      <c r="V19" s="48"/>
      <c r="W19" s="48"/>
      <c r="X19" s="48"/>
      <c r="Y19" s="48"/>
      <c r="Z19" s="48"/>
    </row>
    <row r="20" ht="15.75" customHeight="1">
      <c r="A20" s="51" t="s">
        <v>153</v>
      </c>
      <c r="B20" s="49"/>
      <c r="C20" s="49"/>
      <c r="D20" s="49"/>
      <c r="E20" s="49"/>
      <c r="F20" s="49"/>
      <c r="G20" s="49"/>
      <c r="H20" s="49"/>
      <c r="I20" s="49"/>
      <c r="J20" s="49"/>
      <c r="K20" s="49"/>
      <c r="L20" s="48"/>
      <c r="M20" s="48"/>
      <c r="N20" s="48"/>
      <c r="O20" s="48"/>
      <c r="P20" s="48"/>
      <c r="Q20" s="48"/>
      <c r="R20" s="48"/>
      <c r="S20" s="48"/>
      <c r="T20" s="48"/>
      <c r="U20" s="48"/>
      <c r="V20" s="48"/>
      <c r="W20" s="48"/>
      <c r="X20" s="48"/>
      <c r="Y20" s="48"/>
      <c r="Z20" s="48"/>
    </row>
    <row r="21" ht="15.75" customHeight="1" outlineLevel="1">
      <c r="A21" s="51" t="s">
        <v>154</v>
      </c>
      <c r="B21" s="52">
        <v>3391.24</v>
      </c>
      <c r="C21" s="52">
        <v>3474.67</v>
      </c>
      <c r="D21" s="52">
        <v>3388.02</v>
      </c>
      <c r="E21" s="52">
        <v>3329.16</v>
      </c>
      <c r="F21" s="52">
        <v>3324.67</v>
      </c>
      <c r="G21" s="52">
        <v>3419.34</v>
      </c>
      <c r="H21" s="52">
        <v>3403.39</v>
      </c>
      <c r="I21" s="52">
        <v>3332.2</v>
      </c>
      <c r="J21" s="52">
        <v>2185.4</v>
      </c>
      <c r="K21" s="52">
        <f t="shared" ref="K21:K55" si="6">B21+C21+D21+E21+F21+G21+H21+I21+J21</f>
        <v>29248.09</v>
      </c>
      <c r="L21" s="48"/>
      <c r="M21" s="48"/>
      <c r="N21" s="48"/>
      <c r="O21" s="48"/>
      <c r="P21" s="48"/>
      <c r="Q21" s="48"/>
      <c r="R21" s="48"/>
      <c r="S21" s="48"/>
      <c r="T21" s="48"/>
      <c r="U21" s="48"/>
      <c r="V21" s="48"/>
      <c r="W21" s="48"/>
      <c r="X21" s="48"/>
      <c r="Y21" s="48"/>
      <c r="Z21" s="48"/>
    </row>
    <row r="22" ht="15.75" customHeight="1" outlineLevel="1">
      <c r="A22" s="51" t="s">
        <v>155</v>
      </c>
      <c r="B22" s="52">
        <v>333.27</v>
      </c>
      <c r="C22" s="52">
        <v>312.4</v>
      </c>
      <c r="D22" s="52">
        <v>2940.77</v>
      </c>
      <c r="E22" s="52">
        <v>198.16</v>
      </c>
      <c r="F22" s="52">
        <v>828.98</v>
      </c>
      <c r="G22" s="52">
        <v>925.81</v>
      </c>
      <c r="H22" s="52">
        <v>448.37</v>
      </c>
      <c r="I22" s="52">
        <v>70.98</v>
      </c>
      <c r="J22" s="52">
        <v>53.21</v>
      </c>
      <c r="K22" s="52">
        <f t="shared" si="6"/>
        <v>6111.95</v>
      </c>
      <c r="L22" s="48"/>
      <c r="M22" s="48"/>
      <c r="N22" s="48"/>
      <c r="O22" s="48"/>
      <c r="P22" s="48"/>
      <c r="Q22" s="48"/>
      <c r="R22" s="48"/>
      <c r="S22" s="48"/>
      <c r="T22" s="48"/>
      <c r="U22" s="48"/>
      <c r="V22" s="48"/>
      <c r="W22" s="48"/>
      <c r="X22" s="48"/>
      <c r="Y22" s="48"/>
      <c r="Z22" s="48"/>
    </row>
    <row r="23" ht="15.75" customHeight="1" outlineLevel="2">
      <c r="A23" s="51" t="s">
        <v>156</v>
      </c>
      <c r="B23" s="52">
        <v>145.76</v>
      </c>
      <c r="C23" s="52">
        <v>228.77</v>
      </c>
      <c r="D23" s="52">
        <v>44.8</v>
      </c>
      <c r="E23" s="52">
        <v>47.56</v>
      </c>
      <c r="F23" s="52">
        <v>57.73</v>
      </c>
      <c r="G23" s="52">
        <v>90.03</v>
      </c>
      <c r="H23" s="52">
        <v>154.73</v>
      </c>
      <c r="I23" s="52">
        <v>117.8</v>
      </c>
      <c r="J23" s="52">
        <v>143.64</v>
      </c>
      <c r="K23" s="52">
        <f t="shared" si="6"/>
        <v>1030.82</v>
      </c>
      <c r="L23" s="48"/>
      <c r="M23" s="48"/>
      <c r="N23" s="48"/>
      <c r="O23" s="48"/>
      <c r="P23" s="48"/>
      <c r="Q23" s="48"/>
      <c r="R23" s="48"/>
      <c r="S23" s="48"/>
      <c r="T23" s="48"/>
      <c r="U23" s="48"/>
      <c r="V23" s="48"/>
      <c r="W23" s="48"/>
      <c r="X23" s="48"/>
      <c r="Y23" s="48"/>
      <c r="Z23" s="48"/>
    </row>
    <row r="24" ht="15.75" customHeight="1" outlineLevel="2">
      <c r="A24" s="51" t="s">
        <v>157</v>
      </c>
      <c r="B24" s="49"/>
      <c r="C24" s="49"/>
      <c r="D24" s="49"/>
      <c r="E24" s="49"/>
      <c r="F24" s="52">
        <v>32.95</v>
      </c>
      <c r="G24" s="52">
        <v>5.55</v>
      </c>
      <c r="H24" s="52">
        <v>5.5</v>
      </c>
      <c r="I24" s="52">
        <v>54.9</v>
      </c>
      <c r="J24" s="52">
        <v>24.11</v>
      </c>
      <c r="K24" s="52">
        <f t="shared" si="6"/>
        <v>123.01</v>
      </c>
      <c r="L24" s="48"/>
      <c r="M24" s="48"/>
      <c r="N24" s="48"/>
      <c r="O24" s="48"/>
      <c r="P24" s="48"/>
      <c r="Q24" s="48"/>
      <c r="R24" s="48"/>
      <c r="S24" s="48"/>
      <c r="T24" s="48"/>
      <c r="U24" s="48"/>
      <c r="V24" s="48"/>
      <c r="W24" s="48"/>
      <c r="X24" s="48"/>
      <c r="Y24" s="48"/>
      <c r="Z24" s="48"/>
    </row>
    <row r="25" ht="15.75" customHeight="1" outlineLevel="1">
      <c r="A25" s="53" t="s">
        <v>158</v>
      </c>
      <c r="B25" s="54">
        <f t="shared" ref="B25:J25" si="7">B22+B23+B24</f>
        <v>479.03</v>
      </c>
      <c r="C25" s="54">
        <f t="shared" si="7"/>
        <v>541.17</v>
      </c>
      <c r="D25" s="54">
        <f t="shared" si="7"/>
        <v>2985.57</v>
      </c>
      <c r="E25" s="54">
        <f t="shared" si="7"/>
        <v>245.72</v>
      </c>
      <c r="F25" s="54">
        <f t="shared" si="7"/>
        <v>919.66</v>
      </c>
      <c r="G25" s="54">
        <f t="shared" si="7"/>
        <v>1021.39</v>
      </c>
      <c r="H25" s="54">
        <f t="shared" si="7"/>
        <v>608.6</v>
      </c>
      <c r="I25" s="54">
        <f t="shared" si="7"/>
        <v>243.68</v>
      </c>
      <c r="J25" s="54">
        <f t="shared" si="7"/>
        <v>220.96</v>
      </c>
      <c r="K25" s="55">
        <f t="shared" si="6"/>
        <v>7265.78</v>
      </c>
      <c r="L25" s="48"/>
      <c r="M25" s="48"/>
      <c r="N25" s="48"/>
      <c r="O25" s="48"/>
      <c r="P25" s="48"/>
      <c r="Q25" s="48"/>
      <c r="R25" s="48"/>
      <c r="S25" s="48"/>
      <c r="T25" s="48"/>
      <c r="U25" s="48"/>
      <c r="V25" s="48"/>
      <c r="W25" s="48"/>
      <c r="X25" s="48"/>
      <c r="Y25" s="48"/>
      <c r="Z25" s="48"/>
    </row>
    <row r="26" ht="15.75" customHeight="1" outlineLevel="1">
      <c r="A26" s="51" t="s">
        <v>159</v>
      </c>
      <c r="B26" s="52">
        <v>350.51</v>
      </c>
      <c r="C26" s="52">
        <v>468.04</v>
      </c>
      <c r="D26" s="52">
        <v>34.34</v>
      </c>
      <c r="E26" s="52">
        <v>167.61</v>
      </c>
      <c r="F26" s="52">
        <v>132.5</v>
      </c>
      <c r="G26" s="52">
        <v>81.0</v>
      </c>
      <c r="H26" s="52">
        <v>123.5</v>
      </c>
      <c r="I26" s="52">
        <v>110.48</v>
      </c>
      <c r="J26" s="52">
        <v>164.79</v>
      </c>
      <c r="K26" s="52">
        <f t="shared" si="6"/>
        <v>1632.77</v>
      </c>
      <c r="L26" s="48"/>
      <c r="M26" s="48"/>
      <c r="N26" s="48"/>
      <c r="O26" s="48"/>
      <c r="P26" s="48"/>
      <c r="Q26" s="48"/>
      <c r="R26" s="48"/>
      <c r="S26" s="48"/>
      <c r="T26" s="48"/>
      <c r="U26" s="48"/>
      <c r="V26" s="48"/>
      <c r="W26" s="48"/>
      <c r="X26" s="48"/>
      <c r="Y26" s="48"/>
      <c r="Z26" s="48"/>
    </row>
    <row r="27" ht="15.75" customHeight="1" outlineLevel="1">
      <c r="A27" s="51" t="s">
        <v>218</v>
      </c>
      <c r="B27" s="52">
        <v>100.0</v>
      </c>
      <c r="C27" s="49"/>
      <c r="D27" s="49"/>
      <c r="E27" s="49"/>
      <c r="F27" s="52">
        <v>500.0</v>
      </c>
      <c r="G27" s="49"/>
      <c r="H27" s="49"/>
      <c r="I27" s="49"/>
      <c r="J27" s="49"/>
      <c r="K27" s="52">
        <f t="shared" si="6"/>
        <v>600</v>
      </c>
      <c r="L27" s="48"/>
      <c r="M27" s="48"/>
      <c r="N27" s="48"/>
      <c r="O27" s="48"/>
      <c r="P27" s="48"/>
      <c r="Q27" s="48"/>
      <c r="R27" s="48"/>
      <c r="S27" s="48"/>
      <c r="T27" s="48"/>
      <c r="U27" s="48"/>
      <c r="V27" s="48"/>
      <c r="W27" s="48"/>
      <c r="X27" s="48"/>
      <c r="Y27" s="48"/>
      <c r="Z27" s="48"/>
    </row>
    <row r="28" ht="15.75" customHeight="1" outlineLevel="1">
      <c r="A28" s="51" t="s">
        <v>160</v>
      </c>
      <c r="B28" s="52">
        <v>1242.25</v>
      </c>
      <c r="C28" s="52">
        <v>1215.1</v>
      </c>
      <c r="D28" s="52">
        <v>1323.73</v>
      </c>
      <c r="E28" s="49"/>
      <c r="F28" s="49"/>
      <c r="G28" s="49"/>
      <c r="H28" s="49"/>
      <c r="I28" s="49"/>
      <c r="J28" s="49"/>
      <c r="K28" s="52">
        <f t="shared" si="6"/>
        <v>3781.08</v>
      </c>
      <c r="L28" s="48"/>
      <c r="M28" s="48"/>
      <c r="N28" s="48"/>
      <c r="O28" s="48"/>
      <c r="P28" s="48"/>
      <c r="Q28" s="48"/>
      <c r="R28" s="48"/>
      <c r="S28" s="48"/>
      <c r="T28" s="48"/>
      <c r="U28" s="48"/>
      <c r="V28" s="48"/>
      <c r="W28" s="48"/>
      <c r="X28" s="48"/>
      <c r="Y28" s="48"/>
      <c r="Z28" s="48"/>
    </row>
    <row r="29" ht="15.75" customHeight="1" outlineLevel="1">
      <c r="A29" s="51" t="s">
        <v>219</v>
      </c>
      <c r="B29" s="49"/>
      <c r="C29" s="49"/>
      <c r="D29" s="49"/>
      <c r="E29" s="52">
        <v>2926.52</v>
      </c>
      <c r="F29" s="52">
        <v>2930.88</v>
      </c>
      <c r="G29" s="52">
        <v>3060.02</v>
      </c>
      <c r="H29" s="52">
        <v>3460.53</v>
      </c>
      <c r="I29" s="52">
        <v>6263.39</v>
      </c>
      <c r="J29" s="52">
        <v>9870.73</v>
      </c>
      <c r="K29" s="52">
        <f t="shared" si="6"/>
        <v>28512.07</v>
      </c>
      <c r="L29" s="48"/>
      <c r="M29" s="48"/>
      <c r="N29" s="48"/>
      <c r="O29" s="48"/>
      <c r="P29" s="48"/>
      <c r="Q29" s="48"/>
      <c r="R29" s="48"/>
      <c r="S29" s="48"/>
      <c r="T29" s="48"/>
      <c r="U29" s="48"/>
      <c r="V29" s="48"/>
      <c r="W29" s="48"/>
      <c r="X29" s="48"/>
      <c r="Y29" s="48"/>
      <c r="Z29" s="48"/>
    </row>
    <row r="30" ht="15.75" customHeight="1" outlineLevel="1">
      <c r="A30" s="51" t="s">
        <v>161</v>
      </c>
      <c r="B30" s="52">
        <v>861.91</v>
      </c>
      <c r="C30" s="52">
        <v>1003.35</v>
      </c>
      <c r="D30" s="52">
        <v>794.78</v>
      </c>
      <c r="E30" s="52">
        <v>1849.72</v>
      </c>
      <c r="F30" s="52">
        <v>1259.74</v>
      </c>
      <c r="G30" s="52">
        <v>1258.36</v>
      </c>
      <c r="H30" s="52">
        <v>2105.3</v>
      </c>
      <c r="I30" s="52">
        <v>-108.44</v>
      </c>
      <c r="J30" s="52">
        <v>576.72</v>
      </c>
      <c r="K30" s="52">
        <f t="shared" si="6"/>
        <v>9601.44</v>
      </c>
      <c r="L30" s="48"/>
      <c r="M30" s="48"/>
      <c r="N30" s="48"/>
      <c r="O30" s="48"/>
      <c r="P30" s="48"/>
      <c r="Q30" s="48"/>
      <c r="R30" s="48"/>
      <c r="S30" s="48"/>
      <c r="T30" s="48"/>
      <c r="U30" s="48"/>
      <c r="V30" s="48"/>
      <c r="W30" s="48"/>
      <c r="X30" s="48"/>
      <c r="Y30" s="48"/>
      <c r="Z30" s="48"/>
    </row>
    <row r="31" ht="15.75" customHeight="1" outlineLevel="1">
      <c r="A31" s="51" t="s">
        <v>162</v>
      </c>
      <c r="B31" s="52">
        <v>210.16</v>
      </c>
      <c r="C31" s="52">
        <v>210.16</v>
      </c>
      <c r="D31" s="52">
        <v>210.16</v>
      </c>
      <c r="E31" s="52">
        <v>210.16</v>
      </c>
      <c r="F31" s="52">
        <v>210.15</v>
      </c>
      <c r="G31" s="52">
        <v>225.21</v>
      </c>
      <c r="H31" s="52">
        <v>459.16</v>
      </c>
      <c r="I31" s="52">
        <v>210.16</v>
      </c>
      <c r="J31" s="52">
        <v>210.16</v>
      </c>
      <c r="K31" s="52">
        <f t="shared" si="6"/>
        <v>2155.48</v>
      </c>
      <c r="L31" s="48"/>
      <c r="M31" s="48"/>
      <c r="N31" s="48"/>
      <c r="O31" s="48"/>
      <c r="P31" s="48"/>
      <c r="Q31" s="48"/>
      <c r="R31" s="48"/>
      <c r="S31" s="48"/>
      <c r="T31" s="48"/>
      <c r="U31" s="48"/>
      <c r="V31" s="48"/>
      <c r="W31" s="48"/>
      <c r="X31" s="48"/>
      <c r="Y31" s="48"/>
      <c r="Z31" s="48"/>
    </row>
    <row r="32" ht="15.75" customHeight="1" outlineLevel="1">
      <c r="A32" s="51" t="s">
        <v>197</v>
      </c>
      <c r="B32" s="49"/>
      <c r="C32" s="49"/>
      <c r="D32" s="49"/>
      <c r="E32" s="49"/>
      <c r="F32" s="52">
        <v>113.63</v>
      </c>
      <c r="G32" s="52">
        <v>111.54</v>
      </c>
      <c r="H32" s="52">
        <v>103.77</v>
      </c>
      <c r="I32" s="52">
        <v>86.92</v>
      </c>
      <c r="J32" s="52">
        <v>109.89</v>
      </c>
      <c r="K32" s="52">
        <f t="shared" si="6"/>
        <v>525.75</v>
      </c>
      <c r="L32" s="48"/>
      <c r="M32" s="48"/>
      <c r="N32" s="48"/>
      <c r="O32" s="48"/>
      <c r="P32" s="48"/>
      <c r="Q32" s="48"/>
      <c r="R32" s="48"/>
      <c r="S32" s="48"/>
      <c r="T32" s="48"/>
      <c r="U32" s="48"/>
      <c r="V32" s="48"/>
      <c r="W32" s="48"/>
      <c r="X32" s="48"/>
      <c r="Y32" s="48"/>
      <c r="Z32" s="48"/>
    </row>
    <row r="33" ht="15.75" customHeight="1" outlineLevel="1">
      <c r="A33" s="51" t="s">
        <v>163</v>
      </c>
      <c r="B33" s="52">
        <v>350.0</v>
      </c>
      <c r="C33" s="52">
        <v>2935.0</v>
      </c>
      <c r="D33" s="52">
        <v>2154.36</v>
      </c>
      <c r="E33" s="52">
        <v>1725.0</v>
      </c>
      <c r="F33" s="52">
        <v>1963.01</v>
      </c>
      <c r="G33" s="49"/>
      <c r="H33" s="52">
        <v>0.0</v>
      </c>
      <c r="I33" s="52">
        <v>1485.0</v>
      </c>
      <c r="J33" s="52">
        <v>1382.5</v>
      </c>
      <c r="K33" s="52">
        <f t="shared" si="6"/>
        <v>11994.87</v>
      </c>
      <c r="L33" s="48"/>
      <c r="M33" s="48"/>
      <c r="N33" s="48"/>
      <c r="O33" s="48"/>
      <c r="P33" s="48"/>
      <c r="Q33" s="48"/>
      <c r="R33" s="48"/>
      <c r="S33" s="48"/>
      <c r="T33" s="48"/>
      <c r="U33" s="48"/>
      <c r="V33" s="48"/>
      <c r="W33" s="48"/>
      <c r="X33" s="48"/>
      <c r="Y33" s="48"/>
      <c r="Z33" s="48"/>
    </row>
    <row r="34" ht="15.75" customHeight="1" outlineLevel="1">
      <c r="A34" s="51" t="s">
        <v>164</v>
      </c>
      <c r="B34" s="49"/>
      <c r="C34" s="52">
        <v>996.81</v>
      </c>
      <c r="D34" s="52">
        <v>214.52</v>
      </c>
      <c r="E34" s="49"/>
      <c r="F34" s="52">
        <v>329.98</v>
      </c>
      <c r="G34" s="52">
        <v>749.34</v>
      </c>
      <c r="H34" s="52">
        <v>883.99</v>
      </c>
      <c r="I34" s="49"/>
      <c r="J34" s="52">
        <v>416.59</v>
      </c>
      <c r="K34" s="52">
        <f t="shared" si="6"/>
        <v>3591.23</v>
      </c>
      <c r="L34" s="48"/>
      <c r="M34" s="48"/>
      <c r="N34" s="48"/>
      <c r="O34" s="48"/>
      <c r="P34" s="48"/>
      <c r="Q34" s="48"/>
      <c r="R34" s="48"/>
      <c r="S34" s="48"/>
      <c r="T34" s="48"/>
      <c r="U34" s="48"/>
      <c r="V34" s="48"/>
      <c r="W34" s="48"/>
      <c r="X34" s="48"/>
      <c r="Y34" s="48"/>
      <c r="Z34" s="48"/>
    </row>
    <row r="35" ht="15.75" customHeight="1" outlineLevel="1">
      <c r="A35" s="51" t="s">
        <v>220</v>
      </c>
      <c r="B35" s="52">
        <v>12527.64</v>
      </c>
      <c r="C35" s="52">
        <v>11451.74</v>
      </c>
      <c r="D35" s="52">
        <v>13331.05</v>
      </c>
      <c r="E35" s="52">
        <v>12428.63</v>
      </c>
      <c r="F35" s="52">
        <v>12634.9</v>
      </c>
      <c r="G35" s="52">
        <v>13097.47</v>
      </c>
      <c r="H35" s="52">
        <v>13495.17</v>
      </c>
      <c r="I35" s="52">
        <v>10945.97</v>
      </c>
      <c r="J35" s="52">
        <v>8610.89</v>
      </c>
      <c r="K35" s="52">
        <f t="shared" si="6"/>
        <v>108523.46</v>
      </c>
      <c r="L35" s="48"/>
      <c r="M35" s="48"/>
      <c r="N35" s="48"/>
      <c r="O35" s="48"/>
      <c r="P35" s="48"/>
      <c r="Q35" s="48"/>
      <c r="R35" s="48"/>
      <c r="S35" s="48"/>
      <c r="T35" s="48"/>
      <c r="U35" s="48"/>
      <c r="V35" s="48"/>
      <c r="W35" s="48"/>
      <c r="X35" s="48"/>
      <c r="Y35" s="48"/>
      <c r="Z35" s="48"/>
    </row>
    <row r="36" ht="15.75" customHeight="1" outlineLevel="1">
      <c r="A36" s="51" t="s">
        <v>165</v>
      </c>
      <c r="B36" s="52">
        <v>1557.66</v>
      </c>
      <c r="C36" s="52">
        <v>2154.85</v>
      </c>
      <c r="D36" s="52">
        <v>2264.46</v>
      </c>
      <c r="E36" s="52">
        <v>4565.74</v>
      </c>
      <c r="F36" s="52">
        <v>3101.83</v>
      </c>
      <c r="G36" s="52">
        <v>2601.58</v>
      </c>
      <c r="H36" s="52">
        <v>3463.33</v>
      </c>
      <c r="I36" s="52">
        <v>3155.15</v>
      </c>
      <c r="J36" s="52">
        <v>1852.36</v>
      </c>
      <c r="K36" s="52">
        <f t="shared" si="6"/>
        <v>24716.96</v>
      </c>
      <c r="L36" s="48"/>
      <c r="M36" s="48"/>
      <c r="N36" s="48"/>
      <c r="O36" s="48"/>
      <c r="P36" s="48"/>
      <c r="Q36" s="48"/>
      <c r="R36" s="48"/>
      <c r="S36" s="48"/>
      <c r="T36" s="48"/>
      <c r="U36" s="48"/>
      <c r="V36" s="48"/>
      <c r="W36" s="48"/>
      <c r="X36" s="48"/>
      <c r="Y36" s="48"/>
      <c r="Z36" s="48"/>
    </row>
    <row r="37" ht="15.75" customHeight="1" outlineLevel="1">
      <c r="A37" s="51" t="s">
        <v>198</v>
      </c>
      <c r="B37" s="52">
        <v>230.18</v>
      </c>
      <c r="C37" s="52">
        <v>1068.82</v>
      </c>
      <c r="D37" s="52">
        <v>200.15</v>
      </c>
      <c r="E37" s="52">
        <v>65.0</v>
      </c>
      <c r="F37" s="52">
        <v>54.48</v>
      </c>
      <c r="G37" s="49"/>
      <c r="H37" s="52">
        <v>2543.15</v>
      </c>
      <c r="I37" s="49"/>
      <c r="J37" s="49"/>
      <c r="K37" s="52">
        <f t="shared" si="6"/>
        <v>4161.78</v>
      </c>
      <c r="L37" s="48"/>
      <c r="M37" s="48"/>
      <c r="N37" s="48"/>
      <c r="O37" s="48"/>
      <c r="P37" s="48"/>
      <c r="Q37" s="48"/>
      <c r="R37" s="48"/>
      <c r="S37" s="48"/>
      <c r="T37" s="48"/>
      <c r="U37" s="48"/>
      <c r="V37" s="48"/>
      <c r="W37" s="48"/>
      <c r="X37" s="48"/>
      <c r="Y37" s="48"/>
      <c r="Z37" s="48"/>
    </row>
    <row r="38" ht="15.75" customHeight="1" outlineLevel="1">
      <c r="A38" s="51" t="s">
        <v>166</v>
      </c>
      <c r="B38" s="52">
        <v>242.7</v>
      </c>
      <c r="C38" s="52">
        <v>117.52</v>
      </c>
      <c r="D38" s="52">
        <v>679.64</v>
      </c>
      <c r="E38" s="52">
        <v>1254.0</v>
      </c>
      <c r="F38" s="52">
        <v>247.75</v>
      </c>
      <c r="G38" s="52">
        <v>353.53</v>
      </c>
      <c r="H38" s="52">
        <v>735.43</v>
      </c>
      <c r="I38" s="52">
        <v>635.0</v>
      </c>
      <c r="J38" s="52">
        <v>257.74</v>
      </c>
      <c r="K38" s="52">
        <f t="shared" si="6"/>
        <v>4523.31</v>
      </c>
      <c r="L38" s="48"/>
      <c r="M38" s="48"/>
      <c r="N38" s="48"/>
      <c r="O38" s="48"/>
      <c r="P38" s="48"/>
      <c r="Q38" s="48"/>
      <c r="R38" s="48"/>
      <c r="S38" s="48"/>
      <c r="T38" s="48"/>
      <c r="U38" s="48"/>
      <c r="V38" s="48"/>
      <c r="W38" s="48"/>
      <c r="X38" s="48"/>
      <c r="Y38" s="48"/>
      <c r="Z38" s="48"/>
    </row>
    <row r="39" ht="15.75" customHeight="1" outlineLevel="1">
      <c r="A39" s="51" t="s">
        <v>167</v>
      </c>
      <c r="B39" s="52">
        <v>189.4</v>
      </c>
      <c r="C39" s="52">
        <v>179.53</v>
      </c>
      <c r="D39" s="52">
        <v>184.93</v>
      </c>
      <c r="E39" s="52">
        <v>267.13</v>
      </c>
      <c r="F39" s="52">
        <v>177.15</v>
      </c>
      <c r="G39" s="52">
        <v>136.4</v>
      </c>
      <c r="H39" s="52">
        <v>191.07</v>
      </c>
      <c r="I39" s="49"/>
      <c r="J39" s="49"/>
      <c r="K39" s="52">
        <f t="shared" si="6"/>
        <v>1325.61</v>
      </c>
      <c r="L39" s="48"/>
      <c r="M39" s="48"/>
      <c r="N39" s="48"/>
      <c r="O39" s="48"/>
      <c r="P39" s="48"/>
      <c r="Q39" s="48"/>
      <c r="R39" s="48"/>
      <c r="S39" s="48"/>
      <c r="T39" s="48"/>
      <c r="U39" s="48"/>
      <c r="V39" s="48"/>
      <c r="W39" s="48"/>
      <c r="X39" s="48"/>
      <c r="Y39" s="48"/>
      <c r="Z39" s="48"/>
    </row>
    <row r="40" ht="15.75" customHeight="1" outlineLevel="2">
      <c r="A40" s="51" t="s">
        <v>221</v>
      </c>
      <c r="B40" s="49"/>
      <c r="C40" s="49"/>
      <c r="D40" s="52">
        <v>15.06</v>
      </c>
      <c r="E40" s="52">
        <v>19.54</v>
      </c>
      <c r="F40" s="52">
        <v>37.29</v>
      </c>
      <c r="G40" s="52">
        <v>36.55</v>
      </c>
      <c r="H40" s="52">
        <v>164.98</v>
      </c>
      <c r="I40" s="52">
        <v>264.79</v>
      </c>
      <c r="J40" s="52">
        <v>162.29</v>
      </c>
      <c r="K40" s="52">
        <f t="shared" si="6"/>
        <v>700.5</v>
      </c>
      <c r="L40" s="48"/>
      <c r="M40" s="48"/>
      <c r="N40" s="48"/>
      <c r="O40" s="48"/>
      <c r="P40" s="48"/>
      <c r="Q40" s="48"/>
      <c r="R40" s="48"/>
      <c r="S40" s="48"/>
      <c r="T40" s="48"/>
      <c r="U40" s="48"/>
      <c r="V40" s="48"/>
      <c r="W40" s="48"/>
      <c r="X40" s="48"/>
      <c r="Y40" s="48"/>
      <c r="Z40" s="48"/>
    </row>
    <row r="41" ht="15.75" customHeight="1" outlineLevel="1">
      <c r="A41" s="53" t="s">
        <v>222</v>
      </c>
      <c r="B41" s="54">
        <f t="shared" ref="B41:J41" si="8">B39+B40</f>
        <v>189.4</v>
      </c>
      <c r="C41" s="54">
        <f t="shared" si="8"/>
        <v>179.53</v>
      </c>
      <c r="D41" s="54">
        <f t="shared" si="8"/>
        <v>199.99</v>
      </c>
      <c r="E41" s="54">
        <f t="shared" si="8"/>
        <v>286.67</v>
      </c>
      <c r="F41" s="54">
        <f t="shared" si="8"/>
        <v>214.44</v>
      </c>
      <c r="G41" s="54">
        <f t="shared" si="8"/>
        <v>172.95</v>
      </c>
      <c r="H41" s="54">
        <f t="shared" si="8"/>
        <v>356.05</v>
      </c>
      <c r="I41" s="54">
        <f t="shared" si="8"/>
        <v>264.79</v>
      </c>
      <c r="J41" s="54">
        <f t="shared" si="8"/>
        <v>162.29</v>
      </c>
      <c r="K41" s="55">
        <f t="shared" si="6"/>
        <v>2026.11</v>
      </c>
      <c r="L41" s="48"/>
      <c r="M41" s="48"/>
      <c r="N41" s="48"/>
      <c r="O41" s="48"/>
      <c r="P41" s="48"/>
      <c r="Q41" s="48"/>
      <c r="R41" s="48"/>
      <c r="S41" s="48"/>
      <c r="T41" s="48"/>
      <c r="U41" s="48"/>
      <c r="V41" s="48"/>
      <c r="W41" s="48"/>
      <c r="X41" s="48"/>
      <c r="Y41" s="48"/>
      <c r="Z41" s="48"/>
    </row>
    <row r="42" ht="15.75" customHeight="1" outlineLevel="1">
      <c r="A42" s="51" t="s">
        <v>168</v>
      </c>
      <c r="B42" s="52">
        <v>56.0</v>
      </c>
      <c r="C42" s="52">
        <v>295.84</v>
      </c>
      <c r="D42" s="52">
        <v>769.98</v>
      </c>
      <c r="E42" s="52">
        <v>628.56</v>
      </c>
      <c r="F42" s="52">
        <v>613.72</v>
      </c>
      <c r="G42" s="52">
        <v>418.44</v>
      </c>
      <c r="H42" s="52">
        <v>1140.62</v>
      </c>
      <c r="I42" s="52">
        <v>1468.45</v>
      </c>
      <c r="J42" s="52">
        <v>115.3</v>
      </c>
      <c r="K42" s="52">
        <f t="shared" si="6"/>
        <v>5506.91</v>
      </c>
      <c r="L42" s="58">
        <f t="shared" ref="L42:L43" si="9">K42</f>
        <v>5506.91</v>
      </c>
      <c r="M42" s="48"/>
      <c r="N42" s="48"/>
      <c r="O42" s="48"/>
      <c r="P42" s="48"/>
      <c r="Q42" s="48"/>
      <c r="R42" s="48"/>
      <c r="S42" s="48"/>
      <c r="T42" s="48"/>
      <c r="U42" s="48"/>
      <c r="V42" s="48"/>
      <c r="W42" s="48"/>
      <c r="X42" s="48"/>
      <c r="Y42" s="48"/>
      <c r="Z42" s="48"/>
    </row>
    <row r="43" ht="15.75" customHeight="1" outlineLevel="1">
      <c r="A43" s="51" t="s">
        <v>169</v>
      </c>
      <c r="B43" s="52">
        <v>3523.13</v>
      </c>
      <c r="C43" s="52">
        <v>2438.47</v>
      </c>
      <c r="D43" s="52">
        <v>2519.05</v>
      </c>
      <c r="E43" s="52">
        <v>3643.93</v>
      </c>
      <c r="F43" s="52">
        <v>3369.71</v>
      </c>
      <c r="G43" s="52">
        <v>4938.32</v>
      </c>
      <c r="H43" s="52">
        <v>6234.16</v>
      </c>
      <c r="I43" s="52">
        <v>4888.79</v>
      </c>
      <c r="J43" s="52">
        <v>4205.66</v>
      </c>
      <c r="K43" s="52">
        <f t="shared" si="6"/>
        <v>35761.22</v>
      </c>
      <c r="L43" s="58">
        <f t="shared" si="9"/>
        <v>35761.22</v>
      </c>
      <c r="M43" s="48"/>
      <c r="N43" s="48"/>
      <c r="O43" s="48"/>
      <c r="P43" s="48"/>
      <c r="Q43" s="48"/>
      <c r="R43" s="48"/>
      <c r="S43" s="48"/>
      <c r="T43" s="48"/>
      <c r="U43" s="48"/>
      <c r="V43" s="48"/>
      <c r="W43" s="48"/>
      <c r="X43" s="48"/>
      <c r="Y43" s="48"/>
      <c r="Z43" s="48"/>
    </row>
    <row r="44" ht="15.75" customHeight="1" outlineLevel="1">
      <c r="A44" s="51" t="s">
        <v>170</v>
      </c>
      <c r="B44" s="52">
        <v>464.0</v>
      </c>
      <c r="C44" s="52">
        <v>464.0</v>
      </c>
      <c r="D44" s="52">
        <v>464.0</v>
      </c>
      <c r="E44" s="52">
        <v>500.97</v>
      </c>
      <c r="F44" s="52">
        <v>301.59</v>
      </c>
      <c r="G44" s="52">
        <v>965.29</v>
      </c>
      <c r="H44" s="52">
        <v>2595.51</v>
      </c>
      <c r="I44" s="52">
        <v>1518.24</v>
      </c>
      <c r="J44" s="52">
        <v>678.5</v>
      </c>
      <c r="K44" s="52">
        <f t="shared" si="6"/>
        <v>7952.1</v>
      </c>
      <c r="L44" s="48"/>
      <c r="M44" s="48"/>
      <c r="N44" s="48"/>
      <c r="O44" s="48"/>
      <c r="P44" s="48"/>
      <c r="Q44" s="48"/>
      <c r="R44" s="48"/>
      <c r="S44" s="48"/>
      <c r="T44" s="48"/>
      <c r="U44" s="48"/>
      <c r="V44" s="48"/>
      <c r="W44" s="48"/>
      <c r="X44" s="48"/>
      <c r="Y44" s="48"/>
      <c r="Z44" s="48"/>
    </row>
    <row r="45" ht="15.75" customHeight="1" outlineLevel="1">
      <c r="A45" s="51" t="s">
        <v>171</v>
      </c>
      <c r="B45" s="52">
        <v>13666.26</v>
      </c>
      <c r="C45" s="52">
        <v>9018.1</v>
      </c>
      <c r="D45" s="52">
        <v>5506.33</v>
      </c>
      <c r="E45" s="52">
        <v>6100.09</v>
      </c>
      <c r="F45" s="52">
        <v>11181.38</v>
      </c>
      <c r="G45" s="52">
        <v>8575.8</v>
      </c>
      <c r="H45" s="52">
        <v>12746.79</v>
      </c>
      <c r="I45" s="52">
        <v>6337.01</v>
      </c>
      <c r="J45" s="52">
        <v>4807.0</v>
      </c>
      <c r="K45" s="52">
        <f t="shared" si="6"/>
        <v>77938.76</v>
      </c>
      <c r="L45" s="48"/>
      <c r="M45" s="48"/>
      <c r="N45" s="48"/>
      <c r="O45" s="48"/>
      <c r="P45" s="48"/>
      <c r="Q45" s="48"/>
      <c r="R45" s="48"/>
      <c r="S45" s="48"/>
      <c r="T45" s="48"/>
      <c r="U45" s="48"/>
      <c r="V45" s="48"/>
      <c r="W45" s="48"/>
      <c r="X45" s="48"/>
      <c r="Y45" s="48"/>
      <c r="Z45" s="48"/>
    </row>
    <row r="46" ht="15.75" customHeight="1" outlineLevel="1">
      <c r="A46" s="51" t="s">
        <v>223</v>
      </c>
      <c r="B46" s="49"/>
      <c r="C46" s="49"/>
      <c r="D46" s="52">
        <v>381.0</v>
      </c>
      <c r="E46" s="52">
        <v>321.22</v>
      </c>
      <c r="F46" s="52">
        <v>472.16</v>
      </c>
      <c r="G46" s="52">
        <v>354.41</v>
      </c>
      <c r="H46" s="52">
        <v>285.27</v>
      </c>
      <c r="I46" s="52">
        <v>397.62</v>
      </c>
      <c r="J46" s="52">
        <v>193.92</v>
      </c>
      <c r="K46" s="52">
        <f t="shared" si="6"/>
        <v>2405.6</v>
      </c>
      <c r="L46" s="48"/>
      <c r="M46" s="48"/>
      <c r="N46" s="48"/>
      <c r="O46" s="48"/>
      <c r="P46" s="48"/>
      <c r="Q46" s="48"/>
      <c r="R46" s="48"/>
      <c r="S46" s="48"/>
      <c r="T46" s="48"/>
      <c r="U46" s="48"/>
      <c r="V46" s="48"/>
      <c r="W46" s="48"/>
      <c r="X46" s="48"/>
      <c r="Y46" s="48"/>
      <c r="Z46" s="48"/>
    </row>
    <row r="47" ht="15.75" customHeight="1" outlineLevel="1">
      <c r="A47" s="51" t="s">
        <v>172</v>
      </c>
      <c r="B47" s="49"/>
      <c r="C47" s="49"/>
      <c r="D47" s="52">
        <v>142.52</v>
      </c>
      <c r="E47" s="49"/>
      <c r="F47" s="49"/>
      <c r="G47" s="49"/>
      <c r="H47" s="49"/>
      <c r="I47" s="49"/>
      <c r="J47" s="49"/>
      <c r="K47" s="52">
        <f t="shared" si="6"/>
        <v>142.52</v>
      </c>
      <c r="L47" s="48"/>
      <c r="M47" s="48"/>
      <c r="N47" s="48"/>
      <c r="O47" s="48"/>
      <c r="P47" s="48"/>
      <c r="Q47" s="48"/>
      <c r="R47" s="48"/>
      <c r="S47" s="48"/>
      <c r="T47" s="48"/>
      <c r="U47" s="48"/>
      <c r="V47" s="48"/>
      <c r="W47" s="48"/>
      <c r="X47" s="48"/>
      <c r="Y47" s="48"/>
      <c r="Z47" s="48"/>
    </row>
    <row r="48" ht="15.75" customHeight="1" outlineLevel="1">
      <c r="A48" s="51" t="s">
        <v>199</v>
      </c>
      <c r="B48" s="52">
        <v>62.95</v>
      </c>
      <c r="C48" s="52">
        <v>119.96</v>
      </c>
      <c r="D48" s="52">
        <v>98.19</v>
      </c>
      <c r="E48" s="49"/>
      <c r="F48" s="49"/>
      <c r="G48" s="49"/>
      <c r="H48" s="49"/>
      <c r="I48" s="49"/>
      <c r="J48" s="49"/>
      <c r="K48" s="52">
        <f t="shared" si="6"/>
        <v>281.1</v>
      </c>
      <c r="L48" s="58">
        <f>K48</f>
        <v>281.1</v>
      </c>
      <c r="M48" s="48"/>
      <c r="N48" s="48"/>
      <c r="O48" s="48"/>
      <c r="P48" s="48"/>
      <c r="Q48" s="48"/>
      <c r="R48" s="48"/>
      <c r="S48" s="48"/>
      <c r="T48" s="48"/>
      <c r="U48" s="48"/>
      <c r="V48" s="48"/>
      <c r="W48" s="48"/>
      <c r="X48" s="48"/>
      <c r="Y48" s="48"/>
      <c r="Z48" s="48"/>
    </row>
    <row r="49" ht="15.75" customHeight="1" outlineLevel="1">
      <c r="A49" s="51" t="s">
        <v>224</v>
      </c>
      <c r="B49" s="49"/>
      <c r="C49" s="49"/>
      <c r="D49" s="49"/>
      <c r="E49" s="52">
        <v>1209.0</v>
      </c>
      <c r="F49" s="52">
        <v>1375.0</v>
      </c>
      <c r="G49" s="52">
        <v>1375.0</v>
      </c>
      <c r="H49" s="52">
        <v>1375.0</v>
      </c>
      <c r="I49" s="52">
        <v>766.97</v>
      </c>
      <c r="J49" s="52">
        <v>129.95</v>
      </c>
      <c r="K49" s="52">
        <f t="shared" si="6"/>
        <v>6230.92</v>
      </c>
      <c r="L49" s="48"/>
      <c r="M49" s="48"/>
      <c r="N49" s="48"/>
      <c r="O49" s="48"/>
      <c r="P49" s="48"/>
      <c r="Q49" s="48"/>
      <c r="R49" s="48"/>
      <c r="S49" s="48"/>
      <c r="T49" s="48"/>
      <c r="U49" s="48"/>
      <c r="V49" s="48"/>
      <c r="W49" s="48"/>
      <c r="X49" s="48"/>
      <c r="Y49" s="48"/>
      <c r="Z49" s="48"/>
    </row>
    <row r="50" ht="15.75" customHeight="1" outlineLevel="1">
      <c r="A50" s="51" t="s">
        <v>174</v>
      </c>
      <c r="B50" s="52">
        <v>1300.0</v>
      </c>
      <c r="C50" s="52">
        <v>1300.0</v>
      </c>
      <c r="D50" s="52">
        <v>1300.0</v>
      </c>
      <c r="E50" s="52">
        <v>1500.0</v>
      </c>
      <c r="F50" s="52">
        <v>1300.0</v>
      </c>
      <c r="G50" s="52">
        <v>1300.0</v>
      </c>
      <c r="H50" s="52">
        <v>1300.0</v>
      </c>
      <c r="I50" s="52">
        <v>1300.0</v>
      </c>
      <c r="J50" s="52">
        <v>1300.0</v>
      </c>
      <c r="K50" s="52">
        <f t="shared" si="6"/>
        <v>11900</v>
      </c>
      <c r="L50" s="48"/>
      <c r="M50" s="48"/>
      <c r="N50" s="48"/>
      <c r="O50" s="48"/>
      <c r="P50" s="48"/>
      <c r="Q50" s="48"/>
      <c r="R50" s="48"/>
      <c r="S50" s="48"/>
      <c r="T50" s="48"/>
      <c r="U50" s="48"/>
      <c r="V50" s="48"/>
      <c r="W50" s="48"/>
      <c r="X50" s="48"/>
      <c r="Y50" s="48"/>
      <c r="Z50" s="48"/>
    </row>
    <row r="51" ht="15.75" customHeight="1" outlineLevel="1">
      <c r="A51" s="51" t="s">
        <v>200</v>
      </c>
      <c r="B51" s="52">
        <v>165.66</v>
      </c>
      <c r="C51" s="52">
        <v>372.51</v>
      </c>
      <c r="D51" s="52">
        <v>3353.51</v>
      </c>
      <c r="E51" s="49"/>
      <c r="F51" s="49"/>
      <c r="G51" s="49"/>
      <c r="H51" s="49"/>
      <c r="I51" s="49"/>
      <c r="J51" s="49"/>
      <c r="K51" s="52">
        <f t="shared" si="6"/>
        <v>3891.68</v>
      </c>
      <c r="L51" s="48"/>
      <c r="M51" s="48"/>
      <c r="N51" s="48"/>
      <c r="O51" s="48"/>
      <c r="P51" s="48"/>
      <c r="Q51" s="48"/>
      <c r="R51" s="48"/>
      <c r="S51" s="48"/>
      <c r="T51" s="48"/>
      <c r="U51" s="48"/>
      <c r="V51" s="48"/>
      <c r="W51" s="48"/>
      <c r="X51" s="48"/>
      <c r="Y51" s="48"/>
      <c r="Z51" s="48"/>
    </row>
    <row r="52" ht="15.75" customHeight="1" outlineLevel="1">
      <c r="A52" s="51" t="s">
        <v>175</v>
      </c>
      <c r="B52" s="52">
        <v>3267.84</v>
      </c>
      <c r="C52" s="52">
        <v>4615.43</v>
      </c>
      <c r="D52" s="52">
        <v>2493.36</v>
      </c>
      <c r="E52" s="52">
        <v>3868.78</v>
      </c>
      <c r="F52" s="52">
        <v>3055.06</v>
      </c>
      <c r="G52" s="52">
        <v>1187.77</v>
      </c>
      <c r="H52" s="52">
        <v>2990.1</v>
      </c>
      <c r="I52" s="52">
        <v>3637.23</v>
      </c>
      <c r="J52" s="52">
        <v>4311.06</v>
      </c>
      <c r="K52" s="52">
        <f t="shared" si="6"/>
        <v>29426.63</v>
      </c>
      <c r="L52" s="58">
        <f t="shared" ref="L52:L53" si="10">K52</f>
        <v>29426.63</v>
      </c>
      <c r="M52" s="48"/>
      <c r="N52" s="48"/>
      <c r="O52" s="48"/>
      <c r="P52" s="48"/>
      <c r="Q52" s="48"/>
      <c r="R52" s="48"/>
      <c r="S52" s="48"/>
      <c r="T52" s="48"/>
      <c r="U52" s="48"/>
      <c r="V52" s="48"/>
      <c r="W52" s="48"/>
      <c r="X52" s="48"/>
      <c r="Y52" s="48"/>
      <c r="Z52" s="48"/>
    </row>
    <row r="53" ht="15.75" customHeight="1" outlineLevel="1">
      <c r="A53" s="51" t="s">
        <v>176</v>
      </c>
      <c r="B53" s="49"/>
      <c r="C53" s="49"/>
      <c r="D53" s="52">
        <v>2015.0</v>
      </c>
      <c r="E53" s="49"/>
      <c r="F53" s="49"/>
      <c r="G53" s="49"/>
      <c r="H53" s="49"/>
      <c r="I53" s="49"/>
      <c r="J53" s="49"/>
      <c r="K53" s="52">
        <f t="shared" si="6"/>
        <v>2015</v>
      </c>
      <c r="L53" s="58">
        <f t="shared" si="10"/>
        <v>2015</v>
      </c>
      <c r="M53" s="48"/>
      <c r="N53" s="48"/>
      <c r="O53" s="48"/>
      <c r="P53" s="48"/>
      <c r="Q53" s="48"/>
      <c r="R53" s="48"/>
      <c r="S53" s="48"/>
      <c r="T53" s="48"/>
      <c r="U53" s="48"/>
      <c r="V53" s="48"/>
      <c r="W53" s="48"/>
      <c r="X53" s="48"/>
      <c r="Y53" s="48"/>
      <c r="Z53" s="48"/>
    </row>
    <row r="54" ht="15.75" customHeight="1">
      <c r="A54" s="53" t="s">
        <v>177</v>
      </c>
      <c r="B54" s="54">
        <f t="shared" ref="B54:J54" si="11">B21+B25+B26+B27+B28+B29+B30+B31+B32+B33+B34+B35+B36+B37+B38+B41+B42+B43+B44+B45+B46+B47+B48+B49+B50+B51+B52+B53</f>
        <v>44238.52</v>
      </c>
      <c r="C54" s="54">
        <f t="shared" si="11"/>
        <v>44441.07</v>
      </c>
      <c r="D54" s="54">
        <f t="shared" si="11"/>
        <v>46823.71</v>
      </c>
      <c r="E54" s="54">
        <f t="shared" si="11"/>
        <v>46826.48</v>
      </c>
      <c r="F54" s="54">
        <f t="shared" si="11"/>
        <v>49606.24</v>
      </c>
      <c r="G54" s="54">
        <f t="shared" si="11"/>
        <v>45266.76</v>
      </c>
      <c r="H54" s="54">
        <f t="shared" si="11"/>
        <v>60408.82</v>
      </c>
      <c r="I54" s="54">
        <f t="shared" si="11"/>
        <v>46938.61</v>
      </c>
      <c r="J54" s="54">
        <f t="shared" si="11"/>
        <v>41762.41</v>
      </c>
      <c r="K54" s="55">
        <f t="shared" si="6"/>
        <v>426312.62</v>
      </c>
      <c r="L54" s="58">
        <f>SUM(L42:L53)</f>
        <v>72990.86</v>
      </c>
      <c r="M54" s="26">
        <f>L54/K54</f>
        <v>0.1712144013</v>
      </c>
      <c r="N54" s="48"/>
      <c r="O54" s="48"/>
      <c r="P54" s="48"/>
      <c r="Q54" s="48"/>
      <c r="R54" s="48"/>
      <c r="S54" s="48"/>
      <c r="T54" s="48"/>
      <c r="U54" s="48"/>
      <c r="V54" s="48"/>
      <c r="W54" s="48"/>
      <c r="X54" s="48"/>
      <c r="Y54" s="48"/>
      <c r="Z54" s="48"/>
    </row>
    <row r="55" ht="15.75" customHeight="1">
      <c r="A55" s="53" t="s">
        <v>178</v>
      </c>
      <c r="B55" s="54">
        <f t="shared" ref="B55:J55" si="12">B19-B54</f>
        <v>-41269.94</v>
      </c>
      <c r="C55" s="54">
        <f t="shared" si="12"/>
        <v>-5477.51</v>
      </c>
      <c r="D55" s="54">
        <f t="shared" si="12"/>
        <v>-20384.25</v>
      </c>
      <c r="E55" s="54">
        <f t="shared" si="12"/>
        <v>2284.82</v>
      </c>
      <c r="F55" s="54">
        <f t="shared" si="12"/>
        <v>5598.63</v>
      </c>
      <c r="G55" s="54">
        <f t="shared" si="12"/>
        <v>-31243.77</v>
      </c>
      <c r="H55" s="54">
        <f t="shared" si="12"/>
        <v>-20762.56</v>
      </c>
      <c r="I55" s="54">
        <f t="shared" si="12"/>
        <v>-24204.05</v>
      </c>
      <c r="J55" s="54">
        <f t="shared" si="12"/>
        <v>68183.48</v>
      </c>
      <c r="K55" s="55">
        <f t="shared" si="6"/>
        <v>-67275.15</v>
      </c>
      <c r="L55" s="48"/>
      <c r="M55" s="48"/>
      <c r="N55" s="48"/>
      <c r="O55" s="48"/>
      <c r="P55" s="48"/>
      <c r="Q55" s="48"/>
      <c r="R55" s="48"/>
      <c r="S55" s="48"/>
      <c r="T55" s="48"/>
      <c r="U55" s="48"/>
      <c r="V55" s="48"/>
      <c r="W55" s="48"/>
      <c r="X55" s="48"/>
      <c r="Y55" s="48"/>
      <c r="Z55" s="48"/>
    </row>
    <row r="56" ht="15.75" customHeight="1">
      <c r="A56" s="53" t="s">
        <v>179</v>
      </c>
      <c r="B56" s="56"/>
      <c r="C56" s="56"/>
      <c r="D56" s="56"/>
      <c r="E56" s="56"/>
      <c r="F56" s="56"/>
      <c r="G56" s="56"/>
      <c r="H56" s="56"/>
      <c r="I56" s="56"/>
      <c r="J56" s="56"/>
      <c r="K56" s="56"/>
      <c r="L56" s="48"/>
      <c r="M56" s="48"/>
      <c r="N56" s="48"/>
      <c r="O56" s="48"/>
      <c r="P56" s="48"/>
      <c r="Q56" s="48"/>
      <c r="R56" s="48"/>
      <c r="S56" s="48"/>
      <c r="T56" s="48"/>
      <c r="U56" s="48"/>
      <c r="V56" s="48"/>
      <c r="W56" s="48"/>
      <c r="X56" s="48"/>
      <c r="Y56" s="48"/>
      <c r="Z56" s="48"/>
    </row>
    <row r="57" ht="15.75" customHeight="1">
      <c r="A57" s="53" t="s">
        <v>180</v>
      </c>
      <c r="B57" s="54">
        <v>-41269.93999999999</v>
      </c>
      <c r="C57" s="54">
        <v>-5477.509999999995</v>
      </c>
      <c r="D57" s="54">
        <v>-20384.250000000007</v>
      </c>
      <c r="E57" s="54">
        <v>2284.8199999999997</v>
      </c>
      <c r="F57" s="54">
        <v>5598.630000000012</v>
      </c>
      <c r="G57" s="54">
        <v>-31243.77000000001</v>
      </c>
      <c r="H57" s="54">
        <v>-20762.559999999983</v>
      </c>
      <c r="I57" s="54">
        <v>-24204.05000000001</v>
      </c>
      <c r="J57" s="54">
        <v>68183.48000000003</v>
      </c>
      <c r="K57" s="55">
        <f>B57+C57+D57+E57+F57+G57+H57+I57+J57</f>
        <v>-67275.15</v>
      </c>
      <c r="L57" s="48"/>
      <c r="M57" s="48"/>
      <c r="N57" s="48"/>
      <c r="O57" s="48"/>
      <c r="P57" s="48"/>
      <c r="Q57" s="48"/>
      <c r="R57" s="48"/>
      <c r="S57" s="48"/>
      <c r="T57" s="48"/>
      <c r="U57" s="48"/>
      <c r="V57" s="48"/>
      <c r="W57" s="48"/>
      <c r="X57" s="48"/>
      <c r="Y57" s="48"/>
      <c r="Z57" s="48"/>
    </row>
    <row r="58" ht="15.75" customHeight="1">
      <c r="A58" s="49"/>
      <c r="B58" s="49"/>
      <c r="C58" s="49"/>
      <c r="D58" s="49"/>
      <c r="E58" s="49"/>
      <c r="F58" s="49"/>
      <c r="G58" s="49"/>
      <c r="H58" s="49"/>
      <c r="I58" s="49"/>
      <c r="J58" s="49"/>
      <c r="K58" s="49"/>
      <c r="L58" s="48"/>
      <c r="M58" s="48"/>
      <c r="N58" s="48"/>
      <c r="O58" s="48"/>
      <c r="P58" s="48"/>
      <c r="Q58" s="48"/>
      <c r="R58" s="48"/>
      <c r="S58" s="48"/>
      <c r="T58" s="48"/>
      <c r="U58" s="48"/>
      <c r="V58" s="48"/>
      <c r="W58" s="48"/>
      <c r="X58" s="48"/>
      <c r="Y58" s="48"/>
      <c r="Z58" s="48"/>
    </row>
    <row r="59" ht="15.75" customHeight="1">
      <c r="A59" s="49"/>
      <c r="B59" s="49"/>
      <c r="C59" s="49"/>
      <c r="D59" s="49"/>
      <c r="E59" s="49"/>
      <c r="F59" s="49"/>
      <c r="G59" s="49"/>
      <c r="H59" s="49"/>
      <c r="I59" s="49"/>
      <c r="J59" s="49"/>
      <c r="K59" s="49"/>
      <c r="L59" s="48"/>
      <c r="M59" s="48"/>
      <c r="N59" s="48"/>
      <c r="O59" s="48"/>
      <c r="P59" s="48"/>
      <c r="Q59" s="48"/>
      <c r="R59" s="48"/>
      <c r="S59" s="48"/>
      <c r="T59" s="48"/>
      <c r="U59" s="48"/>
      <c r="V59" s="48"/>
      <c r="W59" s="48"/>
      <c r="X59" s="48"/>
      <c r="Y59" s="48"/>
      <c r="Z59" s="48"/>
    </row>
    <row r="60" ht="15.75" customHeight="1">
      <c r="A60" s="49"/>
      <c r="B60" s="49"/>
      <c r="C60" s="49"/>
      <c r="D60" s="49"/>
      <c r="E60" s="49"/>
      <c r="F60" s="49"/>
      <c r="G60" s="49"/>
      <c r="H60" s="49"/>
      <c r="I60" s="49"/>
      <c r="J60" s="49"/>
      <c r="K60" s="49"/>
      <c r="L60" s="48"/>
      <c r="M60" s="48"/>
      <c r="N60" s="48"/>
      <c r="O60" s="48"/>
      <c r="P60" s="48"/>
      <c r="Q60" s="48"/>
      <c r="R60" s="48"/>
      <c r="S60" s="48"/>
      <c r="T60" s="48"/>
      <c r="U60" s="48"/>
      <c r="V60" s="48"/>
      <c r="W60" s="48"/>
      <c r="X60" s="48"/>
      <c r="Y60" s="48"/>
      <c r="Z60" s="48"/>
    </row>
    <row r="61" ht="15.75" customHeight="1">
      <c r="A61" s="57" t="s">
        <v>225</v>
      </c>
      <c r="L61" s="48"/>
      <c r="M61" s="48"/>
      <c r="N61" s="48"/>
      <c r="O61" s="48"/>
      <c r="P61" s="48"/>
      <c r="Q61" s="48"/>
      <c r="R61" s="48"/>
      <c r="S61" s="48"/>
      <c r="T61" s="48"/>
      <c r="U61" s="48"/>
      <c r="V61" s="48"/>
      <c r="W61" s="48"/>
      <c r="X61" s="48"/>
      <c r="Y61" s="48"/>
      <c r="Z61" s="48"/>
    </row>
    <row r="62" ht="15.75" customHeight="1">
      <c r="A62" s="49"/>
      <c r="B62" s="49"/>
      <c r="C62" s="49"/>
      <c r="D62" s="49"/>
      <c r="E62" s="49"/>
      <c r="F62" s="49"/>
      <c r="G62" s="49"/>
      <c r="H62" s="49"/>
      <c r="I62" s="49"/>
      <c r="J62" s="49"/>
      <c r="K62" s="49"/>
      <c r="L62" s="48"/>
      <c r="M62" s="48"/>
      <c r="N62" s="48"/>
      <c r="O62" s="48"/>
      <c r="P62" s="48"/>
      <c r="Q62" s="48"/>
      <c r="R62" s="48"/>
      <c r="S62" s="48"/>
      <c r="T62" s="48"/>
      <c r="U62" s="48"/>
      <c r="V62" s="48"/>
      <c r="W62" s="48"/>
      <c r="X62" s="48"/>
      <c r="Y62" s="48"/>
      <c r="Z62" s="48"/>
    </row>
    <row r="63" ht="15.75" customHeight="1">
      <c r="A63" s="49"/>
      <c r="B63" s="49"/>
      <c r="C63" s="49"/>
      <c r="D63" s="49"/>
      <c r="E63" s="49"/>
      <c r="F63" s="49"/>
      <c r="G63" s="49"/>
      <c r="H63" s="49"/>
      <c r="I63" s="49"/>
      <c r="J63" s="49"/>
      <c r="K63" s="49"/>
      <c r="L63" s="48"/>
      <c r="M63" s="48"/>
      <c r="N63" s="48"/>
      <c r="O63" s="48"/>
      <c r="P63" s="48"/>
      <c r="Q63" s="48"/>
      <c r="R63" s="48"/>
      <c r="S63" s="48"/>
      <c r="T63" s="48"/>
      <c r="U63" s="48"/>
      <c r="V63" s="48"/>
      <c r="W63" s="48"/>
      <c r="X63" s="48"/>
      <c r="Y63" s="48"/>
      <c r="Z63" s="48"/>
    </row>
    <row r="64" ht="15.75" customHeight="1">
      <c r="A64" s="49"/>
      <c r="B64" s="49"/>
      <c r="C64" s="49"/>
      <c r="D64" s="49"/>
      <c r="E64" s="49"/>
      <c r="F64" s="49"/>
      <c r="G64" s="49"/>
      <c r="H64" s="49"/>
      <c r="I64" s="49"/>
      <c r="J64" s="49"/>
      <c r="K64" s="49"/>
      <c r="L64" s="48"/>
      <c r="M64" s="48"/>
      <c r="N64" s="48"/>
      <c r="O64" s="48"/>
      <c r="P64" s="48"/>
      <c r="Q64" s="48"/>
      <c r="R64" s="48"/>
      <c r="S64" s="48"/>
      <c r="T64" s="48"/>
      <c r="U64" s="48"/>
      <c r="V64" s="48"/>
      <c r="W64" s="48"/>
      <c r="X64" s="48"/>
      <c r="Y64" s="48"/>
      <c r="Z64" s="48"/>
    </row>
    <row r="65" ht="15.75" customHeight="1">
      <c r="A65" s="49"/>
      <c r="B65" s="49"/>
      <c r="C65" s="49"/>
      <c r="D65" s="49"/>
      <c r="E65" s="49"/>
      <c r="F65" s="49"/>
      <c r="G65" s="49"/>
      <c r="H65" s="49"/>
      <c r="I65" s="49"/>
      <c r="J65" s="49"/>
      <c r="K65" s="49"/>
      <c r="L65" s="48"/>
      <c r="M65" s="48"/>
      <c r="N65" s="48"/>
      <c r="O65" s="48"/>
      <c r="P65" s="48"/>
      <c r="Q65" s="48"/>
      <c r="R65" s="48"/>
      <c r="S65" s="48"/>
      <c r="T65" s="48"/>
      <c r="U65" s="48"/>
      <c r="V65" s="48"/>
      <c r="W65" s="48"/>
      <c r="X65" s="48"/>
      <c r="Y65" s="48"/>
      <c r="Z65" s="48"/>
    </row>
    <row r="66" ht="15.75" customHeight="1">
      <c r="A66" s="49"/>
      <c r="B66" s="49"/>
      <c r="C66" s="49"/>
      <c r="D66" s="49"/>
      <c r="E66" s="49"/>
      <c r="F66" s="49"/>
      <c r="G66" s="49"/>
      <c r="H66" s="49"/>
      <c r="I66" s="49"/>
      <c r="J66" s="49"/>
      <c r="K66" s="49"/>
      <c r="L66" s="48"/>
      <c r="M66" s="48"/>
      <c r="N66" s="48"/>
      <c r="O66" s="48"/>
      <c r="P66" s="48"/>
      <c r="Q66" s="48"/>
      <c r="R66" s="48"/>
      <c r="S66" s="48"/>
      <c r="T66" s="48"/>
      <c r="U66" s="48"/>
      <c r="V66" s="48"/>
      <c r="W66" s="48"/>
      <c r="X66" s="48"/>
      <c r="Y66" s="48"/>
      <c r="Z66" s="48"/>
    </row>
    <row r="67" ht="15.75" customHeight="1">
      <c r="A67" s="49"/>
      <c r="B67" s="49"/>
      <c r="C67" s="49"/>
      <c r="D67" s="49"/>
      <c r="E67" s="49"/>
      <c r="F67" s="49"/>
      <c r="G67" s="49"/>
      <c r="H67" s="49"/>
      <c r="I67" s="49"/>
      <c r="J67" s="49"/>
      <c r="K67" s="49"/>
      <c r="L67" s="48"/>
      <c r="M67" s="48"/>
      <c r="N67" s="48"/>
      <c r="O67" s="48"/>
      <c r="P67" s="48"/>
      <c r="Q67" s="48"/>
      <c r="R67" s="48"/>
      <c r="S67" s="48"/>
      <c r="T67" s="48"/>
      <c r="U67" s="48"/>
      <c r="V67" s="48"/>
      <c r="W67" s="48"/>
      <c r="X67" s="48"/>
      <c r="Y67" s="48"/>
      <c r="Z67" s="48"/>
    </row>
    <row r="68" ht="15.75" customHeight="1">
      <c r="A68" s="49"/>
      <c r="B68" s="49"/>
      <c r="C68" s="49"/>
      <c r="D68" s="49"/>
      <c r="E68" s="49"/>
      <c r="F68" s="49"/>
      <c r="G68" s="49"/>
      <c r="H68" s="49"/>
      <c r="I68" s="49"/>
      <c r="J68" s="49"/>
      <c r="K68" s="49"/>
      <c r="L68" s="48"/>
      <c r="M68" s="48"/>
      <c r="N68" s="48"/>
      <c r="O68" s="48"/>
      <c r="P68" s="48"/>
      <c r="Q68" s="48"/>
      <c r="R68" s="48"/>
      <c r="S68" s="48"/>
      <c r="T68" s="48"/>
      <c r="U68" s="48"/>
      <c r="V68" s="48"/>
      <c r="W68" s="48"/>
      <c r="X68" s="48"/>
      <c r="Y68" s="48"/>
      <c r="Z68" s="48"/>
    </row>
    <row r="69" ht="15.75" customHeight="1">
      <c r="A69" s="49"/>
      <c r="B69" s="49"/>
      <c r="C69" s="49"/>
      <c r="D69" s="49"/>
      <c r="E69" s="49"/>
      <c r="F69" s="49"/>
      <c r="G69" s="49"/>
      <c r="H69" s="49"/>
      <c r="I69" s="49"/>
      <c r="J69" s="49"/>
      <c r="K69" s="49"/>
      <c r="L69" s="48"/>
      <c r="M69" s="48"/>
      <c r="N69" s="48"/>
      <c r="O69" s="48"/>
      <c r="P69" s="48"/>
      <c r="Q69" s="48"/>
      <c r="R69" s="48"/>
      <c r="S69" s="48"/>
      <c r="T69" s="48"/>
      <c r="U69" s="48"/>
      <c r="V69" s="48"/>
      <c r="W69" s="48"/>
      <c r="X69" s="48"/>
      <c r="Y69" s="48"/>
      <c r="Z69" s="48"/>
    </row>
    <row r="70" ht="15.75" customHeight="1">
      <c r="A70" s="49"/>
      <c r="B70" s="49"/>
      <c r="C70" s="49"/>
      <c r="D70" s="49"/>
      <c r="E70" s="49"/>
      <c r="F70" s="49"/>
      <c r="G70" s="49"/>
      <c r="H70" s="49"/>
      <c r="I70" s="49"/>
      <c r="J70" s="49"/>
      <c r="K70" s="49"/>
      <c r="L70" s="48"/>
      <c r="M70" s="48"/>
      <c r="N70" s="48"/>
      <c r="O70" s="48"/>
      <c r="P70" s="48"/>
      <c r="Q70" s="48"/>
      <c r="R70" s="48"/>
      <c r="S70" s="48"/>
      <c r="T70" s="48"/>
      <c r="U70" s="48"/>
      <c r="V70" s="48"/>
      <c r="W70" s="48"/>
      <c r="X70" s="48"/>
      <c r="Y70" s="48"/>
      <c r="Z70" s="48"/>
    </row>
    <row r="71" ht="15.75" customHeight="1">
      <c r="A71" s="49"/>
      <c r="B71" s="49"/>
      <c r="C71" s="49"/>
      <c r="D71" s="49"/>
      <c r="E71" s="49"/>
      <c r="F71" s="49"/>
      <c r="G71" s="49"/>
      <c r="H71" s="49"/>
      <c r="I71" s="49"/>
      <c r="J71" s="49"/>
      <c r="K71" s="49"/>
      <c r="L71" s="48"/>
      <c r="M71" s="48"/>
      <c r="N71" s="48"/>
      <c r="O71" s="48"/>
      <c r="P71" s="48"/>
      <c r="Q71" s="48"/>
      <c r="R71" s="48"/>
      <c r="S71" s="48"/>
      <c r="T71" s="48"/>
      <c r="U71" s="48"/>
      <c r="V71" s="48"/>
      <c r="W71" s="48"/>
      <c r="X71" s="48"/>
      <c r="Y71" s="48"/>
      <c r="Z71" s="48"/>
    </row>
    <row r="72" ht="15.75" customHeight="1">
      <c r="A72" s="49"/>
      <c r="B72" s="49"/>
      <c r="C72" s="49"/>
      <c r="D72" s="49"/>
      <c r="E72" s="49"/>
      <c r="F72" s="49"/>
      <c r="G72" s="49"/>
      <c r="H72" s="49"/>
      <c r="I72" s="49"/>
      <c r="J72" s="49"/>
      <c r="K72" s="49"/>
      <c r="L72" s="48"/>
      <c r="M72" s="48"/>
      <c r="N72" s="48"/>
      <c r="O72" s="48"/>
      <c r="P72" s="48"/>
      <c r="Q72" s="48"/>
      <c r="R72" s="48"/>
      <c r="S72" s="48"/>
      <c r="T72" s="48"/>
      <c r="U72" s="48"/>
      <c r="V72" s="48"/>
      <c r="W72" s="48"/>
      <c r="X72" s="48"/>
      <c r="Y72" s="48"/>
      <c r="Z72" s="48"/>
    </row>
    <row r="73" ht="15.75" customHeight="1">
      <c r="A73" s="49"/>
      <c r="B73" s="49"/>
      <c r="C73" s="49"/>
      <c r="D73" s="49"/>
      <c r="E73" s="49"/>
      <c r="F73" s="49"/>
      <c r="G73" s="49"/>
      <c r="H73" s="49"/>
      <c r="I73" s="49"/>
      <c r="J73" s="49"/>
      <c r="K73" s="49"/>
      <c r="L73" s="48"/>
      <c r="M73" s="48"/>
      <c r="N73" s="48"/>
      <c r="O73" s="48"/>
      <c r="P73" s="48"/>
      <c r="Q73" s="48"/>
      <c r="R73" s="48"/>
      <c r="S73" s="48"/>
      <c r="T73" s="48"/>
      <c r="U73" s="48"/>
      <c r="V73" s="48"/>
      <c r="W73" s="48"/>
      <c r="X73" s="48"/>
      <c r="Y73" s="48"/>
      <c r="Z73" s="48"/>
    </row>
    <row r="74" ht="15.75" customHeight="1">
      <c r="A74" s="49"/>
      <c r="B74" s="49"/>
      <c r="C74" s="49"/>
      <c r="D74" s="49"/>
      <c r="E74" s="49"/>
      <c r="F74" s="49"/>
      <c r="G74" s="49"/>
      <c r="H74" s="49"/>
      <c r="I74" s="49"/>
      <c r="J74" s="49"/>
      <c r="K74" s="49"/>
      <c r="L74" s="48"/>
      <c r="M74" s="48"/>
      <c r="N74" s="48"/>
      <c r="O74" s="48"/>
      <c r="P74" s="48"/>
      <c r="Q74" s="48"/>
      <c r="R74" s="48"/>
      <c r="S74" s="48"/>
      <c r="T74" s="48"/>
      <c r="U74" s="48"/>
      <c r="V74" s="48"/>
      <c r="W74" s="48"/>
      <c r="X74" s="48"/>
      <c r="Y74" s="48"/>
      <c r="Z74" s="48"/>
    </row>
    <row r="75" ht="15.75" customHeight="1">
      <c r="A75" s="49"/>
      <c r="B75" s="49"/>
      <c r="C75" s="49"/>
      <c r="D75" s="49"/>
      <c r="E75" s="49"/>
      <c r="F75" s="49"/>
      <c r="G75" s="49"/>
      <c r="H75" s="49"/>
      <c r="I75" s="49"/>
      <c r="J75" s="49"/>
      <c r="K75" s="49"/>
      <c r="L75" s="48"/>
      <c r="M75" s="48"/>
      <c r="N75" s="48"/>
      <c r="O75" s="48"/>
      <c r="P75" s="48"/>
      <c r="Q75" s="48"/>
      <c r="R75" s="48"/>
      <c r="S75" s="48"/>
      <c r="T75" s="48"/>
      <c r="U75" s="48"/>
      <c r="V75" s="48"/>
      <c r="W75" s="48"/>
      <c r="X75" s="48"/>
      <c r="Y75" s="48"/>
      <c r="Z75" s="48"/>
    </row>
    <row r="76" ht="15.75" customHeight="1">
      <c r="A76" s="49"/>
      <c r="B76" s="49"/>
      <c r="C76" s="49"/>
      <c r="D76" s="49"/>
      <c r="E76" s="49"/>
      <c r="F76" s="49"/>
      <c r="G76" s="49"/>
      <c r="H76" s="49"/>
      <c r="I76" s="49"/>
      <c r="J76" s="49"/>
      <c r="K76" s="49"/>
      <c r="L76" s="48"/>
      <c r="M76" s="48"/>
      <c r="N76" s="48"/>
      <c r="O76" s="48"/>
      <c r="P76" s="48"/>
      <c r="Q76" s="48"/>
      <c r="R76" s="48"/>
      <c r="S76" s="48"/>
      <c r="T76" s="48"/>
      <c r="U76" s="48"/>
      <c r="V76" s="48"/>
      <c r="W76" s="48"/>
      <c r="X76" s="48"/>
      <c r="Y76" s="48"/>
      <c r="Z76" s="48"/>
    </row>
    <row r="77" ht="15.75" customHeight="1">
      <c r="A77" s="49"/>
      <c r="B77" s="49"/>
      <c r="C77" s="49"/>
      <c r="D77" s="49"/>
      <c r="E77" s="49"/>
      <c r="F77" s="49"/>
      <c r="G77" s="49"/>
      <c r="H77" s="49"/>
      <c r="I77" s="49"/>
      <c r="J77" s="49"/>
      <c r="K77" s="49"/>
      <c r="L77" s="48"/>
      <c r="M77" s="48"/>
      <c r="N77" s="48"/>
      <c r="O77" s="48"/>
      <c r="P77" s="48"/>
      <c r="Q77" s="48"/>
      <c r="R77" s="48"/>
      <c r="S77" s="48"/>
      <c r="T77" s="48"/>
      <c r="U77" s="48"/>
      <c r="V77" s="48"/>
      <c r="W77" s="48"/>
      <c r="X77" s="48"/>
      <c r="Y77" s="48"/>
      <c r="Z77" s="48"/>
    </row>
    <row r="78" ht="15.75" customHeight="1">
      <c r="A78" s="49"/>
      <c r="B78" s="49"/>
      <c r="C78" s="49"/>
      <c r="D78" s="49"/>
      <c r="E78" s="49"/>
      <c r="F78" s="49"/>
      <c r="G78" s="49"/>
      <c r="H78" s="49"/>
      <c r="I78" s="49"/>
      <c r="J78" s="49"/>
      <c r="K78" s="49"/>
      <c r="L78" s="48"/>
      <c r="M78" s="48"/>
      <c r="N78" s="48"/>
      <c r="O78" s="48"/>
      <c r="P78" s="48"/>
      <c r="Q78" s="48"/>
      <c r="R78" s="48"/>
      <c r="S78" s="48"/>
      <c r="T78" s="48"/>
      <c r="U78" s="48"/>
      <c r="V78" s="48"/>
      <c r="W78" s="48"/>
      <c r="X78" s="48"/>
      <c r="Y78" s="48"/>
      <c r="Z78" s="48"/>
    </row>
    <row r="79" ht="15.75" customHeight="1">
      <c r="A79" s="49"/>
      <c r="B79" s="49"/>
      <c r="C79" s="49"/>
      <c r="D79" s="49"/>
      <c r="E79" s="49"/>
      <c r="F79" s="49"/>
      <c r="G79" s="49"/>
      <c r="H79" s="49"/>
      <c r="I79" s="49"/>
      <c r="J79" s="49"/>
      <c r="K79" s="49"/>
      <c r="L79" s="48"/>
      <c r="M79" s="48"/>
      <c r="N79" s="48"/>
      <c r="O79" s="48"/>
      <c r="P79" s="48"/>
      <c r="Q79" s="48"/>
      <c r="R79" s="48"/>
      <c r="S79" s="48"/>
      <c r="T79" s="48"/>
      <c r="U79" s="48"/>
      <c r="V79" s="48"/>
      <c r="W79" s="48"/>
      <c r="X79" s="48"/>
      <c r="Y79" s="48"/>
      <c r="Z79" s="48"/>
    </row>
    <row r="80" ht="15.75" customHeight="1">
      <c r="A80" s="49"/>
      <c r="B80" s="49"/>
      <c r="C80" s="49"/>
      <c r="D80" s="49"/>
      <c r="E80" s="49"/>
      <c r="F80" s="49"/>
      <c r="G80" s="49"/>
      <c r="H80" s="49"/>
      <c r="I80" s="49"/>
      <c r="J80" s="49"/>
      <c r="K80" s="49"/>
      <c r="L80" s="48"/>
      <c r="M80" s="48"/>
      <c r="N80" s="48"/>
      <c r="O80" s="48"/>
      <c r="P80" s="48"/>
      <c r="Q80" s="48"/>
      <c r="R80" s="48"/>
      <c r="S80" s="48"/>
      <c r="T80" s="48"/>
      <c r="U80" s="48"/>
      <c r="V80" s="48"/>
      <c r="W80" s="48"/>
      <c r="X80" s="48"/>
      <c r="Y80" s="48"/>
      <c r="Z80" s="48"/>
    </row>
    <row r="81" ht="15.75" customHeight="1">
      <c r="A81" s="49"/>
      <c r="B81" s="49"/>
      <c r="C81" s="49"/>
      <c r="D81" s="49"/>
      <c r="E81" s="49"/>
      <c r="F81" s="49"/>
      <c r="G81" s="49"/>
      <c r="H81" s="49"/>
      <c r="I81" s="49"/>
      <c r="J81" s="49"/>
      <c r="K81" s="49"/>
      <c r="L81" s="48"/>
      <c r="M81" s="48"/>
      <c r="N81" s="48"/>
      <c r="O81" s="48"/>
      <c r="P81" s="48"/>
      <c r="Q81" s="48"/>
      <c r="R81" s="48"/>
      <c r="S81" s="48"/>
      <c r="T81" s="48"/>
      <c r="U81" s="48"/>
      <c r="V81" s="48"/>
      <c r="W81" s="48"/>
      <c r="X81" s="48"/>
      <c r="Y81" s="48"/>
      <c r="Z81" s="48"/>
    </row>
    <row r="82" ht="15.75" customHeight="1">
      <c r="A82" s="49"/>
      <c r="B82" s="49"/>
      <c r="C82" s="49"/>
      <c r="D82" s="49"/>
      <c r="E82" s="49"/>
      <c r="F82" s="49"/>
      <c r="G82" s="49"/>
      <c r="H82" s="49"/>
      <c r="I82" s="49"/>
      <c r="J82" s="49"/>
      <c r="K82" s="49"/>
      <c r="L82" s="48"/>
      <c r="M82" s="48"/>
      <c r="N82" s="48"/>
      <c r="O82" s="48"/>
      <c r="P82" s="48"/>
      <c r="Q82" s="48"/>
      <c r="R82" s="48"/>
      <c r="S82" s="48"/>
      <c r="T82" s="48"/>
      <c r="U82" s="48"/>
      <c r="V82" s="48"/>
      <c r="W82" s="48"/>
      <c r="X82" s="48"/>
      <c r="Y82" s="48"/>
      <c r="Z82" s="48"/>
    </row>
    <row r="83" ht="15.75" customHeight="1">
      <c r="A83" s="49"/>
      <c r="B83" s="49"/>
      <c r="C83" s="49"/>
      <c r="D83" s="49"/>
      <c r="E83" s="49"/>
      <c r="F83" s="49"/>
      <c r="G83" s="49"/>
      <c r="H83" s="49"/>
      <c r="I83" s="49"/>
      <c r="J83" s="49"/>
      <c r="K83" s="49"/>
      <c r="L83" s="48"/>
      <c r="M83" s="48"/>
      <c r="N83" s="48"/>
      <c r="O83" s="48"/>
      <c r="P83" s="48"/>
      <c r="Q83" s="48"/>
      <c r="R83" s="48"/>
      <c r="S83" s="48"/>
      <c r="T83" s="48"/>
      <c r="U83" s="48"/>
      <c r="V83" s="48"/>
      <c r="W83" s="48"/>
      <c r="X83" s="48"/>
      <c r="Y83" s="48"/>
      <c r="Z83" s="48"/>
    </row>
    <row r="84" ht="15.75" customHeight="1">
      <c r="A84" s="49"/>
      <c r="B84" s="49"/>
      <c r="C84" s="49"/>
      <c r="D84" s="49"/>
      <c r="E84" s="49"/>
      <c r="F84" s="49"/>
      <c r="G84" s="49"/>
      <c r="H84" s="49"/>
      <c r="I84" s="49"/>
      <c r="J84" s="49"/>
      <c r="K84" s="49"/>
      <c r="L84" s="48"/>
      <c r="M84" s="48"/>
      <c r="N84" s="48"/>
      <c r="O84" s="48"/>
      <c r="P84" s="48"/>
      <c r="Q84" s="48"/>
      <c r="R84" s="48"/>
      <c r="S84" s="48"/>
      <c r="T84" s="48"/>
      <c r="U84" s="48"/>
      <c r="V84" s="48"/>
      <c r="W84" s="48"/>
      <c r="X84" s="48"/>
      <c r="Y84" s="48"/>
      <c r="Z84" s="48"/>
    </row>
    <row r="85" ht="15.75" customHeight="1">
      <c r="A85" s="49"/>
      <c r="B85" s="49"/>
      <c r="C85" s="49"/>
      <c r="D85" s="49"/>
      <c r="E85" s="49"/>
      <c r="F85" s="49"/>
      <c r="G85" s="49"/>
      <c r="H85" s="49"/>
      <c r="I85" s="49"/>
      <c r="J85" s="49"/>
      <c r="K85" s="49"/>
      <c r="L85" s="48"/>
      <c r="M85" s="48"/>
      <c r="N85" s="48"/>
      <c r="O85" s="48"/>
      <c r="P85" s="48"/>
      <c r="Q85" s="48"/>
      <c r="R85" s="48"/>
      <c r="S85" s="48"/>
      <c r="T85" s="48"/>
      <c r="U85" s="48"/>
      <c r="V85" s="48"/>
      <c r="W85" s="48"/>
      <c r="X85" s="48"/>
      <c r="Y85" s="48"/>
      <c r="Z85" s="48"/>
    </row>
    <row r="86" ht="15.75" customHeight="1">
      <c r="A86" s="49"/>
      <c r="B86" s="49"/>
      <c r="C86" s="49"/>
      <c r="D86" s="49"/>
      <c r="E86" s="49"/>
      <c r="F86" s="49"/>
      <c r="G86" s="49"/>
      <c r="H86" s="49"/>
      <c r="I86" s="49"/>
      <c r="J86" s="49"/>
      <c r="K86" s="49"/>
      <c r="L86" s="48"/>
      <c r="M86" s="48"/>
      <c r="N86" s="48"/>
      <c r="O86" s="48"/>
      <c r="P86" s="48"/>
      <c r="Q86" s="48"/>
      <c r="R86" s="48"/>
      <c r="S86" s="48"/>
      <c r="T86" s="48"/>
      <c r="U86" s="48"/>
      <c r="V86" s="48"/>
      <c r="W86" s="48"/>
      <c r="X86" s="48"/>
      <c r="Y86" s="48"/>
      <c r="Z86" s="48"/>
    </row>
    <row r="87" ht="15.75" customHeight="1">
      <c r="A87" s="49"/>
      <c r="B87" s="49"/>
      <c r="C87" s="49"/>
      <c r="D87" s="49"/>
      <c r="E87" s="49"/>
      <c r="F87" s="49"/>
      <c r="G87" s="49"/>
      <c r="H87" s="49"/>
      <c r="I87" s="49"/>
      <c r="J87" s="49"/>
      <c r="K87" s="49"/>
      <c r="L87" s="48"/>
      <c r="M87" s="48"/>
      <c r="N87" s="48"/>
      <c r="O87" s="48"/>
      <c r="P87" s="48"/>
      <c r="Q87" s="48"/>
      <c r="R87" s="48"/>
      <c r="S87" s="48"/>
      <c r="T87" s="48"/>
      <c r="U87" s="48"/>
      <c r="V87" s="48"/>
      <c r="W87" s="48"/>
      <c r="X87" s="48"/>
      <c r="Y87" s="48"/>
      <c r="Z87" s="48"/>
    </row>
    <row r="88" ht="15.75" customHeight="1">
      <c r="A88" s="49"/>
      <c r="B88" s="49"/>
      <c r="C88" s="49"/>
      <c r="D88" s="49"/>
      <c r="E88" s="49"/>
      <c r="F88" s="49"/>
      <c r="G88" s="49"/>
      <c r="H88" s="49"/>
      <c r="I88" s="49"/>
      <c r="J88" s="49"/>
      <c r="K88" s="49"/>
      <c r="L88" s="48"/>
      <c r="M88" s="48"/>
      <c r="N88" s="48"/>
      <c r="O88" s="48"/>
      <c r="P88" s="48"/>
      <c r="Q88" s="48"/>
      <c r="R88" s="48"/>
      <c r="S88" s="48"/>
      <c r="T88" s="48"/>
      <c r="U88" s="48"/>
      <c r="V88" s="48"/>
      <c r="W88" s="48"/>
      <c r="X88" s="48"/>
      <c r="Y88" s="48"/>
      <c r="Z88" s="48"/>
    </row>
    <row r="89" ht="15.75" customHeight="1">
      <c r="A89" s="49"/>
      <c r="B89" s="49"/>
      <c r="C89" s="49"/>
      <c r="D89" s="49"/>
      <c r="E89" s="49"/>
      <c r="F89" s="49"/>
      <c r="G89" s="49"/>
      <c r="H89" s="49"/>
      <c r="I89" s="49"/>
      <c r="J89" s="49"/>
      <c r="K89" s="49"/>
      <c r="L89" s="48"/>
      <c r="M89" s="48"/>
      <c r="N89" s="48"/>
      <c r="O89" s="48"/>
      <c r="P89" s="48"/>
      <c r="Q89" s="48"/>
      <c r="R89" s="48"/>
      <c r="S89" s="48"/>
      <c r="T89" s="48"/>
      <c r="U89" s="48"/>
      <c r="V89" s="48"/>
      <c r="W89" s="48"/>
      <c r="X89" s="48"/>
      <c r="Y89" s="48"/>
      <c r="Z89" s="48"/>
    </row>
    <row r="90" ht="15.75" customHeight="1">
      <c r="A90" s="49"/>
      <c r="B90" s="49"/>
      <c r="C90" s="49"/>
      <c r="D90" s="49"/>
      <c r="E90" s="49"/>
      <c r="F90" s="49"/>
      <c r="G90" s="49"/>
      <c r="H90" s="49"/>
      <c r="I90" s="49"/>
      <c r="J90" s="49"/>
      <c r="K90" s="49"/>
      <c r="L90" s="48"/>
      <c r="M90" s="48"/>
      <c r="N90" s="48"/>
      <c r="O90" s="48"/>
      <c r="P90" s="48"/>
      <c r="Q90" s="48"/>
      <c r="R90" s="48"/>
      <c r="S90" s="48"/>
      <c r="T90" s="48"/>
      <c r="U90" s="48"/>
      <c r="V90" s="48"/>
      <c r="W90" s="48"/>
      <c r="X90" s="48"/>
      <c r="Y90" s="48"/>
      <c r="Z90" s="48"/>
    </row>
    <row r="91" ht="15.75" customHeight="1">
      <c r="A91" s="49"/>
      <c r="B91" s="49"/>
      <c r="C91" s="49"/>
      <c r="D91" s="49"/>
      <c r="E91" s="49"/>
      <c r="F91" s="49"/>
      <c r="G91" s="49"/>
      <c r="H91" s="49"/>
      <c r="I91" s="49"/>
      <c r="J91" s="49"/>
      <c r="K91" s="49"/>
      <c r="L91" s="48"/>
      <c r="M91" s="48"/>
      <c r="N91" s="48"/>
      <c r="O91" s="48"/>
      <c r="P91" s="48"/>
      <c r="Q91" s="48"/>
      <c r="R91" s="48"/>
      <c r="S91" s="48"/>
      <c r="T91" s="48"/>
      <c r="U91" s="48"/>
      <c r="V91" s="48"/>
      <c r="W91" s="48"/>
      <c r="X91" s="48"/>
      <c r="Y91" s="48"/>
      <c r="Z91" s="48"/>
    </row>
    <row r="92" ht="15.75" customHeight="1">
      <c r="A92" s="49"/>
      <c r="B92" s="49"/>
      <c r="C92" s="49"/>
      <c r="D92" s="49"/>
      <c r="E92" s="49"/>
      <c r="F92" s="49"/>
      <c r="G92" s="49"/>
      <c r="H92" s="49"/>
      <c r="I92" s="49"/>
      <c r="J92" s="49"/>
      <c r="K92" s="49"/>
      <c r="L92" s="48"/>
      <c r="M92" s="48"/>
      <c r="N92" s="48"/>
      <c r="O92" s="48"/>
      <c r="P92" s="48"/>
      <c r="Q92" s="48"/>
      <c r="R92" s="48"/>
      <c r="S92" s="48"/>
      <c r="T92" s="48"/>
      <c r="U92" s="48"/>
      <c r="V92" s="48"/>
      <c r="W92" s="48"/>
      <c r="X92" s="48"/>
      <c r="Y92" s="48"/>
      <c r="Z92" s="48"/>
    </row>
    <row r="93" ht="15.75" customHeight="1">
      <c r="A93" s="49"/>
      <c r="B93" s="49"/>
      <c r="C93" s="49"/>
      <c r="D93" s="49"/>
      <c r="E93" s="49"/>
      <c r="F93" s="49"/>
      <c r="G93" s="49"/>
      <c r="H93" s="49"/>
      <c r="I93" s="49"/>
      <c r="J93" s="49"/>
      <c r="K93" s="49"/>
      <c r="L93" s="48"/>
      <c r="M93" s="48"/>
      <c r="N93" s="48"/>
      <c r="O93" s="48"/>
      <c r="P93" s="48"/>
      <c r="Q93" s="48"/>
      <c r="R93" s="48"/>
      <c r="S93" s="48"/>
      <c r="T93" s="48"/>
      <c r="U93" s="48"/>
      <c r="V93" s="48"/>
      <c r="W93" s="48"/>
      <c r="X93" s="48"/>
      <c r="Y93" s="48"/>
      <c r="Z93" s="48"/>
    </row>
    <row r="94" ht="15.75" customHeight="1">
      <c r="A94" s="49"/>
      <c r="B94" s="49"/>
      <c r="C94" s="49"/>
      <c r="D94" s="49"/>
      <c r="E94" s="49"/>
      <c r="F94" s="49"/>
      <c r="G94" s="49"/>
      <c r="H94" s="49"/>
      <c r="I94" s="49"/>
      <c r="J94" s="49"/>
      <c r="K94" s="49"/>
      <c r="L94" s="48"/>
      <c r="M94" s="48"/>
      <c r="N94" s="48"/>
      <c r="O94" s="48"/>
      <c r="P94" s="48"/>
      <c r="Q94" s="48"/>
      <c r="R94" s="48"/>
      <c r="S94" s="48"/>
      <c r="T94" s="48"/>
      <c r="U94" s="48"/>
      <c r="V94" s="48"/>
      <c r="W94" s="48"/>
      <c r="X94" s="48"/>
      <c r="Y94" s="48"/>
      <c r="Z94" s="48"/>
    </row>
    <row r="95" ht="15.75" customHeight="1">
      <c r="A95" s="49"/>
      <c r="B95" s="49"/>
      <c r="C95" s="49"/>
      <c r="D95" s="49"/>
      <c r="E95" s="49"/>
      <c r="F95" s="49"/>
      <c r="G95" s="49"/>
      <c r="H95" s="49"/>
      <c r="I95" s="49"/>
      <c r="J95" s="49"/>
      <c r="K95" s="49"/>
      <c r="L95" s="48"/>
      <c r="M95" s="48"/>
      <c r="N95" s="48"/>
      <c r="O95" s="48"/>
      <c r="P95" s="48"/>
      <c r="Q95" s="48"/>
      <c r="R95" s="48"/>
      <c r="S95" s="48"/>
      <c r="T95" s="48"/>
      <c r="U95" s="48"/>
      <c r="V95" s="48"/>
      <c r="W95" s="48"/>
      <c r="X95" s="48"/>
      <c r="Y95" s="48"/>
      <c r="Z95" s="48"/>
    </row>
    <row r="96" ht="15.75" customHeight="1">
      <c r="A96" s="49"/>
      <c r="B96" s="49"/>
      <c r="C96" s="49"/>
      <c r="D96" s="49"/>
      <c r="E96" s="49"/>
      <c r="F96" s="49"/>
      <c r="G96" s="49"/>
      <c r="H96" s="49"/>
      <c r="I96" s="49"/>
      <c r="J96" s="49"/>
      <c r="K96" s="49"/>
      <c r="L96" s="48"/>
      <c r="M96" s="48"/>
      <c r="N96" s="48"/>
      <c r="O96" s="48"/>
      <c r="P96" s="48"/>
      <c r="Q96" s="48"/>
      <c r="R96" s="48"/>
      <c r="S96" s="48"/>
      <c r="T96" s="48"/>
      <c r="U96" s="48"/>
      <c r="V96" s="48"/>
      <c r="W96" s="48"/>
      <c r="X96" s="48"/>
      <c r="Y96" s="48"/>
      <c r="Z96" s="48"/>
    </row>
    <row r="97" ht="15.75" customHeight="1">
      <c r="A97" s="49"/>
      <c r="B97" s="49"/>
      <c r="C97" s="49"/>
      <c r="D97" s="49"/>
      <c r="E97" s="49"/>
      <c r="F97" s="49"/>
      <c r="G97" s="49"/>
      <c r="H97" s="49"/>
      <c r="I97" s="49"/>
      <c r="J97" s="49"/>
      <c r="K97" s="49"/>
      <c r="L97" s="48"/>
      <c r="M97" s="48"/>
      <c r="N97" s="48"/>
      <c r="O97" s="48"/>
      <c r="P97" s="48"/>
      <c r="Q97" s="48"/>
      <c r="R97" s="48"/>
      <c r="S97" s="48"/>
      <c r="T97" s="48"/>
      <c r="U97" s="48"/>
      <c r="V97" s="48"/>
      <c r="W97" s="48"/>
      <c r="X97" s="48"/>
      <c r="Y97" s="48"/>
      <c r="Z97" s="48"/>
    </row>
    <row r="98" ht="15.75" customHeight="1">
      <c r="A98" s="49"/>
      <c r="B98" s="49"/>
      <c r="C98" s="49"/>
      <c r="D98" s="49"/>
      <c r="E98" s="49"/>
      <c r="F98" s="49"/>
      <c r="G98" s="49"/>
      <c r="H98" s="49"/>
      <c r="I98" s="49"/>
      <c r="J98" s="49"/>
      <c r="K98" s="49"/>
      <c r="L98" s="48"/>
      <c r="M98" s="48"/>
      <c r="N98" s="48"/>
      <c r="O98" s="48"/>
      <c r="P98" s="48"/>
      <c r="Q98" s="48"/>
      <c r="R98" s="48"/>
      <c r="S98" s="48"/>
      <c r="T98" s="48"/>
      <c r="U98" s="48"/>
      <c r="V98" s="48"/>
      <c r="W98" s="48"/>
      <c r="X98" s="48"/>
      <c r="Y98" s="48"/>
      <c r="Z98" s="48"/>
    </row>
    <row r="99" ht="15.75" customHeight="1">
      <c r="A99" s="49"/>
      <c r="B99" s="49"/>
      <c r="C99" s="49"/>
      <c r="D99" s="49"/>
      <c r="E99" s="49"/>
      <c r="F99" s="49"/>
      <c r="G99" s="49"/>
      <c r="H99" s="49"/>
      <c r="I99" s="49"/>
      <c r="J99" s="49"/>
      <c r="K99" s="49"/>
      <c r="L99" s="48"/>
      <c r="M99" s="48"/>
      <c r="N99" s="48"/>
      <c r="O99" s="48"/>
      <c r="P99" s="48"/>
      <c r="Q99" s="48"/>
      <c r="R99" s="48"/>
      <c r="S99" s="48"/>
      <c r="T99" s="48"/>
      <c r="U99" s="48"/>
      <c r="V99" s="48"/>
      <c r="W99" s="48"/>
      <c r="X99" s="48"/>
      <c r="Y99" s="48"/>
      <c r="Z99" s="48"/>
    </row>
    <row r="100" ht="15.75" customHeight="1">
      <c r="A100" s="49"/>
      <c r="B100" s="49"/>
      <c r="C100" s="49"/>
      <c r="D100" s="49"/>
      <c r="E100" s="49"/>
      <c r="F100" s="49"/>
      <c r="G100" s="49"/>
      <c r="H100" s="49"/>
      <c r="I100" s="49"/>
      <c r="J100" s="49"/>
      <c r="K100" s="49"/>
      <c r="L100" s="48"/>
      <c r="M100" s="48"/>
      <c r="N100" s="48"/>
      <c r="O100" s="48"/>
      <c r="P100" s="48"/>
      <c r="Q100" s="48"/>
      <c r="R100" s="48"/>
      <c r="S100" s="48"/>
      <c r="T100" s="48"/>
      <c r="U100" s="48"/>
      <c r="V100" s="48"/>
      <c r="W100" s="48"/>
      <c r="X100" s="48"/>
      <c r="Y100" s="48"/>
      <c r="Z100" s="48"/>
    </row>
    <row r="101" ht="15.75" customHeight="1">
      <c r="A101" s="49"/>
      <c r="B101" s="49"/>
      <c r="C101" s="49"/>
      <c r="D101" s="49"/>
      <c r="E101" s="49"/>
      <c r="F101" s="49"/>
      <c r="G101" s="49"/>
      <c r="H101" s="49"/>
      <c r="I101" s="49"/>
      <c r="J101" s="49"/>
      <c r="K101" s="49"/>
      <c r="L101" s="48"/>
      <c r="M101" s="48"/>
      <c r="N101" s="48"/>
      <c r="O101" s="48"/>
      <c r="P101" s="48"/>
      <c r="Q101" s="48"/>
      <c r="R101" s="48"/>
      <c r="S101" s="48"/>
      <c r="T101" s="48"/>
      <c r="U101" s="48"/>
      <c r="V101" s="48"/>
      <c r="W101" s="48"/>
      <c r="X101" s="48"/>
      <c r="Y101" s="48"/>
      <c r="Z101" s="48"/>
    </row>
    <row r="102" ht="15.75" customHeight="1">
      <c r="A102" s="49"/>
      <c r="B102" s="49"/>
      <c r="C102" s="49"/>
      <c r="D102" s="49"/>
      <c r="E102" s="49"/>
      <c r="F102" s="49"/>
      <c r="G102" s="49"/>
      <c r="H102" s="49"/>
      <c r="I102" s="49"/>
      <c r="J102" s="49"/>
      <c r="K102" s="49"/>
      <c r="L102" s="48"/>
      <c r="M102" s="48"/>
      <c r="N102" s="48"/>
      <c r="O102" s="48"/>
      <c r="P102" s="48"/>
      <c r="Q102" s="48"/>
      <c r="R102" s="48"/>
      <c r="S102" s="48"/>
      <c r="T102" s="48"/>
      <c r="U102" s="48"/>
      <c r="V102" s="48"/>
      <c r="W102" s="48"/>
      <c r="X102" s="48"/>
      <c r="Y102" s="48"/>
      <c r="Z102" s="48"/>
    </row>
    <row r="103" ht="15.75" customHeight="1">
      <c r="A103" s="49"/>
      <c r="B103" s="49"/>
      <c r="C103" s="49"/>
      <c r="D103" s="49"/>
      <c r="E103" s="49"/>
      <c r="F103" s="49"/>
      <c r="G103" s="49"/>
      <c r="H103" s="49"/>
      <c r="I103" s="49"/>
      <c r="J103" s="49"/>
      <c r="K103" s="49"/>
      <c r="L103" s="48"/>
      <c r="M103" s="48"/>
      <c r="N103" s="48"/>
      <c r="O103" s="48"/>
      <c r="P103" s="48"/>
      <c r="Q103" s="48"/>
      <c r="R103" s="48"/>
      <c r="S103" s="48"/>
      <c r="T103" s="48"/>
      <c r="U103" s="48"/>
      <c r="V103" s="48"/>
      <c r="W103" s="48"/>
      <c r="X103" s="48"/>
      <c r="Y103" s="48"/>
      <c r="Z103" s="48"/>
    </row>
    <row r="104" ht="15.75" customHeight="1">
      <c r="A104" s="49"/>
      <c r="B104" s="49"/>
      <c r="C104" s="49"/>
      <c r="D104" s="49"/>
      <c r="E104" s="49"/>
      <c r="F104" s="49"/>
      <c r="G104" s="49"/>
      <c r="H104" s="49"/>
      <c r="I104" s="49"/>
      <c r="J104" s="49"/>
      <c r="K104" s="49"/>
      <c r="L104" s="48"/>
      <c r="M104" s="48"/>
      <c r="N104" s="48"/>
      <c r="O104" s="48"/>
      <c r="P104" s="48"/>
      <c r="Q104" s="48"/>
      <c r="R104" s="48"/>
      <c r="S104" s="48"/>
      <c r="T104" s="48"/>
      <c r="U104" s="48"/>
      <c r="V104" s="48"/>
      <c r="W104" s="48"/>
      <c r="X104" s="48"/>
      <c r="Y104" s="48"/>
      <c r="Z104" s="48"/>
    </row>
    <row r="105" ht="15.75" customHeight="1">
      <c r="A105" s="49"/>
      <c r="B105" s="49"/>
      <c r="C105" s="49"/>
      <c r="D105" s="49"/>
      <c r="E105" s="49"/>
      <c r="F105" s="49"/>
      <c r="G105" s="49"/>
      <c r="H105" s="49"/>
      <c r="I105" s="49"/>
      <c r="J105" s="49"/>
      <c r="K105" s="49"/>
      <c r="L105" s="48"/>
      <c r="M105" s="48"/>
      <c r="N105" s="48"/>
      <c r="O105" s="48"/>
      <c r="P105" s="48"/>
      <c r="Q105" s="48"/>
      <c r="R105" s="48"/>
      <c r="S105" s="48"/>
      <c r="T105" s="48"/>
      <c r="U105" s="48"/>
      <c r="V105" s="48"/>
      <c r="W105" s="48"/>
      <c r="X105" s="48"/>
      <c r="Y105" s="48"/>
      <c r="Z105" s="48"/>
    </row>
    <row r="106" ht="15.75" customHeight="1">
      <c r="A106" s="49"/>
      <c r="B106" s="49"/>
      <c r="C106" s="49"/>
      <c r="D106" s="49"/>
      <c r="E106" s="49"/>
      <c r="F106" s="49"/>
      <c r="G106" s="49"/>
      <c r="H106" s="49"/>
      <c r="I106" s="49"/>
      <c r="J106" s="49"/>
      <c r="K106" s="49"/>
      <c r="L106" s="48"/>
      <c r="M106" s="48"/>
      <c r="N106" s="48"/>
      <c r="O106" s="48"/>
      <c r="P106" s="48"/>
      <c r="Q106" s="48"/>
      <c r="R106" s="48"/>
      <c r="S106" s="48"/>
      <c r="T106" s="48"/>
      <c r="U106" s="48"/>
      <c r="V106" s="48"/>
      <c r="W106" s="48"/>
      <c r="X106" s="48"/>
      <c r="Y106" s="48"/>
      <c r="Z106" s="48"/>
    </row>
    <row r="107" ht="15.75" customHeight="1">
      <c r="A107" s="49"/>
      <c r="B107" s="49"/>
      <c r="C107" s="49"/>
      <c r="D107" s="49"/>
      <c r="E107" s="49"/>
      <c r="F107" s="49"/>
      <c r="G107" s="49"/>
      <c r="H107" s="49"/>
      <c r="I107" s="49"/>
      <c r="J107" s="49"/>
      <c r="K107" s="49"/>
      <c r="L107" s="48"/>
      <c r="M107" s="48"/>
      <c r="N107" s="48"/>
      <c r="O107" s="48"/>
      <c r="P107" s="48"/>
      <c r="Q107" s="48"/>
      <c r="R107" s="48"/>
      <c r="S107" s="48"/>
      <c r="T107" s="48"/>
      <c r="U107" s="48"/>
      <c r="V107" s="48"/>
      <c r="W107" s="48"/>
      <c r="X107" s="48"/>
      <c r="Y107" s="48"/>
      <c r="Z107" s="48"/>
    </row>
    <row r="108" ht="15.75" customHeight="1">
      <c r="A108" s="49"/>
      <c r="B108" s="49"/>
      <c r="C108" s="49"/>
      <c r="D108" s="49"/>
      <c r="E108" s="49"/>
      <c r="F108" s="49"/>
      <c r="G108" s="49"/>
      <c r="H108" s="49"/>
      <c r="I108" s="49"/>
      <c r="J108" s="49"/>
      <c r="K108" s="49"/>
      <c r="L108" s="48"/>
      <c r="M108" s="48"/>
      <c r="N108" s="48"/>
      <c r="O108" s="48"/>
      <c r="P108" s="48"/>
      <c r="Q108" s="48"/>
      <c r="R108" s="48"/>
      <c r="S108" s="48"/>
      <c r="T108" s="48"/>
      <c r="U108" s="48"/>
      <c r="V108" s="48"/>
      <c r="W108" s="48"/>
      <c r="X108" s="48"/>
      <c r="Y108" s="48"/>
      <c r="Z108" s="48"/>
    </row>
    <row r="109" ht="15.75" customHeight="1">
      <c r="A109" s="49"/>
      <c r="B109" s="49"/>
      <c r="C109" s="49"/>
      <c r="D109" s="49"/>
      <c r="E109" s="49"/>
      <c r="F109" s="49"/>
      <c r="G109" s="49"/>
      <c r="H109" s="49"/>
      <c r="I109" s="49"/>
      <c r="J109" s="49"/>
      <c r="K109" s="49"/>
      <c r="L109" s="48"/>
      <c r="M109" s="48"/>
      <c r="N109" s="48"/>
      <c r="O109" s="48"/>
      <c r="P109" s="48"/>
      <c r="Q109" s="48"/>
      <c r="R109" s="48"/>
      <c r="S109" s="48"/>
      <c r="T109" s="48"/>
      <c r="U109" s="48"/>
      <c r="V109" s="48"/>
      <c r="W109" s="48"/>
      <c r="X109" s="48"/>
      <c r="Y109" s="48"/>
      <c r="Z109" s="48"/>
    </row>
    <row r="110" ht="15.75" customHeight="1">
      <c r="A110" s="49"/>
      <c r="B110" s="49"/>
      <c r="C110" s="49"/>
      <c r="D110" s="49"/>
      <c r="E110" s="49"/>
      <c r="F110" s="49"/>
      <c r="G110" s="49"/>
      <c r="H110" s="49"/>
      <c r="I110" s="49"/>
      <c r="J110" s="49"/>
      <c r="K110" s="49"/>
      <c r="L110" s="48"/>
      <c r="M110" s="48"/>
      <c r="N110" s="48"/>
      <c r="O110" s="48"/>
      <c r="P110" s="48"/>
      <c r="Q110" s="48"/>
      <c r="R110" s="48"/>
      <c r="S110" s="48"/>
      <c r="T110" s="48"/>
      <c r="U110" s="48"/>
      <c r="V110" s="48"/>
      <c r="W110" s="48"/>
      <c r="X110" s="48"/>
      <c r="Y110" s="48"/>
      <c r="Z110" s="48"/>
    </row>
    <row r="111" ht="15.75" customHeight="1">
      <c r="A111" s="49"/>
      <c r="B111" s="49"/>
      <c r="C111" s="49"/>
      <c r="D111" s="49"/>
      <c r="E111" s="49"/>
      <c r="F111" s="49"/>
      <c r="G111" s="49"/>
      <c r="H111" s="49"/>
      <c r="I111" s="49"/>
      <c r="J111" s="49"/>
      <c r="K111" s="49"/>
      <c r="L111" s="48"/>
      <c r="M111" s="48"/>
      <c r="N111" s="48"/>
      <c r="O111" s="48"/>
      <c r="P111" s="48"/>
      <c r="Q111" s="48"/>
      <c r="R111" s="48"/>
      <c r="S111" s="48"/>
      <c r="T111" s="48"/>
      <c r="U111" s="48"/>
      <c r="V111" s="48"/>
      <c r="W111" s="48"/>
      <c r="X111" s="48"/>
      <c r="Y111" s="48"/>
      <c r="Z111" s="48"/>
    </row>
    <row r="112" ht="15.75" customHeight="1">
      <c r="A112" s="49"/>
      <c r="B112" s="49"/>
      <c r="C112" s="49"/>
      <c r="D112" s="49"/>
      <c r="E112" s="49"/>
      <c r="F112" s="49"/>
      <c r="G112" s="49"/>
      <c r="H112" s="49"/>
      <c r="I112" s="49"/>
      <c r="J112" s="49"/>
      <c r="K112" s="49"/>
      <c r="L112" s="48"/>
      <c r="M112" s="48"/>
      <c r="N112" s="48"/>
      <c r="O112" s="48"/>
      <c r="P112" s="48"/>
      <c r="Q112" s="48"/>
      <c r="R112" s="48"/>
      <c r="S112" s="48"/>
      <c r="T112" s="48"/>
      <c r="U112" s="48"/>
      <c r="V112" s="48"/>
      <c r="W112" s="48"/>
      <c r="X112" s="48"/>
      <c r="Y112" s="48"/>
      <c r="Z112" s="48"/>
    </row>
    <row r="113" ht="15.75" customHeight="1">
      <c r="A113" s="49"/>
      <c r="B113" s="49"/>
      <c r="C113" s="49"/>
      <c r="D113" s="49"/>
      <c r="E113" s="49"/>
      <c r="F113" s="49"/>
      <c r="G113" s="49"/>
      <c r="H113" s="49"/>
      <c r="I113" s="49"/>
      <c r="J113" s="49"/>
      <c r="K113" s="49"/>
      <c r="L113" s="48"/>
      <c r="M113" s="48"/>
      <c r="N113" s="48"/>
      <c r="O113" s="48"/>
      <c r="P113" s="48"/>
      <c r="Q113" s="48"/>
      <c r="R113" s="48"/>
      <c r="S113" s="48"/>
      <c r="T113" s="48"/>
      <c r="U113" s="48"/>
      <c r="V113" s="48"/>
      <c r="W113" s="48"/>
      <c r="X113" s="48"/>
      <c r="Y113" s="48"/>
      <c r="Z113" s="48"/>
    </row>
    <row r="114" ht="15.75" customHeight="1">
      <c r="A114" s="49"/>
      <c r="B114" s="49"/>
      <c r="C114" s="49"/>
      <c r="D114" s="49"/>
      <c r="E114" s="49"/>
      <c r="F114" s="49"/>
      <c r="G114" s="49"/>
      <c r="H114" s="49"/>
      <c r="I114" s="49"/>
      <c r="J114" s="49"/>
      <c r="K114" s="49"/>
      <c r="L114" s="48"/>
      <c r="M114" s="48"/>
      <c r="N114" s="48"/>
      <c r="O114" s="48"/>
      <c r="P114" s="48"/>
      <c r="Q114" s="48"/>
      <c r="R114" s="48"/>
      <c r="S114" s="48"/>
      <c r="T114" s="48"/>
      <c r="U114" s="48"/>
      <c r="V114" s="48"/>
      <c r="W114" s="48"/>
      <c r="X114" s="48"/>
      <c r="Y114" s="48"/>
      <c r="Z114" s="48"/>
    </row>
    <row r="115" ht="15.75" customHeight="1">
      <c r="A115" s="49"/>
      <c r="B115" s="49"/>
      <c r="C115" s="49"/>
      <c r="D115" s="49"/>
      <c r="E115" s="49"/>
      <c r="F115" s="49"/>
      <c r="G115" s="49"/>
      <c r="H115" s="49"/>
      <c r="I115" s="49"/>
      <c r="J115" s="49"/>
      <c r="K115" s="49"/>
      <c r="L115" s="48"/>
      <c r="M115" s="48"/>
      <c r="N115" s="48"/>
      <c r="O115" s="48"/>
      <c r="P115" s="48"/>
      <c r="Q115" s="48"/>
      <c r="R115" s="48"/>
      <c r="S115" s="48"/>
      <c r="T115" s="48"/>
      <c r="U115" s="48"/>
      <c r="V115" s="48"/>
      <c r="W115" s="48"/>
      <c r="X115" s="48"/>
      <c r="Y115" s="48"/>
      <c r="Z115" s="48"/>
    </row>
    <row r="116" ht="15.75" customHeight="1">
      <c r="A116" s="49"/>
      <c r="B116" s="49"/>
      <c r="C116" s="49"/>
      <c r="D116" s="49"/>
      <c r="E116" s="49"/>
      <c r="F116" s="49"/>
      <c r="G116" s="49"/>
      <c r="H116" s="49"/>
      <c r="I116" s="49"/>
      <c r="J116" s="49"/>
      <c r="K116" s="49"/>
      <c r="L116" s="48"/>
      <c r="M116" s="48"/>
      <c r="N116" s="48"/>
      <c r="O116" s="48"/>
      <c r="P116" s="48"/>
      <c r="Q116" s="48"/>
      <c r="R116" s="48"/>
      <c r="S116" s="48"/>
      <c r="T116" s="48"/>
      <c r="U116" s="48"/>
      <c r="V116" s="48"/>
      <c r="W116" s="48"/>
      <c r="X116" s="48"/>
      <c r="Y116" s="48"/>
      <c r="Z116" s="48"/>
    </row>
    <row r="117" ht="15.75" customHeight="1">
      <c r="A117" s="49"/>
      <c r="B117" s="49"/>
      <c r="C117" s="49"/>
      <c r="D117" s="49"/>
      <c r="E117" s="49"/>
      <c r="F117" s="49"/>
      <c r="G117" s="49"/>
      <c r="H117" s="49"/>
      <c r="I117" s="49"/>
      <c r="J117" s="49"/>
      <c r="K117" s="49"/>
      <c r="L117" s="48"/>
      <c r="M117" s="48"/>
      <c r="N117" s="48"/>
      <c r="O117" s="48"/>
      <c r="P117" s="48"/>
      <c r="Q117" s="48"/>
      <c r="R117" s="48"/>
      <c r="S117" s="48"/>
      <c r="T117" s="48"/>
      <c r="U117" s="48"/>
      <c r="V117" s="48"/>
      <c r="W117" s="48"/>
      <c r="X117" s="48"/>
      <c r="Y117" s="48"/>
      <c r="Z117" s="48"/>
    </row>
    <row r="118" ht="15.75" customHeight="1">
      <c r="A118" s="49"/>
      <c r="B118" s="49"/>
      <c r="C118" s="49"/>
      <c r="D118" s="49"/>
      <c r="E118" s="49"/>
      <c r="F118" s="49"/>
      <c r="G118" s="49"/>
      <c r="H118" s="49"/>
      <c r="I118" s="49"/>
      <c r="J118" s="49"/>
      <c r="K118" s="49"/>
      <c r="L118" s="48"/>
      <c r="M118" s="48"/>
      <c r="N118" s="48"/>
      <c r="O118" s="48"/>
      <c r="P118" s="48"/>
      <c r="Q118" s="48"/>
      <c r="R118" s="48"/>
      <c r="S118" s="48"/>
      <c r="T118" s="48"/>
      <c r="U118" s="48"/>
      <c r="V118" s="48"/>
      <c r="W118" s="48"/>
      <c r="X118" s="48"/>
      <c r="Y118" s="48"/>
      <c r="Z118" s="48"/>
    </row>
    <row r="119" ht="15.75" customHeight="1">
      <c r="A119" s="49"/>
      <c r="B119" s="49"/>
      <c r="C119" s="49"/>
      <c r="D119" s="49"/>
      <c r="E119" s="49"/>
      <c r="F119" s="49"/>
      <c r="G119" s="49"/>
      <c r="H119" s="49"/>
      <c r="I119" s="49"/>
      <c r="J119" s="49"/>
      <c r="K119" s="49"/>
      <c r="L119" s="48"/>
      <c r="M119" s="48"/>
      <c r="N119" s="48"/>
      <c r="O119" s="48"/>
      <c r="P119" s="48"/>
      <c r="Q119" s="48"/>
      <c r="R119" s="48"/>
      <c r="S119" s="48"/>
      <c r="T119" s="48"/>
      <c r="U119" s="48"/>
      <c r="V119" s="48"/>
      <c r="W119" s="48"/>
      <c r="X119" s="48"/>
      <c r="Y119" s="48"/>
      <c r="Z119" s="48"/>
    </row>
    <row r="120" ht="15.75" customHeight="1">
      <c r="A120" s="49"/>
      <c r="B120" s="49"/>
      <c r="C120" s="49"/>
      <c r="D120" s="49"/>
      <c r="E120" s="49"/>
      <c r="F120" s="49"/>
      <c r="G120" s="49"/>
      <c r="H120" s="49"/>
      <c r="I120" s="49"/>
      <c r="J120" s="49"/>
      <c r="K120" s="49"/>
      <c r="L120" s="48"/>
      <c r="M120" s="48"/>
      <c r="N120" s="48"/>
      <c r="O120" s="48"/>
      <c r="P120" s="48"/>
      <c r="Q120" s="48"/>
      <c r="R120" s="48"/>
      <c r="S120" s="48"/>
      <c r="T120" s="48"/>
      <c r="U120" s="48"/>
      <c r="V120" s="48"/>
      <c r="W120" s="48"/>
      <c r="X120" s="48"/>
      <c r="Y120" s="48"/>
      <c r="Z120" s="48"/>
    </row>
    <row r="121" ht="15.75" customHeight="1">
      <c r="A121" s="49"/>
      <c r="B121" s="49"/>
      <c r="C121" s="49"/>
      <c r="D121" s="49"/>
      <c r="E121" s="49"/>
      <c r="F121" s="49"/>
      <c r="G121" s="49"/>
      <c r="H121" s="49"/>
      <c r="I121" s="49"/>
      <c r="J121" s="49"/>
      <c r="K121" s="49"/>
      <c r="L121" s="48"/>
      <c r="M121" s="48"/>
      <c r="N121" s="48"/>
      <c r="O121" s="48"/>
      <c r="P121" s="48"/>
      <c r="Q121" s="48"/>
      <c r="R121" s="48"/>
      <c r="S121" s="48"/>
      <c r="T121" s="48"/>
      <c r="U121" s="48"/>
      <c r="V121" s="48"/>
      <c r="W121" s="48"/>
      <c r="X121" s="48"/>
      <c r="Y121" s="48"/>
      <c r="Z121" s="48"/>
    </row>
    <row r="122" ht="15.75" customHeight="1">
      <c r="A122" s="49"/>
      <c r="B122" s="49"/>
      <c r="C122" s="49"/>
      <c r="D122" s="49"/>
      <c r="E122" s="49"/>
      <c r="F122" s="49"/>
      <c r="G122" s="49"/>
      <c r="H122" s="49"/>
      <c r="I122" s="49"/>
      <c r="J122" s="49"/>
      <c r="K122" s="49"/>
      <c r="L122" s="48"/>
      <c r="M122" s="48"/>
      <c r="N122" s="48"/>
      <c r="O122" s="48"/>
      <c r="P122" s="48"/>
      <c r="Q122" s="48"/>
      <c r="R122" s="48"/>
      <c r="S122" s="48"/>
      <c r="T122" s="48"/>
      <c r="U122" s="48"/>
      <c r="V122" s="48"/>
      <c r="W122" s="48"/>
      <c r="X122" s="48"/>
      <c r="Y122" s="48"/>
      <c r="Z122" s="48"/>
    </row>
    <row r="123" ht="15.75" customHeight="1">
      <c r="A123" s="49"/>
      <c r="B123" s="49"/>
      <c r="C123" s="49"/>
      <c r="D123" s="49"/>
      <c r="E123" s="49"/>
      <c r="F123" s="49"/>
      <c r="G123" s="49"/>
      <c r="H123" s="49"/>
      <c r="I123" s="49"/>
      <c r="J123" s="49"/>
      <c r="K123" s="49"/>
      <c r="L123" s="48"/>
      <c r="M123" s="48"/>
      <c r="N123" s="48"/>
      <c r="O123" s="48"/>
      <c r="P123" s="48"/>
      <c r="Q123" s="48"/>
      <c r="R123" s="48"/>
      <c r="S123" s="48"/>
      <c r="T123" s="48"/>
      <c r="U123" s="48"/>
      <c r="V123" s="48"/>
      <c r="W123" s="48"/>
      <c r="X123" s="48"/>
      <c r="Y123" s="48"/>
      <c r="Z123" s="48"/>
    </row>
    <row r="124" ht="15.75" customHeight="1">
      <c r="A124" s="49"/>
      <c r="B124" s="49"/>
      <c r="C124" s="49"/>
      <c r="D124" s="49"/>
      <c r="E124" s="49"/>
      <c r="F124" s="49"/>
      <c r="G124" s="49"/>
      <c r="H124" s="49"/>
      <c r="I124" s="49"/>
      <c r="J124" s="49"/>
      <c r="K124" s="49"/>
      <c r="L124" s="48"/>
      <c r="M124" s="48"/>
      <c r="N124" s="48"/>
      <c r="O124" s="48"/>
      <c r="P124" s="48"/>
      <c r="Q124" s="48"/>
      <c r="R124" s="48"/>
      <c r="S124" s="48"/>
      <c r="T124" s="48"/>
      <c r="U124" s="48"/>
      <c r="V124" s="48"/>
      <c r="W124" s="48"/>
      <c r="X124" s="48"/>
      <c r="Y124" s="48"/>
      <c r="Z124" s="48"/>
    </row>
    <row r="125" ht="15.75" customHeight="1">
      <c r="A125" s="49"/>
      <c r="B125" s="49"/>
      <c r="C125" s="49"/>
      <c r="D125" s="49"/>
      <c r="E125" s="49"/>
      <c r="F125" s="49"/>
      <c r="G125" s="49"/>
      <c r="H125" s="49"/>
      <c r="I125" s="49"/>
      <c r="J125" s="49"/>
      <c r="K125" s="49"/>
      <c r="L125" s="48"/>
      <c r="M125" s="48"/>
      <c r="N125" s="48"/>
      <c r="O125" s="48"/>
      <c r="P125" s="48"/>
      <c r="Q125" s="48"/>
      <c r="R125" s="48"/>
      <c r="S125" s="48"/>
      <c r="T125" s="48"/>
      <c r="U125" s="48"/>
      <c r="V125" s="48"/>
      <c r="W125" s="48"/>
      <c r="X125" s="48"/>
      <c r="Y125" s="48"/>
      <c r="Z125" s="48"/>
    </row>
    <row r="126" ht="15.75" customHeight="1">
      <c r="A126" s="49"/>
      <c r="B126" s="49"/>
      <c r="C126" s="49"/>
      <c r="D126" s="49"/>
      <c r="E126" s="49"/>
      <c r="F126" s="49"/>
      <c r="G126" s="49"/>
      <c r="H126" s="49"/>
      <c r="I126" s="49"/>
      <c r="J126" s="49"/>
      <c r="K126" s="49"/>
      <c r="L126" s="48"/>
      <c r="M126" s="48"/>
      <c r="N126" s="48"/>
      <c r="O126" s="48"/>
      <c r="P126" s="48"/>
      <c r="Q126" s="48"/>
      <c r="R126" s="48"/>
      <c r="S126" s="48"/>
      <c r="T126" s="48"/>
      <c r="U126" s="48"/>
      <c r="V126" s="48"/>
      <c r="W126" s="48"/>
      <c r="X126" s="48"/>
      <c r="Y126" s="48"/>
      <c r="Z126" s="48"/>
    </row>
    <row r="127" ht="15.75" customHeight="1">
      <c r="A127" s="49"/>
      <c r="B127" s="49"/>
      <c r="C127" s="49"/>
      <c r="D127" s="49"/>
      <c r="E127" s="49"/>
      <c r="F127" s="49"/>
      <c r="G127" s="49"/>
      <c r="H127" s="49"/>
      <c r="I127" s="49"/>
      <c r="J127" s="49"/>
      <c r="K127" s="49"/>
      <c r="L127" s="48"/>
      <c r="M127" s="48"/>
      <c r="N127" s="48"/>
      <c r="O127" s="48"/>
      <c r="P127" s="48"/>
      <c r="Q127" s="48"/>
      <c r="R127" s="48"/>
      <c r="S127" s="48"/>
      <c r="T127" s="48"/>
      <c r="U127" s="48"/>
      <c r="V127" s="48"/>
      <c r="W127" s="48"/>
      <c r="X127" s="48"/>
      <c r="Y127" s="48"/>
      <c r="Z127" s="48"/>
    </row>
    <row r="128" ht="15.75" customHeight="1">
      <c r="A128" s="49"/>
      <c r="B128" s="49"/>
      <c r="C128" s="49"/>
      <c r="D128" s="49"/>
      <c r="E128" s="49"/>
      <c r="F128" s="49"/>
      <c r="G128" s="49"/>
      <c r="H128" s="49"/>
      <c r="I128" s="49"/>
      <c r="J128" s="49"/>
      <c r="K128" s="49"/>
      <c r="L128" s="48"/>
      <c r="M128" s="48"/>
      <c r="N128" s="48"/>
      <c r="O128" s="48"/>
      <c r="P128" s="48"/>
      <c r="Q128" s="48"/>
      <c r="R128" s="48"/>
      <c r="S128" s="48"/>
      <c r="T128" s="48"/>
      <c r="U128" s="48"/>
      <c r="V128" s="48"/>
      <c r="W128" s="48"/>
      <c r="X128" s="48"/>
      <c r="Y128" s="48"/>
      <c r="Z128" s="48"/>
    </row>
    <row r="129" ht="15.75" customHeight="1">
      <c r="A129" s="49"/>
      <c r="B129" s="49"/>
      <c r="C129" s="49"/>
      <c r="D129" s="49"/>
      <c r="E129" s="49"/>
      <c r="F129" s="49"/>
      <c r="G129" s="49"/>
      <c r="H129" s="49"/>
      <c r="I129" s="49"/>
      <c r="J129" s="49"/>
      <c r="K129" s="49"/>
      <c r="L129" s="48"/>
      <c r="M129" s="48"/>
      <c r="N129" s="48"/>
      <c r="O129" s="48"/>
      <c r="P129" s="48"/>
      <c r="Q129" s="48"/>
      <c r="R129" s="48"/>
      <c r="S129" s="48"/>
      <c r="T129" s="48"/>
      <c r="U129" s="48"/>
      <c r="V129" s="48"/>
      <c r="W129" s="48"/>
      <c r="X129" s="48"/>
      <c r="Y129" s="48"/>
      <c r="Z129" s="48"/>
    </row>
    <row r="130" ht="15.75" customHeight="1">
      <c r="A130" s="49"/>
      <c r="B130" s="49"/>
      <c r="C130" s="49"/>
      <c r="D130" s="49"/>
      <c r="E130" s="49"/>
      <c r="F130" s="49"/>
      <c r="G130" s="49"/>
      <c r="H130" s="49"/>
      <c r="I130" s="49"/>
      <c r="J130" s="49"/>
      <c r="K130" s="49"/>
      <c r="L130" s="48"/>
      <c r="M130" s="48"/>
      <c r="N130" s="48"/>
      <c r="O130" s="48"/>
      <c r="P130" s="48"/>
      <c r="Q130" s="48"/>
      <c r="R130" s="48"/>
      <c r="S130" s="48"/>
      <c r="T130" s="48"/>
      <c r="U130" s="48"/>
      <c r="V130" s="48"/>
      <c r="W130" s="48"/>
      <c r="X130" s="48"/>
      <c r="Y130" s="48"/>
      <c r="Z130" s="48"/>
    </row>
    <row r="131" ht="15.75" customHeight="1">
      <c r="A131" s="49"/>
      <c r="B131" s="49"/>
      <c r="C131" s="49"/>
      <c r="D131" s="49"/>
      <c r="E131" s="49"/>
      <c r="F131" s="49"/>
      <c r="G131" s="49"/>
      <c r="H131" s="49"/>
      <c r="I131" s="49"/>
      <c r="J131" s="49"/>
      <c r="K131" s="49"/>
      <c r="L131" s="48"/>
      <c r="M131" s="48"/>
      <c r="N131" s="48"/>
      <c r="O131" s="48"/>
      <c r="P131" s="48"/>
      <c r="Q131" s="48"/>
      <c r="R131" s="48"/>
      <c r="S131" s="48"/>
      <c r="T131" s="48"/>
      <c r="U131" s="48"/>
      <c r="V131" s="48"/>
      <c r="W131" s="48"/>
      <c r="X131" s="48"/>
      <c r="Y131" s="48"/>
      <c r="Z131" s="48"/>
    </row>
    <row r="132" ht="15.75" customHeight="1">
      <c r="A132" s="49"/>
      <c r="B132" s="49"/>
      <c r="C132" s="49"/>
      <c r="D132" s="49"/>
      <c r="E132" s="49"/>
      <c r="F132" s="49"/>
      <c r="G132" s="49"/>
      <c r="H132" s="49"/>
      <c r="I132" s="49"/>
      <c r="J132" s="49"/>
      <c r="K132" s="49"/>
      <c r="L132" s="48"/>
      <c r="M132" s="48"/>
      <c r="N132" s="48"/>
      <c r="O132" s="48"/>
      <c r="P132" s="48"/>
      <c r="Q132" s="48"/>
      <c r="R132" s="48"/>
      <c r="S132" s="48"/>
      <c r="T132" s="48"/>
      <c r="U132" s="48"/>
      <c r="V132" s="48"/>
      <c r="W132" s="48"/>
      <c r="X132" s="48"/>
      <c r="Y132" s="48"/>
      <c r="Z132" s="48"/>
    </row>
    <row r="133" ht="15.75" customHeight="1">
      <c r="A133" s="49"/>
      <c r="B133" s="49"/>
      <c r="C133" s="49"/>
      <c r="D133" s="49"/>
      <c r="E133" s="49"/>
      <c r="F133" s="49"/>
      <c r="G133" s="49"/>
      <c r="H133" s="49"/>
      <c r="I133" s="49"/>
      <c r="J133" s="49"/>
      <c r="K133" s="49"/>
      <c r="L133" s="48"/>
      <c r="M133" s="48"/>
      <c r="N133" s="48"/>
      <c r="O133" s="48"/>
      <c r="P133" s="48"/>
      <c r="Q133" s="48"/>
      <c r="R133" s="48"/>
      <c r="S133" s="48"/>
      <c r="T133" s="48"/>
      <c r="U133" s="48"/>
      <c r="V133" s="48"/>
      <c r="W133" s="48"/>
      <c r="X133" s="48"/>
      <c r="Y133" s="48"/>
      <c r="Z133" s="48"/>
    </row>
    <row r="134" ht="15.75" customHeight="1">
      <c r="A134" s="49"/>
      <c r="B134" s="49"/>
      <c r="C134" s="49"/>
      <c r="D134" s="49"/>
      <c r="E134" s="49"/>
      <c r="F134" s="49"/>
      <c r="G134" s="49"/>
      <c r="H134" s="49"/>
      <c r="I134" s="49"/>
      <c r="J134" s="49"/>
      <c r="K134" s="49"/>
      <c r="L134" s="48"/>
      <c r="M134" s="48"/>
      <c r="N134" s="48"/>
      <c r="O134" s="48"/>
      <c r="P134" s="48"/>
      <c r="Q134" s="48"/>
      <c r="R134" s="48"/>
      <c r="S134" s="48"/>
      <c r="T134" s="48"/>
      <c r="U134" s="48"/>
      <c r="V134" s="48"/>
      <c r="W134" s="48"/>
      <c r="X134" s="48"/>
      <c r="Y134" s="48"/>
      <c r="Z134" s="48"/>
    </row>
    <row r="135" ht="15.75" customHeight="1">
      <c r="A135" s="49"/>
      <c r="B135" s="49"/>
      <c r="C135" s="49"/>
      <c r="D135" s="49"/>
      <c r="E135" s="49"/>
      <c r="F135" s="49"/>
      <c r="G135" s="49"/>
      <c r="H135" s="49"/>
      <c r="I135" s="49"/>
      <c r="J135" s="49"/>
      <c r="K135" s="49"/>
      <c r="L135" s="48"/>
      <c r="M135" s="48"/>
      <c r="N135" s="48"/>
      <c r="O135" s="48"/>
      <c r="P135" s="48"/>
      <c r="Q135" s="48"/>
      <c r="R135" s="48"/>
      <c r="S135" s="48"/>
      <c r="T135" s="48"/>
      <c r="U135" s="48"/>
      <c r="V135" s="48"/>
      <c r="W135" s="48"/>
      <c r="X135" s="48"/>
      <c r="Y135" s="48"/>
      <c r="Z135" s="48"/>
    </row>
    <row r="136" ht="15.75" customHeight="1">
      <c r="A136" s="49"/>
      <c r="B136" s="49"/>
      <c r="C136" s="49"/>
      <c r="D136" s="49"/>
      <c r="E136" s="49"/>
      <c r="F136" s="49"/>
      <c r="G136" s="49"/>
      <c r="H136" s="49"/>
      <c r="I136" s="49"/>
      <c r="J136" s="49"/>
      <c r="K136" s="49"/>
      <c r="L136" s="48"/>
      <c r="M136" s="48"/>
      <c r="N136" s="48"/>
      <c r="O136" s="48"/>
      <c r="P136" s="48"/>
      <c r="Q136" s="48"/>
      <c r="R136" s="48"/>
      <c r="S136" s="48"/>
      <c r="T136" s="48"/>
      <c r="U136" s="48"/>
      <c r="V136" s="48"/>
      <c r="W136" s="48"/>
      <c r="X136" s="48"/>
      <c r="Y136" s="48"/>
      <c r="Z136" s="48"/>
    </row>
    <row r="137" ht="15.75" customHeight="1">
      <c r="A137" s="49"/>
      <c r="B137" s="49"/>
      <c r="C137" s="49"/>
      <c r="D137" s="49"/>
      <c r="E137" s="49"/>
      <c r="F137" s="49"/>
      <c r="G137" s="49"/>
      <c r="H137" s="49"/>
      <c r="I137" s="49"/>
      <c r="J137" s="49"/>
      <c r="K137" s="49"/>
      <c r="L137" s="48"/>
      <c r="M137" s="48"/>
      <c r="N137" s="48"/>
      <c r="O137" s="48"/>
      <c r="P137" s="48"/>
      <c r="Q137" s="48"/>
      <c r="R137" s="48"/>
      <c r="S137" s="48"/>
      <c r="T137" s="48"/>
      <c r="U137" s="48"/>
      <c r="V137" s="48"/>
      <c r="W137" s="48"/>
      <c r="X137" s="48"/>
      <c r="Y137" s="48"/>
      <c r="Z137" s="48"/>
    </row>
    <row r="138" ht="15.75" customHeight="1">
      <c r="A138" s="49"/>
      <c r="B138" s="49"/>
      <c r="C138" s="49"/>
      <c r="D138" s="49"/>
      <c r="E138" s="49"/>
      <c r="F138" s="49"/>
      <c r="G138" s="49"/>
      <c r="H138" s="49"/>
      <c r="I138" s="49"/>
      <c r="J138" s="49"/>
      <c r="K138" s="49"/>
      <c r="L138" s="48"/>
      <c r="M138" s="48"/>
      <c r="N138" s="48"/>
      <c r="O138" s="48"/>
      <c r="P138" s="48"/>
      <c r="Q138" s="48"/>
      <c r="R138" s="48"/>
      <c r="S138" s="48"/>
      <c r="T138" s="48"/>
      <c r="U138" s="48"/>
      <c r="V138" s="48"/>
      <c r="W138" s="48"/>
      <c r="X138" s="48"/>
      <c r="Y138" s="48"/>
      <c r="Z138" s="48"/>
    </row>
    <row r="139" ht="15.75" customHeight="1">
      <c r="A139" s="49"/>
      <c r="B139" s="49"/>
      <c r="C139" s="49"/>
      <c r="D139" s="49"/>
      <c r="E139" s="49"/>
      <c r="F139" s="49"/>
      <c r="G139" s="49"/>
      <c r="H139" s="49"/>
      <c r="I139" s="49"/>
      <c r="J139" s="49"/>
      <c r="K139" s="49"/>
      <c r="L139" s="48"/>
      <c r="M139" s="48"/>
      <c r="N139" s="48"/>
      <c r="O139" s="48"/>
      <c r="P139" s="48"/>
      <c r="Q139" s="48"/>
      <c r="R139" s="48"/>
      <c r="S139" s="48"/>
      <c r="T139" s="48"/>
      <c r="U139" s="48"/>
      <c r="V139" s="48"/>
      <c r="W139" s="48"/>
      <c r="X139" s="48"/>
      <c r="Y139" s="48"/>
      <c r="Z139" s="48"/>
    </row>
    <row r="140" ht="15.75" customHeight="1">
      <c r="A140" s="49"/>
      <c r="B140" s="49"/>
      <c r="C140" s="49"/>
      <c r="D140" s="49"/>
      <c r="E140" s="49"/>
      <c r="F140" s="49"/>
      <c r="G140" s="49"/>
      <c r="H140" s="49"/>
      <c r="I140" s="49"/>
      <c r="J140" s="49"/>
      <c r="K140" s="49"/>
      <c r="L140" s="48"/>
      <c r="M140" s="48"/>
      <c r="N140" s="48"/>
      <c r="O140" s="48"/>
      <c r="P140" s="48"/>
      <c r="Q140" s="48"/>
      <c r="R140" s="48"/>
      <c r="S140" s="48"/>
      <c r="T140" s="48"/>
      <c r="U140" s="48"/>
      <c r="V140" s="48"/>
      <c r="W140" s="48"/>
      <c r="X140" s="48"/>
      <c r="Y140" s="48"/>
      <c r="Z140" s="48"/>
    </row>
    <row r="141" ht="15.75" customHeight="1">
      <c r="A141" s="49"/>
      <c r="B141" s="49"/>
      <c r="C141" s="49"/>
      <c r="D141" s="49"/>
      <c r="E141" s="49"/>
      <c r="F141" s="49"/>
      <c r="G141" s="49"/>
      <c r="H141" s="49"/>
      <c r="I141" s="49"/>
      <c r="J141" s="49"/>
      <c r="K141" s="49"/>
      <c r="L141" s="48"/>
      <c r="M141" s="48"/>
      <c r="N141" s="48"/>
      <c r="O141" s="48"/>
      <c r="P141" s="48"/>
      <c r="Q141" s="48"/>
      <c r="R141" s="48"/>
      <c r="S141" s="48"/>
      <c r="T141" s="48"/>
      <c r="U141" s="48"/>
      <c r="V141" s="48"/>
      <c r="W141" s="48"/>
      <c r="X141" s="48"/>
      <c r="Y141" s="48"/>
      <c r="Z141" s="48"/>
    </row>
    <row r="142" ht="15.75" customHeight="1">
      <c r="A142" s="49"/>
      <c r="B142" s="49"/>
      <c r="C142" s="49"/>
      <c r="D142" s="49"/>
      <c r="E142" s="49"/>
      <c r="F142" s="49"/>
      <c r="G142" s="49"/>
      <c r="H142" s="49"/>
      <c r="I142" s="49"/>
      <c r="J142" s="49"/>
      <c r="K142" s="49"/>
      <c r="L142" s="48"/>
      <c r="M142" s="48"/>
      <c r="N142" s="48"/>
      <c r="O142" s="48"/>
      <c r="P142" s="48"/>
      <c r="Q142" s="48"/>
      <c r="R142" s="48"/>
      <c r="S142" s="48"/>
      <c r="T142" s="48"/>
      <c r="U142" s="48"/>
      <c r="V142" s="48"/>
      <c r="W142" s="48"/>
      <c r="X142" s="48"/>
      <c r="Y142" s="48"/>
      <c r="Z142" s="48"/>
    </row>
    <row r="143" ht="15.75" customHeight="1">
      <c r="A143" s="49"/>
      <c r="B143" s="49"/>
      <c r="C143" s="49"/>
      <c r="D143" s="49"/>
      <c r="E143" s="49"/>
      <c r="F143" s="49"/>
      <c r="G143" s="49"/>
      <c r="H143" s="49"/>
      <c r="I143" s="49"/>
      <c r="J143" s="49"/>
      <c r="K143" s="49"/>
      <c r="L143" s="48"/>
      <c r="M143" s="48"/>
      <c r="N143" s="48"/>
      <c r="O143" s="48"/>
      <c r="P143" s="48"/>
      <c r="Q143" s="48"/>
      <c r="R143" s="48"/>
      <c r="S143" s="48"/>
      <c r="T143" s="48"/>
      <c r="U143" s="48"/>
      <c r="V143" s="48"/>
      <c r="W143" s="48"/>
      <c r="X143" s="48"/>
      <c r="Y143" s="48"/>
      <c r="Z143" s="48"/>
    </row>
    <row r="144" ht="15.75" customHeight="1">
      <c r="A144" s="49"/>
      <c r="B144" s="49"/>
      <c r="C144" s="49"/>
      <c r="D144" s="49"/>
      <c r="E144" s="49"/>
      <c r="F144" s="49"/>
      <c r="G144" s="49"/>
      <c r="H144" s="49"/>
      <c r="I144" s="49"/>
      <c r="J144" s="49"/>
      <c r="K144" s="49"/>
      <c r="L144" s="48"/>
      <c r="M144" s="48"/>
      <c r="N144" s="48"/>
      <c r="O144" s="48"/>
      <c r="P144" s="48"/>
      <c r="Q144" s="48"/>
      <c r="R144" s="48"/>
      <c r="S144" s="48"/>
      <c r="T144" s="48"/>
      <c r="U144" s="48"/>
      <c r="V144" s="48"/>
      <c r="W144" s="48"/>
      <c r="X144" s="48"/>
      <c r="Y144" s="48"/>
      <c r="Z144" s="48"/>
    </row>
    <row r="145" ht="15.75" customHeight="1">
      <c r="A145" s="49"/>
      <c r="B145" s="49"/>
      <c r="C145" s="49"/>
      <c r="D145" s="49"/>
      <c r="E145" s="49"/>
      <c r="F145" s="49"/>
      <c r="G145" s="49"/>
      <c r="H145" s="49"/>
      <c r="I145" s="49"/>
      <c r="J145" s="49"/>
      <c r="K145" s="49"/>
      <c r="L145" s="48"/>
      <c r="M145" s="48"/>
      <c r="N145" s="48"/>
      <c r="O145" s="48"/>
      <c r="P145" s="48"/>
      <c r="Q145" s="48"/>
      <c r="R145" s="48"/>
      <c r="S145" s="48"/>
      <c r="T145" s="48"/>
      <c r="U145" s="48"/>
      <c r="V145" s="48"/>
      <c r="W145" s="48"/>
      <c r="X145" s="48"/>
      <c r="Y145" s="48"/>
      <c r="Z145" s="48"/>
    </row>
    <row r="146" ht="15.75" customHeight="1">
      <c r="A146" s="49"/>
      <c r="B146" s="49"/>
      <c r="C146" s="49"/>
      <c r="D146" s="49"/>
      <c r="E146" s="49"/>
      <c r="F146" s="49"/>
      <c r="G146" s="49"/>
      <c r="H146" s="49"/>
      <c r="I146" s="49"/>
      <c r="J146" s="49"/>
      <c r="K146" s="49"/>
      <c r="L146" s="48"/>
      <c r="M146" s="48"/>
      <c r="N146" s="48"/>
      <c r="O146" s="48"/>
      <c r="P146" s="48"/>
      <c r="Q146" s="48"/>
      <c r="R146" s="48"/>
      <c r="S146" s="48"/>
      <c r="T146" s="48"/>
      <c r="U146" s="48"/>
      <c r="V146" s="48"/>
      <c r="W146" s="48"/>
      <c r="X146" s="48"/>
      <c r="Y146" s="48"/>
      <c r="Z146" s="48"/>
    </row>
    <row r="147" ht="15.75" customHeight="1">
      <c r="A147" s="49"/>
      <c r="B147" s="49"/>
      <c r="C147" s="49"/>
      <c r="D147" s="49"/>
      <c r="E147" s="49"/>
      <c r="F147" s="49"/>
      <c r="G147" s="49"/>
      <c r="H147" s="49"/>
      <c r="I147" s="49"/>
      <c r="J147" s="49"/>
      <c r="K147" s="49"/>
      <c r="L147" s="48"/>
      <c r="M147" s="48"/>
      <c r="N147" s="48"/>
      <c r="O147" s="48"/>
      <c r="P147" s="48"/>
      <c r="Q147" s="48"/>
      <c r="R147" s="48"/>
      <c r="S147" s="48"/>
      <c r="T147" s="48"/>
      <c r="U147" s="48"/>
      <c r="V147" s="48"/>
      <c r="W147" s="48"/>
      <c r="X147" s="48"/>
      <c r="Y147" s="48"/>
      <c r="Z147" s="48"/>
    </row>
    <row r="148" ht="15.75" customHeight="1">
      <c r="A148" s="49"/>
      <c r="B148" s="49"/>
      <c r="C148" s="49"/>
      <c r="D148" s="49"/>
      <c r="E148" s="49"/>
      <c r="F148" s="49"/>
      <c r="G148" s="49"/>
      <c r="H148" s="49"/>
      <c r="I148" s="49"/>
      <c r="J148" s="49"/>
      <c r="K148" s="49"/>
      <c r="L148" s="48"/>
      <c r="M148" s="48"/>
      <c r="N148" s="48"/>
      <c r="O148" s="48"/>
      <c r="P148" s="48"/>
      <c r="Q148" s="48"/>
      <c r="R148" s="48"/>
      <c r="S148" s="48"/>
      <c r="T148" s="48"/>
      <c r="U148" s="48"/>
      <c r="V148" s="48"/>
      <c r="W148" s="48"/>
      <c r="X148" s="48"/>
      <c r="Y148" s="48"/>
      <c r="Z148" s="48"/>
    </row>
    <row r="149" ht="15.75" customHeight="1">
      <c r="A149" s="49"/>
      <c r="B149" s="49"/>
      <c r="C149" s="49"/>
      <c r="D149" s="49"/>
      <c r="E149" s="49"/>
      <c r="F149" s="49"/>
      <c r="G149" s="49"/>
      <c r="H149" s="49"/>
      <c r="I149" s="49"/>
      <c r="J149" s="49"/>
      <c r="K149" s="49"/>
      <c r="L149" s="48"/>
      <c r="M149" s="48"/>
      <c r="N149" s="48"/>
      <c r="O149" s="48"/>
      <c r="P149" s="48"/>
      <c r="Q149" s="48"/>
      <c r="R149" s="48"/>
      <c r="S149" s="48"/>
      <c r="T149" s="48"/>
      <c r="U149" s="48"/>
      <c r="V149" s="48"/>
      <c r="W149" s="48"/>
      <c r="X149" s="48"/>
      <c r="Y149" s="48"/>
      <c r="Z149" s="48"/>
    </row>
    <row r="150" ht="15.75" customHeight="1">
      <c r="A150" s="49"/>
      <c r="B150" s="49"/>
      <c r="C150" s="49"/>
      <c r="D150" s="49"/>
      <c r="E150" s="49"/>
      <c r="F150" s="49"/>
      <c r="G150" s="49"/>
      <c r="H150" s="49"/>
      <c r="I150" s="49"/>
      <c r="J150" s="49"/>
      <c r="K150" s="49"/>
      <c r="L150" s="48"/>
      <c r="M150" s="48"/>
      <c r="N150" s="48"/>
      <c r="O150" s="48"/>
      <c r="P150" s="48"/>
      <c r="Q150" s="48"/>
      <c r="R150" s="48"/>
      <c r="S150" s="48"/>
      <c r="T150" s="48"/>
      <c r="U150" s="48"/>
      <c r="V150" s="48"/>
      <c r="W150" s="48"/>
      <c r="X150" s="48"/>
      <c r="Y150" s="48"/>
      <c r="Z150" s="48"/>
    </row>
    <row r="151" ht="15.75" customHeight="1">
      <c r="A151" s="49"/>
      <c r="B151" s="49"/>
      <c r="C151" s="49"/>
      <c r="D151" s="49"/>
      <c r="E151" s="49"/>
      <c r="F151" s="49"/>
      <c r="G151" s="49"/>
      <c r="H151" s="49"/>
      <c r="I151" s="49"/>
      <c r="J151" s="49"/>
      <c r="K151" s="49"/>
      <c r="L151" s="48"/>
      <c r="M151" s="48"/>
      <c r="N151" s="48"/>
      <c r="O151" s="48"/>
      <c r="P151" s="48"/>
      <c r="Q151" s="48"/>
      <c r="R151" s="48"/>
      <c r="S151" s="48"/>
      <c r="T151" s="48"/>
      <c r="U151" s="48"/>
      <c r="V151" s="48"/>
      <c r="W151" s="48"/>
      <c r="X151" s="48"/>
      <c r="Y151" s="48"/>
      <c r="Z151" s="48"/>
    </row>
    <row r="152" ht="15.75" customHeight="1">
      <c r="A152" s="49"/>
      <c r="B152" s="49"/>
      <c r="C152" s="49"/>
      <c r="D152" s="49"/>
      <c r="E152" s="49"/>
      <c r="F152" s="49"/>
      <c r="G152" s="49"/>
      <c r="H152" s="49"/>
      <c r="I152" s="49"/>
      <c r="J152" s="49"/>
      <c r="K152" s="49"/>
      <c r="L152" s="48"/>
      <c r="M152" s="48"/>
      <c r="N152" s="48"/>
      <c r="O152" s="48"/>
      <c r="P152" s="48"/>
      <c r="Q152" s="48"/>
      <c r="R152" s="48"/>
      <c r="S152" s="48"/>
      <c r="T152" s="48"/>
      <c r="U152" s="48"/>
      <c r="V152" s="48"/>
      <c r="W152" s="48"/>
      <c r="X152" s="48"/>
      <c r="Y152" s="48"/>
      <c r="Z152" s="48"/>
    </row>
    <row r="153" ht="15.75" customHeight="1">
      <c r="A153" s="49"/>
      <c r="B153" s="49"/>
      <c r="C153" s="49"/>
      <c r="D153" s="49"/>
      <c r="E153" s="49"/>
      <c r="F153" s="49"/>
      <c r="G153" s="49"/>
      <c r="H153" s="49"/>
      <c r="I153" s="49"/>
      <c r="J153" s="49"/>
      <c r="K153" s="49"/>
      <c r="L153" s="48"/>
      <c r="M153" s="48"/>
      <c r="N153" s="48"/>
      <c r="O153" s="48"/>
      <c r="P153" s="48"/>
      <c r="Q153" s="48"/>
      <c r="R153" s="48"/>
      <c r="S153" s="48"/>
      <c r="T153" s="48"/>
      <c r="U153" s="48"/>
      <c r="V153" s="48"/>
      <c r="W153" s="48"/>
      <c r="X153" s="48"/>
      <c r="Y153" s="48"/>
      <c r="Z153" s="48"/>
    </row>
    <row r="154" ht="15.75" customHeight="1">
      <c r="A154" s="49"/>
      <c r="B154" s="49"/>
      <c r="C154" s="49"/>
      <c r="D154" s="49"/>
      <c r="E154" s="49"/>
      <c r="F154" s="49"/>
      <c r="G154" s="49"/>
      <c r="H154" s="49"/>
      <c r="I154" s="49"/>
      <c r="J154" s="49"/>
      <c r="K154" s="49"/>
      <c r="L154" s="48"/>
      <c r="M154" s="48"/>
      <c r="N154" s="48"/>
      <c r="O154" s="48"/>
      <c r="P154" s="48"/>
      <c r="Q154" s="48"/>
      <c r="R154" s="48"/>
      <c r="S154" s="48"/>
      <c r="T154" s="48"/>
      <c r="U154" s="48"/>
      <c r="V154" s="48"/>
      <c r="W154" s="48"/>
      <c r="X154" s="48"/>
      <c r="Y154" s="48"/>
      <c r="Z154" s="48"/>
    </row>
    <row r="155" ht="15.75" customHeight="1">
      <c r="A155" s="49"/>
      <c r="B155" s="49"/>
      <c r="C155" s="49"/>
      <c r="D155" s="49"/>
      <c r="E155" s="49"/>
      <c r="F155" s="49"/>
      <c r="G155" s="49"/>
      <c r="H155" s="49"/>
      <c r="I155" s="49"/>
      <c r="J155" s="49"/>
      <c r="K155" s="49"/>
      <c r="L155" s="48"/>
      <c r="M155" s="48"/>
      <c r="N155" s="48"/>
      <c r="O155" s="48"/>
      <c r="P155" s="48"/>
      <c r="Q155" s="48"/>
      <c r="R155" s="48"/>
      <c r="S155" s="48"/>
      <c r="T155" s="48"/>
      <c r="U155" s="48"/>
      <c r="V155" s="48"/>
      <c r="W155" s="48"/>
      <c r="X155" s="48"/>
      <c r="Y155" s="48"/>
      <c r="Z155" s="48"/>
    </row>
    <row r="156" ht="15.75" customHeight="1">
      <c r="A156" s="49"/>
      <c r="B156" s="49"/>
      <c r="C156" s="49"/>
      <c r="D156" s="49"/>
      <c r="E156" s="49"/>
      <c r="F156" s="49"/>
      <c r="G156" s="49"/>
      <c r="H156" s="49"/>
      <c r="I156" s="49"/>
      <c r="J156" s="49"/>
      <c r="K156" s="49"/>
      <c r="L156" s="48"/>
      <c r="M156" s="48"/>
      <c r="N156" s="48"/>
      <c r="O156" s="48"/>
      <c r="P156" s="48"/>
      <c r="Q156" s="48"/>
      <c r="R156" s="48"/>
      <c r="S156" s="48"/>
      <c r="T156" s="48"/>
      <c r="U156" s="48"/>
      <c r="V156" s="48"/>
      <c r="W156" s="48"/>
      <c r="X156" s="48"/>
      <c r="Y156" s="48"/>
      <c r="Z156" s="48"/>
    </row>
    <row r="157" ht="15.75" customHeight="1">
      <c r="A157" s="49"/>
      <c r="B157" s="49"/>
      <c r="C157" s="49"/>
      <c r="D157" s="49"/>
      <c r="E157" s="49"/>
      <c r="F157" s="49"/>
      <c r="G157" s="49"/>
      <c r="H157" s="49"/>
      <c r="I157" s="49"/>
      <c r="J157" s="49"/>
      <c r="K157" s="49"/>
      <c r="L157" s="48"/>
      <c r="M157" s="48"/>
      <c r="N157" s="48"/>
      <c r="O157" s="48"/>
      <c r="P157" s="48"/>
      <c r="Q157" s="48"/>
      <c r="R157" s="48"/>
      <c r="S157" s="48"/>
      <c r="T157" s="48"/>
      <c r="U157" s="48"/>
      <c r="V157" s="48"/>
      <c r="W157" s="48"/>
      <c r="X157" s="48"/>
      <c r="Y157" s="48"/>
      <c r="Z157" s="48"/>
    </row>
    <row r="158" ht="15.75" customHeight="1">
      <c r="A158" s="49"/>
      <c r="B158" s="49"/>
      <c r="C158" s="49"/>
      <c r="D158" s="49"/>
      <c r="E158" s="49"/>
      <c r="F158" s="49"/>
      <c r="G158" s="49"/>
      <c r="H158" s="49"/>
      <c r="I158" s="49"/>
      <c r="J158" s="49"/>
      <c r="K158" s="49"/>
      <c r="L158" s="48"/>
      <c r="M158" s="48"/>
      <c r="N158" s="48"/>
      <c r="O158" s="48"/>
      <c r="P158" s="48"/>
      <c r="Q158" s="48"/>
      <c r="R158" s="48"/>
      <c r="S158" s="48"/>
      <c r="T158" s="48"/>
      <c r="U158" s="48"/>
      <c r="V158" s="48"/>
      <c r="W158" s="48"/>
      <c r="X158" s="48"/>
      <c r="Y158" s="48"/>
      <c r="Z158" s="48"/>
    </row>
    <row r="159" ht="15.75" customHeight="1">
      <c r="A159" s="49"/>
      <c r="B159" s="49"/>
      <c r="C159" s="49"/>
      <c r="D159" s="49"/>
      <c r="E159" s="49"/>
      <c r="F159" s="49"/>
      <c r="G159" s="49"/>
      <c r="H159" s="49"/>
      <c r="I159" s="49"/>
      <c r="J159" s="49"/>
      <c r="K159" s="49"/>
      <c r="L159" s="48"/>
      <c r="M159" s="48"/>
      <c r="N159" s="48"/>
      <c r="O159" s="48"/>
      <c r="P159" s="48"/>
      <c r="Q159" s="48"/>
      <c r="R159" s="48"/>
      <c r="S159" s="48"/>
      <c r="T159" s="48"/>
      <c r="U159" s="48"/>
      <c r="V159" s="48"/>
      <c r="W159" s="48"/>
      <c r="X159" s="48"/>
      <c r="Y159" s="48"/>
      <c r="Z159" s="48"/>
    </row>
    <row r="160" ht="15.75" customHeight="1">
      <c r="A160" s="49"/>
      <c r="B160" s="49"/>
      <c r="C160" s="49"/>
      <c r="D160" s="49"/>
      <c r="E160" s="49"/>
      <c r="F160" s="49"/>
      <c r="G160" s="49"/>
      <c r="H160" s="49"/>
      <c r="I160" s="49"/>
      <c r="J160" s="49"/>
      <c r="K160" s="49"/>
      <c r="L160" s="48"/>
      <c r="M160" s="48"/>
      <c r="N160" s="48"/>
      <c r="O160" s="48"/>
      <c r="P160" s="48"/>
      <c r="Q160" s="48"/>
      <c r="R160" s="48"/>
      <c r="S160" s="48"/>
      <c r="T160" s="48"/>
      <c r="U160" s="48"/>
      <c r="V160" s="48"/>
      <c r="W160" s="48"/>
      <c r="X160" s="48"/>
      <c r="Y160" s="48"/>
      <c r="Z160" s="48"/>
    </row>
    <row r="161" ht="15.75" customHeight="1">
      <c r="A161" s="49"/>
      <c r="B161" s="49"/>
      <c r="C161" s="49"/>
      <c r="D161" s="49"/>
      <c r="E161" s="49"/>
      <c r="F161" s="49"/>
      <c r="G161" s="49"/>
      <c r="H161" s="49"/>
      <c r="I161" s="49"/>
      <c r="J161" s="49"/>
      <c r="K161" s="49"/>
      <c r="L161" s="48"/>
      <c r="M161" s="48"/>
      <c r="N161" s="48"/>
      <c r="O161" s="48"/>
      <c r="P161" s="48"/>
      <c r="Q161" s="48"/>
      <c r="R161" s="48"/>
      <c r="S161" s="48"/>
      <c r="T161" s="48"/>
      <c r="U161" s="48"/>
      <c r="V161" s="48"/>
      <c r="W161" s="48"/>
      <c r="X161" s="48"/>
      <c r="Y161" s="48"/>
      <c r="Z161" s="48"/>
    </row>
    <row r="162" ht="15.75" customHeight="1">
      <c r="A162" s="49"/>
      <c r="B162" s="49"/>
      <c r="C162" s="49"/>
      <c r="D162" s="49"/>
      <c r="E162" s="49"/>
      <c r="F162" s="49"/>
      <c r="G162" s="49"/>
      <c r="H162" s="49"/>
      <c r="I162" s="49"/>
      <c r="J162" s="49"/>
      <c r="K162" s="49"/>
      <c r="L162" s="48"/>
      <c r="M162" s="48"/>
      <c r="N162" s="48"/>
      <c r="O162" s="48"/>
      <c r="P162" s="48"/>
      <c r="Q162" s="48"/>
      <c r="R162" s="48"/>
      <c r="S162" s="48"/>
      <c r="T162" s="48"/>
      <c r="U162" s="48"/>
      <c r="V162" s="48"/>
      <c r="W162" s="48"/>
      <c r="X162" s="48"/>
      <c r="Y162" s="48"/>
      <c r="Z162" s="48"/>
    </row>
    <row r="163" ht="15.75" customHeight="1">
      <c r="A163" s="49"/>
      <c r="B163" s="49"/>
      <c r="C163" s="49"/>
      <c r="D163" s="49"/>
      <c r="E163" s="49"/>
      <c r="F163" s="49"/>
      <c r="G163" s="49"/>
      <c r="H163" s="49"/>
      <c r="I163" s="49"/>
      <c r="J163" s="49"/>
      <c r="K163" s="49"/>
      <c r="L163" s="48"/>
      <c r="M163" s="48"/>
      <c r="N163" s="48"/>
      <c r="O163" s="48"/>
      <c r="P163" s="48"/>
      <c r="Q163" s="48"/>
      <c r="R163" s="48"/>
      <c r="S163" s="48"/>
      <c r="T163" s="48"/>
      <c r="U163" s="48"/>
      <c r="V163" s="48"/>
      <c r="W163" s="48"/>
      <c r="X163" s="48"/>
      <c r="Y163" s="48"/>
      <c r="Z163" s="48"/>
    </row>
    <row r="164" ht="15.75" customHeight="1">
      <c r="A164" s="49"/>
      <c r="B164" s="49"/>
      <c r="C164" s="49"/>
      <c r="D164" s="49"/>
      <c r="E164" s="49"/>
      <c r="F164" s="49"/>
      <c r="G164" s="49"/>
      <c r="H164" s="49"/>
      <c r="I164" s="49"/>
      <c r="J164" s="49"/>
      <c r="K164" s="49"/>
      <c r="L164" s="48"/>
      <c r="M164" s="48"/>
      <c r="N164" s="48"/>
      <c r="O164" s="48"/>
      <c r="P164" s="48"/>
      <c r="Q164" s="48"/>
      <c r="R164" s="48"/>
      <c r="S164" s="48"/>
      <c r="T164" s="48"/>
      <c r="U164" s="48"/>
      <c r="V164" s="48"/>
      <c r="W164" s="48"/>
      <c r="X164" s="48"/>
      <c r="Y164" s="48"/>
      <c r="Z164" s="48"/>
    </row>
    <row r="165" ht="15.75" customHeight="1">
      <c r="A165" s="49"/>
      <c r="B165" s="49"/>
      <c r="C165" s="49"/>
      <c r="D165" s="49"/>
      <c r="E165" s="49"/>
      <c r="F165" s="49"/>
      <c r="G165" s="49"/>
      <c r="H165" s="49"/>
      <c r="I165" s="49"/>
      <c r="J165" s="49"/>
      <c r="K165" s="49"/>
      <c r="L165" s="48"/>
      <c r="M165" s="48"/>
      <c r="N165" s="48"/>
      <c r="O165" s="48"/>
      <c r="P165" s="48"/>
      <c r="Q165" s="48"/>
      <c r="R165" s="48"/>
      <c r="S165" s="48"/>
      <c r="T165" s="48"/>
      <c r="U165" s="48"/>
      <c r="V165" s="48"/>
      <c r="W165" s="48"/>
      <c r="X165" s="48"/>
      <c r="Y165" s="48"/>
      <c r="Z165" s="48"/>
    </row>
    <row r="166" ht="15.75" customHeight="1">
      <c r="A166" s="49"/>
      <c r="B166" s="49"/>
      <c r="C166" s="49"/>
      <c r="D166" s="49"/>
      <c r="E166" s="49"/>
      <c r="F166" s="49"/>
      <c r="G166" s="49"/>
      <c r="H166" s="49"/>
      <c r="I166" s="49"/>
      <c r="J166" s="49"/>
      <c r="K166" s="49"/>
      <c r="L166" s="48"/>
      <c r="M166" s="48"/>
      <c r="N166" s="48"/>
      <c r="O166" s="48"/>
      <c r="P166" s="48"/>
      <c r="Q166" s="48"/>
      <c r="R166" s="48"/>
      <c r="S166" s="48"/>
      <c r="T166" s="48"/>
      <c r="U166" s="48"/>
      <c r="V166" s="48"/>
      <c r="W166" s="48"/>
      <c r="X166" s="48"/>
      <c r="Y166" s="48"/>
      <c r="Z166" s="48"/>
    </row>
    <row r="167" ht="15.75" customHeight="1">
      <c r="A167" s="49"/>
      <c r="B167" s="49"/>
      <c r="C167" s="49"/>
      <c r="D167" s="49"/>
      <c r="E167" s="49"/>
      <c r="F167" s="49"/>
      <c r="G167" s="49"/>
      <c r="H167" s="49"/>
      <c r="I167" s="49"/>
      <c r="J167" s="49"/>
      <c r="K167" s="49"/>
      <c r="L167" s="48"/>
      <c r="M167" s="48"/>
      <c r="N167" s="48"/>
      <c r="O167" s="48"/>
      <c r="P167" s="48"/>
      <c r="Q167" s="48"/>
      <c r="R167" s="48"/>
      <c r="S167" s="48"/>
      <c r="T167" s="48"/>
      <c r="U167" s="48"/>
      <c r="V167" s="48"/>
      <c r="W167" s="48"/>
      <c r="X167" s="48"/>
      <c r="Y167" s="48"/>
      <c r="Z167" s="48"/>
    </row>
    <row r="168" ht="15.75" customHeight="1">
      <c r="A168" s="49"/>
      <c r="B168" s="49"/>
      <c r="C168" s="49"/>
      <c r="D168" s="49"/>
      <c r="E168" s="49"/>
      <c r="F168" s="49"/>
      <c r="G168" s="49"/>
      <c r="H168" s="49"/>
      <c r="I168" s="49"/>
      <c r="J168" s="49"/>
      <c r="K168" s="49"/>
      <c r="L168" s="48"/>
      <c r="M168" s="48"/>
      <c r="N168" s="48"/>
      <c r="O168" s="48"/>
      <c r="P168" s="48"/>
      <c r="Q168" s="48"/>
      <c r="R168" s="48"/>
      <c r="S168" s="48"/>
      <c r="T168" s="48"/>
      <c r="U168" s="48"/>
      <c r="V168" s="48"/>
      <c r="W168" s="48"/>
      <c r="X168" s="48"/>
      <c r="Y168" s="48"/>
      <c r="Z168" s="48"/>
    </row>
    <row r="169" ht="15.75" customHeight="1">
      <c r="A169" s="49"/>
      <c r="B169" s="49"/>
      <c r="C169" s="49"/>
      <c r="D169" s="49"/>
      <c r="E169" s="49"/>
      <c r="F169" s="49"/>
      <c r="G169" s="49"/>
      <c r="H169" s="49"/>
      <c r="I169" s="49"/>
      <c r="J169" s="49"/>
      <c r="K169" s="49"/>
      <c r="L169" s="48"/>
      <c r="M169" s="48"/>
      <c r="N169" s="48"/>
      <c r="O169" s="48"/>
      <c r="P169" s="48"/>
      <c r="Q169" s="48"/>
      <c r="R169" s="48"/>
      <c r="S169" s="48"/>
      <c r="T169" s="48"/>
      <c r="U169" s="48"/>
      <c r="V169" s="48"/>
      <c r="W169" s="48"/>
      <c r="X169" s="48"/>
      <c r="Y169" s="48"/>
      <c r="Z169" s="48"/>
    </row>
    <row r="170" ht="15.75" customHeight="1">
      <c r="A170" s="49"/>
      <c r="B170" s="49"/>
      <c r="C170" s="49"/>
      <c r="D170" s="49"/>
      <c r="E170" s="49"/>
      <c r="F170" s="49"/>
      <c r="G170" s="49"/>
      <c r="H170" s="49"/>
      <c r="I170" s="49"/>
      <c r="J170" s="49"/>
      <c r="K170" s="49"/>
      <c r="L170" s="48"/>
      <c r="M170" s="48"/>
      <c r="N170" s="48"/>
      <c r="O170" s="48"/>
      <c r="P170" s="48"/>
      <c r="Q170" s="48"/>
      <c r="R170" s="48"/>
      <c r="S170" s="48"/>
      <c r="T170" s="48"/>
      <c r="U170" s="48"/>
      <c r="V170" s="48"/>
      <c r="W170" s="48"/>
      <c r="X170" s="48"/>
      <c r="Y170" s="48"/>
      <c r="Z170" s="48"/>
    </row>
    <row r="171" ht="15.75" customHeight="1">
      <c r="A171" s="49"/>
      <c r="B171" s="49"/>
      <c r="C171" s="49"/>
      <c r="D171" s="49"/>
      <c r="E171" s="49"/>
      <c r="F171" s="49"/>
      <c r="G171" s="49"/>
      <c r="H171" s="49"/>
      <c r="I171" s="49"/>
      <c r="J171" s="49"/>
      <c r="K171" s="49"/>
      <c r="L171" s="48"/>
      <c r="M171" s="48"/>
      <c r="N171" s="48"/>
      <c r="O171" s="48"/>
      <c r="P171" s="48"/>
      <c r="Q171" s="48"/>
      <c r="R171" s="48"/>
      <c r="S171" s="48"/>
      <c r="T171" s="48"/>
      <c r="U171" s="48"/>
      <c r="V171" s="48"/>
      <c r="W171" s="48"/>
      <c r="X171" s="48"/>
      <c r="Y171" s="48"/>
      <c r="Z171" s="48"/>
    </row>
    <row r="172" ht="15.75" customHeight="1">
      <c r="A172" s="49"/>
      <c r="B172" s="49"/>
      <c r="C172" s="49"/>
      <c r="D172" s="49"/>
      <c r="E172" s="49"/>
      <c r="F172" s="49"/>
      <c r="G172" s="49"/>
      <c r="H172" s="49"/>
      <c r="I172" s="49"/>
      <c r="J172" s="49"/>
      <c r="K172" s="49"/>
      <c r="L172" s="48"/>
      <c r="M172" s="48"/>
      <c r="N172" s="48"/>
      <c r="O172" s="48"/>
      <c r="P172" s="48"/>
      <c r="Q172" s="48"/>
      <c r="R172" s="48"/>
      <c r="S172" s="48"/>
      <c r="T172" s="48"/>
      <c r="U172" s="48"/>
      <c r="V172" s="48"/>
      <c r="W172" s="48"/>
      <c r="X172" s="48"/>
      <c r="Y172" s="48"/>
      <c r="Z172" s="48"/>
    </row>
    <row r="173" ht="15.75" customHeight="1">
      <c r="A173" s="49"/>
      <c r="B173" s="49"/>
      <c r="C173" s="49"/>
      <c r="D173" s="49"/>
      <c r="E173" s="49"/>
      <c r="F173" s="49"/>
      <c r="G173" s="49"/>
      <c r="H173" s="49"/>
      <c r="I173" s="49"/>
      <c r="J173" s="49"/>
      <c r="K173" s="49"/>
      <c r="L173" s="48"/>
      <c r="M173" s="48"/>
      <c r="N173" s="48"/>
      <c r="O173" s="48"/>
      <c r="P173" s="48"/>
      <c r="Q173" s="48"/>
      <c r="R173" s="48"/>
      <c r="S173" s="48"/>
      <c r="T173" s="48"/>
      <c r="U173" s="48"/>
      <c r="V173" s="48"/>
      <c r="W173" s="48"/>
      <c r="X173" s="48"/>
      <c r="Y173" s="48"/>
      <c r="Z173" s="48"/>
    </row>
    <row r="174" ht="15.75" customHeight="1">
      <c r="A174" s="49"/>
      <c r="B174" s="49"/>
      <c r="C174" s="49"/>
      <c r="D174" s="49"/>
      <c r="E174" s="49"/>
      <c r="F174" s="49"/>
      <c r="G174" s="49"/>
      <c r="H174" s="49"/>
      <c r="I174" s="49"/>
      <c r="J174" s="49"/>
      <c r="K174" s="49"/>
      <c r="L174" s="48"/>
      <c r="M174" s="48"/>
      <c r="N174" s="48"/>
      <c r="O174" s="48"/>
      <c r="P174" s="48"/>
      <c r="Q174" s="48"/>
      <c r="R174" s="48"/>
      <c r="S174" s="48"/>
      <c r="T174" s="48"/>
      <c r="U174" s="48"/>
      <c r="V174" s="48"/>
      <c r="W174" s="48"/>
      <c r="X174" s="48"/>
      <c r="Y174" s="48"/>
      <c r="Z174" s="48"/>
    </row>
    <row r="175" ht="15.75" customHeight="1">
      <c r="A175" s="49"/>
      <c r="B175" s="49"/>
      <c r="C175" s="49"/>
      <c r="D175" s="49"/>
      <c r="E175" s="49"/>
      <c r="F175" s="49"/>
      <c r="G175" s="49"/>
      <c r="H175" s="49"/>
      <c r="I175" s="49"/>
      <c r="J175" s="49"/>
      <c r="K175" s="49"/>
      <c r="L175" s="48"/>
      <c r="M175" s="48"/>
      <c r="N175" s="48"/>
      <c r="O175" s="48"/>
      <c r="P175" s="48"/>
      <c r="Q175" s="48"/>
      <c r="R175" s="48"/>
      <c r="S175" s="48"/>
      <c r="T175" s="48"/>
      <c r="U175" s="48"/>
      <c r="V175" s="48"/>
      <c r="W175" s="48"/>
      <c r="X175" s="48"/>
      <c r="Y175" s="48"/>
      <c r="Z175" s="48"/>
    </row>
    <row r="176" ht="15.75" customHeight="1">
      <c r="A176" s="49"/>
      <c r="B176" s="49"/>
      <c r="C176" s="49"/>
      <c r="D176" s="49"/>
      <c r="E176" s="49"/>
      <c r="F176" s="49"/>
      <c r="G176" s="49"/>
      <c r="H176" s="49"/>
      <c r="I176" s="49"/>
      <c r="J176" s="49"/>
      <c r="K176" s="49"/>
      <c r="L176" s="48"/>
      <c r="M176" s="48"/>
      <c r="N176" s="48"/>
      <c r="O176" s="48"/>
      <c r="P176" s="48"/>
      <c r="Q176" s="48"/>
      <c r="R176" s="48"/>
      <c r="S176" s="48"/>
      <c r="T176" s="48"/>
      <c r="U176" s="48"/>
      <c r="V176" s="48"/>
      <c r="W176" s="48"/>
      <c r="X176" s="48"/>
      <c r="Y176" s="48"/>
      <c r="Z176" s="48"/>
    </row>
    <row r="177" ht="15.75" customHeight="1">
      <c r="A177" s="49"/>
      <c r="B177" s="49"/>
      <c r="C177" s="49"/>
      <c r="D177" s="49"/>
      <c r="E177" s="49"/>
      <c r="F177" s="49"/>
      <c r="G177" s="49"/>
      <c r="H177" s="49"/>
      <c r="I177" s="49"/>
      <c r="J177" s="49"/>
      <c r="K177" s="49"/>
      <c r="L177" s="48"/>
      <c r="M177" s="48"/>
      <c r="N177" s="48"/>
      <c r="O177" s="48"/>
      <c r="P177" s="48"/>
      <c r="Q177" s="48"/>
      <c r="R177" s="48"/>
      <c r="S177" s="48"/>
      <c r="T177" s="48"/>
      <c r="U177" s="48"/>
      <c r="V177" s="48"/>
      <c r="W177" s="48"/>
      <c r="X177" s="48"/>
      <c r="Y177" s="48"/>
      <c r="Z177" s="48"/>
    </row>
    <row r="178" ht="15.75" customHeight="1">
      <c r="A178" s="49"/>
      <c r="B178" s="49"/>
      <c r="C178" s="49"/>
      <c r="D178" s="49"/>
      <c r="E178" s="49"/>
      <c r="F178" s="49"/>
      <c r="G178" s="49"/>
      <c r="H178" s="49"/>
      <c r="I178" s="49"/>
      <c r="J178" s="49"/>
      <c r="K178" s="49"/>
      <c r="L178" s="48"/>
      <c r="M178" s="48"/>
      <c r="N178" s="48"/>
      <c r="O178" s="48"/>
      <c r="P178" s="48"/>
      <c r="Q178" s="48"/>
      <c r="R178" s="48"/>
      <c r="S178" s="48"/>
      <c r="T178" s="48"/>
      <c r="U178" s="48"/>
      <c r="V178" s="48"/>
      <c r="W178" s="48"/>
      <c r="X178" s="48"/>
      <c r="Y178" s="48"/>
      <c r="Z178" s="48"/>
    </row>
    <row r="179" ht="15.75" customHeight="1">
      <c r="A179" s="49"/>
      <c r="B179" s="49"/>
      <c r="C179" s="49"/>
      <c r="D179" s="49"/>
      <c r="E179" s="49"/>
      <c r="F179" s="49"/>
      <c r="G179" s="49"/>
      <c r="H179" s="49"/>
      <c r="I179" s="49"/>
      <c r="J179" s="49"/>
      <c r="K179" s="49"/>
      <c r="L179" s="48"/>
      <c r="M179" s="48"/>
      <c r="N179" s="48"/>
      <c r="O179" s="48"/>
      <c r="P179" s="48"/>
      <c r="Q179" s="48"/>
      <c r="R179" s="48"/>
      <c r="S179" s="48"/>
      <c r="T179" s="48"/>
      <c r="U179" s="48"/>
      <c r="V179" s="48"/>
      <c r="W179" s="48"/>
      <c r="X179" s="48"/>
      <c r="Y179" s="48"/>
      <c r="Z179" s="48"/>
    </row>
    <row r="180" ht="15.75" customHeight="1">
      <c r="A180" s="49"/>
      <c r="B180" s="49"/>
      <c r="C180" s="49"/>
      <c r="D180" s="49"/>
      <c r="E180" s="49"/>
      <c r="F180" s="49"/>
      <c r="G180" s="49"/>
      <c r="H180" s="49"/>
      <c r="I180" s="49"/>
      <c r="J180" s="49"/>
      <c r="K180" s="49"/>
      <c r="L180" s="48"/>
      <c r="M180" s="48"/>
      <c r="N180" s="48"/>
      <c r="O180" s="48"/>
      <c r="P180" s="48"/>
      <c r="Q180" s="48"/>
      <c r="R180" s="48"/>
      <c r="S180" s="48"/>
      <c r="T180" s="48"/>
      <c r="U180" s="48"/>
      <c r="V180" s="48"/>
      <c r="W180" s="48"/>
      <c r="X180" s="48"/>
      <c r="Y180" s="48"/>
      <c r="Z180" s="48"/>
    </row>
    <row r="181" ht="15.75" customHeight="1">
      <c r="A181" s="49"/>
      <c r="B181" s="49"/>
      <c r="C181" s="49"/>
      <c r="D181" s="49"/>
      <c r="E181" s="49"/>
      <c r="F181" s="49"/>
      <c r="G181" s="49"/>
      <c r="H181" s="49"/>
      <c r="I181" s="49"/>
      <c r="J181" s="49"/>
      <c r="K181" s="49"/>
      <c r="L181" s="48"/>
      <c r="M181" s="48"/>
      <c r="N181" s="48"/>
      <c r="O181" s="48"/>
      <c r="P181" s="48"/>
      <c r="Q181" s="48"/>
      <c r="R181" s="48"/>
      <c r="S181" s="48"/>
      <c r="T181" s="48"/>
      <c r="U181" s="48"/>
      <c r="V181" s="48"/>
      <c r="W181" s="48"/>
      <c r="X181" s="48"/>
      <c r="Y181" s="48"/>
      <c r="Z181" s="48"/>
    </row>
    <row r="182" ht="15.75" customHeight="1">
      <c r="A182" s="49"/>
      <c r="B182" s="49"/>
      <c r="C182" s="49"/>
      <c r="D182" s="49"/>
      <c r="E182" s="49"/>
      <c r="F182" s="49"/>
      <c r="G182" s="49"/>
      <c r="H182" s="49"/>
      <c r="I182" s="49"/>
      <c r="J182" s="49"/>
      <c r="K182" s="49"/>
      <c r="L182" s="48"/>
      <c r="M182" s="48"/>
      <c r="N182" s="48"/>
      <c r="O182" s="48"/>
      <c r="P182" s="48"/>
      <c r="Q182" s="48"/>
      <c r="R182" s="48"/>
      <c r="S182" s="48"/>
      <c r="T182" s="48"/>
      <c r="U182" s="48"/>
      <c r="V182" s="48"/>
      <c r="W182" s="48"/>
      <c r="X182" s="48"/>
      <c r="Y182" s="48"/>
      <c r="Z182" s="48"/>
    </row>
    <row r="183" ht="15.75" customHeight="1">
      <c r="A183" s="49"/>
      <c r="B183" s="49"/>
      <c r="C183" s="49"/>
      <c r="D183" s="49"/>
      <c r="E183" s="49"/>
      <c r="F183" s="49"/>
      <c r="G183" s="49"/>
      <c r="H183" s="49"/>
      <c r="I183" s="49"/>
      <c r="J183" s="49"/>
      <c r="K183" s="49"/>
      <c r="L183" s="48"/>
      <c r="M183" s="48"/>
      <c r="N183" s="48"/>
      <c r="O183" s="48"/>
      <c r="P183" s="48"/>
      <c r="Q183" s="48"/>
      <c r="R183" s="48"/>
      <c r="S183" s="48"/>
      <c r="T183" s="48"/>
      <c r="U183" s="48"/>
      <c r="V183" s="48"/>
      <c r="W183" s="48"/>
      <c r="X183" s="48"/>
      <c r="Y183" s="48"/>
      <c r="Z183" s="48"/>
    </row>
    <row r="184" ht="15.75" customHeight="1">
      <c r="A184" s="49"/>
      <c r="B184" s="49"/>
      <c r="C184" s="49"/>
      <c r="D184" s="49"/>
      <c r="E184" s="49"/>
      <c r="F184" s="49"/>
      <c r="G184" s="49"/>
      <c r="H184" s="49"/>
      <c r="I184" s="49"/>
      <c r="J184" s="49"/>
      <c r="K184" s="49"/>
      <c r="L184" s="48"/>
      <c r="M184" s="48"/>
      <c r="N184" s="48"/>
      <c r="O184" s="48"/>
      <c r="P184" s="48"/>
      <c r="Q184" s="48"/>
      <c r="R184" s="48"/>
      <c r="S184" s="48"/>
      <c r="T184" s="48"/>
      <c r="U184" s="48"/>
      <c r="V184" s="48"/>
      <c r="W184" s="48"/>
      <c r="X184" s="48"/>
      <c r="Y184" s="48"/>
      <c r="Z184" s="48"/>
    </row>
    <row r="185" ht="15.75" customHeight="1">
      <c r="A185" s="49"/>
      <c r="B185" s="49"/>
      <c r="C185" s="49"/>
      <c r="D185" s="49"/>
      <c r="E185" s="49"/>
      <c r="F185" s="49"/>
      <c r="G185" s="49"/>
      <c r="H185" s="49"/>
      <c r="I185" s="49"/>
      <c r="J185" s="49"/>
      <c r="K185" s="49"/>
      <c r="L185" s="48"/>
      <c r="M185" s="48"/>
      <c r="N185" s="48"/>
      <c r="O185" s="48"/>
      <c r="P185" s="48"/>
      <c r="Q185" s="48"/>
      <c r="R185" s="48"/>
      <c r="S185" s="48"/>
      <c r="T185" s="48"/>
      <c r="U185" s="48"/>
      <c r="V185" s="48"/>
      <c r="W185" s="48"/>
      <c r="X185" s="48"/>
      <c r="Y185" s="48"/>
      <c r="Z185" s="48"/>
    </row>
    <row r="186" ht="15.75" customHeight="1">
      <c r="A186" s="49"/>
      <c r="B186" s="49"/>
      <c r="C186" s="49"/>
      <c r="D186" s="49"/>
      <c r="E186" s="49"/>
      <c r="F186" s="49"/>
      <c r="G186" s="49"/>
      <c r="H186" s="49"/>
      <c r="I186" s="49"/>
      <c r="J186" s="49"/>
      <c r="K186" s="49"/>
      <c r="L186" s="48"/>
      <c r="M186" s="48"/>
      <c r="N186" s="48"/>
      <c r="O186" s="48"/>
      <c r="P186" s="48"/>
      <c r="Q186" s="48"/>
      <c r="R186" s="48"/>
      <c r="S186" s="48"/>
      <c r="T186" s="48"/>
      <c r="U186" s="48"/>
      <c r="V186" s="48"/>
      <c r="W186" s="48"/>
      <c r="X186" s="48"/>
      <c r="Y186" s="48"/>
      <c r="Z186" s="48"/>
    </row>
    <row r="187" ht="15.75" customHeight="1">
      <c r="A187" s="49"/>
      <c r="B187" s="49"/>
      <c r="C187" s="49"/>
      <c r="D187" s="49"/>
      <c r="E187" s="49"/>
      <c r="F187" s="49"/>
      <c r="G187" s="49"/>
      <c r="H187" s="49"/>
      <c r="I187" s="49"/>
      <c r="J187" s="49"/>
      <c r="K187" s="49"/>
      <c r="L187" s="48"/>
      <c r="M187" s="48"/>
      <c r="N187" s="48"/>
      <c r="O187" s="48"/>
      <c r="P187" s="48"/>
      <c r="Q187" s="48"/>
      <c r="R187" s="48"/>
      <c r="S187" s="48"/>
      <c r="T187" s="48"/>
      <c r="U187" s="48"/>
      <c r="V187" s="48"/>
      <c r="W187" s="48"/>
      <c r="X187" s="48"/>
      <c r="Y187" s="48"/>
      <c r="Z187" s="48"/>
    </row>
    <row r="188" ht="15.75" customHeight="1">
      <c r="A188" s="49"/>
      <c r="B188" s="49"/>
      <c r="C188" s="49"/>
      <c r="D188" s="49"/>
      <c r="E188" s="49"/>
      <c r="F188" s="49"/>
      <c r="G188" s="49"/>
      <c r="H188" s="49"/>
      <c r="I188" s="49"/>
      <c r="J188" s="49"/>
      <c r="K188" s="49"/>
      <c r="L188" s="48"/>
      <c r="M188" s="48"/>
      <c r="N188" s="48"/>
      <c r="O188" s="48"/>
      <c r="P188" s="48"/>
      <c r="Q188" s="48"/>
      <c r="R188" s="48"/>
      <c r="S188" s="48"/>
      <c r="T188" s="48"/>
      <c r="U188" s="48"/>
      <c r="V188" s="48"/>
      <c r="W188" s="48"/>
      <c r="X188" s="48"/>
      <c r="Y188" s="48"/>
      <c r="Z188" s="48"/>
    </row>
    <row r="189" ht="15.75" customHeight="1">
      <c r="A189" s="49"/>
      <c r="B189" s="49"/>
      <c r="C189" s="49"/>
      <c r="D189" s="49"/>
      <c r="E189" s="49"/>
      <c r="F189" s="49"/>
      <c r="G189" s="49"/>
      <c r="H189" s="49"/>
      <c r="I189" s="49"/>
      <c r="J189" s="49"/>
      <c r="K189" s="49"/>
      <c r="L189" s="48"/>
      <c r="M189" s="48"/>
      <c r="N189" s="48"/>
      <c r="O189" s="48"/>
      <c r="P189" s="48"/>
      <c r="Q189" s="48"/>
      <c r="R189" s="48"/>
      <c r="S189" s="48"/>
      <c r="T189" s="48"/>
      <c r="U189" s="48"/>
      <c r="V189" s="48"/>
      <c r="W189" s="48"/>
      <c r="X189" s="48"/>
      <c r="Y189" s="48"/>
      <c r="Z189" s="48"/>
    </row>
    <row r="190" ht="15.75" customHeight="1">
      <c r="A190" s="49"/>
      <c r="B190" s="49"/>
      <c r="C190" s="49"/>
      <c r="D190" s="49"/>
      <c r="E190" s="49"/>
      <c r="F190" s="49"/>
      <c r="G190" s="49"/>
      <c r="H190" s="49"/>
      <c r="I190" s="49"/>
      <c r="J190" s="49"/>
      <c r="K190" s="49"/>
      <c r="L190" s="48"/>
      <c r="M190" s="48"/>
      <c r="N190" s="48"/>
      <c r="O190" s="48"/>
      <c r="P190" s="48"/>
      <c r="Q190" s="48"/>
      <c r="R190" s="48"/>
      <c r="S190" s="48"/>
      <c r="T190" s="48"/>
      <c r="U190" s="48"/>
      <c r="V190" s="48"/>
      <c r="W190" s="48"/>
      <c r="X190" s="48"/>
      <c r="Y190" s="48"/>
      <c r="Z190" s="48"/>
    </row>
    <row r="191" ht="15.75" customHeight="1">
      <c r="A191" s="49"/>
      <c r="B191" s="49"/>
      <c r="C191" s="49"/>
      <c r="D191" s="49"/>
      <c r="E191" s="49"/>
      <c r="F191" s="49"/>
      <c r="G191" s="49"/>
      <c r="H191" s="49"/>
      <c r="I191" s="49"/>
      <c r="J191" s="49"/>
      <c r="K191" s="49"/>
      <c r="L191" s="48"/>
      <c r="M191" s="48"/>
      <c r="N191" s="48"/>
      <c r="O191" s="48"/>
      <c r="P191" s="48"/>
      <c r="Q191" s="48"/>
      <c r="R191" s="48"/>
      <c r="S191" s="48"/>
      <c r="T191" s="48"/>
      <c r="U191" s="48"/>
      <c r="V191" s="48"/>
      <c r="W191" s="48"/>
      <c r="X191" s="48"/>
      <c r="Y191" s="48"/>
      <c r="Z191" s="48"/>
    </row>
    <row r="192" ht="15.75" customHeight="1">
      <c r="A192" s="49"/>
      <c r="B192" s="49"/>
      <c r="C192" s="49"/>
      <c r="D192" s="49"/>
      <c r="E192" s="49"/>
      <c r="F192" s="49"/>
      <c r="G192" s="49"/>
      <c r="H192" s="49"/>
      <c r="I192" s="49"/>
      <c r="J192" s="49"/>
      <c r="K192" s="49"/>
      <c r="L192" s="48"/>
      <c r="M192" s="48"/>
      <c r="N192" s="48"/>
      <c r="O192" s="48"/>
      <c r="P192" s="48"/>
      <c r="Q192" s="48"/>
      <c r="R192" s="48"/>
      <c r="S192" s="48"/>
      <c r="T192" s="48"/>
      <c r="U192" s="48"/>
      <c r="V192" s="48"/>
      <c r="W192" s="48"/>
      <c r="X192" s="48"/>
      <c r="Y192" s="48"/>
      <c r="Z192" s="48"/>
    </row>
    <row r="193" ht="15.75" customHeight="1">
      <c r="A193" s="49"/>
      <c r="B193" s="49"/>
      <c r="C193" s="49"/>
      <c r="D193" s="49"/>
      <c r="E193" s="49"/>
      <c r="F193" s="49"/>
      <c r="G193" s="49"/>
      <c r="H193" s="49"/>
      <c r="I193" s="49"/>
      <c r="J193" s="49"/>
      <c r="K193" s="49"/>
      <c r="L193" s="48"/>
      <c r="M193" s="48"/>
      <c r="N193" s="48"/>
      <c r="O193" s="48"/>
      <c r="P193" s="48"/>
      <c r="Q193" s="48"/>
      <c r="R193" s="48"/>
      <c r="S193" s="48"/>
      <c r="T193" s="48"/>
      <c r="U193" s="48"/>
      <c r="V193" s="48"/>
      <c r="W193" s="48"/>
      <c r="X193" s="48"/>
      <c r="Y193" s="48"/>
      <c r="Z193" s="48"/>
    </row>
    <row r="194" ht="15.75" customHeight="1">
      <c r="A194" s="49"/>
      <c r="B194" s="49"/>
      <c r="C194" s="49"/>
      <c r="D194" s="49"/>
      <c r="E194" s="49"/>
      <c r="F194" s="49"/>
      <c r="G194" s="49"/>
      <c r="H194" s="49"/>
      <c r="I194" s="49"/>
      <c r="J194" s="49"/>
      <c r="K194" s="49"/>
      <c r="L194" s="48"/>
      <c r="M194" s="48"/>
      <c r="N194" s="48"/>
      <c r="O194" s="48"/>
      <c r="P194" s="48"/>
      <c r="Q194" s="48"/>
      <c r="R194" s="48"/>
      <c r="S194" s="48"/>
      <c r="T194" s="48"/>
      <c r="U194" s="48"/>
      <c r="V194" s="48"/>
      <c r="W194" s="48"/>
      <c r="X194" s="48"/>
      <c r="Y194" s="48"/>
      <c r="Z194" s="48"/>
    </row>
    <row r="195" ht="15.75" customHeight="1">
      <c r="A195" s="49"/>
      <c r="B195" s="49"/>
      <c r="C195" s="49"/>
      <c r="D195" s="49"/>
      <c r="E195" s="49"/>
      <c r="F195" s="49"/>
      <c r="G195" s="49"/>
      <c r="H195" s="49"/>
      <c r="I195" s="49"/>
      <c r="J195" s="49"/>
      <c r="K195" s="49"/>
      <c r="L195" s="48"/>
      <c r="M195" s="48"/>
      <c r="N195" s="48"/>
      <c r="O195" s="48"/>
      <c r="P195" s="48"/>
      <c r="Q195" s="48"/>
      <c r="R195" s="48"/>
      <c r="S195" s="48"/>
      <c r="T195" s="48"/>
      <c r="U195" s="48"/>
      <c r="V195" s="48"/>
      <c r="W195" s="48"/>
      <c r="X195" s="48"/>
      <c r="Y195" s="48"/>
      <c r="Z195" s="48"/>
    </row>
    <row r="196" ht="15.75" customHeight="1">
      <c r="A196" s="49"/>
      <c r="B196" s="49"/>
      <c r="C196" s="49"/>
      <c r="D196" s="49"/>
      <c r="E196" s="49"/>
      <c r="F196" s="49"/>
      <c r="G196" s="49"/>
      <c r="H196" s="49"/>
      <c r="I196" s="49"/>
      <c r="J196" s="49"/>
      <c r="K196" s="49"/>
      <c r="L196" s="48"/>
      <c r="M196" s="48"/>
      <c r="N196" s="48"/>
      <c r="O196" s="48"/>
      <c r="P196" s="48"/>
      <c r="Q196" s="48"/>
      <c r="R196" s="48"/>
      <c r="S196" s="48"/>
      <c r="T196" s="48"/>
      <c r="U196" s="48"/>
      <c r="V196" s="48"/>
      <c r="W196" s="48"/>
      <c r="X196" s="48"/>
      <c r="Y196" s="48"/>
      <c r="Z196" s="48"/>
    </row>
    <row r="197" ht="15.75" customHeight="1">
      <c r="A197" s="49"/>
      <c r="B197" s="49"/>
      <c r="C197" s="49"/>
      <c r="D197" s="49"/>
      <c r="E197" s="49"/>
      <c r="F197" s="49"/>
      <c r="G197" s="49"/>
      <c r="H197" s="49"/>
      <c r="I197" s="49"/>
      <c r="J197" s="49"/>
      <c r="K197" s="49"/>
      <c r="L197" s="48"/>
      <c r="M197" s="48"/>
      <c r="N197" s="48"/>
      <c r="O197" s="48"/>
      <c r="P197" s="48"/>
      <c r="Q197" s="48"/>
      <c r="R197" s="48"/>
      <c r="S197" s="48"/>
      <c r="T197" s="48"/>
      <c r="U197" s="48"/>
      <c r="V197" s="48"/>
      <c r="W197" s="48"/>
      <c r="X197" s="48"/>
      <c r="Y197" s="48"/>
      <c r="Z197" s="48"/>
    </row>
    <row r="198" ht="15.75" customHeight="1">
      <c r="A198" s="49"/>
      <c r="B198" s="49"/>
      <c r="C198" s="49"/>
      <c r="D198" s="49"/>
      <c r="E198" s="49"/>
      <c r="F198" s="49"/>
      <c r="G198" s="49"/>
      <c r="H198" s="49"/>
      <c r="I198" s="49"/>
      <c r="J198" s="49"/>
      <c r="K198" s="49"/>
      <c r="L198" s="48"/>
      <c r="M198" s="48"/>
      <c r="N198" s="48"/>
      <c r="O198" s="48"/>
      <c r="P198" s="48"/>
      <c r="Q198" s="48"/>
      <c r="R198" s="48"/>
      <c r="S198" s="48"/>
      <c r="T198" s="48"/>
      <c r="U198" s="48"/>
      <c r="V198" s="48"/>
      <c r="W198" s="48"/>
      <c r="X198" s="48"/>
      <c r="Y198" s="48"/>
      <c r="Z198" s="48"/>
    </row>
    <row r="199" ht="15.75" customHeight="1">
      <c r="A199" s="49"/>
      <c r="B199" s="49"/>
      <c r="C199" s="49"/>
      <c r="D199" s="49"/>
      <c r="E199" s="49"/>
      <c r="F199" s="49"/>
      <c r="G199" s="49"/>
      <c r="H199" s="49"/>
      <c r="I199" s="49"/>
      <c r="J199" s="49"/>
      <c r="K199" s="49"/>
      <c r="L199" s="48"/>
      <c r="M199" s="48"/>
      <c r="N199" s="48"/>
      <c r="O199" s="48"/>
      <c r="P199" s="48"/>
      <c r="Q199" s="48"/>
      <c r="R199" s="48"/>
      <c r="S199" s="48"/>
      <c r="T199" s="48"/>
      <c r="U199" s="48"/>
      <c r="V199" s="48"/>
      <c r="W199" s="48"/>
      <c r="X199" s="48"/>
      <c r="Y199" s="48"/>
      <c r="Z199" s="48"/>
    </row>
    <row r="200" ht="15.75" customHeight="1">
      <c r="A200" s="49"/>
      <c r="B200" s="49"/>
      <c r="C200" s="49"/>
      <c r="D200" s="49"/>
      <c r="E200" s="49"/>
      <c r="F200" s="49"/>
      <c r="G200" s="49"/>
      <c r="H200" s="49"/>
      <c r="I200" s="49"/>
      <c r="J200" s="49"/>
      <c r="K200" s="49"/>
      <c r="L200" s="48"/>
      <c r="M200" s="48"/>
      <c r="N200" s="48"/>
      <c r="O200" s="48"/>
      <c r="P200" s="48"/>
      <c r="Q200" s="48"/>
      <c r="R200" s="48"/>
      <c r="S200" s="48"/>
      <c r="T200" s="48"/>
      <c r="U200" s="48"/>
      <c r="V200" s="48"/>
      <c r="W200" s="48"/>
      <c r="X200" s="48"/>
      <c r="Y200" s="48"/>
      <c r="Z200" s="48"/>
    </row>
    <row r="201" ht="15.75" customHeight="1">
      <c r="A201" s="49"/>
      <c r="B201" s="49"/>
      <c r="C201" s="49"/>
      <c r="D201" s="49"/>
      <c r="E201" s="49"/>
      <c r="F201" s="49"/>
      <c r="G201" s="49"/>
      <c r="H201" s="49"/>
      <c r="I201" s="49"/>
      <c r="J201" s="49"/>
      <c r="K201" s="49"/>
      <c r="L201" s="48"/>
      <c r="M201" s="48"/>
      <c r="N201" s="48"/>
      <c r="O201" s="48"/>
      <c r="P201" s="48"/>
      <c r="Q201" s="48"/>
      <c r="R201" s="48"/>
      <c r="S201" s="48"/>
      <c r="T201" s="48"/>
      <c r="U201" s="48"/>
      <c r="V201" s="48"/>
      <c r="W201" s="48"/>
      <c r="X201" s="48"/>
      <c r="Y201" s="48"/>
      <c r="Z201" s="48"/>
    </row>
    <row r="202" ht="15.75" customHeight="1">
      <c r="A202" s="49"/>
      <c r="B202" s="49"/>
      <c r="C202" s="49"/>
      <c r="D202" s="49"/>
      <c r="E202" s="49"/>
      <c r="F202" s="49"/>
      <c r="G202" s="49"/>
      <c r="H202" s="49"/>
      <c r="I202" s="49"/>
      <c r="J202" s="49"/>
      <c r="K202" s="49"/>
      <c r="L202" s="48"/>
      <c r="M202" s="48"/>
      <c r="N202" s="48"/>
      <c r="O202" s="48"/>
      <c r="P202" s="48"/>
      <c r="Q202" s="48"/>
      <c r="R202" s="48"/>
      <c r="S202" s="48"/>
      <c r="T202" s="48"/>
      <c r="U202" s="48"/>
      <c r="V202" s="48"/>
      <c r="W202" s="48"/>
      <c r="X202" s="48"/>
      <c r="Y202" s="48"/>
      <c r="Z202" s="48"/>
    </row>
    <row r="203" ht="15.75" customHeight="1">
      <c r="A203" s="49"/>
      <c r="B203" s="49"/>
      <c r="C203" s="49"/>
      <c r="D203" s="49"/>
      <c r="E203" s="49"/>
      <c r="F203" s="49"/>
      <c r="G203" s="49"/>
      <c r="H203" s="49"/>
      <c r="I203" s="49"/>
      <c r="J203" s="49"/>
      <c r="K203" s="49"/>
      <c r="L203" s="48"/>
      <c r="M203" s="48"/>
      <c r="N203" s="48"/>
      <c r="O203" s="48"/>
      <c r="P203" s="48"/>
      <c r="Q203" s="48"/>
      <c r="R203" s="48"/>
      <c r="S203" s="48"/>
      <c r="T203" s="48"/>
      <c r="U203" s="48"/>
      <c r="V203" s="48"/>
      <c r="W203" s="48"/>
      <c r="X203" s="48"/>
      <c r="Y203" s="48"/>
      <c r="Z203" s="48"/>
    </row>
    <row r="204" ht="15.75" customHeight="1">
      <c r="A204" s="49"/>
      <c r="B204" s="49"/>
      <c r="C204" s="49"/>
      <c r="D204" s="49"/>
      <c r="E204" s="49"/>
      <c r="F204" s="49"/>
      <c r="G204" s="49"/>
      <c r="H204" s="49"/>
      <c r="I204" s="49"/>
      <c r="J204" s="49"/>
      <c r="K204" s="49"/>
      <c r="L204" s="48"/>
      <c r="M204" s="48"/>
      <c r="N204" s="48"/>
      <c r="O204" s="48"/>
      <c r="P204" s="48"/>
      <c r="Q204" s="48"/>
      <c r="R204" s="48"/>
      <c r="S204" s="48"/>
      <c r="T204" s="48"/>
      <c r="U204" s="48"/>
      <c r="V204" s="48"/>
      <c r="W204" s="48"/>
      <c r="X204" s="48"/>
      <c r="Y204" s="48"/>
      <c r="Z204" s="48"/>
    </row>
    <row r="205" ht="15.75" customHeight="1">
      <c r="A205" s="49"/>
      <c r="B205" s="49"/>
      <c r="C205" s="49"/>
      <c r="D205" s="49"/>
      <c r="E205" s="49"/>
      <c r="F205" s="49"/>
      <c r="G205" s="49"/>
      <c r="H205" s="49"/>
      <c r="I205" s="49"/>
      <c r="J205" s="49"/>
      <c r="K205" s="49"/>
      <c r="L205" s="48"/>
      <c r="M205" s="48"/>
      <c r="N205" s="48"/>
      <c r="O205" s="48"/>
      <c r="P205" s="48"/>
      <c r="Q205" s="48"/>
      <c r="R205" s="48"/>
      <c r="S205" s="48"/>
      <c r="T205" s="48"/>
      <c r="U205" s="48"/>
      <c r="V205" s="48"/>
      <c r="W205" s="48"/>
      <c r="X205" s="48"/>
      <c r="Y205" s="48"/>
      <c r="Z205" s="48"/>
    </row>
    <row r="206" ht="15.75" customHeight="1">
      <c r="A206" s="49"/>
      <c r="B206" s="49"/>
      <c r="C206" s="49"/>
      <c r="D206" s="49"/>
      <c r="E206" s="49"/>
      <c r="F206" s="49"/>
      <c r="G206" s="49"/>
      <c r="H206" s="49"/>
      <c r="I206" s="49"/>
      <c r="J206" s="49"/>
      <c r="K206" s="49"/>
      <c r="L206" s="48"/>
      <c r="M206" s="48"/>
      <c r="N206" s="48"/>
      <c r="O206" s="48"/>
      <c r="P206" s="48"/>
      <c r="Q206" s="48"/>
      <c r="R206" s="48"/>
      <c r="S206" s="48"/>
      <c r="T206" s="48"/>
      <c r="U206" s="48"/>
      <c r="V206" s="48"/>
      <c r="W206" s="48"/>
      <c r="X206" s="48"/>
      <c r="Y206" s="48"/>
      <c r="Z206" s="48"/>
    </row>
    <row r="207" ht="15.75" customHeight="1">
      <c r="A207" s="49"/>
      <c r="B207" s="49"/>
      <c r="C207" s="49"/>
      <c r="D207" s="49"/>
      <c r="E207" s="49"/>
      <c r="F207" s="49"/>
      <c r="G207" s="49"/>
      <c r="H207" s="49"/>
      <c r="I207" s="49"/>
      <c r="J207" s="49"/>
      <c r="K207" s="49"/>
      <c r="L207" s="48"/>
      <c r="M207" s="48"/>
      <c r="N207" s="48"/>
      <c r="O207" s="48"/>
      <c r="P207" s="48"/>
      <c r="Q207" s="48"/>
      <c r="R207" s="48"/>
      <c r="S207" s="48"/>
      <c r="T207" s="48"/>
      <c r="U207" s="48"/>
      <c r="V207" s="48"/>
      <c r="W207" s="48"/>
      <c r="X207" s="48"/>
      <c r="Y207" s="48"/>
      <c r="Z207" s="48"/>
    </row>
    <row r="208" ht="15.75" customHeight="1">
      <c r="A208" s="49"/>
      <c r="B208" s="49"/>
      <c r="C208" s="49"/>
      <c r="D208" s="49"/>
      <c r="E208" s="49"/>
      <c r="F208" s="49"/>
      <c r="G208" s="49"/>
      <c r="H208" s="49"/>
      <c r="I208" s="49"/>
      <c r="J208" s="49"/>
      <c r="K208" s="49"/>
      <c r="L208" s="48"/>
      <c r="M208" s="48"/>
      <c r="N208" s="48"/>
      <c r="O208" s="48"/>
      <c r="P208" s="48"/>
      <c r="Q208" s="48"/>
      <c r="R208" s="48"/>
      <c r="S208" s="48"/>
      <c r="T208" s="48"/>
      <c r="U208" s="48"/>
      <c r="V208" s="48"/>
      <c r="W208" s="48"/>
      <c r="X208" s="48"/>
      <c r="Y208" s="48"/>
      <c r="Z208" s="48"/>
    </row>
    <row r="209" ht="15.75" customHeight="1">
      <c r="A209" s="49"/>
      <c r="B209" s="49"/>
      <c r="C209" s="49"/>
      <c r="D209" s="49"/>
      <c r="E209" s="49"/>
      <c r="F209" s="49"/>
      <c r="G209" s="49"/>
      <c r="H209" s="49"/>
      <c r="I209" s="49"/>
      <c r="J209" s="49"/>
      <c r="K209" s="49"/>
      <c r="L209" s="48"/>
      <c r="M209" s="48"/>
      <c r="N209" s="48"/>
      <c r="O209" s="48"/>
      <c r="P209" s="48"/>
      <c r="Q209" s="48"/>
      <c r="R209" s="48"/>
      <c r="S209" s="48"/>
      <c r="T209" s="48"/>
      <c r="U209" s="48"/>
      <c r="V209" s="48"/>
      <c r="W209" s="48"/>
      <c r="X209" s="48"/>
      <c r="Y209" s="48"/>
      <c r="Z209" s="48"/>
    </row>
    <row r="210" ht="15.75" customHeight="1">
      <c r="A210" s="49"/>
      <c r="B210" s="49"/>
      <c r="C210" s="49"/>
      <c r="D210" s="49"/>
      <c r="E210" s="49"/>
      <c r="F210" s="49"/>
      <c r="G210" s="49"/>
      <c r="H210" s="49"/>
      <c r="I210" s="49"/>
      <c r="J210" s="49"/>
      <c r="K210" s="49"/>
      <c r="L210" s="48"/>
      <c r="M210" s="48"/>
      <c r="N210" s="48"/>
      <c r="O210" s="48"/>
      <c r="P210" s="48"/>
      <c r="Q210" s="48"/>
      <c r="R210" s="48"/>
      <c r="S210" s="48"/>
      <c r="T210" s="48"/>
      <c r="U210" s="48"/>
      <c r="V210" s="48"/>
      <c r="W210" s="48"/>
      <c r="X210" s="48"/>
      <c r="Y210" s="48"/>
      <c r="Z210" s="48"/>
    </row>
    <row r="211" ht="15.75" customHeight="1">
      <c r="A211" s="49"/>
      <c r="B211" s="49"/>
      <c r="C211" s="49"/>
      <c r="D211" s="49"/>
      <c r="E211" s="49"/>
      <c r="F211" s="49"/>
      <c r="G211" s="49"/>
      <c r="H211" s="49"/>
      <c r="I211" s="49"/>
      <c r="J211" s="49"/>
      <c r="K211" s="49"/>
      <c r="L211" s="48"/>
      <c r="M211" s="48"/>
      <c r="N211" s="48"/>
      <c r="O211" s="48"/>
      <c r="P211" s="48"/>
      <c r="Q211" s="48"/>
      <c r="R211" s="48"/>
      <c r="S211" s="48"/>
      <c r="T211" s="48"/>
      <c r="U211" s="48"/>
      <c r="V211" s="48"/>
      <c r="W211" s="48"/>
      <c r="X211" s="48"/>
      <c r="Y211" s="48"/>
      <c r="Z211" s="48"/>
    </row>
    <row r="212" ht="15.75" customHeight="1">
      <c r="A212" s="49"/>
      <c r="B212" s="49"/>
      <c r="C212" s="49"/>
      <c r="D212" s="49"/>
      <c r="E212" s="49"/>
      <c r="F212" s="49"/>
      <c r="G212" s="49"/>
      <c r="H212" s="49"/>
      <c r="I212" s="49"/>
      <c r="J212" s="49"/>
      <c r="K212" s="49"/>
      <c r="L212" s="48"/>
      <c r="M212" s="48"/>
      <c r="N212" s="48"/>
      <c r="O212" s="48"/>
      <c r="P212" s="48"/>
      <c r="Q212" s="48"/>
      <c r="R212" s="48"/>
      <c r="S212" s="48"/>
      <c r="T212" s="48"/>
      <c r="U212" s="48"/>
      <c r="V212" s="48"/>
      <c r="W212" s="48"/>
      <c r="X212" s="48"/>
      <c r="Y212" s="48"/>
      <c r="Z212" s="48"/>
    </row>
    <row r="213" ht="15.75" customHeight="1">
      <c r="A213" s="49"/>
      <c r="B213" s="49"/>
      <c r="C213" s="49"/>
      <c r="D213" s="49"/>
      <c r="E213" s="49"/>
      <c r="F213" s="49"/>
      <c r="G213" s="49"/>
      <c r="H213" s="49"/>
      <c r="I213" s="49"/>
      <c r="J213" s="49"/>
      <c r="K213" s="49"/>
      <c r="L213" s="48"/>
      <c r="M213" s="48"/>
      <c r="N213" s="48"/>
      <c r="O213" s="48"/>
      <c r="P213" s="48"/>
      <c r="Q213" s="48"/>
      <c r="R213" s="48"/>
      <c r="S213" s="48"/>
      <c r="T213" s="48"/>
      <c r="U213" s="48"/>
      <c r="V213" s="48"/>
      <c r="W213" s="48"/>
      <c r="X213" s="48"/>
      <c r="Y213" s="48"/>
      <c r="Z213" s="48"/>
    </row>
    <row r="214" ht="15.75" customHeight="1">
      <c r="A214" s="49"/>
      <c r="B214" s="49"/>
      <c r="C214" s="49"/>
      <c r="D214" s="49"/>
      <c r="E214" s="49"/>
      <c r="F214" s="49"/>
      <c r="G214" s="49"/>
      <c r="H214" s="49"/>
      <c r="I214" s="49"/>
      <c r="J214" s="49"/>
      <c r="K214" s="49"/>
      <c r="L214" s="48"/>
      <c r="M214" s="48"/>
      <c r="N214" s="48"/>
      <c r="O214" s="48"/>
      <c r="P214" s="48"/>
      <c r="Q214" s="48"/>
      <c r="R214" s="48"/>
      <c r="S214" s="48"/>
      <c r="T214" s="48"/>
      <c r="U214" s="48"/>
      <c r="V214" s="48"/>
      <c r="W214" s="48"/>
      <c r="X214" s="48"/>
      <c r="Y214" s="48"/>
      <c r="Z214" s="48"/>
    </row>
    <row r="215" ht="15.75" customHeight="1">
      <c r="A215" s="49"/>
      <c r="B215" s="49"/>
      <c r="C215" s="49"/>
      <c r="D215" s="49"/>
      <c r="E215" s="49"/>
      <c r="F215" s="49"/>
      <c r="G215" s="49"/>
      <c r="H215" s="49"/>
      <c r="I215" s="49"/>
      <c r="J215" s="49"/>
      <c r="K215" s="49"/>
      <c r="L215" s="48"/>
      <c r="M215" s="48"/>
      <c r="N215" s="48"/>
      <c r="O215" s="48"/>
      <c r="P215" s="48"/>
      <c r="Q215" s="48"/>
      <c r="R215" s="48"/>
      <c r="S215" s="48"/>
      <c r="T215" s="48"/>
      <c r="U215" s="48"/>
      <c r="V215" s="48"/>
      <c r="W215" s="48"/>
      <c r="X215" s="48"/>
      <c r="Y215" s="48"/>
      <c r="Z215" s="48"/>
    </row>
    <row r="216" ht="15.75" customHeight="1">
      <c r="A216" s="49"/>
      <c r="B216" s="49"/>
      <c r="C216" s="49"/>
      <c r="D216" s="49"/>
      <c r="E216" s="49"/>
      <c r="F216" s="49"/>
      <c r="G216" s="49"/>
      <c r="H216" s="49"/>
      <c r="I216" s="49"/>
      <c r="J216" s="49"/>
      <c r="K216" s="49"/>
      <c r="L216" s="48"/>
      <c r="M216" s="48"/>
      <c r="N216" s="48"/>
      <c r="O216" s="48"/>
      <c r="P216" s="48"/>
      <c r="Q216" s="48"/>
      <c r="R216" s="48"/>
      <c r="S216" s="48"/>
      <c r="T216" s="48"/>
      <c r="U216" s="48"/>
      <c r="V216" s="48"/>
      <c r="W216" s="48"/>
      <c r="X216" s="48"/>
      <c r="Y216" s="48"/>
      <c r="Z216" s="48"/>
    </row>
    <row r="217" ht="15.75" customHeight="1">
      <c r="A217" s="49"/>
      <c r="B217" s="49"/>
      <c r="C217" s="49"/>
      <c r="D217" s="49"/>
      <c r="E217" s="49"/>
      <c r="F217" s="49"/>
      <c r="G217" s="49"/>
      <c r="H217" s="49"/>
      <c r="I217" s="49"/>
      <c r="J217" s="49"/>
      <c r="K217" s="49"/>
      <c r="L217" s="48"/>
      <c r="M217" s="48"/>
      <c r="N217" s="48"/>
      <c r="O217" s="48"/>
      <c r="P217" s="48"/>
      <c r="Q217" s="48"/>
      <c r="R217" s="48"/>
      <c r="S217" s="48"/>
      <c r="T217" s="48"/>
      <c r="U217" s="48"/>
      <c r="V217" s="48"/>
      <c r="W217" s="48"/>
      <c r="X217" s="48"/>
      <c r="Y217" s="48"/>
      <c r="Z217" s="48"/>
    </row>
    <row r="218" ht="15.75" customHeight="1">
      <c r="A218" s="49"/>
      <c r="B218" s="49"/>
      <c r="C218" s="49"/>
      <c r="D218" s="49"/>
      <c r="E218" s="49"/>
      <c r="F218" s="49"/>
      <c r="G218" s="49"/>
      <c r="H218" s="49"/>
      <c r="I218" s="49"/>
      <c r="J218" s="49"/>
      <c r="K218" s="49"/>
      <c r="L218" s="48"/>
      <c r="M218" s="48"/>
      <c r="N218" s="48"/>
      <c r="O218" s="48"/>
      <c r="P218" s="48"/>
      <c r="Q218" s="48"/>
      <c r="R218" s="48"/>
      <c r="S218" s="48"/>
      <c r="T218" s="48"/>
      <c r="U218" s="48"/>
      <c r="V218" s="48"/>
      <c r="W218" s="48"/>
      <c r="X218" s="48"/>
      <c r="Y218" s="48"/>
      <c r="Z218" s="48"/>
    </row>
    <row r="219" ht="15.75" customHeight="1">
      <c r="A219" s="49"/>
      <c r="B219" s="49"/>
      <c r="C219" s="49"/>
      <c r="D219" s="49"/>
      <c r="E219" s="49"/>
      <c r="F219" s="49"/>
      <c r="G219" s="49"/>
      <c r="H219" s="49"/>
      <c r="I219" s="49"/>
      <c r="J219" s="49"/>
      <c r="K219" s="49"/>
      <c r="L219" s="48"/>
      <c r="M219" s="48"/>
      <c r="N219" s="48"/>
      <c r="O219" s="48"/>
      <c r="P219" s="48"/>
      <c r="Q219" s="48"/>
      <c r="R219" s="48"/>
      <c r="S219" s="48"/>
      <c r="T219" s="48"/>
      <c r="U219" s="48"/>
      <c r="V219" s="48"/>
      <c r="W219" s="48"/>
      <c r="X219" s="48"/>
      <c r="Y219" s="48"/>
      <c r="Z219" s="48"/>
    </row>
    <row r="220" ht="15.75" customHeight="1">
      <c r="A220" s="49"/>
      <c r="B220" s="49"/>
      <c r="C220" s="49"/>
      <c r="D220" s="49"/>
      <c r="E220" s="49"/>
      <c r="F220" s="49"/>
      <c r="G220" s="49"/>
      <c r="H220" s="49"/>
      <c r="I220" s="49"/>
      <c r="J220" s="49"/>
      <c r="K220" s="49"/>
      <c r="L220" s="48"/>
      <c r="M220" s="48"/>
      <c r="N220" s="48"/>
      <c r="O220" s="48"/>
      <c r="P220" s="48"/>
      <c r="Q220" s="48"/>
      <c r="R220" s="48"/>
      <c r="S220" s="48"/>
      <c r="T220" s="48"/>
      <c r="U220" s="48"/>
      <c r="V220" s="48"/>
      <c r="W220" s="48"/>
      <c r="X220" s="48"/>
      <c r="Y220" s="48"/>
      <c r="Z220" s="48"/>
    </row>
    <row r="221" ht="15.75" customHeight="1">
      <c r="A221" s="49"/>
      <c r="B221" s="49"/>
      <c r="C221" s="49"/>
      <c r="D221" s="49"/>
      <c r="E221" s="49"/>
      <c r="F221" s="49"/>
      <c r="G221" s="49"/>
      <c r="H221" s="49"/>
      <c r="I221" s="49"/>
      <c r="J221" s="49"/>
      <c r="K221" s="49"/>
      <c r="L221" s="48"/>
      <c r="M221" s="48"/>
      <c r="N221" s="48"/>
      <c r="O221" s="48"/>
      <c r="P221" s="48"/>
      <c r="Q221" s="48"/>
      <c r="R221" s="48"/>
      <c r="S221" s="48"/>
      <c r="T221" s="48"/>
      <c r="U221" s="48"/>
      <c r="V221" s="48"/>
      <c r="W221" s="48"/>
      <c r="X221" s="48"/>
      <c r="Y221" s="48"/>
      <c r="Z221" s="48"/>
    </row>
    <row r="222" ht="15.75" customHeight="1">
      <c r="A222" s="49"/>
      <c r="B222" s="49"/>
      <c r="C222" s="49"/>
      <c r="D222" s="49"/>
      <c r="E222" s="49"/>
      <c r="F222" s="49"/>
      <c r="G222" s="49"/>
      <c r="H222" s="49"/>
      <c r="I222" s="49"/>
      <c r="J222" s="49"/>
      <c r="K222" s="49"/>
      <c r="L222" s="48"/>
      <c r="M222" s="48"/>
      <c r="N222" s="48"/>
      <c r="O222" s="48"/>
      <c r="P222" s="48"/>
      <c r="Q222" s="48"/>
      <c r="R222" s="48"/>
      <c r="S222" s="48"/>
      <c r="T222" s="48"/>
      <c r="U222" s="48"/>
      <c r="V222" s="48"/>
      <c r="W222" s="48"/>
      <c r="X222" s="48"/>
      <c r="Y222" s="48"/>
      <c r="Z222" s="48"/>
    </row>
    <row r="223" ht="15.75" customHeight="1">
      <c r="A223" s="49"/>
      <c r="B223" s="49"/>
      <c r="C223" s="49"/>
      <c r="D223" s="49"/>
      <c r="E223" s="49"/>
      <c r="F223" s="49"/>
      <c r="G223" s="49"/>
      <c r="H223" s="49"/>
      <c r="I223" s="49"/>
      <c r="J223" s="49"/>
      <c r="K223" s="49"/>
      <c r="L223" s="48"/>
      <c r="M223" s="48"/>
      <c r="N223" s="48"/>
      <c r="O223" s="48"/>
      <c r="P223" s="48"/>
      <c r="Q223" s="48"/>
      <c r="R223" s="48"/>
      <c r="S223" s="48"/>
      <c r="T223" s="48"/>
      <c r="U223" s="48"/>
      <c r="V223" s="48"/>
      <c r="W223" s="48"/>
      <c r="X223" s="48"/>
      <c r="Y223" s="48"/>
      <c r="Z223" s="48"/>
    </row>
    <row r="224" ht="15.75" customHeight="1">
      <c r="A224" s="49"/>
      <c r="B224" s="49"/>
      <c r="C224" s="49"/>
      <c r="D224" s="49"/>
      <c r="E224" s="49"/>
      <c r="F224" s="49"/>
      <c r="G224" s="49"/>
      <c r="H224" s="49"/>
      <c r="I224" s="49"/>
      <c r="J224" s="49"/>
      <c r="K224" s="49"/>
      <c r="L224" s="48"/>
      <c r="M224" s="48"/>
      <c r="N224" s="48"/>
      <c r="O224" s="48"/>
      <c r="P224" s="48"/>
      <c r="Q224" s="48"/>
      <c r="R224" s="48"/>
      <c r="S224" s="48"/>
      <c r="T224" s="48"/>
      <c r="U224" s="48"/>
      <c r="V224" s="48"/>
      <c r="W224" s="48"/>
      <c r="X224" s="48"/>
      <c r="Y224" s="48"/>
      <c r="Z224" s="48"/>
    </row>
    <row r="225" ht="15.75" customHeight="1">
      <c r="A225" s="49"/>
      <c r="B225" s="49"/>
      <c r="C225" s="49"/>
      <c r="D225" s="49"/>
      <c r="E225" s="49"/>
      <c r="F225" s="49"/>
      <c r="G225" s="49"/>
      <c r="H225" s="49"/>
      <c r="I225" s="49"/>
      <c r="J225" s="49"/>
      <c r="K225" s="49"/>
      <c r="L225" s="48"/>
      <c r="M225" s="48"/>
      <c r="N225" s="48"/>
      <c r="O225" s="48"/>
      <c r="P225" s="48"/>
      <c r="Q225" s="48"/>
      <c r="R225" s="48"/>
      <c r="S225" s="48"/>
      <c r="T225" s="48"/>
      <c r="U225" s="48"/>
      <c r="V225" s="48"/>
      <c r="W225" s="48"/>
      <c r="X225" s="48"/>
      <c r="Y225" s="48"/>
      <c r="Z225" s="48"/>
    </row>
    <row r="226" ht="15.75" customHeight="1">
      <c r="A226" s="49"/>
      <c r="B226" s="49"/>
      <c r="C226" s="49"/>
      <c r="D226" s="49"/>
      <c r="E226" s="49"/>
      <c r="F226" s="49"/>
      <c r="G226" s="49"/>
      <c r="H226" s="49"/>
      <c r="I226" s="49"/>
      <c r="J226" s="49"/>
      <c r="K226" s="49"/>
      <c r="L226" s="48"/>
      <c r="M226" s="48"/>
      <c r="N226" s="48"/>
      <c r="O226" s="48"/>
      <c r="P226" s="48"/>
      <c r="Q226" s="48"/>
      <c r="R226" s="48"/>
      <c r="S226" s="48"/>
      <c r="T226" s="48"/>
      <c r="U226" s="48"/>
      <c r="V226" s="48"/>
      <c r="W226" s="48"/>
      <c r="X226" s="48"/>
      <c r="Y226" s="48"/>
      <c r="Z226" s="48"/>
    </row>
    <row r="227" ht="15.75" customHeight="1">
      <c r="A227" s="49"/>
      <c r="B227" s="49"/>
      <c r="C227" s="49"/>
      <c r="D227" s="49"/>
      <c r="E227" s="49"/>
      <c r="F227" s="49"/>
      <c r="G227" s="49"/>
      <c r="H227" s="49"/>
      <c r="I227" s="49"/>
      <c r="J227" s="49"/>
      <c r="K227" s="49"/>
      <c r="L227" s="48"/>
      <c r="M227" s="48"/>
      <c r="N227" s="48"/>
      <c r="O227" s="48"/>
      <c r="P227" s="48"/>
      <c r="Q227" s="48"/>
      <c r="R227" s="48"/>
      <c r="S227" s="48"/>
      <c r="T227" s="48"/>
      <c r="U227" s="48"/>
      <c r="V227" s="48"/>
      <c r="W227" s="48"/>
      <c r="X227" s="48"/>
      <c r="Y227" s="48"/>
      <c r="Z227" s="48"/>
    </row>
    <row r="228" ht="15.75" customHeight="1">
      <c r="A228" s="49"/>
      <c r="B228" s="49"/>
      <c r="C228" s="49"/>
      <c r="D228" s="49"/>
      <c r="E228" s="49"/>
      <c r="F228" s="49"/>
      <c r="G228" s="49"/>
      <c r="H228" s="49"/>
      <c r="I228" s="49"/>
      <c r="J228" s="49"/>
      <c r="K228" s="49"/>
      <c r="L228" s="48"/>
      <c r="M228" s="48"/>
      <c r="N228" s="48"/>
      <c r="O228" s="48"/>
      <c r="P228" s="48"/>
      <c r="Q228" s="48"/>
      <c r="R228" s="48"/>
      <c r="S228" s="48"/>
      <c r="T228" s="48"/>
      <c r="U228" s="48"/>
      <c r="V228" s="48"/>
      <c r="W228" s="48"/>
      <c r="X228" s="48"/>
      <c r="Y228" s="48"/>
      <c r="Z228" s="48"/>
    </row>
    <row r="229" ht="15.75" customHeight="1">
      <c r="A229" s="49"/>
      <c r="B229" s="49"/>
      <c r="C229" s="49"/>
      <c r="D229" s="49"/>
      <c r="E229" s="49"/>
      <c r="F229" s="49"/>
      <c r="G229" s="49"/>
      <c r="H229" s="49"/>
      <c r="I229" s="49"/>
      <c r="J229" s="49"/>
      <c r="K229" s="49"/>
      <c r="L229" s="48"/>
      <c r="M229" s="48"/>
      <c r="N229" s="48"/>
      <c r="O229" s="48"/>
      <c r="P229" s="48"/>
      <c r="Q229" s="48"/>
      <c r="R229" s="48"/>
      <c r="S229" s="48"/>
      <c r="T229" s="48"/>
      <c r="U229" s="48"/>
      <c r="V229" s="48"/>
      <c r="W229" s="48"/>
      <c r="X229" s="48"/>
      <c r="Y229" s="48"/>
      <c r="Z229" s="48"/>
    </row>
    <row r="230" ht="15.75" customHeight="1">
      <c r="A230" s="49"/>
      <c r="B230" s="49"/>
      <c r="C230" s="49"/>
      <c r="D230" s="49"/>
      <c r="E230" s="49"/>
      <c r="F230" s="49"/>
      <c r="G230" s="49"/>
      <c r="H230" s="49"/>
      <c r="I230" s="49"/>
      <c r="J230" s="49"/>
      <c r="K230" s="49"/>
      <c r="L230" s="48"/>
      <c r="M230" s="48"/>
      <c r="N230" s="48"/>
      <c r="O230" s="48"/>
      <c r="P230" s="48"/>
      <c r="Q230" s="48"/>
      <c r="R230" s="48"/>
      <c r="S230" s="48"/>
      <c r="T230" s="48"/>
      <c r="U230" s="48"/>
      <c r="V230" s="48"/>
      <c r="W230" s="48"/>
      <c r="X230" s="48"/>
      <c r="Y230" s="48"/>
      <c r="Z230" s="48"/>
    </row>
    <row r="231" ht="15.75" customHeight="1">
      <c r="A231" s="49"/>
      <c r="B231" s="49"/>
      <c r="C231" s="49"/>
      <c r="D231" s="49"/>
      <c r="E231" s="49"/>
      <c r="F231" s="49"/>
      <c r="G231" s="49"/>
      <c r="H231" s="49"/>
      <c r="I231" s="49"/>
      <c r="J231" s="49"/>
      <c r="K231" s="49"/>
      <c r="L231" s="48"/>
      <c r="M231" s="48"/>
      <c r="N231" s="48"/>
      <c r="O231" s="48"/>
      <c r="P231" s="48"/>
      <c r="Q231" s="48"/>
      <c r="R231" s="48"/>
      <c r="S231" s="48"/>
      <c r="T231" s="48"/>
      <c r="U231" s="48"/>
      <c r="V231" s="48"/>
      <c r="W231" s="48"/>
      <c r="X231" s="48"/>
      <c r="Y231" s="48"/>
      <c r="Z231" s="48"/>
    </row>
    <row r="232" ht="15.75" customHeight="1">
      <c r="A232" s="49"/>
      <c r="B232" s="49"/>
      <c r="C232" s="49"/>
      <c r="D232" s="49"/>
      <c r="E232" s="49"/>
      <c r="F232" s="49"/>
      <c r="G232" s="49"/>
      <c r="H232" s="49"/>
      <c r="I232" s="49"/>
      <c r="J232" s="49"/>
      <c r="K232" s="49"/>
      <c r="L232" s="48"/>
      <c r="M232" s="48"/>
      <c r="N232" s="48"/>
      <c r="O232" s="48"/>
      <c r="P232" s="48"/>
      <c r="Q232" s="48"/>
      <c r="R232" s="48"/>
      <c r="S232" s="48"/>
      <c r="T232" s="48"/>
      <c r="U232" s="48"/>
      <c r="V232" s="48"/>
      <c r="W232" s="48"/>
      <c r="X232" s="48"/>
      <c r="Y232" s="48"/>
      <c r="Z232" s="48"/>
    </row>
    <row r="233" ht="15.75" customHeight="1">
      <c r="A233" s="49"/>
      <c r="B233" s="49"/>
      <c r="C233" s="49"/>
      <c r="D233" s="49"/>
      <c r="E233" s="49"/>
      <c r="F233" s="49"/>
      <c r="G233" s="49"/>
      <c r="H233" s="49"/>
      <c r="I233" s="49"/>
      <c r="J233" s="49"/>
      <c r="K233" s="49"/>
      <c r="L233" s="48"/>
      <c r="M233" s="48"/>
      <c r="N233" s="48"/>
      <c r="O233" s="48"/>
      <c r="P233" s="48"/>
      <c r="Q233" s="48"/>
      <c r="R233" s="48"/>
      <c r="S233" s="48"/>
      <c r="T233" s="48"/>
      <c r="U233" s="48"/>
      <c r="V233" s="48"/>
      <c r="W233" s="48"/>
      <c r="X233" s="48"/>
      <c r="Y233" s="48"/>
      <c r="Z233" s="48"/>
    </row>
    <row r="234" ht="15.75" customHeight="1">
      <c r="A234" s="49"/>
      <c r="B234" s="49"/>
      <c r="C234" s="49"/>
      <c r="D234" s="49"/>
      <c r="E234" s="49"/>
      <c r="F234" s="49"/>
      <c r="G234" s="49"/>
      <c r="H234" s="49"/>
      <c r="I234" s="49"/>
      <c r="J234" s="49"/>
      <c r="K234" s="49"/>
      <c r="L234" s="48"/>
      <c r="M234" s="48"/>
      <c r="N234" s="48"/>
      <c r="O234" s="48"/>
      <c r="P234" s="48"/>
      <c r="Q234" s="48"/>
      <c r="R234" s="48"/>
      <c r="S234" s="48"/>
      <c r="T234" s="48"/>
      <c r="U234" s="48"/>
      <c r="V234" s="48"/>
      <c r="W234" s="48"/>
      <c r="X234" s="48"/>
      <c r="Y234" s="48"/>
      <c r="Z234" s="48"/>
    </row>
    <row r="235" ht="15.75" customHeight="1">
      <c r="A235" s="49"/>
      <c r="B235" s="49"/>
      <c r="C235" s="49"/>
      <c r="D235" s="49"/>
      <c r="E235" s="49"/>
      <c r="F235" s="49"/>
      <c r="G235" s="49"/>
      <c r="H235" s="49"/>
      <c r="I235" s="49"/>
      <c r="J235" s="49"/>
      <c r="K235" s="49"/>
      <c r="L235" s="48"/>
      <c r="M235" s="48"/>
      <c r="N235" s="48"/>
      <c r="O235" s="48"/>
      <c r="P235" s="48"/>
      <c r="Q235" s="48"/>
      <c r="R235" s="48"/>
      <c r="S235" s="48"/>
      <c r="T235" s="48"/>
      <c r="U235" s="48"/>
      <c r="V235" s="48"/>
      <c r="W235" s="48"/>
      <c r="X235" s="48"/>
      <c r="Y235" s="48"/>
      <c r="Z235" s="48"/>
    </row>
    <row r="236" ht="15.75" customHeight="1">
      <c r="A236" s="49"/>
      <c r="B236" s="49"/>
      <c r="C236" s="49"/>
      <c r="D236" s="49"/>
      <c r="E236" s="49"/>
      <c r="F236" s="49"/>
      <c r="G236" s="49"/>
      <c r="H236" s="49"/>
      <c r="I236" s="49"/>
      <c r="J236" s="49"/>
      <c r="K236" s="49"/>
      <c r="L236" s="48"/>
      <c r="M236" s="48"/>
      <c r="N236" s="48"/>
      <c r="O236" s="48"/>
      <c r="P236" s="48"/>
      <c r="Q236" s="48"/>
      <c r="R236" s="48"/>
      <c r="S236" s="48"/>
      <c r="T236" s="48"/>
      <c r="U236" s="48"/>
      <c r="V236" s="48"/>
      <c r="W236" s="48"/>
      <c r="X236" s="48"/>
      <c r="Y236" s="48"/>
      <c r="Z236" s="48"/>
    </row>
    <row r="237" ht="15.75" customHeight="1">
      <c r="A237" s="49"/>
      <c r="B237" s="49"/>
      <c r="C237" s="49"/>
      <c r="D237" s="49"/>
      <c r="E237" s="49"/>
      <c r="F237" s="49"/>
      <c r="G237" s="49"/>
      <c r="H237" s="49"/>
      <c r="I237" s="49"/>
      <c r="J237" s="49"/>
      <c r="K237" s="49"/>
      <c r="L237" s="48"/>
      <c r="M237" s="48"/>
      <c r="N237" s="48"/>
      <c r="O237" s="48"/>
      <c r="P237" s="48"/>
      <c r="Q237" s="48"/>
      <c r="R237" s="48"/>
      <c r="S237" s="48"/>
      <c r="T237" s="48"/>
      <c r="U237" s="48"/>
      <c r="V237" s="48"/>
      <c r="W237" s="48"/>
      <c r="X237" s="48"/>
      <c r="Y237" s="48"/>
      <c r="Z237" s="48"/>
    </row>
    <row r="238" ht="15.75" customHeight="1">
      <c r="A238" s="49"/>
      <c r="B238" s="49"/>
      <c r="C238" s="49"/>
      <c r="D238" s="49"/>
      <c r="E238" s="49"/>
      <c r="F238" s="49"/>
      <c r="G238" s="49"/>
      <c r="H238" s="49"/>
      <c r="I238" s="49"/>
      <c r="J238" s="49"/>
      <c r="K238" s="49"/>
      <c r="L238" s="48"/>
      <c r="M238" s="48"/>
      <c r="N238" s="48"/>
      <c r="O238" s="48"/>
      <c r="P238" s="48"/>
      <c r="Q238" s="48"/>
      <c r="R238" s="48"/>
      <c r="S238" s="48"/>
      <c r="T238" s="48"/>
      <c r="U238" s="48"/>
      <c r="V238" s="48"/>
      <c r="W238" s="48"/>
      <c r="X238" s="48"/>
      <c r="Y238" s="48"/>
      <c r="Z238" s="48"/>
    </row>
    <row r="239" ht="15.75" customHeight="1">
      <c r="A239" s="49"/>
      <c r="B239" s="49"/>
      <c r="C239" s="49"/>
      <c r="D239" s="49"/>
      <c r="E239" s="49"/>
      <c r="F239" s="49"/>
      <c r="G239" s="49"/>
      <c r="H239" s="49"/>
      <c r="I239" s="49"/>
      <c r="J239" s="49"/>
      <c r="K239" s="49"/>
      <c r="L239" s="48"/>
      <c r="M239" s="48"/>
      <c r="N239" s="48"/>
      <c r="O239" s="48"/>
      <c r="P239" s="48"/>
      <c r="Q239" s="48"/>
      <c r="R239" s="48"/>
      <c r="S239" s="48"/>
      <c r="T239" s="48"/>
      <c r="U239" s="48"/>
      <c r="V239" s="48"/>
      <c r="W239" s="48"/>
      <c r="X239" s="48"/>
      <c r="Y239" s="48"/>
      <c r="Z239" s="48"/>
    </row>
    <row r="240" ht="15.75" customHeight="1">
      <c r="A240" s="49"/>
      <c r="B240" s="49"/>
      <c r="C240" s="49"/>
      <c r="D240" s="49"/>
      <c r="E240" s="49"/>
      <c r="F240" s="49"/>
      <c r="G240" s="49"/>
      <c r="H240" s="49"/>
      <c r="I240" s="49"/>
      <c r="J240" s="49"/>
      <c r="K240" s="49"/>
      <c r="L240" s="48"/>
      <c r="M240" s="48"/>
      <c r="N240" s="48"/>
      <c r="O240" s="48"/>
      <c r="P240" s="48"/>
      <c r="Q240" s="48"/>
      <c r="R240" s="48"/>
      <c r="S240" s="48"/>
      <c r="T240" s="48"/>
      <c r="U240" s="48"/>
      <c r="V240" s="48"/>
      <c r="W240" s="48"/>
      <c r="X240" s="48"/>
      <c r="Y240" s="48"/>
      <c r="Z240" s="48"/>
    </row>
    <row r="241" ht="15.75" customHeight="1">
      <c r="A241" s="49"/>
      <c r="B241" s="49"/>
      <c r="C241" s="49"/>
      <c r="D241" s="49"/>
      <c r="E241" s="49"/>
      <c r="F241" s="49"/>
      <c r="G241" s="49"/>
      <c r="H241" s="49"/>
      <c r="I241" s="49"/>
      <c r="J241" s="49"/>
      <c r="K241" s="49"/>
      <c r="L241" s="48"/>
      <c r="M241" s="48"/>
      <c r="N241" s="48"/>
      <c r="O241" s="48"/>
      <c r="P241" s="48"/>
      <c r="Q241" s="48"/>
      <c r="R241" s="48"/>
      <c r="S241" s="48"/>
      <c r="T241" s="48"/>
      <c r="U241" s="48"/>
      <c r="V241" s="48"/>
      <c r="W241" s="48"/>
      <c r="X241" s="48"/>
      <c r="Y241" s="48"/>
      <c r="Z241" s="48"/>
    </row>
    <row r="242" ht="15.75" customHeight="1">
      <c r="A242" s="49"/>
      <c r="B242" s="49"/>
      <c r="C242" s="49"/>
      <c r="D242" s="49"/>
      <c r="E242" s="49"/>
      <c r="F242" s="49"/>
      <c r="G242" s="49"/>
      <c r="H242" s="49"/>
      <c r="I242" s="49"/>
      <c r="J242" s="49"/>
      <c r="K242" s="49"/>
      <c r="L242" s="48"/>
      <c r="M242" s="48"/>
      <c r="N242" s="48"/>
      <c r="O242" s="48"/>
      <c r="P242" s="48"/>
      <c r="Q242" s="48"/>
      <c r="R242" s="48"/>
      <c r="S242" s="48"/>
      <c r="T242" s="48"/>
      <c r="U242" s="48"/>
      <c r="V242" s="48"/>
      <c r="W242" s="48"/>
      <c r="X242" s="48"/>
      <c r="Y242" s="48"/>
      <c r="Z242" s="48"/>
    </row>
    <row r="243" ht="15.75" customHeight="1">
      <c r="A243" s="49"/>
      <c r="B243" s="49"/>
      <c r="C243" s="49"/>
      <c r="D243" s="49"/>
      <c r="E243" s="49"/>
      <c r="F243" s="49"/>
      <c r="G243" s="49"/>
      <c r="H243" s="49"/>
      <c r="I243" s="49"/>
      <c r="J243" s="49"/>
      <c r="K243" s="49"/>
      <c r="L243" s="48"/>
      <c r="M243" s="48"/>
      <c r="N243" s="48"/>
      <c r="O243" s="48"/>
      <c r="P243" s="48"/>
      <c r="Q243" s="48"/>
      <c r="R243" s="48"/>
      <c r="S243" s="48"/>
      <c r="T243" s="48"/>
      <c r="U243" s="48"/>
      <c r="V243" s="48"/>
      <c r="W243" s="48"/>
      <c r="X243" s="48"/>
      <c r="Y243" s="48"/>
      <c r="Z243" s="48"/>
    </row>
    <row r="244" ht="15.75" customHeight="1">
      <c r="A244" s="49"/>
      <c r="B244" s="49"/>
      <c r="C244" s="49"/>
      <c r="D244" s="49"/>
      <c r="E244" s="49"/>
      <c r="F244" s="49"/>
      <c r="G244" s="49"/>
      <c r="H244" s="49"/>
      <c r="I244" s="49"/>
      <c r="J244" s="49"/>
      <c r="K244" s="49"/>
      <c r="L244" s="48"/>
      <c r="M244" s="48"/>
      <c r="N244" s="48"/>
      <c r="O244" s="48"/>
      <c r="P244" s="48"/>
      <c r="Q244" s="48"/>
      <c r="R244" s="48"/>
      <c r="S244" s="48"/>
      <c r="T244" s="48"/>
      <c r="U244" s="48"/>
      <c r="V244" s="48"/>
      <c r="W244" s="48"/>
      <c r="X244" s="48"/>
      <c r="Y244" s="48"/>
      <c r="Z244" s="48"/>
    </row>
    <row r="245" ht="15.75" customHeight="1">
      <c r="A245" s="49"/>
      <c r="B245" s="49"/>
      <c r="C245" s="49"/>
      <c r="D245" s="49"/>
      <c r="E245" s="49"/>
      <c r="F245" s="49"/>
      <c r="G245" s="49"/>
      <c r="H245" s="49"/>
      <c r="I245" s="49"/>
      <c r="J245" s="49"/>
      <c r="K245" s="49"/>
      <c r="L245" s="48"/>
      <c r="M245" s="48"/>
      <c r="N245" s="48"/>
      <c r="O245" s="48"/>
      <c r="P245" s="48"/>
      <c r="Q245" s="48"/>
      <c r="R245" s="48"/>
      <c r="S245" s="48"/>
      <c r="T245" s="48"/>
      <c r="U245" s="48"/>
      <c r="V245" s="48"/>
      <c r="W245" s="48"/>
      <c r="X245" s="48"/>
      <c r="Y245" s="48"/>
      <c r="Z245" s="48"/>
    </row>
    <row r="246" ht="15.75" customHeight="1">
      <c r="A246" s="49"/>
      <c r="B246" s="49"/>
      <c r="C246" s="49"/>
      <c r="D246" s="49"/>
      <c r="E246" s="49"/>
      <c r="F246" s="49"/>
      <c r="G246" s="49"/>
      <c r="H246" s="49"/>
      <c r="I246" s="49"/>
      <c r="J246" s="49"/>
      <c r="K246" s="49"/>
      <c r="L246" s="48"/>
      <c r="M246" s="48"/>
      <c r="N246" s="48"/>
      <c r="O246" s="48"/>
      <c r="P246" s="48"/>
      <c r="Q246" s="48"/>
      <c r="R246" s="48"/>
      <c r="S246" s="48"/>
      <c r="T246" s="48"/>
      <c r="U246" s="48"/>
      <c r="V246" s="48"/>
      <c r="W246" s="48"/>
      <c r="X246" s="48"/>
      <c r="Y246" s="48"/>
      <c r="Z246" s="48"/>
    </row>
    <row r="247" ht="15.75" customHeight="1">
      <c r="A247" s="49"/>
      <c r="B247" s="49"/>
      <c r="C247" s="49"/>
      <c r="D247" s="49"/>
      <c r="E247" s="49"/>
      <c r="F247" s="49"/>
      <c r="G247" s="49"/>
      <c r="H247" s="49"/>
      <c r="I247" s="49"/>
      <c r="J247" s="49"/>
      <c r="K247" s="49"/>
      <c r="L247" s="48"/>
      <c r="M247" s="48"/>
      <c r="N247" s="48"/>
      <c r="O247" s="48"/>
      <c r="P247" s="48"/>
      <c r="Q247" s="48"/>
      <c r="R247" s="48"/>
      <c r="S247" s="48"/>
      <c r="T247" s="48"/>
      <c r="U247" s="48"/>
      <c r="V247" s="48"/>
      <c r="W247" s="48"/>
      <c r="X247" s="48"/>
      <c r="Y247" s="48"/>
      <c r="Z247" s="48"/>
    </row>
    <row r="248" ht="15.75" customHeight="1">
      <c r="A248" s="49"/>
      <c r="B248" s="49"/>
      <c r="C248" s="49"/>
      <c r="D248" s="49"/>
      <c r="E248" s="49"/>
      <c r="F248" s="49"/>
      <c r="G248" s="49"/>
      <c r="H248" s="49"/>
      <c r="I248" s="49"/>
      <c r="J248" s="49"/>
      <c r="K248" s="49"/>
      <c r="L248" s="48"/>
      <c r="M248" s="48"/>
      <c r="N248" s="48"/>
      <c r="O248" s="48"/>
      <c r="P248" s="48"/>
      <c r="Q248" s="48"/>
      <c r="R248" s="48"/>
      <c r="S248" s="48"/>
      <c r="T248" s="48"/>
      <c r="U248" s="48"/>
      <c r="V248" s="48"/>
      <c r="W248" s="48"/>
      <c r="X248" s="48"/>
      <c r="Y248" s="48"/>
      <c r="Z248" s="48"/>
    </row>
    <row r="249" ht="15.75" customHeight="1">
      <c r="A249" s="49"/>
      <c r="B249" s="49"/>
      <c r="C249" s="49"/>
      <c r="D249" s="49"/>
      <c r="E249" s="49"/>
      <c r="F249" s="49"/>
      <c r="G249" s="49"/>
      <c r="H249" s="49"/>
      <c r="I249" s="49"/>
      <c r="J249" s="49"/>
      <c r="K249" s="49"/>
      <c r="L249" s="48"/>
      <c r="M249" s="48"/>
      <c r="N249" s="48"/>
      <c r="O249" s="48"/>
      <c r="P249" s="48"/>
      <c r="Q249" s="48"/>
      <c r="R249" s="48"/>
      <c r="S249" s="48"/>
      <c r="T249" s="48"/>
      <c r="U249" s="48"/>
      <c r="V249" s="48"/>
      <c r="W249" s="48"/>
      <c r="X249" s="48"/>
      <c r="Y249" s="48"/>
      <c r="Z249" s="48"/>
    </row>
    <row r="250" ht="15.75" customHeight="1">
      <c r="A250" s="49"/>
      <c r="B250" s="49"/>
      <c r="C250" s="49"/>
      <c r="D250" s="49"/>
      <c r="E250" s="49"/>
      <c r="F250" s="49"/>
      <c r="G250" s="49"/>
      <c r="H250" s="49"/>
      <c r="I250" s="49"/>
      <c r="J250" s="49"/>
      <c r="K250" s="49"/>
      <c r="L250" s="48"/>
      <c r="M250" s="48"/>
      <c r="N250" s="48"/>
      <c r="O250" s="48"/>
      <c r="P250" s="48"/>
      <c r="Q250" s="48"/>
      <c r="R250" s="48"/>
      <c r="S250" s="48"/>
      <c r="T250" s="48"/>
      <c r="U250" s="48"/>
      <c r="V250" s="48"/>
      <c r="W250" s="48"/>
      <c r="X250" s="48"/>
      <c r="Y250" s="48"/>
      <c r="Z250" s="48"/>
    </row>
    <row r="251" ht="15.75" customHeight="1">
      <c r="A251" s="49"/>
      <c r="B251" s="49"/>
      <c r="C251" s="49"/>
      <c r="D251" s="49"/>
      <c r="E251" s="49"/>
      <c r="F251" s="49"/>
      <c r="G251" s="49"/>
      <c r="H251" s="49"/>
      <c r="I251" s="49"/>
      <c r="J251" s="49"/>
      <c r="K251" s="49"/>
      <c r="L251" s="48"/>
      <c r="M251" s="48"/>
      <c r="N251" s="48"/>
      <c r="O251" s="48"/>
      <c r="P251" s="48"/>
      <c r="Q251" s="48"/>
      <c r="R251" s="48"/>
      <c r="S251" s="48"/>
      <c r="T251" s="48"/>
      <c r="U251" s="48"/>
      <c r="V251" s="48"/>
      <c r="W251" s="48"/>
      <c r="X251" s="48"/>
      <c r="Y251" s="48"/>
      <c r="Z251" s="48"/>
    </row>
    <row r="252" ht="15.75" customHeight="1">
      <c r="A252" s="49"/>
      <c r="B252" s="49"/>
      <c r="C252" s="49"/>
      <c r="D252" s="49"/>
      <c r="E252" s="49"/>
      <c r="F252" s="49"/>
      <c r="G252" s="49"/>
      <c r="H252" s="49"/>
      <c r="I252" s="49"/>
      <c r="J252" s="49"/>
      <c r="K252" s="49"/>
      <c r="L252" s="48"/>
      <c r="M252" s="48"/>
      <c r="N252" s="48"/>
      <c r="O252" s="48"/>
      <c r="P252" s="48"/>
      <c r="Q252" s="48"/>
      <c r="R252" s="48"/>
      <c r="S252" s="48"/>
      <c r="T252" s="48"/>
      <c r="U252" s="48"/>
      <c r="V252" s="48"/>
      <c r="W252" s="48"/>
      <c r="X252" s="48"/>
      <c r="Y252" s="48"/>
      <c r="Z252" s="48"/>
    </row>
    <row r="253" ht="15.75" customHeight="1">
      <c r="A253" s="49"/>
      <c r="B253" s="49"/>
      <c r="C253" s="49"/>
      <c r="D253" s="49"/>
      <c r="E253" s="49"/>
      <c r="F253" s="49"/>
      <c r="G253" s="49"/>
      <c r="H253" s="49"/>
      <c r="I253" s="49"/>
      <c r="J253" s="49"/>
      <c r="K253" s="49"/>
      <c r="L253" s="48"/>
      <c r="M253" s="48"/>
      <c r="N253" s="48"/>
      <c r="O253" s="48"/>
      <c r="P253" s="48"/>
      <c r="Q253" s="48"/>
      <c r="R253" s="48"/>
      <c r="S253" s="48"/>
      <c r="T253" s="48"/>
      <c r="U253" s="48"/>
      <c r="V253" s="48"/>
      <c r="W253" s="48"/>
      <c r="X253" s="48"/>
      <c r="Y253" s="48"/>
      <c r="Z253" s="48"/>
    </row>
    <row r="254" ht="15.75" customHeight="1">
      <c r="A254" s="49"/>
      <c r="B254" s="49"/>
      <c r="C254" s="49"/>
      <c r="D254" s="49"/>
      <c r="E254" s="49"/>
      <c r="F254" s="49"/>
      <c r="G254" s="49"/>
      <c r="H254" s="49"/>
      <c r="I254" s="49"/>
      <c r="J254" s="49"/>
      <c r="K254" s="49"/>
      <c r="L254" s="48"/>
      <c r="M254" s="48"/>
      <c r="N254" s="48"/>
      <c r="O254" s="48"/>
      <c r="P254" s="48"/>
      <c r="Q254" s="48"/>
      <c r="R254" s="48"/>
      <c r="S254" s="48"/>
      <c r="T254" s="48"/>
      <c r="U254" s="48"/>
      <c r="V254" s="48"/>
      <c r="W254" s="48"/>
      <c r="X254" s="48"/>
      <c r="Y254" s="48"/>
      <c r="Z254" s="48"/>
    </row>
    <row r="255" ht="15.75" customHeight="1">
      <c r="A255" s="49"/>
      <c r="B255" s="49"/>
      <c r="C255" s="49"/>
      <c r="D255" s="49"/>
      <c r="E255" s="49"/>
      <c r="F255" s="49"/>
      <c r="G255" s="49"/>
      <c r="H255" s="49"/>
      <c r="I255" s="49"/>
      <c r="J255" s="49"/>
      <c r="K255" s="49"/>
      <c r="L255" s="48"/>
      <c r="M255" s="48"/>
      <c r="N255" s="48"/>
      <c r="O255" s="48"/>
      <c r="P255" s="48"/>
      <c r="Q255" s="48"/>
      <c r="R255" s="48"/>
      <c r="S255" s="48"/>
      <c r="T255" s="48"/>
      <c r="U255" s="48"/>
      <c r="V255" s="48"/>
      <c r="W255" s="48"/>
      <c r="X255" s="48"/>
      <c r="Y255" s="48"/>
      <c r="Z255" s="48"/>
    </row>
    <row r="256" ht="15.75" customHeight="1">
      <c r="A256" s="49"/>
      <c r="B256" s="49"/>
      <c r="C256" s="49"/>
      <c r="D256" s="49"/>
      <c r="E256" s="49"/>
      <c r="F256" s="49"/>
      <c r="G256" s="49"/>
      <c r="H256" s="49"/>
      <c r="I256" s="49"/>
      <c r="J256" s="49"/>
      <c r="K256" s="49"/>
      <c r="L256" s="48"/>
      <c r="M256" s="48"/>
      <c r="N256" s="48"/>
      <c r="O256" s="48"/>
      <c r="P256" s="48"/>
      <c r="Q256" s="48"/>
      <c r="R256" s="48"/>
      <c r="S256" s="48"/>
      <c r="T256" s="48"/>
      <c r="U256" s="48"/>
      <c r="V256" s="48"/>
      <c r="W256" s="48"/>
      <c r="X256" s="48"/>
      <c r="Y256" s="48"/>
      <c r="Z256" s="48"/>
    </row>
    <row r="257" ht="15.75" customHeight="1">
      <c r="A257" s="49"/>
      <c r="B257" s="49"/>
      <c r="C257" s="49"/>
      <c r="D257" s="49"/>
      <c r="E257" s="49"/>
      <c r="F257" s="49"/>
      <c r="G257" s="49"/>
      <c r="H257" s="49"/>
      <c r="I257" s="49"/>
      <c r="J257" s="49"/>
      <c r="K257" s="49"/>
      <c r="L257" s="48"/>
      <c r="M257" s="48"/>
      <c r="N257" s="48"/>
      <c r="O257" s="48"/>
      <c r="P257" s="48"/>
      <c r="Q257" s="48"/>
      <c r="R257" s="48"/>
      <c r="S257" s="48"/>
      <c r="T257" s="48"/>
      <c r="U257" s="48"/>
      <c r="V257" s="48"/>
      <c r="W257" s="48"/>
      <c r="X257" s="48"/>
      <c r="Y257" s="48"/>
      <c r="Z257" s="48"/>
    </row>
    <row r="258" ht="15.75" customHeight="1">
      <c r="A258" s="49"/>
      <c r="B258" s="49"/>
      <c r="C258" s="49"/>
      <c r="D258" s="49"/>
      <c r="E258" s="49"/>
      <c r="F258" s="49"/>
      <c r="G258" s="49"/>
      <c r="H258" s="49"/>
      <c r="I258" s="49"/>
      <c r="J258" s="49"/>
      <c r="K258" s="49"/>
      <c r="L258" s="48"/>
      <c r="M258" s="48"/>
      <c r="N258" s="48"/>
      <c r="O258" s="48"/>
      <c r="P258" s="48"/>
      <c r="Q258" s="48"/>
      <c r="R258" s="48"/>
      <c r="S258" s="48"/>
      <c r="T258" s="48"/>
      <c r="U258" s="48"/>
      <c r="V258" s="48"/>
      <c r="W258" s="48"/>
      <c r="X258" s="48"/>
      <c r="Y258" s="48"/>
      <c r="Z258" s="48"/>
    </row>
    <row r="259" ht="15.75" customHeight="1">
      <c r="A259" s="49"/>
      <c r="B259" s="49"/>
      <c r="C259" s="49"/>
      <c r="D259" s="49"/>
      <c r="E259" s="49"/>
      <c r="F259" s="49"/>
      <c r="G259" s="49"/>
      <c r="H259" s="49"/>
      <c r="I259" s="49"/>
      <c r="J259" s="49"/>
      <c r="K259" s="49"/>
      <c r="L259" s="48"/>
      <c r="M259" s="48"/>
      <c r="N259" s="48"/>
      <c r="O259" s="48"/>
      <c r="P259" s="48"/>
      <c r="Q259" s="48"/>
      <c r="R259" s="48"/>
      <c r="S259" s="48"/>
      <c r="T259" s="48"/>
      <c r="U259" s="48"/>
      <c r="V259" s="48"/>
      <c r="W259" s="48"/>
      <c r="X259" s="48"/>
      <c r="Y259" s="48"/>
      <c r="Z259" s="48"/>
    </row>
    <row r="260" ht="15.75" customHeight="1">
      <c r="A260" s="49"/>
      <c r="B260" s="49"/>
      <c r="C260" s="49"/>
      <c r="D260" s="49"/>
      <c r="E260" s="49"/>
      <c r="F260" s="49"/>
      <c r="G260" s="49"/>
      <c r="H260" s="49"/>
      <c r="I260" s="49"/>
      <c r="J260" s="49"/>
      <c r="K260" s="49"/>
      <c r="L260" s="48"/>
      <c r="M260" s="48"/>
      <c r="N260" s="48"/>
      <c r="O260" s="48"/>
      <c r="P260" s="48"/>
      <c r="Q260" s="48"/>
      <c r="R260" s="48"/>
      <c r="S260" s="48"/>
      <c r="T260" s="48"/>
      <c r="U260" s="48"/>
      <c r="V260" s="48"/>
      <c r="W260" s="48"/>
      <c r="X260" s="48"/>
      <c r="Y260" s="48"/>
      <c r="Z260" s="48"/>
    </row>
    <row r="261" ht="15.75" customHeight="1">
      <c r="A261" s="49"/>
      <c r="B261" s="49"/>
      <c r="C261" s="49"/>
      <c r="D261" s="49"/>
      <c r="E261" s="49"/>
      <c r="F261" s="49"/>
      <c r="G261" s="49"/>
      <c r="H261" s="49"/>
      <c r="I261" s="49"/>
      <c r="J261" s="49"/>
      <c r="K261" s="49"/>
      <c r="L261" s="48"/>
      <c r="M261" s="48"/>
      <c r="N261" s="48"/>
      <c r="O261" s="48"/>
      <c r="P261" s="48"/>
      <c r="Q261" s="48"/>
      <c r="R261" s="48"/>
      <c r="S261" s="48"/>
      <c r="T261" s="48"/>
      <c r="U261" s="48"/>
      <c r="V261" s="48"/>
      <c r="W261" s="48"/>
      <c r="X261" s="48"/>
      <c r="Y261" s="48"/>
      <c r="Z261" s="48"/>
    </row>
    <row r="262" ht="15.75" customHeight="1">
      <c r="A262" s="49"/>
      <c r="B262" s="49"/>
      <c r="C262" s="49"/>
      <c r="D262" s="49"/>
      <c r="E262" s="49"/>
      <c r="F262" s="49"/>
      <c r="G262" s="49"/>
      <c r="H262" s="49"/>
      <c r="I262" s="49"/>
      <c r="J262" s="49"/>
      <c r="K262" s="49"/>
      <c r="L262" s="48"/>
      <c r="M262" s="48"/>
      <c r="N262" s="48"/>
      <c r="O262" s="48"/>
      <c r="P262" s="48"/>
      <c r="Q262" s="48"/>
      <c r="R262" s="48"/>
      <c r="S262" s="48"/>
      <c r="T262" s="48"/>
      <c r="U262" s="48"/>
      <c r="V262" s="48"/>
      <c r="W262" s="48"/>
      <c r="X262" s="48"/>
      <c r="Y262" s="48"/>
      <c r="Z262" s="48"/>
    </row>
    <row r="263" ht="15.75" customHeight="1">
      <c r="A263" s="49"/>
      <c r="B263" s="49"/>
      <c r="C263" s="49"/>
      <c r="D263" s="49"/>
      <c r="E263" s="49"/>
      <c r="F263" s="49"/>
      <c r="G263" s="49"/>
      <c r="H263" s="49"/>
      <c r="I263" s="49"/>
      <c r="J263" s="49"/>
      <c r="K263" s="49"/>
      <c r="L263" s="48"/>
      <c r="M263" s="48"/>
      <c r="N263" s="48"/>
      <c r="O263" s="48"/>
      <c r="P263" s="48"/>
      <c r="Q263" s="48"/>
      <c r="R263" s="48"/>
      <c r="S263" s="48"/>
      <c r="T263" s="48"/>
      <c r="U263" s="48"/>
      <c r="V263" s="48"/>
      <c r="W263" s="48"/>
      <c r="X263" s="48"/>
      <c r="Y263" s="48"/>
      <c r="Z263" s="48"/>
    </row>
    <row r="264" ht="15.75" customHeight="1">
      <c r="A264" s="49"/>
      <c r="B264" s="49"/>
      <c r="C264" s="49"/>
      <c r="D264" s="49"/>
      <c r="E264" s="49"/>
      <c r="F264" s="49"/>
      <c r="G264" s="49"/>
      <c r="H264" s="49"/>
      <c r="I264" s="49"/>
      <c r="J264" s="49"/>
      <c r="K264" s="49"/>
      <c r="L264" s="48"/>
      <c r="M264" s="48"/>
      <c r="N264" s="48"/>
      <c r="O264" s="48"/>
      <c r="P264" s="48"/>
      <c r="Q264" s="48"/>
      <c r="R264" s="48"/>
      <c r="S264" s="48"/>
      <c r="T264" s="48"/>
      <c r="U264" s="48"/>
      <c r="V264" s="48"/>
      <c r="W264" s="48"/>
      <c r="X264" s="48"/>
      <c r="Y264" s="48"/>
      <c r="Z264" s="48"/>
    </row>
    <row r="265" ht="15.75" customHeight="1">
      <c r="A265" s="49"/>
      <c r="B265" s="49"/>
      <c r="C265" s="49"/>
      <c r="D265" s="49"/>
      <c r="E265" s="49"/>
      <c r="F265" s="49"/>
      <c r="G265" s="49"/>
      <c r="H265" s="49"/>
      <c r="I265" s="49"/>
      <c r="J265" s="49"/>
      <c r="K265" s="49"/>
      <c r="L265" s="48"/>
      <c r="M265" s="48"/>
      <c r="N265" s="48"/>
      <c r="O265" s="48"/>
      <c r="P265" s="48"/>
      <c r="Q265" s="48"/>
      <c r="R265" s="48"/>
      <c r="S265" s="48"/>
      <c r="T265" s="48"/>
      <c r="U265" s="48"/>
      <c r="V265" s="48"/>
      <c r="W265" s="48"/>
      <c r="X265" s="48"/>
      <c r="Y265" s="48"/>
      <c r="Z265" s="48"/>
    </row>
    <row r="266" ht="15.75" customHeight="1">
      <c r="A266" s="49"/>
      <c r="B266" s="49"/>
      <c r="C266" s="49"/>
      <c r="D266" s="49"/>
      <c r="E266" s="49"/>
      <c r="F266" s="49"/>
      <c r="G266" s="49"/>
      <c r="H266" s="49"/>
      <c r="I266" s="49"/>
      <c r="J266" s="49"/>
      <c r="K266" s="49"/>
      <c r="L266" s="48"/>
      <c r="M266" s="48"/>
      <c r="N266" s="48"/>
      <c r="O266" s="48"/>
      <c r="P266" s="48"/>
      <c r="Q266" s="48"/>
      <c r="R266" s="48"/>
      <c r="S266" s="48"/>
      <c r="T266" s="48"/>
      <c r="U266" s="48"/>
      <c r="V266" s="48"/>
      <c r="W266" s="48"/>
      <c r="X266" s="48"/>
      <c r="Y266" s="48"/>
      <c r="Z266" s="48"/>
    </row>
    <row r="267" ht="15.75" customHeight="1">
      <c r="A267" s="49"/>
      <c r="B267" s="49"/>
      <c r="C267" s="49"/>
      <c r="D267" s="49"/>
      <c r="E267" s="49"/>
      <c r="F267" s="49"/>
      <c r="G267" s="49"/>
      <c r="H267" s="49"/>
      <c r="I267" s="49"/>
      <c r="J267" s="49"/>
      <c r="K267" s="49"/>
      <c r="L267" s="48"/>
      <c r="M267" s="48"/>
      <c r="N267" s="48"/>
      <c r="O267" s="48"/>
      <c r="P267" s="48"/>
      <c r="Q267" s="48"/>
      <c r="R267" s="48"/>
      <c r="S267" s="48"/>
      <c r="T267" s="48"/>
      <c r="U267" s="48"/>
      <c r="V267" s="48"/>
      <c r="W267" s="48"/>
      <c r="X267" s="48"/>
      <c r="Y267" s="48"/>
      <c r="Z267" s="48"/>
    </row>
    <row r="268" ht="15.75" customHeight="1">
      <c r="A268" s="49"/>
      <c r="B268" s="49"/>
      <c r="C268" s="49"/>
      <c r="D268" s="49"/>
      <c r="E268" s="49"/>
      <c r="F268" s="49"/>
      <c r="G268" s="49"/>
      <c r="H268" s="49"/>
      <c r="I268" s="49"/>
      <c r="J268" s="49"/>
      <c r="K268" s="49"/>
      <c r="L268" s="48"/>
      <c r="M268" s="48"/>
      <c r="N268" s="48"/>
      <c r="O268" s="48"/>
      <c r="P268" s="48"/>
      <c r="Q268" s="48"/>
      <c r="R268" s="48"/>
      <c r="S268" s="48"/>
      <c r="T268" s="48"/>
      <c r="U268" s="48"/>
      <c r="V268" s="48"/>
      <c r="W268" s="48"/>
      <c r="X268" s="48"/>
      <c r="Y268" s="48"/>
      <c r="Z268" s="48"/>
    </row>
    <row r="269" ht="15.75" customHeight="1">
      <c r="A269" s="49"/>
      <c r="B269" s="49"/>
      <c r="C269" s="49"/>
      <c r="D269" s="49"/>
      <c r="E269" s="49"/>
      <c r="F269" s="49"/>
      <c r="G269" s="49"/>
      <c r="H269" s="49"/>
      <c r="I269" s="49"/>
      <c r="J269" s="49"/>
      <c r="K269" s="49"/>
      <c r="L269" s="48"/>
      <c r="M269" s="48"/>
      <c r="N269" s="48"/>
      <c r="O269" s="48"/>
      <c r="P269" s="48"/>
      <c r="Q269" s="48"/>
      <c r="R269" s="48"/>
      <c r="S269" s="48"/>
      <c r="T269" s="48"/>
      <c r="U269" s="48"/>
      <c r="V269" s="48"/>
      <c r="W269" s="48"/>
      <c r="X269" s="48"/>
      <c r="Y269" s="48"/>
      <c r="Z269" s="48"/>
    </row>
    <row r="270" ht="15.75" customHeight="1">
      <c r="A270" s="49"/>
      <c r="B270" s="49"/>
      <c r="C270" s="49"/>
      <c r="D270" s="49"/>
      <c r="E270" s="49"/>
      <c r="F270" s="49"/>
      <c r="G270" s="49"/>
      <c r="H270" s="49"/>
      <c r="I270" s="49"/>
      <c r="J270" s="49"/>
      <c r="K270" s="49"/>
      <c r="L270" s="48"/>
      <c r="M270" s="48"/>
      <c r="N270" s="48"/>
      <c r="O270" s="48"/>
      <c r="P270" s="48"/>
      <c r="Q270" s="48"/>
      <c r="R270" s="48"/>
      <c r="S270" s="48"/>
      <c r="T270" s="48"/>
      <c r="U270" s="48"/>
      <c r="V270" s="48"/>
      <c r="W270" s="48"/>
      <c r="X270" s="48"/>
      <c r="Y270" s="48"/>
      <c r="Z270" s="48"/>
    </row>
    <row r="271" ht="15.75" customHeight="1">
      <c r="A271" s="49"/>
      <c r="B271" s="49"/>
      <c r="C271" s="49"/>
      <c r="D271" s="49"/>
      <c r="E271" s="49"/>
      <c r="F271" s="49"/>
      <c r="G271" s="49"/>
      <c r="H271" s="49"/>
      <c r="I271" s="49"/>
      <c r="J271" s="49"/>
      <c r="K271" s="49"/>
      <c r="L271" s="48"/>
      <c r="M271" s="48"/>
      <c r="N271" s="48"/>
      <c r="O271" s="48"/>
      <c r="P271" s="48"/>
      <c r="Q271" s="48"/>
      <c r="R271" s="48"/>
      <c r="S271" s="48"/>
      <c r="T271" s="48"/>
      <c r="U271" s="48"/>
      <c r="V271" s="48"/>
      <c r="W271" s="48"/>
      <c r="X271" s="48"/>
      <c r="Y271" s="48"/>
      <c r="Z271" s="48"/>
    </row>
    <row r="272" ht="15.75" customHeight="1">
      <c r="A272" s="49"/>
      <c r="B272" s="49"/>
      <c r="C272" s="49"/>
      <c r="D272" s="49"/>
      <c r="E272" s="49"/>
      <c r="F272" s="49"/>
      <c r="G272" s="49"/>
      <c r="H272" s="49"/>
      <c r="I272" s="49"/>
      <c r="J272" s="49"/>
      <c r="K272" s="49"/>
      <c r="L272" s="48"/>
      <c r="M272" s="48"/>
      <c r="N272" s="48"/>
      <c r="O272" s="48"/>
      <c r="P272" s="48"/>
      <c r="Q272" s="48"/>
      <c r="R272" s="48"/>
      <c r="S272" s="48"/>
      <c r="T272" s="48"/>
      <c r="U272" s="48"/>
      <c r="V272" s="48"/>
      <c r="W272" s="48"/>
      <c r="X272" s="48"/>
      <c r="Y272" s="48"/>
      <c r="Z272" s="48"/>
    </row>
    <row r="273" ht="15.75" customHeight="1">
      <c r="A273" s="49"/>
      <c r="B273" s="49"/>
      <c r="C273" s="49"/>
      <c r="D273" s="49"/>
      <c r="E273" s="49"/>
      <c r="F273" s="49"/>
      <c r="G273" s="49"/>
      <c r="H273" s="49"/>
      <c r="I273" s="49"/>
      <c r="J273" s="49"/>
      <c r="K273" s="49"/>
      <c r="L273" s="48"/>
      <c r="M273" s="48"/>
      <c r="N273" s="48"/>
      <c r="O273" s="48"/>
      <c r="P273" s="48"/>
      <c r="Q273" s="48"/>
      <c r="R273" s="48"/>
      <c r="S273" s="48"/>
      <c r="T273" s="48"/>
      <c r="U273" s="48"/>
      <c r="V273" s="48"/>
      <c r="W273" s="48"/>
      <c r="X273" s="48"/>
      <c r="Y273" s="48"/>
      <c r="Z273" s="48"/>
    </row>
    <row r="274" ht="15.75" customHeight="1">
      <c r="A274" s="49"/>
      <c r="B274" s="49"/>
      <c r="C274" s="49"/>
      <c r="D274" s="49"/>
      <c r="E274" s="49"/>
      <c r="F274" s="49"/>
      <c r="G274" s="49"/>
      <c r="H274" s="49"/>
      <c r="I274" s="49"/>
      <c r="J274" s="49"/>
      <c r="K274" s="49"/>
      <c r="L274" s="48"/>
      <c r="M274" s="48"/>
      <c r="N274" s="48"/>
      <c r="O274" s="48"/>
      <c r="P274" s="48"/>
      <c r="Q274" s="48"/>
      <c r="R274" s="48"/>
      <c r="S274" s="48"/>
      <c r="T274" s="48"/>
      <c r="U274" s="48"/>
      <c r="V274" s="48"/>
      <c r="W274" s="48"/>
      <c r="X274" s="48"/>
      <c r="Y274" s="48"/>
      <c r="Z274" s="48"/>
    </row>
    <row r="275" ht="15.75" customHeight="1">
      <c r="A275" s="49"/>
      <c r="B275" s="49"/>
      <c r="C275" s="49"/>
      <c r="D275" s="49"/>
      <c r="E275" s="49"/>
      <c r="F275" s="49"/>
      <c r="G275" s="49"/>
      <c r="H275" s="49"/>
      <c r="I275" s="49"/>
      <c r="J275" s="49"/>
      <c r="K275" s="49"/>
      <c r="L275" s="48"/>
      <c r="M275" s="48"/>
      <c r="N275" s="48"/>
      <c r="O275" s="48"/>
      <c r="P275" s="48"/>
      <c r="Q275" s="48"/>
      <c r="R275" s="48"/>
      <c r="S275" s="48"/>
      <c r="T275" s="48"/>
      <c r="U275" s="48"/>
      <c r="V275" s="48"/>
      <c r="W275" s="48"/>
      <c r="X275" s="48"/>
      <c r="Y275" s="48"/>
      <c r="Z275" s="48"/>
    </row>
    <row r="276" ht="15.75" customHeight="1">
      <c r="A276" s="49"/>
      <c r="B276" s="49"/>
      <c r="C276" s="49"/>
      <c r="D276" s="49"/>
      <c r="E276" s="49"/>
      <c r="F276" s="49"/>
      <c r="G276" s="49"/>
      <c r="H276" s="49"/>
      <c r="I276" s="49"/>
      <c r="J276" s="49"/>
      <c r="K276" s="49"/>
      <c r="L276" s="48"/>
      <c r="M276" s="48"/>
      <c r="N276" s="48"/>
      <c r="O276" s="48"/>
      <c r="P276" s="48"/>
      <c r="Q276" s="48"/>
      <c r="R276" s="48"/>
      <c r="S276" s="48"/>
      <c r="T276" s="48"/>
      <c r="U276" s="48"/>
      <c r="V276" s="48"/>
      <c r="W276" s="48"/>
      <c r="X276" s="48"/>
      <c r="Y276" s="48"/>
      <c r="Z276" s="48"/>
    </row>
    <row r="277" ht="15.75" customHeight="1">
      <c r="A277" s="49"/>
      <c r="B277" s="49"/>
      <c r="C277" s="49"/>
      <c r="D277" s="49"/>
      <c r="E277" s="49"/>
      <c r="F277" s="49"/>
      <c r="G277" s="49"/>
      <c r="H277" s="49"/>
      <c r="I277" s="49"/>
      <c r="J277" s="49"/>
      <c r="K277" s="49"/>
      <c r="L277" s="48"/>
      <c r="M277" s="48"/>
      <c r="N277" s="48"/>
      <c r="O277" s="48"/>
      <c r="P277" s="48"/>
      <c r="Q277" s="48"/>
      <c r="R277" s="48"/>
      <c r="S277" s="48"/>
      <c r="T277" s="48"/>
      <c r="U277" s="48"/>
      <c r="V277" s="48"/>
      <c r="W277" s="48"/>
      <c r="X277" s="48"/>
      <c r="Y277" s="48"/>
      <c r="Z277" s="48"/>
    </row>
    <row r="278" ht="15.75" customHeight="1">
      <c r="A278" s="49"/>
      <c r="B278" s="49"/>
      <c r="C278" s="49"/>
      <c r="D278" s="49"/>
      <c r="E278" s="49"/>
      <c r="F278" s="49"/>
      <c r="G278" s="49"/>
      <c r="H278" s="49"/>
      <c r="I278" s="49"/>
      <c r="J278" s="49"/>
      <c r="K278" s="49"/>
      <c r="L278" s="48"/>
      <c r="M278" s="48"/>
      <c r="N278" s="48"/>
      <c r="O278" s="48"/>
      <c r="P278" s="48"/>
      <c r="Q278" s="48"/>
      <c r="R278" s="48"/>
      <c r="S278" s="48"/>
      <c r="T278" s="48"/>
      <c r="U278" s="48"/>
      <c r="V278" s="48"/>
      <c r="W278" s="48"/>
      <c r="X278" s="48"/>
      <c r="Y278" s="48"/>
      <c r="Z278" s="48"/>
    </row>
    <row r="279" ht="15.75" customHeight="1">
      <c r="A279" s="49"/>
      <c r="B279" s="49"/>
      <c r="C279" s="49"/>
      <c r="D279" s="49"/>
      <c r="E279" s="49"/>
      <c r="F279" s="49"/>
      <c r="G279" s="49"/>
      <c r="H279" s="49"/>
      <c r="I279" s="49"/>
      <c r="J279" s="49"/>
      <c r="K279" s="49"/>
      <c r="L279" s="48"/>
      <c r="M279" s="48"/>
      <c r="N279" s="48"/>
      <c r="O279" s="48"/>
      <c r="P279" s="48"/>
      <c r="Q279" s="48"/>
      <c r="R279" s="48"/>
      <c r="S279" s="48"/>
      <c r="T279" s="48"/>
      <c r="U279" s="48"/>
      <c r="V279" s="48"/>
      <c r="W279" s="48"/>
      <c r="X279" s="48"/>
      <c r="Y279" s="48"/>
      <c r="Z279" s="48"/>
    </row>
    <row r="280" ht="15.75" customHeight="1">
      <c r="A280" s="49"/>
      <c r="B280" s="49"/>
      <c r="C280" s="49"/>
      <c r="D280" s="49"/>
      <c r="E280" s="49"/>
      <c r="F280" s="49"/>
      <c r="G280" s="49"/>
      <c r="H280" s="49"/>
      <c r="I280" s="49"/>
      <c r="J280" s="49"/>
      <c r="K280" s="49"/>
      <c r="L280" s="48"/>
      <c r="M280" s="48"/>
      <c r="N280" s="48"/>
      <c r="O280" s="48"/>
      <c r="P280" s="48"/>
      <c r="Q280" s="48"/>
      <c r="R280" s="48"/>
      <c r="S280" s="48"/>
      <c r="T280" s="48"/>
      <c r="U280" s="48"/>
      <c r="V280" s="48"/>
      <c r="W280" s="48"/>
      <c r="X280" s="48"/>
      <c r="Y280" s="48"/>
      <c r="Z280" s="48"/>
    </row>
    <row r="281" ht="15.75" customHeight="1">
      <c r="A281" s="49"/>
      <c r="B281" s="49"/>
      <c r="C281" s="49"/>
      <c r="D281" s="49"/>
      <c r="E281" s="49"/>
      <c r="F281" s="49"/>
      <c r="G281" s="49"/>
      <c r="H281" s="49"/>
      <c r="I281" s="49"/>
      <c r="J281" s="49"/>
      <c r="K281" s="49"/>
      <c r="L281" s="48"/>
      <c r="M281" s="48"/>
      <c r="N281" s="48"/>
      <c r="O281" s="48"/>
      <c r="P281" s="48"/>
      <c r="Q281" s="48"/>
      <c r="R281" s="48"/>
      <c r="S281" s="48"/>
      <c r="T281" s="48"/>
      <c r="U281" s="48"/>
      <c r="V281" s="48"/>
      <c r="W281" s="48"/>
      <c r="X281" s="48"/>
      <c r="Y281" s="48"/>
      <c r="Z281" s="48"/>
    </row>
    <row r="282" ht="15.75" customHeight="1">
      <c r="A282" s="49"/>
      <c r="B282" s="49"/>
      <c r="C282" s="49"/>
      <c r="D282" s="49"/>
      <c r="E282" s="49"/>
      <c r="F282" s="49"/>
      <c r="G282" s="49"/>
      <c r="H282" s="49"/>
      <c r="I282" s="49"/>
      <c r="J282" s="49"/>
      <c r="K282" s="49"/>
      <c r="L282" s="48"/>
      <c r="M282" s="48"/>
      <c r="N282" s="48"/>
      <c r="O282" s="48"/>
      <c r="P282" s="48"/>
      <c r="Q282" s="48"/>
      <c r="R282" s="48"/>
      <c r="S282" s="48"/>
      <c r="T282" s="48"/>
      <c r="U282" s="48"/>
      <c r="V282" s="48"/>
      <c r="W282" s="48"/>
      <c r="X282" s="48"/>
      <c r="Y282" s="48"/>
      <c r="Z282" s="48"/>
    </row>
    <row r="283" ht="15.75" customHeight="1">
      <c r="A283" s="49"/>
      <c r="B283" s="49"/>
      <c r="C283" s="49"/>
      <c r="D283" s="49"/>
      <c r="E283" s="49"/>
      <c r="F283" s="49"/>
      <c r="G283" s="49"/>
      <c r="H283" s="49"/>
      <c r="I283" s="49"/>
      <c r="J283" s="49"/>
      <c r="K283" s="49"/>
      <c r="L283" s="48"/>
      <c r="M283" s="48"/>
      <c r="N283" s="48"/>
      <c r="O283" s="48"/>
      <c r="P283" s="48"/>
      <c r="Q283" s="48"/>
      <c r="R283" s="48"/>
      <c r="S283" s="48"/>
      <c r="T283" s="48"/>
      <c r="U283" s="48"/>
      <c r="V283" s="48"/>
      <c r="W283" s="48"/>
      <c r="X283" s="48"/>
      <c r="Y283" s="48"/>
      <c r="Z283" s="48"/>
    </row>
    <row r="284" ht="15.75" customHeight="1">
      <c r="A284" s="49"/>
      <c r="B284" s="49"/>
      <c r="C284" s="49"/>
      <c r="D284" s="49"/>
      <c r="E284" s="49"/>
      <c r="F284" s="49"/>
      <c r="G284" s="49"/>
      <c r="H284" s="49"/>
      <c r="I284" s="49"/>
      <c r="J284" s="49"/>
      <c r="K284" s="49"/>
      <c r="L284" s="48"/>
      <c r="M284" s="48"/>
      <c r="N284" s="48"/>
      <c r="O284" s="48"/>
      <c r="P284" s="48"/>
      <c r="Q284" s="48"/>
      <c r="R284" s="48"/>
      <c r="S284" s="48"/>
      <c r="T284" s="48"/>
      <c r="U284" s="48"/>
      <c r="V284" s="48"/>
      <c r="W284" s="48"/>
      <c r="X284" s="48"/>
      <c r="Y284" s="48"/>
      <c r="Z284" s="48"/>
    </row>
    <row r="285" ht="15.75" customHeight="1">
      <c r="A285" s="49"/>
      <c r="B285" s="49"/>
      <c r="C285" s="49"/>
      <c r="D285" s="49"/>
      <c r="E285" s="49"/>
      <c r="F285" s="49"/>
      <c r="G285" s="49"/>
      <c r="H285" s="49"/>
      <c r="I285" s="49"/>
      <c r="J285" s="49"/>
      <c r="K285" s="49"/>
      <c r="L285" s="48"/>
      <c r="M285" s="48"/>
      <c r="N285" s="48"/>
      <c r="O285" s="48"/>
      <c r="P285" s="48"/>
      <c r="Q285" s="48"/>
      <c r="R285" s="48"/>
      <c r="S285" s="48"/>
      <c r="T285" s="48"/>
      <c r="U285" s="48"/>
      <c r="V285" s="48"/>
      <c r="W285" s="48"/>
      <c r="X285" s="48"/>
      <c r="Y285" s="48"/>
      <c r="Z285" s="48"/>
    </row>
    <row r="286" ht="15.75" customHeight="1">
      <c r="A286" s="49"/>
      <c r="B286" s="49"/>
      <c r="C286" s="49"/>
      <c r="D286" s="49"/>
      <c r="E286" s="49"/>
      <c r="F286" s="49"/>
      <c r="G286" s="49"/>
      <c r="H286" s="49"/>
      <c r="I286" s="49"/>
      <c r="J286" s="49"/>
      <c r="K286" s="49"/>
      <c r="L286" s="48"/>
      <c r="M286" s="48"/>
      <c r="N286" s="48"/>
      <c r="O286" s="48"/>
      <c r="P286" s="48"/>
      <c r="Q286" s="48"/>
      <c r="R286" s="48"/>
      <c r="S286" s="48"/>
      <c r="T286" s="48"/>
      <c r="U286" s="48"/>
      <c r="V286" s="48"/>
      <c r="W286" s="48"/>
      <c r="X286" s="48"/>
      <c r="Y286" s="48"/>
      <c r="Z286" s="48"/>
    </row>
    <row r="287" ht="15.75" customHeight="1">
      <c r="A287" s="49"/>
      <c r="B287" s="49"/>
      <c r="C287" s="49"/>
      <c r="D287" s="49"/>
      <c r="E287" s="49"/>
      <c r="F287" s="49"/>
      <c r="G287" s="49"/>
      <c r="H287" s="49"/>
      <c r="I287" s="49"/>
      <c r="J287" s="49"/>
      <c r="K287" s="49"/>
      <c r="L287" s="48"/>
      <c r="M287" s="48"/>
      <c r="N287" s="48"/>
      <c r="O287" s="48"/>
      <c r="P287" s="48"/>
      <c r="Q287" s="48"/>
      <c r="R287" s="48"/>
      <c r="S287" s="48"/>
      <c r="T287" s="48"/>
      <c r="U287" s="48"/>
      <c r="V287" s="48"/>
      <c r="W287" s="48"/>
      <c r="X287" s="48"/>
      <c r="Y287" s="48"/>
      <c r="Z287" s="48"/>
    </row>
    <row r="288" ht="15.75" customHeight="1">
      <c r="A288" s="49"/>
      <c r="B288" s="49"/>
      <c r="C288" s="49"/>
      <c r="D288" s="49"/>
      <c r="E288" s="49"/>
      <c r="F288" s="49"/>
      <c r="G288" s="49"/>
      <c r="H288" s="49"/>
      <c r="I288" s="49"/>
      <c r="J288" s="49"/>
      <c r="K288" s="49"/>
      <c r="L288" s="48"/>
      <c r="M288" s="48"/>
      <c r="N288" s="48"/>
      <c r="O288" s="48"/>
      <c r="P288" s="48"/>
      <c r="Q288" s="48"/>
      <c r="R288" s="48"/>
      <c r="S288" s="48"/>
      <c r="T288" s="48"/>
      <c r="U288" s="48"/>
      <c r="V288" s="48"/>
      <c r="W288" s="48"/>
      <c r="X288" s="48"/>
      <c r="Y288" s="48"/>
      <c r="Z288" s="48"/>
    </row>
    <row r="289" ht="15.75" customHeight="1">
      <c r="A289" s="49"/>
      <c r="B289" s="49"/>
      <c r="C289" s="49"/>
      <c r="D289" s="49"/>
      <c r="E289" s="49"/>
      <c r="F289" s="49"/>
      <c r="G289" s="49"/>
      <c r="H289" s="49"/>
      <c r="I289" s="49"/>
      <c r="J289" s="49"/>
      <c r="K289" s="49"/>
      <c r="L289" s="48"/>
      <c r="M289" s="48"/>
      <c r="N289" s="48"/>
      <c r="O289" s="48"/>
      <c r="P289" s="48"/>
      <c r="Q289" s="48"/>
      <c r="R289" s="48"/>
      <c r="S289" s="48"/>
      <c r="T289" s="48"/>
      <c r="U289" s="48"/>
      <c r="V289" s="48"/>
      <c r="W289" s="48"/>
      <c r="X289" s="48"/>
      <c r="Y289" s="48"/>
      <c r="Z289" s="48"/>
    </row>
    <row r="290" ht="15.75" customHeight="1">
      <c r="A290" s="49"/>
      <c r="B290" s="49"/>
      <c r="C290" s="49"/>
      <c r="D290" s="49"/>
      <c r="E290" s="49"/>
      <c r="F290" s="49"/>
      <c r="G290" s="49"/>
      <c r="H290" s="49"/>
      <c r="I290" s="49"/>
      <c r="J290" s="49"/>
      <c r="K290" s="49"/>
      <c r="L290" s="48"/>
      <c r="M290" s="48"/>
      <c r="N290" s="48"/>
      <c r="O290" s="48"/>
      <c r="P290" s="48"/>
      <c r="Q290" s="48"/>
      <c r="R290" s="48"/>
      <c r="S290" s="48"/>
      <c r="T290" s="48"/>
      <c r="U290" s="48"/>
      <c r="V290" s="48"/>
      <c r="W290" s="48"/>
      <c r="X290" s="48"/>
      <c r="Y290" s="48"/>
      <c r="Z290" s="48"/>
    </row>
    <row r="291" ht="15.75" customHeight="1">
      <c r="A291" s="49"/>
      <c r="B291" s="49"/>
      <c r="C291" s="49"/>
      <c r="D291" s="49"/>
      <c r="E291" s="49"/>
      <c r="F291" s="49"/>
      <c r="G291" s="49"/>
      <c r="H291" s="49"/>
      <c r="I291" s="49"/>
      <c r="J291" s="49"/>
      <c r="K291" s="49"/>
      <c r="L291" s="48"/>
      <c r="M291" s="48"/>
      <c r="N291" s="48"/>
      <c r="O291" s="48"/>
      <c r="P291" s="48"/>
      <c r="Q291" s="48"/>
      <c r="R291" s="48"/>
      <c r="S291" s="48"/>
      <c r="T291" s="48"/>
      <c r="U291" s="48"/>
      <c r="V291" s="48"/>
      <c r="W291" s="48"/>
      <c r="X291" s="48"/>
      <c r="Y291" s="48"/>
      <c r="Z291" s="48"/>
    </row>
    <row r="292" ht="15.75" customHeight="1">
      <c r="A292" s="49"/>
      <c r="B292" s="49"/>
      <c r="C292" s="49"/>
      <c r="D292" s="49"/>
      <c r="E292" s="49"/>
      <c r="F292" s="49"/>
      <c r="G292" s="49"/>
      <c r="H292" s="49"/>
      <c r="I292" s="49"/>
      <c r="J292" s="49"/>
      <c r="K292" s="49"/>
      <c r="L292" s="48"/>
      <c r="M292" s="48"/>
      <c r="N292" s="48"/>
      <c r="O292" s="48"/>
      <c r="P292" s="48"/>
      <c r="Q292" s="48"/>
      <c r="R292" s="48"/>
      <c r="S292" s="48"/>
      <c r="T292" s="48"/>
      <c r="U292" s="48"/>
      <c r="V292" s="48"/>
      <c r="W292" s="48"/>
      <c r="X292" s="48"/>
      <c r="Y292" s="48"/>
      <c r="Z292" s="48"/>
    </row>
    <row r="293" ht="15.75" customHeight="1">
      <c r="A293" s="49"/>
      <c r="B293" s="49"/>
      <c r="C293" s="49"/>
      <c r="D293" s="49"/>
      <c r="E293" s="49"/>
      <c r="F293" s="49"/>
      <c r="G293" s="49"/>
      <c r="H293" s="49"/>
      <c r="I293" s="49"/>
      <c r="J293" s="49"/>
      <c r="K293" s="49"/>
      <c r="L293" s="48"/>
      <c r="M293" s="48"/>
      <c r="N293" s="48"/>
      <c r="O293" s="48"/>
      <c r="P293" s="48"/>
      <c r="Q293" s="48"/>
      <c r="R293" s="48"/>
      <c r="S293" s="48"/>
      <c r="T293" s="48"/>
      <c r="U293" s="48"/>
      <c r="V293" s="48"/>
      <c r="W293" s="48"/>
      <c r="X293" s="48"/>
      <c r="Y293" s="48"/>
      <c r="Z293" s="48"/>
    </row>
    <row r="294" ht="15.75" customHeight="1">
      <c r="A294" s="49"/>
      <c r="B294" s="49"/>
      <c r="C294" s="49"/>
      <c r="D294" s="49"/>
      <c r="E294" s="49"/>
      <c r="F294" s="49"/>
      <c r="G294" s="49"/>
      <c r="H294" s="49"/>
      <c r="I294" s="49"/>
      <c r="J294" s="49"/>
      <c r="K294" s="49"/>
      <c r="L294" s="48"/>
      <c r="M294" s="48"/>
      <c r="N294" s="48"/>
      <c r="O294" s="48"/>
      <c r="P294" s="48"/>
      <c r="Q294" s="48"/>
      <c r="R294" s="48"/>
      <c r="S294" s="48"/>
      <c r="T294" s="48"/>
      <c r="U294" s="48"/>
      <c r="V294" s="48"/>
      <c r="W294" s="48"/>
      <c r="X294" s="48"/>
      <c r="Y294" s="48"/>
      <c r="Z294" s="48"/>
    </row>
    <row r="295" ht="15.75" customHeight="1">
      <c r="A295" s="49"/>
      <c r="B295" s="49"/>
      <c r="C295" s="49"/>
      <c r="D295" s="49"/>
      <c r="E295" s="49"/>
      <c r="F295" s="49"/>
      <c r="G295" s="49"/>
      <c r="H295" s="49"/>
      <c r="I295" s="49"/>
      <c r="J295" s="49"/>
      <c r="K295" s="49"/>
      <c r="L295" s="48"/>
      <c r="M295" s="48"/>
      <c r="N295" s="48"/>
      <c r="O295" s="48"/>
      <c r="P295" s="48"/>
      <c r="Q295" s="48"/>
      <c r="R295" s="48"/>
      <c r="S295" s="48"/>
      <c r="T295" s="48"/>
      <c r="U295" s="48"/>
      <c r="V295" s="48"/>
      <c r="W295" s="48"/>
      <c r="X295" s="48"/>
      <c r="Y295" s="48"/>
      <c r="Z295" s="48"/>
    </row>
    <row r="296" ht="15.75" customHeight="1">
      <c r="A296" s="49"/>
      <c r="B296" s="49"/>
      <c r="C296" s="49"/>
      <c r="D296" s="49"/>
      <c r="E296" s="49"/>
      <c r="F296" s="49"/>
      <c r="G296" s="49"/>
      <c r="H296" s="49"/>
      <c r="I296" s="49"/>
      <c r="J296" s="49"/>
      <c r="K296" s="49"/>
      <c r="L296" s="48"/>
      <c r="M296" s="48"/>
      <c r="N296" s="48"/>
      <c r="O296" s="48"/>
      <c r="P296" s="48"/>
      <c r="Q296" s="48"/>
      <c r="R296" s="48"/>
      <c r="S296" s="48"/>
      <c r="T296" s="48"/>
      <c r="U296" s="48"/>
      <c r="V296" s="48"/>
      <c r="W296" s="48"/>
      <c r="X296" s="48"/>
      <c r="Y296" s="48"/>
      <c r="Z296" s="48"/>
    </row>
    <row r="297" ht="15.75" customHeight="1">
      <c r="A297" s="49"/>
      <c r="B297" s="49"/>
      <c r="C297" s="49"/>
      <c r="D297" s="49"/>
      <c r="E297" s="49"/>
      <c r="F297" s="49"/>
      <c r="G297" s="49"/>
      <c r="H297" s="49"/>
      <c r="I297" s="49"/>
      <c r="J297" s="49"/>
      <c r="K297" s="49"/>
      <c r="L297" s="48"/>
      <c r="M297" s="48"/>
      <c r="N297" s="48"/>
      <c r="O297" s="48"/>
      <c r="P297" s="48"/>
      <c r="Q297" s="48"/>
      <c r="R297" s="48"/>
      <c r="S297" s="48"/>
      <c r="T297" s="48"/>
      <c r="U297" s="48"/>
      <c r="V297" s="48"/>
      <c r="W297" s="48"/>
      <c r="X297" s="48"/>
      <c r="Y297" s="48"/>
      <c r="Z297" s="48"/>
    </row>
    <row r="298" ht="15.75" customHeight="1">
      <c r="A298" s="49"/>
      <c r="B298" s="49"/>
      <c r="C298" s="49"/>
      <c r="D298" s="49"/>
      <c r="E298" s="49"/>
      <c r="F298" s="49"/>
      <c r="G298" s="49"/>
      <c r="H298" s="49"/>
      <c r="I298" s="49"/>
      <c r="J298" s="49"/>
      <c r="K298" s="49"/>
      <c r="L298" s="48"/>
      <c r="M298" s="48"/>
      <c r="N298" s="48"/>
      <c r="O298" s="48"/>
      <c r="P298" s="48"/>
      <c r="Q298" s="48"/>
      <c r="R298" s="48"/>
      <c r="S298" s="48"/>
      <c r="T298" s="48"/>
      <c r="U298" s="48"/>
      <c r="V298" s="48"/>
      <c r="W298" s="48"/>
      <c r="X298" s="48"/>
      <c r="Y298" s="48"/>
      <c r="Z298" s="48"/>
    </row>
    <row r="299" ht="15.75" customHeight="1">
      <c r="A299" s="49"/>
      <c r="B299" s="49"/>
      <c r="C299" s="49"/>
      <c r="D299" s="49"/>
      <c r="E299" s="49"/>
      <c r="F299" s="49"/>
      <c r="G299" s="49"/>
      <c r="H299" s="49"/>
      <c r="I299" s="49"/>
      <c r="J299" s="49"/>
      <c r="K299" s="49"/>
      <c r="L299" s="48"/>
      <c r="M299" s="48"/>
      <c r="N299" s="48"/>
      <c r="O299" s="48"/>
      <c r="P299" s="48"/>
      <c r="Q299" s="48"/>
      <c r="R299" s="48"/>
      <c r="S299" s="48"/>
      <c r="T299" s="48"/>
      <c r="U299" s="48"/>
      <c r="V299" s="48"/>
      <c r="W299" s="48"/>
      <c r="X299" s="48"/>
      <c r="Y299" s="48"/>
      <c r="Z299" s="48"/>
    </row>
    <row r="300" ht="15.75" customHeight="1">
      <c r="A300" s="49"/>
      <c r="B300" s="49"/>
      <c r="C300" s="49"/>
      <c r="D300" s="49"/>
      <c r="E300" s="49"/>
      <c r="F300" s="49"/>
      <c r="G300" s="49"/>
      <c r="H300" s="49"/>
      <c r="I300" s="49"/>
      <c r="J300" s="49"/>
      <c r="K300" s="49"/>
      <c r="L300" s="48"/>
      <c r="M300" s="48"/>
      <c r="N300" s="48"/>
      <c r="O300" s="48"/>
      <c r="P300" s="48"/>
      <c r="Q300" s="48"/>
      <c r="R300" s="48"/>
      <c r="S300" s="48"/>
      <c r="T300" s="48"/>
      <c r="U300" s="48"/>
      <c r="V300" s="48"/>
      <c r="W300" s="48"/>
      <c r="X300" s="48"/>
      <c r="Y300" s="48"/>
      <c r="Z300" s="48"/>
    </row>
    <row r="301" ht="15.75" customHeight="1">
      <c r="A301" s="49"/>
      <c r="B301" s="49"/>
      <c r="C301" s="49"/>
      <c r="D301" s="49"/>
      <c r="E301" s="49"/>
      <c r="F301" s="49"/>
      <c r="G301" s="49"/>
      <c r="H301" s="49"/>
      <c r="I301" s="49"/>
      <c r="J301" s="49"/>
      <c r="K301" s="49"/>
      <c r="L301" s="48"/>
      <c r="M301" s="48"/>
      <c r="N301" s="48"/>
      <c r="O301" s="48"/>
      <c r="P301" s="48"/>
      <c r="Q301" s="48"/>
      <c r="R301" s="48"/>
      <c r="S301" s="48"/>
      <c r="T301" s="48"/>
      <c r="U301" s="48"/>
      <c r="V301" s="48"/>
      <c r="W301" s="48"/>
      <c r="X301" s="48"/>
      <c r="Y301" s="48"/>
      <c r="Z301" s="48"/>
    </row>
    <row r="302" ht="15.75" customHeight="1">
      <c r="A302" s="49"/>
      <c r="B302" s="49"/>
      <c r="C302" s="49"/>
      <c r="D302" s="49"/>
      <c r="E302" s="49"/>
      <c r="F302" s="49"/>
      <c r="G302" s="49"/>
      <c r="H302" s="49"/>
      <c r="I302" s="49"/>
      <c r="J302" s="49"/>
      <c r="K302" s="49"/>
      <c r="L302" s="48"/>
      <c r="M302" s="48"/>
      <c r="N302" s="48"/>
      <c r="O302" s="48"/>
      <c r="P302" s="48"/>
      <c r="Q302" s="48"/>
      <c r="R302" s="48"/>
      <c r="S302" s="48"/>
      <c r="T302" s="48"/>
      <c r="U302" s="48"/>
      <c r="V302" s="48"/>
      <c r="W302" s="48"/>
      <c r="X302" s="48"/>
      <c r="Y302" s="48"/>
      <c r="Z302" s="48"/>
    </row>
    <row r="303" ht="15.75" customHeight="1">
      <c r="A303" s="49"/>
      <c r="B303" s="49"/>
      <c r="C303" s="49"/>
      <c r="D303" s="49"/>
      <c r="E303" s="49"/>
      <c r="F303" s="49"/>
      <c r="G303" s="49"/>
      <c r="H303" s="49"/>
      <c r="I303" s="49"/>
      <c r="J303" s="49"/>
      <c r="K303" s="49"/>
      <c r="L303" s="48"/>
      <c r="M303" s="48"/>
      <c r="N303" s="48"/>
      <c r="O303" s="48"/>
      <c r="P303" s="48"/>
      <c r="Q303" s="48"/>
      <c r="R303" s="48"/>
      <c r="S303" s="48"/>
      <c r="T303" s="48"/>
      <c r="U303" s="48"/>
      <c r="V303" s="48"/>
      <c r="W303" s="48"/>
      <c r="X303" s="48"/>
      <c r="Y303" s="48"/>
      <c r="Z303" s="48"/>
    </row>
    <row r="304" ht="15.75" customHeight="1">
      <c r="A304" s="49"/>
      <c r="B304" s="49"/>
      <c r="C304" s="49"/>
      <c r="D304" s="49"/>
      <c r="E304" s="49"/>
      <c r="F304" s="49"/>
      <c r="G304" s="49"/>
      <c r="H304" s="49"/>
      <c r="I304" s="49"/>
      <c r="J304" s="49"/>
      <c r="K304" s="49"/>
      <c r="L304" s="48"/>
      <c r="M304" s="48"/>
      <c r="N304" s="48"/>
      <c r="O304" s="48"/>
      <c r="P304" s="48"/>
      <c r="Q304" s="48"/>
      <c r="R304" s="48"/>
      <c r="S304" s="48"/>
      <c r="T304" s="48"/>
      <c r="U304" s="48"/>
      <c r="V304" s="48"/>
      <c r="W304" s="48"/>
      <c r="X304" s="48"/>
      <c r="Y304" s="48"/>
      <c r="Z304" s="48"/>
    </row>
    <row r="305" ht="15.75" customHeight="1">
      <c r="A305" s="49"/>
      <c r="B305" s="49"/>
      <c r="C305" s="49"/>
      <c r="D305" s="49"/>
      <c r="E305" s="49"/>
      <c r="F305" s="49"/>
      <c r="G305" s="49"/>
      <c r="H305" s="49"/>
      <c r="I305" s="49"/>
      <c r="J305" s="49"/>
      <c r="K305" s="49"/>
      <c r="L305" s="48"/>
      <c r="M305" s="48"/>
      <c r="N305" s="48"/>
      <c r="O305" s="48"/>
      <c r="P305" s="48"/>
      <c r="Q305" s="48"/>
      <c r="R305" s="48"/>
      <c r="S305" s="48"/>
      <c r="T305" s="48"/>
      <c r="U305" s="48"/>
      <c r="V305" s="48"/>
      <c r="W305" s="48"/>
      <c r="X305" s="48"/>
      <c r="Y305" s="48"/>
      <c r="Z305" s="48"/>
    </row>
    <row r="306" ht="15.75" customHeight="1">
      <c r="A306" s="49"/>
      <c r="B306" s="49"/>
      <c r="C306" s="49"/>
      <c r="D306" s="49"/>
      <c r="E306" s="49"/>
      <c r="F306" s="49"/>
      <c r="G306" s="49"/>
      <c r="H306" s="49"/>
      <c r="I306" s="49"/>
      <c r="J306" s="49"/>
      <c r="K306" s="49"/>
      <c r="L306" s="48"/>
      <c r="M306" s="48"/>
      <c r="N306" s="48"/>
      <c r="O306" s="48"/>
      <c r="P306" s="48"/>
      <c r="Q306" s="48"/>
      <c r="R306" s="48"/>
      <c r="S306" s="48"/>
      <c r="T306" s="48"/>
      <c r="U306" s="48"/>
      <c r="V306" s="48"/>
      <c r="W306" s="48"/>
      <c r="X306" s="48"/>
      <c r="Y306" s="48"/>
      <c r="Z306" s="48"/>
    </row>
    <row r="307" ht="15.75" customHeight="1">
      <c r="A307" s="49"/>
      <c r="B307" s="49"/>
      <c r="C307" s="49"/>
      <c r="D307" s="49"/>
      <c r="E307" s="49"/>
      <c r="F307" s="49"/>
      <c r="G307" s="49"/>
      <c r="H307" s="49"/>
      <c r="I307" s="49"/>
      <c r="J307" s="49"/>
      <c r="K307" s="49"/>
      <c r="L307" s="48"/>
      <c r="M307" s="48"/>
      <c r="N307" s="48"/>
      <c r="O307" s="48"/>
      <c r="P307" s="48"/>
      <c r="Q307" s="48"/>
      <c r="R307" s="48"/>
      <c r="S307" s="48"/>
      <c r="T307" s="48"/>
      <c r="U307" s="48"/>
      <c r="V307" s="48"/>
      <c r="W307" s="48"/>
      <c r="X307" s="48"/>
      <c r="Y307" s="48"/>
      <c r="Z307" s="48"/>
    </row>
    <row r="308" ht="15.75" customHeight="1">
      <c r="A308" s="49"/>
      <c r="B308" s="49"/>
      <c r="C308" s="49"/>
      <c r="D308" s="49"/>
      <c r="E308" s="49"/>
      <c r="F308" s="49"/>
      <c r="G308" s="49"/>
      <c r="H308" s="49"/>
      <c r="I308" s="49"/>
      <c r="J308" s="49"/>
      <c r="K308" s="49"/>
      <c r="L308" s="48"/>
      <c r="M308" s="48"/>
      <c r="N308" s="48"/>
      <c r="O308" s="48"/>
      <c r="P308" s="48"/>
      <c r="Q308" s="48"/>
      <c r="R308" s="48"/>
      <c r="S308" s="48"/>
      <c r="T308" s="48"/>
      <c r="U308" s="48"/>
      <c r="V308" s="48"/>
      <c r="W308" s="48"/>
      <c r="X308" s="48"/>
      <c r="Y308" s="48"/>
      <c r="Z308" s="48"/>
    </row>
    <row r="309" ht="15.75" customHeight="1">
      <c r="A309" s="49"/>
      <c r="B309" s="49"/>
      <c r="C309" s="49"/>
      <c r="D309" s="49"/>
      <c r="E309" s="49"/>
      <c r="F309" s="49"/>
      <c r="G309" s="49"/>
      <c r="H309" s="49"/>
      <c r="I309" s="49"/>
      <c r="J309" s="49"/>
      <c r="K309" s="49"/>
      <c r="L309" s="48"/>
      <c r="M309" s="48"/>
      <c r="N309" s="48"/>
      <c r="O309" s="48"/>
      <c r="P309" s="48"/>
      <c r="Q309" s="48"/>
      <c r="R309" s="48"/>
      <c r="S309" s="48"/>
      <c r="T309" s="48"/>
      <c r="U309" s="48"/>
      <c r="V309" s="48"/>
      <c r="W309" s="48"/>
      <c r="X309" s="48"/>
      <c r="Y309" s="48"/>
      <c r="Z309" s="48"/>
    </row>
    <row r="310" ht="15.75" customHeight="1">
      <c r="A310" s="49"/>
      <c r="B310" s="49"/>
      <c r="C310" s="49"/>
      <c r="D310" s="49"/>
      <c r="E310" s="49"/>
      <c r="F310" s="49"/>
      <c r="G310" s="49"/>
      <c r="H310" s="49"/>
      <c r="I310" s="49"/>
      <c r="J310" s="49"/>
      <c r="K310" s="49"/>
      <c r="L310" s="48"/>
      <c r="M310" s="48"/>
      <c r="N310" s="48"/>
      <c r="O310" s="48"/>
      <c r="P310" s="48"/>
      <c r="Q310" s="48"/>
      <c r="R310" s="48"/>
      <c r="S310" s="48"/>
      <c r="T310" s="48"/>
      <c r="U310" s="48"/>
      <c r="V310" s="48"/>
      <c r="W310" s="48"/>
      <c r="X310" s="48"/>
      <c r="Y310" s="48"/>
      <c r="Z310" s="48"/>
    </row>
    <row r="311" ht="15.75" customHeight="1">
      <c r="A311" s="49"/>
      <c r="B311" s="49"/>
      <c r="C311" s="49"/>
      <c r="D311" s="49"/>
      <c r="E311" s="49"/>
      <c r="F311" s="49"/>
      <c r="G311" s="49"/>
      <c r="H311" s="49"/>
      <c r="I311" s="49"/>
      <c r="J311" s="49"/>
      <c r="K311" s="49"/>
      <c r="L311" s="48"/>
      <c r="M311" s="48"/>
      <c r="N311" s="48"/>
      <c r="O311" s="48"/>
      <c r="P311" s="48"/>
      <c r="Q311" s="48"/>
      <c r="R311" s="48"/>
      <c r="S311" s="48"/>
      <c r="T311" s="48"/>
      <c r="U311" s="48"/>
      <c r="V311" s="48"/>
      <c r="W311" s="48"/>
      <c r="X311" s="48"/>
      <c r="Y311" s="48"/>
      <c r="Z311" s="48"/>
    </row>
    <row r="312" ht="15.75" customHeight="1">
      <c r="A312" s="49"/>
      <c r="B312" s="49"/>
      <c r="C312" s="49"/>
      <c r="D312" s="49"/>
      <c r="E312" s="49"/>
      <c r="F312" s="49"/>
      <c r="G312" s="49"/>
      <c r="H312" s="49"/>
      <c r="I312" s="49"/>
      <c r="J312" s="49"/>
      <c r="K312" s="49"/>
      <c r="L312" s="48"/>
      <c r="M312" s="48"/>
      <c r="N312" s="48"/>
      <c r="O312" s="48"/>
      <c r="P312" s="48"/>
      <c r="Q312" s="48"/>
      <c r="R312" s="48"/>
      <c r="S312" s="48"/>
      <c r="T312" s="48"/>
      <c r="U312" s="48"/>
      <c r="V312" s="48"/>
      <c r="W312" s="48"/>
      <c r="X312" s="48"/>
      <c r="Y312" s="48"/>
      <c r="Z312" s="48"/>
    </row>
    <row r="313" ht="15.75" customHeight="1">
      <c r="A313" s="49"/>
      <c r="B313" s="49"/>
      <c r="C313" s="49"/>
      <c r="D313" s="49"/>
      <c r="E313" s="49"/>
      <c r="F313" s="49"/>
      <c r="G313" s="49"/>
      <c r="H313" s="49"/>
      <c r="I313" s="49"/>
      <c r="J313" s="49"/>
      <c r="K313" s="49"/>
      <c r="L313" s="48"/>
      <c r="M313" s="48"/>
      <c r="N313" s="48"/>
      <c r="O313" s="48"/>
      <c r="P313" s="48"/>
      <c r="Q313" s="48"/>
      <c r="R313" s="48"/>
      <c r="S313" s="48"/>
      <c r="T313" s="48"/>
      <c r="U313" s="48"/>
      <c r="V313" s="48"/>
      <c r="W313" s="48"/>
      <c r="X313" s="48"/>
      <c r="Y313" s="48"/>
      <c r="Z313" s="48"/>
    </row>
    <row r="314" ht="15.75" customHeight="1">
      <c r="A314" s="49"/>
      <c r="B314" s="49"/>
      <c r="C314" s="49"/>
      <c r="D314" s="49"/>
      <c r="E314" s="49"/>
      <c r="F314" s="49"/>
      <c r="G314" s="49"/>
      <c r="H314" s="49"/>
      <c r="I314" s="49"/>
      <c r="J314" s="49"/>
      <c r="K314" s="49"/>
      <c r="L314" s="48"/>
      <c r="M314" s="48"/>
      <c r="N314" s="48"/>
      <c r="O314" s="48"/>
      <c r="P314" s="48"/>
      <c r="Q314" s="48"/>
      <c r="R314" s="48"/>
      <c r="S314" s="48"/>
      <c r="T314" s="48"/>
      <c r="U314" s="48"/>
      <c r="V314" s="48"/>
      <c r="W314" s="48"/>
      <c r="X314" s="48"/>
      <c r="Y314" s="48"/>
      <c r="Z314" s="48"/>
    </row>
    <row r="315" ht="15.75" customHeight="1">
      <c r="A315" s="49"/>
      <c r="B315" s="49"/>
      <c r="C315" s="49"/>
      <c r="D315" s="49"/>
      <c r="E315" s="49"/>
      <c r="F315" s="49"/>
      <c r="G315" s="49"/>
      <c r="H315" s="49"/>
      <c r="I315" s="49"/>
      <c r="J315" s="49"/>
      <c r="K315" s="49"/>
      <c r="L315" s="48"/>
      <c r="M315" s="48"/>
      <c r="N315" s="48"/>
      <c r="O315" s="48"/>
      <c r="P315" s="48"/>
      <c r="Q315" s="48"/>
      <c r="R315" s="48"/>
      <c r="S315" s="48"/>
      <c r="T315" s="48"/>
      <c r="U315" s="48"/>
      <c r="V315" s="48"/>
      <c r="W315" s="48"/>
      <c r="X315" s="48"/>
      <c r="Y315" s="48"/>
      <c r="Z315" s="48"/>
    </row>
    <row r="316" ht="15.75" customHeight="1">
      <c r="A316" s="49"/>
      <c r="B316" s="49"/>
      <c r="C316" s="49"/>
      <c r="D316" s="49"/>
      <c r="E316" s="49"/>
      <c r="F316" s="49"/>
      <c r="G316" s="49"/>
      <c r="H316" s="49"/>
      <c r="I316" s="49"/>
      <c r="J316" s="49"/>
      <c r="K316" s="49"/>
      <c r="L316" s="48"/>
      <c r="M316" s="48"/>
      <c r="N316" s="48"/>
      <c r="O316" s="48"/>
      <c r="P316" s="48"/>
      <c r="Q316" s="48"/>
      <c r="R316" s="48"/>
      <c r="S316" s="48"/>
      <c r="T316" s="48"/>
      <c r="U316" s="48"/>
      <c r="V316" s="48"/>
      <c r="W316" s="48"/>
      <c r="X316" s="48"/>
      <c r="Y316" s="48"/>
      <c r="Z316" s="48"/>
    </row>
    <row r="317" ht="15.75" customHeight="1">
      <c r="A317" s="49"/>
      <c r="B317" s="49"/>
      <c r="C317" s="49"/>
      <c r="D317" s="49"/>
      <c r="E317" s="49"/>
      <c r="F317" s="49"/>
      <c r="G317" s="49"/>
      <c r="H317" s="49"/>
      <c r="I317" s="49"/>
      <c r="J317" s="49"/>
      <c r="K317" s="49"/>
      <c r="L317" s="48"/>
      <c r="M317" s="48"/>
      <c r="N317" s="48"/>
      <c r="O317" s="48"/>
      <c r="P317" s="48"/>
      <c r="Q317" s="48"/>
      <c r="R317" s="48"/>
      <c r="S317" s="48"/>
      <c r="T317" s="48"/>
      <c r="U317" s="48"/>
      <c r="V317" s="48"/>
      <c r="W317" s="48"/>
      <c r="X317" s="48"/>
      <c r="Y317" s="48"/>
      <c r="Z317" s="48"/>
    </row>
    <row r="318" ht="15.75" customHeight="1">
      <c r="A318" s="49"/>
      <c r="B318" s="49"/>
      <c r="C318" s="49"/>
      <c r="D318" s="49"/>
      <c r="E318" s="49"/>
      <c r="F318" s="49"/>
      <c r="G318" s="49"/>
      <c r="H318" s="49"/>
      <c r="I318" s="49"/>
      <c r="J318" s="49"/>
      <c r="K318" s="49"/>
      <c r="L318" s="48"/>
      <c r="M318" s="48"/>
      <c r="N318" s="48"/>
      <c r="O318" s="48"/>
      <c r="P318" s="48"/>
      <c r="Q318" s="48"/>
      <c r="R318" s="48"/>
      <c r="S318" s="48"/>
      <c r="T318" s="48"/>
      <c r="U318" s="48"/>
      <c r="V318" s="48"/>
      <c r="W318" s="48"/>
      <c r="X318" s="48"/>
      <c r="Y318" s="48"/>
      <c r="Z318" s="48"/>
    </row>
    <row r="319" ht="15.75" customHeight="1">
      <c r="A319" s="49"/>
      <c r="B319" s="49"/>
      <c r="C319" s="49"/>
      <c r="D319" s="49"/>
      <c r="E319" s="49"/>
      <c r="F319" s="49"/>
      <c r="G319" s="49"/>
      <c r="H319" s="49"/>
      <c r="I319" s="49"/>
      <c r="J319" s="49"/>
      <c r="K319" s="49"/>
      <c r="L319" s="48"/>
      <c r="M319" s="48"/>
      <c r="N319" s="48"/>
      <c r="O319" s="48"/>
      <c r="P319" s="48"/>
      <c r="Q319" s="48"/>
      <c r="R319" s="48"/>
      <c r="S319" s="48"/>
      <c r="T319" s="48"/>
      <c r="U319" s="48"/>
      <c r="V319" s="48"/>
      <c r="W319" s="48"/>
      <c r="X319" s="48"/>
      <c r="Y319" s="48"/>
      <c r="Z319" s="48"/>
    </row>
    <row r="320" ht="15.75" customHeight="1">
      <c r="A320" s="49"/>
      <c r="B320" s="49"/>
      <c r="C320" s="49"/>
      <c r="D320" s="49"/>
      <c r="E320" s="49"/>
      <c r="F320" s="49"/>
      <c r="G320" s="49"/>
      <c r="H320" s="49"/>
      <c r="I320" s="49"/>
      <c r="J320" s="49"/>
      <c r="K320" s="49"/>
      <c r="L320" s="48"/>
      <c r="M320" s="48"/>
      <c r="N320" s="48"/>
      <c r="O320" s="48"/>
      <c r="P320" s="48"/>
      <c r="Q320" s="48"/>
      <c r="R320" s="48"/>
      <c r="S320" s="48"/>
      <c r="T320" s="48"/>
      <c r="U320" s="48"/>
      <c r="V320" s="48"/>
      <c r="W320" s="48"/>
      <c r="X320" s="48"/>
      <c r="Y320" s="48"/>
      <c r="Z320" s="48"/>
    </row>
    <row r="321" ht="15.75" customHeight="1">
      <c r="A321" s="49"/>
      <c r="B321" s="49"/>
      <c r="C321" s="49"/>
      <c r="D321" s="49"/>
      <c r="E321" s="49"/>
      <c r="F321" s="49"/>
      <c r="G321" s="49"/>
      <c r="H321" s="49"/>
      <c r="I321" s="49"/>
      <c r="J321" s="49"/>
      <c r="K321" s="49"/>
      <c r="L321" s="48"/>
      <c r="M321" s="48"/>
      <c r="N321" s="48"/>
      <c r="O321" s="48"/>
      <c r="P321" s="48"/>
      <c r="Q321" s="48"/>
      <c r="R321" s="48"/>
      <c r="S321" s="48"/>
      <c r="T321" s="48"/>
      <c r="U321" s="48"/>
      <c r="V321" s="48"/>
      <c r="W321" s="48"/>
      <c r="X321" s="48"/>
      <c r="Y321" s="48"/>
      <c r="Z321" s="48"/>
    </row>
    <row r="322" ht="15.75" customHeight="1">
      <c r="A322" s="49"/>
      <c r="B322" s="49"/>
      <c r="C322" s="49"/>
      <c r="D322" s="49"/>
      <c r="E322" s="49"/>
      <c r="F322" s="49"/>
      <c r="G322" s="49"/>
      <c r="H322" s="49"/>
      <c r="I322" s="49"/>
      <c r="J322" s="49"/>
      <c r="K322" s="49"/>
      <c r="L322" s="48"/>
      <c r="M322" s="48"/>
      <c r="N322" s="48"/>
      <c r="O322" s="48"/>
      <c r="P322" s="48"/>
      <c r="Q322" s="48"/>
      <c r="R322" s="48"/>
      <c r="S322" s="48"/>
      <c r="T322" s="48"/>
      <c r="U322" s="48"/>
      <c r="V322" s="48"/>
      <c r="W322" s="48"/>
      <c r="X322" s="48"/>
      <c r="Y322" s="48"/>
      <c r="Z322" s="48"/>
    </row>
    <row r="323" ht="15.75" customHeight="1">
      <c r="A323" s="49"/>
      <c r="B323" s="49"/>
      <c r="C323" s="49"/>
      <c r="D323" s="49"/>
      <c r="E323" s="49"/>
      <c r="F323" s="49"/>
      <c r="G323" s="49"/>
      <c r="H323" s="49"/>
      <c r="I323" s="49"/>
      <c r="J323" s="49"/>
      <c r="K323" s="49"/>
      <c r="L323" s="48"/>
      <c r="M323" s="48"/>
      <c r="N323" s="48"/>
      <c r="O323" s="48"/>
      <c r="P323" s="48"/>
      <c r="Q323" s="48"/>
      <c r="R323" s="48"/>
      <c r="S323" s="48"/>
      <c r="T323" s="48"/>
      <c r="U323" s="48"/>
      <c r="V323" s="48"/>
      <c r="W323" s="48"/>
      <c r="X323" s="48"/>
      <c r="Y323" s="48"/>
      <c r="Z323" s="48"/>
    </row>
    <row r="324" ht="15.75" customHeight="1">
      <c r="A324" s="49"/>
      <c r="B324" s="49"/>
      <c r="C324" s="49"/>
      <c r="D324" s="49"/>
      <c r="E324" s="49"/>
      <c r="F324" s="49"/>
      <c r="G324" s="49"/>
      <c r="H324" s="49"/>
      <c r="I324" s="49"/>
      <c r="J324" s="49"/>
      <c r="K324" s="49"/>
      <c r="L324" s="48"/>
      <c r="M324" s="48"/>
      <c r="N324" s="48"/>
      <c r="O324" s="48"/>
      <c r="P324" s="48"/>
      <c r="Q324" s="48"/>
      <c r="R324" s="48"/>
      <c r="S324" s="48"/>
      <c r="T324" s="48"/>
      <c r="U324" s="48"/>
      <c r="V324" s="48"/>
      <c r="W324" s="48"/>
      <c r="X324" s="48"/>
      <c r="Y324" s="48"/>
      <c r="Z324" s="48"/>
    </row>
    <row r="325" ht="15.75" customHeight="1">
      <c r="A325" s="49"/>
      <c r="B325" s="49"/>
      <c r="C325" s="49"/>
      <c r="D325" s="49"/>
      <c r="E325" s="49"/>
      <c r="F325" s="49"/>
      <c r="G325" s="49"/>
      <c r="H325" s="49"/>
      <c r="I325" s="49"/>
      <c r="J325" s="49"/>
      <c r="K325" s="49"/>
      <c r="L325" s="48"/>
      <c r="M325" s="48"/>
      <c r="N325" s="48"/>
      <c r="O325" s="48"/>
      <c r="P325" s="48"/>
      <c r="Q325" s="48"/>
      <c r="R325" s="48"/>
      <c r="S325" s="48"/>
      <c r="T325" s="48"/>
      <c r="U325" s="48"/>
      <c r="V325" s="48"/>
      <c r="W325" s="48"/>
      <c r="X325" s="48"/>
      <c r="Y325" s="48"/>
      <c r="Z325" s="48"/>
    </row>
    <row r="326" ht="15.75" customHeight="1">
      <c r="A326" s="49"/>
      <c r="B326" s="49"/>
      <c r="C326" s="49"/>
      <c r="D326" s="49"/>
      <c r="E326" s="49"/>
      <c r="F326" s="49"/>
      <c r="G326" s="49"/>
      <c r="H326" s="49"/>
      <c r="I326" s="49"/>
      <c r="J326" s="49"/>
      <c r="K326" s="49"/>
      <c r="L326" s="48"/>
      <c r="M326" s="48"/>
      <c r="N326" s="48"/>
      <c r="O326" s="48"/>
      <c r="P326" s="48"/>
      <c r="Q326" s="48"/>
      <c r="R326" s="48"/>
      <c r="S326" s="48"/>
      <c r="T326" s="48"/>
      <c r="U326" s="48"/>
      <c r="V326" s="48"/>
      <c r="W326" s="48"/>
      <c r="X326" s="48"/>
      <c r="Y326" s="48"/>
      <c r="Z326" s="48"/>
    </row>
    <row r="327" ht="15.75" customHeight="1">
      <c r="A327" s="49"/>
      <c r="B327" s="49"/>
      <c r="C327" s="49"/>
      <c r="D327" s="49"/>
      <c r="E327" s="49"/>
      <c r="F327" s="49"/>
      <c r="G327" s="49"/>
      <c r="H327" s="49"/>
      <c r="I327" s="49"/>
      <c r="J327" s="49"/>
      <c r="K327" s="49"/>
      <c r="L327" s="48"/>
      <c r="M327" s="48"/>
      <c r="N327" s="48"/>
      <c r="O327" s="48"/>
      <c r="P327" s="48"/>
      <c r="Q327" s="48"/>
      <c r="R327" s="48"/>
      <c r="S327" s="48"/>
      <c r="T327" s="48"/>
      <c r="U327" s="48"/>
      <c r="V327" s="48"/>
      <c r="W327" s="48"/>
      <c r="X327" s="48"/>
      <c r="Y327" s="48"/>
      <c r="Z327" s="48"/>
    </row>
    <row r="328" ht="15.75" customHeight="1">
      <c r="A328" s="49"/>
      <c r="B328" s="49"/>
      <c r="C328" s="49"/>
      <c r="D328" s="49"/>
      <c r="E328" s="49"/>
      <c r="F328" s="49"/>
      <c r="G328" s="49"/>
      <c r="H328" s="49"/>
      <c r="I328" s="49"/>
      <c r="J328" s="49"/>
      <c r="K328" s="49"/>
      <c r="L328" s="48"/>
      <c r="M328" s="48"/>
      <c r="N328" s="48"/>
      <c r="O328" s="48"/>
      <c r="P328" s="48"/>
      <c r="Q328" s="48"/>
      <c r="R328" s="48"/>
      <c r="S328" s="48"/>
      <c r="T328" s="48"/>
      <c r="U328" s="48"/>
      <c r="V328" s="48"/>
      <c r="W328" s="48"/>
      <c r="X328" s="48"/>
      <c r="Y328" s="48"/>
      <c r="Z328" s="48"/>
    </row>
    <row r="329" ht="15.75" customHeight="1">
      <c r="A329" s="49"/>
      <c r="B329" s="49"/>
      <c r="C329" s="49"/>
      <c r="D329" s="49"/>
      <c r="E329" s="49"/>
      <c r="F329" s="49"/>
      <c r="G329" s="49"/>
      <c r="H329" s="49"/>
      <c r="I329" s="49"/>
      <c r="J329" s="49"/>
      <c r="K329" s="49"/>
      <c r="L329" s="48"/>
      <c r="M329" s="48"/>
      <c r="N329" s="48"/>
      <c r="O329" s="48"/>
      <c r="P329" s="48"/>
      <c r="Q329" s="48"/>
      <c r="R329" s="48"/>
      <c r="S329" s="48"/>
      <c r="T329" s="48"/>
      <c r="U329" s="48"/>
      <c r="V329" s="48"/>
      <c r="W329" s="48"/>
      <c r="X329" s="48"/>
      <c r="Y329" s="48"/>
      <c r="Z329" s="48"/>
    </row>
    <row r="330" ht="15.75" customHeight="1">
      <c r="A330" s="49"/>
      <c r="B330" s="49"/>
      <c r="C330" s="49"/>
      <c r="D330" s="49"/>
      <c r="E330" s="49"/>
      <c r="F330" s="49"/>
      <c r="G330" s="49"/>
      <c r="H330" s="49"/>
      <c r="I330" s="49"/>
      <c r="J330" s="49"/>
      <c r="K330" s="49"/>
      <c r="L330" s="48"/>
      <c r="M330" s="48"/>
      <c r="N330" s="48"/>
      <c r="O330" s="48"/>
      <c r="P330" s="48"/>
      <c r="Q330" s="48"/>
      <c r="R330" s="48"/>
      <c r="S330" s="48"/>
      <c r="T330" s="48"/>
      <c r="U330" s="48"/>
      <c r="V330" s="48"/>
      <c r="W330" s="48"/>
      <c r="X330" s="48"/>
      <c r="Y330" s="48"/>
      <c r="Z330" s="48"/>
    </row>
    <row r="331" ht="15.75" customHeight="1">
      <c r="A331" s="49"/>
      <c r="B331" s="49"/>
      <c r="C331" s="49"/>
      <c r="D331" s="49"/>
      <c r="E331" s="49"/>
      <c r="F331" s="49"/>
      <c r="G331" s="49"/>
      <c r="H331" s="49"/>
      <c r="I331" s="49"/>
      <c r="J331" s="49"/>
      <c r="K331" s="49"/>
      <c r="L331" s="48"/>
      <c r="M331" s="48"/>
      <c r="N331" s="48"/>
      <c r="O331" s="48"/>
      <c r="P331" s="48"/>
      <c r="Q331" s="48"/>
      <c r="R331" s="48"/>
      <c r="S331" s="48"/>
      <c r="T331" s="48"/>
      <c r="U331" s="48"/>
      <c r="V331" s="48"/>
      <c r="W331" s="48"/>
      <c r="X331" s="48"/>
      <c r="Y331" s="48"/>
      <c r="Z331" s="48"/>
    </row>
    <row r="332" ht="15.75" customHeight="1">
      <c r="A332" s="49"/>
      <c r="B332" s="49"/>
      <c r="C332" s="49"/>
      <c r="D332" s="49"/>
      <c r="E332" s="49"/>
      <c r="F332" s="49"/>
      <c r="G332" s="49"/>
      <c r="H332" s="49"/>
      <c r="I332" s="49"/>
      <c r="J332" s="49"/>
      <c r="K332" s="49"/>
      <c r="L332" s="48"/>
      <c r="M332" s="48"/>
      <c r="N332" s="48"/>
      <c r="O332" s="48"/>
      <c r="P332" s="48"/>
      <c r="Q332" s="48"/>
      <c r="R332" s="48"/>
      <c r="S332" s="48"/>
      <c r="T332" s="48"/>
      <c r="U332" s="48"/>
      <c r="V332" s="48"/>
      <c r="W332" s="48"/>
      <c r="X332" s="48"/>
      <c r="Y332" s="48"/>
      <c r="Z332" s="48"/>
    </row>
    <row r="333" ht="15.75" customHeight="1">
      <c r="A333" s="49"/>
      <c r="B333" s="49"/>
      <c r="C333" s="49"/>
      <c r="D333" s="49"/>
      <c r="E333" s="49"/>
      <c r="F333" s="49"/>
      <c r="G333" s="49"/>
      <c r="H333" s="49"/>
      <c r="I333" s="49"/>
      <c r="J333" s="49"/>
      <c r="K333" s="49"/>
      <c r="L333" s="48"/>
      <c r="M333" s="48"/>
      <c r="N333" s="48"/>
      <c r="O333" s="48"/>
      <c r="P333" s="48"/>
      <c r="Q333" s="48"/>
      <c r="R333" s="48"/>
      <c r="S333" s="48"/>
      <c r="T333" s="48"/>
      <c r="U333" s="48"/>
      <c r="V333" s="48"/>
      <c r="W333" s="48"/>
      <c r="X333" s="48"/>
      <c r="Y333" s="48"/>
      <c r="Z333" s="48"/>
    </row>
    <row r="334" ht="15.75" customHeight="1">
      <c r="A334" s="49"/>
      <c r="B334" s="49"/>
      <c r="C334" s="49"/>
      <c r="D334" s="49"/>
      <c r="E334" s="49"/>
      <c r="F334" s="49"/>
      <c r="G334" s="49"/>
      <c r="H334" s="49"/>
      <c r="I334" s="49"/>
      <c r="J334" s="49"/>
      <c r="K334" s="49"/>
      <c r="L334" s="48"/>
      <c r="M334" s="48"/>
      <c r="N334" s="48"/>
      <c r="O334" s="48"/>
      <c r="P334" s="48"/>
      <c r="Q334" s="48"/>
      <c r="R334" s="48"/>
      <c r="S334" s="48"/>
      <c r="T334" s="48"/>
      <c r="U334" s="48"/>
      <c r="V334" s="48"/>
      <c r="W334" s="48"/>
      <c r="X334" s="48"/>
      <c r="Y334" s="48"/>
      <c r="Z334" s="48"/>
    </row>
    <row r="335" ht="15.75" customHeight="1">
      <c r="A335" s="49"/>
      <c r="B335" s="49"/>
      <c r="C335" s="49"/>
      <c r="D335" s="49"/>
      <c r="E335" s="49"/>
      <c r="F335" s="49"/>
      <c r="G335" s="49"/>
      <c r="H335" s="49"/>
      <c r="I335" s="49"/>
      <c r="J335" s="49"/>
      <c r="K335" s="49"/>
      <c r="L335" s="48"/>
      <c r="M335" s="48"/>
      <c r="N335" s="48"/>
      <c r="O335" s="48"/>
      <c r="P335" s="48"/>
      <c r="Q335" s="48"/>
      <c r="R335" s="48"/>
      <c r="S335" s="48"/>
      <c r="T335" s="48"/>
      <c r="U335" s="48"/>
      <c r="V335" s="48"/>
      <c r="W335" s="48"/>
      <c r="X335" s="48"/>
      <c r="Y335" s="48"/>
      <c r="Z335" s="48"/>
    </row>
    <row r="336" ht="15.75" customHeight="1">
      <c r="A336" s="49"/>
      <c r="B336" s="49"/>
      <c r="C336" s="49"/>
      <c r="D336" s="49"/>
      <c r="E336" s="49"/>
      <c r="F336" s="49"/>
      <c r="G336" s="49"/>
      <c r="H336" s="49"/>
      <c r="I336" s="49"/>
      <c r="J336" s="49"/>
      <c r="K336" s="49"/>
      <c r="L336" s="48"/>
      <c r="M336" s="48"/>
      <c r="N336" s="48"/>
      <c r="O336" s="48"/>
      <c r="P336" s="48"/>
      <c r="Q336" s="48"/>
      <c r="R336" s="48"/>
      <c r="S336" s="48"/>
      <c r="T336" s="48"/>
      <c r="U336" s="48"/>
      <c r="V336" s="48"/>
      <c r="W336" s="48"/>
      <c r="X336" s="48"/>
      <c r="Y336" s="48"/>
      <c r="Z336" s="48"/>
    </row>
    <row r="337" ht="15.75" customHeight="1">
      <c r="A337" s="49"/>
      <c r="B337" s="49"/>
      <c r="C337" s="49"/>
      <c r="D337" s="49"/>
      <c r="E337" s="49"/>
      <c r="F337" s="49"/>
      <c r="G337" s="49"/>
      <c r="H337" s="49"/>
      <c r="I337" s="49"/>
      <c r="J337" s="49"/>
      <c r="K337" s="49"/>
      <c r="L337" s="48"/>
      <c r="M337" s="48"/>
      <c r="N337" s="48"/>
      <c r="O337" s="48"/>
      <c r="P337" s="48"/>
      <c r="Q337" s="48"/>
      <c r="R337" s="48"/>
      <c r="S337" s="48"/>
      <c r="T337" s="48"/>
      <c r="U337" s="48"/>
      <c r="V337" s="48"/>
      <c r="W337" s="48"/>
      <c r="X337" s="48"/>
      <c r="Y337" s="48"/>
      <c r="Z337" s="48"/>
    </row>
    <row r="338" ht="15.75" customHeight="1">
      <c r="A338" s="49"/>
      <c r="B338" s="49"/>
      <c r="C338" s="49"/>
      <c r="D338" s="49"/>
      <c r="E338" s="49"/>
      <c r="F338" s="49"/>
      <c r="G338" s="49"/>
      <c r="H338" s="49"/>
      <c r="I338" s="49"/>
      <c r="J338" s="49"/>
      <c r="K338" s="49"/>
      <c r="L338" s="48"/>
      <c r="M338" s="48"/>
      <c r="N338" s="48"/>
      <c r="O338" s="48"/>
      <c r="P338" s="48"/>
      <c r="Q338" s="48"/>
      <c r="R338" s="48"/>
      <c r="S338" s="48"/>
      <c r="T338" s="48"/>
      <c r="U338" s="48"/>
      <c r="V338" s="48"/>
      <c r="W338" s="48"/>
      <c r="X338" s="48"/>
      <c r="Y338" s="48"/>
      <c r="Z338" s="48"/>
    </row>
    <row r="339" ht="15.75" customHeight="1">
      <c r="A339" s="49"/>
      <c r="B339" s="49"/>
      <c r="C339" s="49"/>
      <c r="D339" s="49"/>
      <c r="E339" s="49"/>
      <c r="F339" s="49"/>
      <c r="G339" s="49"/>
      <c r="H339" s="49"/>
      <c r="I339" s="49"/>
      <c r="J339" s="49"/>
      <c r="K339" s="49"/>
      <c r="L339" s="48"/>
      <c r="M339" s="48"/>
      <c r="N339" s="48"/>
      <c r="O339" s="48"/>
      <c r="P339" s="48"/>
      <c r="Q339" s="48"/>
      <c r="R339" s="48"/>
      <c r="S339" s="48"/>
      <c r="T339" s="48"/>
      <c r="U339" s="48"/>
      <c r="V339" s="48"/>
      <c r="W339" s="48"/>
      <c r="X339" s="48"/>
      <c r="Y339" s="48"/>
      <c r="Z339" s="48"/>
    </row>
    <row r="340" ht="15.75" customHeight="1">
      <c r="A340" s="49"/>
      <c r="B340" s="49"/>
      <c r="C340" s="49"/>
      <c r="D340" s="49"/>
      <c r="E340" s="49"/>
      <c r="F340" s="49"/>
      <c r="G340" s="49"/>
      <c r="H340" s="49"/>
      <c r="I340" s="49"/>
      <c r="J340" s="49"/>
      <c r="K340" s="49"/>
      <c r="L340" s="48"/>
      <c r="M340" s="48"/>
      <c r="N340" s="48"/>
      <c r="O340" s="48"/>
      <c r="P340" s="48"/>
      <c r="Q340" s="48"/>
      <c r="R340" s="48"/>
      <c r="S340" s="48"/>
      <c r="T340" s="48"/>
      <c r="U340" s="48"/>
      <c r="V340" s="48"/>
      <c r="W340" s="48"/>
      <c r="X340" s="48"/>
      <c r="Y340" s="48"/>
      <c r="Z340" s="48"/>
    </row>
    <row r="341" ht="15.75" customHeight="1">
      <c r="A341" s="49"/>
      <c r="B341" s="49"/>
      <c r="C341" s="49"/>
      <c r="D341" s="49"/>
      <c r="E341" s="49"/>
      <c r="F341" s="49"/>
      <c r="G341" s="49"/>
      <c r="H341" s="49"/>
      <c r="I341" s="49"/>
      <c r="J341" s="49"/>
      <c r="K341" s="49"/>
      <c r="L341" s="48"/>
      <c r="M341" s="48"/>
      <c r="N341" s="48"/>
      <c r="O341" s="48"/>
      <c r="P341" s="48"/>
      <c r="Q341" s="48"/>
      <c r="R341" s="48"/>
      <c r="S341" s="48"/>
      <c r="T341" s="48"/>
      <c r="U341" s="48"/>
      <c r="V341" s="48"/>
      <c r="W341" s="48"/>
      <c r="X341" s="48"/>
      <c r="Y341" s="48"/>
      <c r="Z341" s="48"/>
    </row>
    <row r="342" ht="15.75" customHeight="1">
      <c r="A342" s="49"/>
      <c r="B342" s="49"/>
      <c r="C342" s="49"/>
      <c r="D342" s="49"/>
      <c r="E342" s="49"/>
      <c r="F342" s="49"/>
      <c r="G342" s="49"/>
      <c r="H342" s="49"/>
      <c r="I342" s="49"/>
      <c r="J342" s="49"/>
      <c r="K342" s="49"/>
      <c r="L342" s="48"/>
      <c r="M342" s="48"/>
      <c r="N342" s="48"/>
      <c r="O342" s="48"/>
      <c r="P342" s="48"/>
      <c r="Q342" s="48"/>
      <c r="R342" s="48"/>
      <c r="S342" s="48"/>
      <c r="T342" s="48"/>
      <c r="U342" s="48"/>
      <c r="V342" s="48"/>
      <c r="W342" s="48"/>
      <c r="X342" s="48"/>
      <c r="Y342" s="48"/>
      <c r="Z342" s="48"/>
    </row>
    <row r="343" ht="15.75" customHeight="1">
      <c r="A343" s="49"/>
      <c r="B343" s="49"/>
      <c r="C343" s="49"/>
      <c r="D343" s="49"/>
      <c r="E343" s="49"/>
      <c r="F343" s="49"/>
      <c r="G343" s="49"/>
      <c r="H343" s="49"/>
      <c r="I343" s="49"/>
      <c r="J343" s="49"/>
      <c r="K343" s="49"/>
      <c r="L343" s="48"/>
      <c r="M343" s="48"/>
      <c r="N343" s="48"/>
      <c r="O343" s="48"/>
      <c r="P343" s="48"/>
      <c r="Q343" s="48"/>
      <c r="R343" s="48"/>
      <c r="S343" s="48"/>
      <c r="T343" s="48"/>
      <c r="U343" s="48"/>
      <c r="V343" s="48"/>
      <c r="W343" s="48"/>
      <c r="X343" s="48"/>
      <c r="Y343" s="48"/>
      <c r="Z343" s="48"/>
    </row>
    <row r="344" ht="15.75" customHeight="1">
      <c r="A344" s="49"/>
      <c r="B344" s="49"/>
      <c r="C344" s="49"/>
      <c r="D344" s="49"/>
      <c r="E344" s="49"/>
      <c r="F344" s="49"/>
      <c r="G344" s="49"/>
      <c r="H344" s="49"/>
      <c r="I344" s="49"/>
      <c r="J344" s="49"/>
      <c r="K344" s="49"/>
      <c r="L344" s="48"/>
      <c r="M344" s="48"/>
      <c r="N344" s="48"/>
      <c r="O344" s="48"/>
      <c r="P344" s="48"/>
      <c r="Q344" s="48"/>
      <c r="R344" s="48"/>
      <c r="S344" s="48"/>
      <c r="T344" s="48"/>
      <c r="U344" s="48"/>
      <c r="V344" s="48"/>
      <c r="W344" s="48"/>
      <c r="X344" s="48"/>
      <c r="Y344" s="48"/>
      <c r="Z344" s="48"/>
    </row>
    <row r="345" ht="15.75" customHeight="1">
      <c r="A345" s="49"/>
      <c r="B345" s="49"/>
      <c r="C345" s="49"/>
      <c r="D345" s="49"/>
      <c r="E345" s="49"/>
      <c r="F345" s="49"/>
      <c r="G345" s="49"/>
      <c r="H345" s="49"/>
      <c r="I345" s="49"/>
      <c r="J345" s="49"/>
      <c r="K345" s="49"/>
      <c r="L345" s="48"/>
      <c r="M345" s="48"/>
      <c r="N345" s="48"/>
      <c r="O345" s="48"/>
      <c r="P345" s="48"/>
      <c r="Q345" s="48"/>
      <c r="R345" s="48"/>
      <c r="S345" s="48"/>
      <c r="T345" s="48"/>
      <c r="U345" s="48"/>
      <c r="V345" s="48"/>
      <c r="W345" s="48"/>
      <c r="X345" s="48"/>
      <c r="Y345" s="48"/>
      <c r="Z345" s="48"/>
    </row>
    <row r="346" ht="15.75" customHeight="1">
      <c r="A346" s="49"/>
      <c r="B346" s="49"/>
      <c r="C346" s="49"/>
      <c r="D346" s="49"/>
      <c r="E346" s="49"/>
      <c r="F346" s="49"/>
      <c r="G346" s="49"/>
      <c r="H346" s="49"/>
      <c r="I346" s="49"/>
      <c r="J346" s="49"/>
      <c r="K346" s="49"/>
      <c r="L346" s="48"/>
      <c r="M346" s="48"/>
      <c r="N346" s="48"/>
      <c r="O346" s="48"/>
      <c r="P346" s="48"/>
      <c r="Q346" s="48"/>
      <c r="R346" s="48"/>
      <c r="S346" s="48"/>
      <c r="T346" s="48"/>
      <c r="U346" s="48"/>
      <c r="V346" s="48"/>
      <c r="W346" s="48"/>
      <c r="X346" s="48"/>
      <c r="Y346" s="48"/>
      <c r="Z346" s="48"/>
    </row>
    <row r="347" ht="15.75" customHeight="1">
      <c r="A347" s="49"/>
      <c r="B347" s="49"/>
      <c r="C347" s="49"/>
      <c r="D347" s="49"/>
      <c r="E347" s="49"/>
      <c r="F347" s="49"/>
      <c r="G347" s="49"/>
      <c r="H347" s="49"/>
      <c r="I347" s="49"/>
      <c r="J347" s="49"/>
      <c r="K347" s="49"/>
      <c r="L347" s="48"/>
      <c r="M347" s="48"/>
      <c r="N347" s="48"/>
      <c r="O347" s="48"/>
      <c r="P347" s="48"/>
      <c r="Q347" s="48"/>
      <c r="R347" s="48"/>
      <c r="S347" s="48"/>
      <c r="T347" s="48"/>
      <c r="U347" s="48"/>
      <c r="V347" s="48"/>
      <c r="W347" s="48"/>
      <c r="X347" s="48"/>
      <c r="Y347" s="48"/>
      <c r="Z347" s="48"/>
    </row>
    <row r="348" ht="15.75" customHeight="1">
      <c r="A348" s="49"/>
      <c r="B348" s="49"/>
      <c r="C348" s="49"/>
      <c r="D348" s="49"/>
      <c r="E348" s="49"/>
      <c r="F348" s="49"/>
      <c r="G348" s="49"/>
      <c r="H348" s="49"/>
      <c r="I348" s="49"/>
      <c r="J348" s="49"/>
      <c r="K348" s="49"/>
      <c r="L348" s="48"/>
      <c r="M348" s="48"/>
      <c r="N348" s="48"/>
      <c r="O348" s="48"/>
      <c r="P348" s="48"/>
      <c r="Q348" s="48"/>
      <c r="R348" s="48"/>
      <c r="S348" s="48"/>
      <c r="T348" s="48"/>
      <c r="U348" s="48"/>
      <c r="V348" s="48"/>
      <c r="W348" s="48"/>
      <c r="X348" s="48"/>
      <c r="Y348" s="48"/>
      <c r="Z348" s="48"/>
    </row>
    <row r="349" ht="15.75" customHeight="1">
      <c r="A349" s="49"/>
      <c r="B349" s="49"/>
      <c r="C349" s="49"/>
      <c r="D349" s="49"/>
      <c r="E349" s="49"/>
      <c r="F349" s="49"/>
      <c r="G349" s="49"/>
      <c r="H349" s="49"/>
      <c r="I349" s="49"/>
      <c r="J349" s="49"/>
      <c r="K349" s="49"/>
      <c r="L349" s="48"/>
      <c r="M349" s="48"/>
      <c r="N349" s="48"/>
      <c r="O349" s="48"/>
      <c r="P349" s="48"/>
      <c r="Q349" s="48"/>
      <c r="R349" s="48"/>
      <c r="S349" s="48"/>
      <c r="T349" s="48"/>
      <c r="U349" s="48"/>
      <c r="V349" s="48"/>
      <c r="W349" s="48"/>
      <c r="X349" s="48"/>
      <c r="Y349" s="48"/>
      <c r="Z349" s="48"/>
    </row>
    <row r="350" ht="15.75" customHeight="1">
      <c r="A350" s="49"/>
      <c r="B350" s="49"/>
      <c r="C350" s="49"/>
      <c r="D350" s="49"/>
      <c r="E350" s="49"/>
      <c r="F350" s="49"/>
      <c r="G350" s="49"/>
      <c r="H350" s="49"/>
      <c r="I350" s="49"/>
      <c r="J350" s="49"/>
      <c r="K350" s="49"/>
      <c r="L350" s="48"/>
      <c r="M350" s="48"/>
      <c r="N350" s="48"/>
      <c r="O350" s="48"/>
      <c r="P350" s="48"/>
      <c r="Q350" s="48"/>
      <c r="R350" s="48"/>
      <c r="S350" s="48"/>
      <c r="T350" s="48"/>
      <c r="U350" s="48"/>
      <c r="V350" s="48"/>
      <c r="W350" s="48"/>
      <c r="X350" s="48"/>
      <c r="Y350" s="48"/>
      <c r="Z350" s="48"/>
    </row>
    <row r="351" ht="15.75" customHeight="1">
      <c r="A351" s="49"/>
      <c r="B351" s="49"/>
      <c r="C351" s="49"/>
      <c r="D351" s="49"/>
      <c r="E351" s="49"/>
      <c r="F351" s="49"/>
      <c r="G351" s="49"/>
      <c r="H351" s="49"/>
      <c r="I351" s="49"/>
      <c r="J351" s="49"/>
      <c r="K351" s="49"/>
      <c r="L351" s="48"/>
      <c r="M351" s="48"/>
      <c r="N351" s="48"/>
      <c r="O351" s="48"/>
      <c r="P351" s="48"/>
      <c r="Q351" s="48"/>
      <c r="R351" s="48"/>
      <c r="S351" s="48"/>
      <c r="T351" s="48"/>
      <c r="U351" s="48"/>
      <c r="V351" s="48"/>
      <c r="W351" s="48"/>
      <c r="X351" s="48"/>
      <c r="Y351" s="48"/>
      <c r="Z351" s="48"/>
    </row>
    <row r="352" ht="15.75" customHeight="1">
      <c r="A352" s="49"/>
      <c r="B352" s="49"/>
      <c r="C352" s="49"/>
      <c r="D352" s="49"/>
      <c r="E352" s="49"/>
      <c r="F352" s="49"/>
      <c r="G352" s="49"/>
      <c r="H352" s="49"/>
      <c r="I352" s="49"/>
      <c r="J352" s="49"/>
      <c r="K352" s="49"/>
      <c r="L352" s="48"/>
      <c r="M352" s="48"/>
      <c r="N352" s="48"/>
      <c r="O352" s="48"/>
      <c r="P352" s="48"/>
      <c r="Q352" s="48"/>
      <c r="R352" s="48"/>
      <c r="S352" s="48"/>
      <c r="T352" s="48"/>
      <c r="U352" s="48"/>
      <c r="V352" s="48"/>
      <c r="W352" s="48"/>
      <c r="X352" s="48"/>
      <c r="Y352" s="48"/>
      <c r="Z352" s="48"/>
    </row>
    <row r="353" ht="15.75" customHeight="1">
      <c r="A353" s="49"/>
      <c r="B353" s="49"/>
      <c r="C353" s="49"/>
      <c r="D353" s="49"/>
      <c r="E353" s="49"/>
      <c r="F353" s="49"/>
      <c r="G353" s="49"/>
      <c r="H353" s="49"/>
      <c r="I353" s="49"/>
      <c r="J353" s="49"/>
      <c r="K353" s="49"/>
      <c r="L353" s="48"/>
      <c r="M353" s="48"/>
      <c r="N353" s="48"/>
      <c r="O353" s="48"/>
      <c r="P353" s="48"/>
      <c r="Q353" s="48"/>
      <c r="R353" s="48"/>
      <c r="S353" s="48"/>
      <c r="T353" s="48"/>
      <c r="U353" s="48"/>
      <c r="V353" s="48"/>
      <c r="W353" s="48"/>
      <c r="X353" s="48"/>
      <c r="Y353" s="48"/>
      <c r="Z353" s="48"/>
    </row>
    <row r="354" ht="15.75" customHeight="1">
      <c r="A354" s="49"/>
      <c r="B354" s="49"/>
      <c r="C354" s="49"/>
      <c r="D354" s="49"/>
      <c r="E354" s="49"/>
      <c r="F354" s="49"/>
      <c r="G354" s="49"/>
      <c r="H354" s="49"/>
      <c r="I354" s="49"/>
      <c r="J354" s="49"/>
      <c r="K354" s="49"/>
      <c r="L354" s="48"/>
      <c r="M354" s="48"/>
      <c r="N354" s="48"/>
      <c r="O354" s="48"/>
      <c r="P354" s="48"/>
      <c r="Q354" s="48"/>
      <c r="R354" s="48"/>
      <c r="S354" s="48"/>
      <c r="T354" s="48"/>
      <c r="U354" s="48"/>
      <c r="V354" s="48"/>
      <c r="W354" s="48"/>
      <c r="X354" s="48"/>
      <c r="Y354" s="48"/>
      <c r="Z354" s="48"/>
    </row>
    <row r="355" ht="15.75" customHeight="1">
      <c r="A355" s="49"/>
      <c r="B355" s="49"/>
      <c r="C355" s="49"/>
      <c r="D355" s="49"/>
      <c r="E355" s="49"/>
      <c r="F355" s="49"/>
      <c r="G355" s="49"/>
      <c r="H355" s="49"/>
      <c r="I355" s="49"/>
      <c r="J355" s="49"/>
      <c r="K355" s="49"/>
      <c r="L355" s="48"/>
      <c r="M355" s="48"/>
      <c r="N355" s="48"/>
      <c r="O355" s="48"/>
      <c r="P355" s="48"/>
      <c r="Q355" s="48"/>
      <c r="R355" s="48"/>
      <c r="S355" s="48"/>
      <c r="T355" s="48"/>
      <c r="U355" s="48"/>
      <c r="V355" s="48"/>
      <c r="W355" s="48"/>
      <c r="X355" s="48"/>
      <c r="Y355" s="48"/>
      <c r="Z355" s="48"/>
    </row>
    <row r="356" ht="15.75" customHeight="1">
      <c r="A356" s="49"/>
      <c r="B356" s="49"/>
      <c r="C356" s="49"/>
      <c r="D356" s="49"/>
      <c r="E356" s="49"/>
      <c r="F356" s="49"/>
      <c r="G356" s="49"/>
      <c r="H356" s="49"/>
      <c r="I356" s="49"/>
      <c r="J356" s="49"/>
      <c r="K356" s="49"/>
      <c r="L356" s="48"/>
      <c r="M356" s="48"/>
      <c r="N356" s="48"/>
      <c r="O356" s="48"/>
      <c r="P356" s="48"/>
      <c r="Q356" s="48"/>
      <c r="R356" s="48"/>
      <c r="S356" s="48"/>
      <c r="T356" s="48"/>
      <c r="U356" s="48"/>
      <c r="V356" s="48"/>
      <c r="W356" s="48"/>
      <c r="X356" s="48"/>
      <c r="Y356" s="48"/>
      <c r="Z356" s="48"/>
    </row>
    <row r="357" ht="15.75" customHeight="1">
      <c r="A357" s="49"/>
      <c r="B357" s="49"/>
      <c r="C357" s="49"/>
      <c r="D357" s="49"/>
      <c r="E357" s="49"/>
      <c r="F357" s="49"/>
      <c r="G357" s="49"/>
      <c r="H357" s="49"/>
      <c r="I357" s="49"/>
      <c r="J357" s="49"/>
      <c r="K357" s="49"/>
      <c r="L357" s="48"/>
      <c r="M357" s="48"/>
      <c r="N357" s="48"/>
      <c r="O357" s="48"/>
      <c r="P357" s="48"/>
      <c r="Q357" s="48"/>
      <c r="R357" s="48"/>
      <c r="S357" s="48"/>
      <c r="T357" s="48"/>
      <c r="U357" s="48"/>
      <c r="V357" s="48"/>
      <c r="W357" s="48"/>
      <c r="X357" s="48"/>
      <c r="Y357" s="48"/>
      <c r="Z357" s="48"/>
    </row>
    <row r="358" ht="15.75" customHeight="1">
      <c r="A358" s="49"/>
      <c r="B358" s="49"/>
      <c r="C358" s="49"/>
      <c r="D358" s="49"/>
      <c r="E358" s="49"/>
      <c r="F358" s="49"/>
      <c r="G358" s="49"/>
      <c r="H358" s="49"/>
      <c r="I358" s="49"/>
      <c r="J358" s="49"/>
      <c r="K358" s="49"/>
      <c r="L358" s="48"/>
      <c r="M358" s="48"/>
      <c r="N358" s="48"/>
      <c r="O358" s="48"/>
      <c r="P358" s="48"/>
      <c r="Q358" s="48"/>
      <c r="R358" s="48"/>
      <c r="S358" s="48"/>
      <c r="T358" s="48"/>
      <c r="U358" s="48"/>
      <c r="V358" s="48"/>
      <c r="W358" s="48"/>
      <c r="X358" s="48"/>
      <c r="Y358" s="48"/>
      <c r="Z358" s="48"/>
    </row>
    <row r="359" ht="15.75" customHeight="1">
      <c r="A359" s="49"/>
      <c r="B359" s="49"/>
      <c r="C359" s="49"/>
      <c r="D359" s="49"/>
      <c r="E359" s="49"/>
      <c r="F359" s="49"/>
      <c r="G359" s="49"/>
      <c r="H359" s="49"/>
      <c r="I359" s="49"/>
      <c r="J359" s="49"/>
      <c r="K359" s="49"/>
      <c r="L359" s="48"/>
      <c r="M359" s="48"/>
      <c r="N359" s="48"/>
      <c r="O359" s="48"/>
      <c r="P359" s="48"/>
      <c r="Q359" s="48"/>
      <c r="R359" s="48"/>
      <c r="S359" s="48"/>
      <c r="T359" s="48"/>
      <c r="U359" s="48"/>
      <c r="V359" s="48"/>
      <c r="W359" s="48"/>
      <c r="X359" s="48"/>
      <c r="Y359" s="48"/>
      <c r="Z359" s="48"/>
    </row>
    <row r="360" ht="15.75" customHeight="1">
      <c r="A360" s="49"/>
      <c r="B360" s="49"/>
      <c r="C360" s="49"/>
      <c r="D360" s="49"/>
      <c r="E360" s="49"/>
      <c r="F360" s="49"/>
      <c r="G360" s="49"/>
      <c r="H360" s="49"/>
      <c r="I360" s="49"/>
      <c r="J360" s="49"/>
      <c r="K360" s="49"/>
      <c r="L360" s="48"/>
      <c r="M360" s="48"/>
      <c r="N360" s="48"/>
      <c r="O360" s="48"/>
      <c r="P360" s="48"/>
      <c r="Q360" s="48"/>
      <c r="R360" s="48"/>
      <c r="S360" s="48"/>
      <c r="T360" s="48"/>
      <c r="U360" s="48"/>
      <c r="V360" s="48"/>
      <c r="W360" s="48"/>
      <c r="X360" s="48"/>
      <c r="Y360" s="48"/>
      <c r="Z360" s="48"/>
    </row>
    <row r="361" ht="15.75" customHeight="1">
      <c r="A361" s="49"/>
      <c r="B361" s="49"/>
      <c r="C361" s="49"/>
      <c r="D361" s="49"/>
      <c r="E361" s="49"/>
      <c r="F361" s="49"/>
      <c r="G361" s="49"/>
      <c r="H361" s="49"/>
      <c r="I361" s="49"/>
      <c r="J361" s="49"/>
      <c r="K361" s="49"/>
      <c r="L361" s="48"/>
      <c r="M361" s="48"/>
      <c r="N361" s="48"/>
      <c r="O361" s="48"/>
      <c r="P361" s="48"/>
      <c r="Q361" s="48"/>
      <c r="R361" s="48"/>
      <c r="S361" s="48"/>
      <c r="T361" s="48"/>
      <c r="U361" s="48"/>
      <c r="V361" s="48"/>
      <c r="W361" s="48"/>
      <c r="X361" s="48"/>
      <c r="Y361" s="48"/>
      <c r="Z361" s="48"/>
    </row>
    <row r="362" ht="15.75" customHeight="1">
      <c r="A362" s="49"/>
      <c r="B362" s="49"/>
      <c r="C362" s="49"/>
      <c r="D362" s="49"/>
      <c r="E362" s="49"/>
      <c r="F362" s="49"/>
      <c r="G362" s="49"/>
      <c r="H362" s="49"/>
      <c r="I362" s="49"/>
      <c r="J362" s="49"/>
      <c r="K362" s="49"/>
      <c r="L362" s="48"/>
      <c r="M362" s="48"/>
      <c r="N362" s="48"/>
      <c r="O362" s="48"/>
      <c r="P362" s="48"/>
      <c r="Q362" s="48"/>
      <c r="R362" s="48"/>
      <c r="S362" s="48"/>
      <c r="T362" s="48"/>
      <c r="U362" s="48"/>
      <c r="V362" s="48"/>
      <c r="W362" s="48"/>
      <c r="X362" s="48"/>
      <c r="Y362" s="48"/>
      <c r="Z362" s="48"/>
    </row>
    <row r="363" ht="15.75" customHeight="1">
      <c r="A363" s="49"/>
      <c r="B363" s="49"/>
      <c r="C363" s="49"/>
      <c r="D363" s="49"/>
      <c r="E363" s="49"/>
      <c r="F363" s="49"/>
      <c r="G363" s="49"/>
      <c r="H363" s="49"/>
      <c r="I363" s="49"/>
      <c r="J363" s="49"/>
      <c r="K363" s="49"/>
      <c r="L363" s="48"/>
      <c r="M363" s="48"/>
      <c r="N363" s="48"/>
      <c r="O363" s="48"/>
      <c r="P363" s="48"/>
      <c r="Q363" s="48"/>
      <c r="R363" s="48"/>
      <c r="S363" s="48"/>
      <c r="T363" s="48"/>
      <c r="U363" s="48"/>
      <c r="V363" s="48"/>
      <c r="W363" s="48"/>
      <c r="X363" s="48"/>
      <c r="Y363" s="48"/>
      <c r="Z363" s="48"/>
    </row>
    <row r="364" ht="15.75" customHeight="1">
      <c r="A364" s="49"/>
      <c r="B364" s="49"/>
      <c r="C364" s="49"/>
      <c r="D364" s="49"/>
      <c r="E364" s="49"/>
      <c r="F364" s="49"/>
      <c r="G364" s="49"/>
      <c r="H364" s="49"/>
      <c r="I364" s="49"/>
      <c r="J364" s="49"/>
      <c r="K364" s="49"/>
      <c r="L364" s="48"/>
      <c r="M364" s="48"/>
      <c r="N364" s="48"/>
      <c r="O364" s="48"/>
      <c r="P364" s="48"/>
      <c r="Q364" s="48"/>
      <c r="R364" s="48"/>
      <c r="S364" s="48"/>
      <c r="T364" s="48"/>
      <c r="U364" s="48"/>
      <c r="V364" s="48"/>
      <c r="W364" s="48"/>
      <c r="X364" s="48"/>
      <c r="Y364" s="48"/>
      <c r="Z364" s="48"/>
    </row>
    <row r="365" ht="15.75" customHeight="1">
      <c r="A365" s="49"/>
      <c r="B365" s="49"/>
      <c r="C365" s="49"/>
      <c r="D365" s="49"/>
      <c r="E365" s="49"/>
      <c r="F365" s="49"/>
      <c r="G365" s="49"/>
      <c r="H365" s="49"/>
      <c r="I365" s="49"/>
      <c r="J365" s="49"/>
      <c r="K365" s="49"/>
      <c r="L365" s="48"/>
      <c r="M365" s="48"/>
      <c r="N365" s="48"/>
      <c r="O365" s="48"/>
      <c r="P365" s="48"/>
      <c r="Q365" s="48"/>
      <c r="R365" s="48"/>
      <c r="S365" s="48"/>
      <c r="T365" s="48"/>
      <c r="U365" s="48"/>
      <c r="V365" s="48"/>
      <c r="W365" s="48"/>
      <c r="X365" s="48"/>
      <c r="Y365" s="48"/>
      <c r="Z365" s="48"/>
    </row>
    <row r="366" ht="15.75" customHeight="1">
      <c r="A366" s="49"/>
      <c r="B366" s="49"/>
      <c r="C366" s="49"/>
      <c r="D366" s="49"/>
      <c r="E366" s="49"/>
      <c r="F366" s="49"/>
      <c r="G366" s="49"/>
      <c r="H366" s="49"/>
      <c r="I366" s="49"/>
      <c r="J366" s="49"/>
      <c r="K366" s="49"/>
      <c r="L366" s="48"/>
      <c r="M366" s="48"/>
      <c r="N366" s="48"/>
      <c r="O366" s="48"/>
      <c r="P366" s="48"/>
      <c r="Q366" s="48"/>
      <c r="R366" s="48"/>
      <c r="S366" s="48"/>
      <c r="T366" s="48"/>
      <c r="U366" s="48"/>
      <c r="V366" s="48"/>
      <c r="W366" s="48"/>
      <c r="X366" s="48"/>
      <c r="Y366" s="48"/>
      <c r="Z366" s="48"/>
    </row>
    <row r="367" ht="15.75" customHeight="1">
      <c r="A367" s="49"/>
      <c r="B367" s="49"/>
      <c r="C367" s="49"/>
      <c r="D367" s="49"/>
      <c r="E367" s="49"/>
      <c r="F367" s="49"/>
      <c r="G367" s="49"/>
      <c r="H367" s="49"/>
      <c r="I367" s="49"/>
      <c r="J367" s="49"/>
      <c r="K367" s="49"/>
      <c r="L367" s="48"/>
      <c r="M367" s="48"/>
      <c r="N367" s="48"/>
      <c r="O367" s="48"/>
      <c r="P367" s="48"/>
      <c r="Q367" s="48"/>
      <c r="R367" s="48"/>
      <c r="S367" s="48"/>
      <c r="T367" s="48"/>
      <c r="U367" s="48"/>
      <c r="V367" s="48"/>
      <c r="W367" s="48"/>
      <c r="X367" s="48"/>
      <c r="Y367" s="48"/>
      <c r="Z367" s="48"/>
    </row>
    <row r="368" ht="15.75" customHeight="1">
      <c r="A368" s="49"/>
      <c r="B368" s="49"/>
      <c r="C368" s="49"/>
      <c r="D368" s="49"/>
      <c r="E368" s="49"/>
      <c r="F368" s="49"/>
      <c r="G368" s="49"/>
      <c r="H368" s="49"/>
      <c r="I368" s="49"/>
      <c r="J368" s="49"/>
      <c r="K368" s="49"/>
      <c r="L368" s="48"/>
      <c r="M368" s="48"/>
      <c r="N368" s="48"/>
      <c r="O368" s="48"/>
      <c r="P368" s="48"/>
      <c r="Q368" s="48"/>
      <c r="R368" s="48"/>
      <c r="S368" s="48"/>
      <c r="T368" s="48"/>
      <c r="U368" s="48"/>
      <c r="V368" s="48"/>
      <c r="W368" s="48"/>
      <c r="X368" s="48"/>
      <c r="Y368" s="48"/>
      <c r="Z368" s="48"/>
    </row>
    <row r="369" ht="15.75" customHeight="1">
      <c r="A369" s="49"/>
      <c r="B369" s="49"/>
      <c r="C369" s="49"/>
      <c r="D369" s="49"/>
      <c r="E369" s="49"/>
      <c r="F369" s="49"/>
      <c r="G369" s="49"/>
      <c r="H369" s="49"/>
      <c r="I369" s="49"/>
      <c r="J369" s="49"/>
      <c r="K369" s="49"/>
      <c r="L369" s="48"/>
      <c r="M369" s="48"/>
      <c r="N369" s="48"/>
      <c r="O369" s="48"/>
      <c r="P369" s="48"/>
      <c r="Q369" s="48"/>
      <c r="R369" s="48"/>
      <c r="S369" s="48"/>
      <c r="T369" s="48"/>
      <c r="U369" s="48"/>
      <c r="V369" s="48"/>
      <c r="W369" s="48"/>
      <c r="X369" s="48"/>
      <c r="Y369" s="48"/>
      <c r="Z369" s="48"/>
    </row>
    <row r="370" ht="15.75" customHeight="1">
      <c r="A370" s="49"/>
      <c r="B370" s="49"/>
      <c r="C370" s="49"/>
      <c r="D370" s="49"/>
      <c r="E370" s="49"/>
      <c r="F370" s="49"/>
      <c r="G370" s="49"/>
      <c r="H370" s="49"/>
      <c r="I370" s="49"/>
      <c r="J370" s="49"/>
      <c r="K370" s="49"/>
      <c r="L370" s="48"/>
      <c r="M370" s="48"/>
      <c r="N370" s="48"/>
      <c r="O370" s="48"/>
      <c r="P370" s="48"/>
      <c r="Q370" s="48"/>
      <c r="R370" s="48"/>
      <c r="S370" s="48"/>
      <c r="T370" s="48"/>
      <c r="U370" s="48"/>
      <c r="V370" s="48"/>
      <c r="W370" s="48"/>
      <c r="X370" s="48"/>
      <c r="Y370" s="48"/>
      <c r="Z370" s="48"/>
    </row>
    <row r="371" ht="15.75" customHeight="1">
      <c r="A371" s="49"/>
      <c r="B371" s="49"/>
      <c r="C371" s="49"/>
      <c r="D371" s="49"/>
      <c r="E371" s="49"/>
      <c r="F371" s="49"/>
      <c r="G371" s="49"/>
      <c r="H371" s="49"/>
      <c r="I371" s="49"/>
      <c r="J371" s="49"/>
      <c r="K371" s="49"/>
      <c r="L371" s="48"/>
      <c r="M371" s="48"/>
      <c r="N371" s="48"/>
      <c r="O371" s="48"/>
      <c r="P371" s="48"/>
      <c r="Q371" s="48"/>
      <c r="R371" s="48"/>
      <c r="S371" s="48"/>
      <c r="T371" s="48"/>
      <c r="U371" s="48"/>
      <c r="V371" s="48"/>
      <c r="W371" s="48"/>
      <c r="X371" s="48"/>
      <c r="Y371" s="48"/>
      <c r="Z371" s="48"/>
    </row>
    <row r="372" ht="15.75" customHeight="1">
      <c r="A372" s="49"/>
      <c r="B372" s="49"/>
      <c r="C372" s="49"/>
      <c r="D372" s="49"/>
      <c r="E372" s="49"/>
      <c r="F372" s="49"/>
      <c r="G372" s="49"/>
      <c r="H372" s="49"/>
      <c r="I372" s="49"/>
      <c r="J372" s="49"/>
      <c r="K372" s="49"/>
      <c r="L372" s="48"/>
      <c r="M372" s="48"/>
      <c r="N372" s="48"/>
      <c r="O372" s="48"/>
      <c r="P372" s="48"/>
      <c r="Q372" s="48"/>
      <c r="R372" s="48"/>
      <c r="S372" s="48"/>
      <c r="T372" s="48"/>
      <c r="U372" s="48"/>
      <c r="V372" s="48"/>
      <c r="W372" s="48"/>
      <c r="X372" s="48"/>
      <c r="Y372" s="48"/>
      <c r="Z372" s="48"/>
    </row>
    <row r="373" ht="15.75" customHeight="1">
      <c r="A373" s="49"/>
      <c r="B373" s="49"/>
      <c r="C373" s="49"/>
      <c r="D373" s="49"/>
      <c r="E373" s="49"/>
      <c r="F373" s="49"/>
      <c r="G373" s="49"/>
      <c r="H373" s="49"/>
      <c r="I373" s="49"/>
      <c r="J373" s="49"/>
      <c r="K373" s="49"/>
      <c r="L373" s="48"/>
      <c r="M373" s="48"/>
      <c r="N373" s="48"/>
      <c r="O373" s="48"/>
      <c r="P373" s="48"/>
      <c r="Q373" s="48"/>
      <c r="R373" s="48"/>
      <c r="S373" s="48"/>
      <c r="T373" s="48"/>
      <c r="U373" s="48"/>
      <c r="V373" s="48"/>
      <c r="W373" s="48"/>
      <c r="X373" s="48"/>
      <c r="Y373" s="48"/>
      <c r="Z373" s="48"/>
    </row>
    <row r="374" ht="15.75" customHeight="1">
      <c r="A374" s="49"/>
      <c r="B374" s="49"/>
      <c r="C374" s="49"/>
      <c r="D374" s="49"/>
      <c r="E374" s="49"/>
      <c r="F374" s="49"/>
      <c r="G374" s="49"/>
      <c r="H374" s="49"/>
      <c r="I374" s="49"/>
      <c r="J374" s="49"/>
      <c r="K374" s="49"/>
      <c r="L374" s="48"/>
      <c r="M374" s="48"/>
      <c r="N374" s="48"/>
      <c r="O374" s="48"/>
      <c r="P374" s="48"/>
      <c r="Q374" s="48"/>
      <c r="R374" s="48"/>
      <c r="S374" s="48"/>
      <c r="T374" s="48"/>
      <c r="U374" s="48"/>
      <c r="V374" s="48"/>
      <c r="W374" s="48"/>
      <c r="X374" s="48"/>
      <c r="Y374" s="48"/>
      <c r="Z374" s="48"/>
    </row>
    <row r="375" ht="15.75" customHeight="1">
      <c r="A375" s="49"/>
      <c r="B375" s="49"/>
      <c r="C375" s="49"/>
      <c r="D375" s="49"/>
      <c r="E375" s="49"/>
      <c r="F375" s="49"/>
      <c r="G375" s="49"/>
      <c r="H375" s="49"/>
      <c r="I375" s="49"/>
      <c r="J375" s="49"/>
      <c r="K375" s="49"/>
      <c r="L375" s="48"/>
      <c r="M375" s="48"/>
      <c r="N375" s="48"/>
      <c r="O375" s="48"/>
      <c r="P375" s="48"/>
      <c r="Q375" s="48"/>
      <c r="R375" s="48"/>
      <c r="S375" s="48"/>
      <c r="T375" s="48"/>
      <c r="U375" s="48"/>
      <c r="V375" s="48"/>
      <c r="W375" s="48"/>
      <c r="X375" s="48"/>
      <c r="Y375" s="48"/>
      <c r="Z375" s="48"/>
    </row>
    <row r="376" ht="15.75" customHeight="1">
      <c r="A376" s="49"/>
      <c r="B376" s="49"/>
      <c r="C376" s="49"/>
      <c r="D376" s="49"/>
      <c r="E376" s="49"/>
      <c r="F376" s="49"/>
      <c r="G376" s="49"/>
      <c r="H376" s="49"/>
      <c r="I376" s="49"/>
      <c r="J376" s="49"/>
      <c r="K376" s="49"/>
      <c r="L376" s="48"/>
      <c r="M376" s="48"/>
      <c r="N376" s="48"/>
      <c r="O376" s="48"/>
      <c r="P376" s="48"/>
      <c r="Q376" s="48"/>
      <c r="R376" s="48"/>
      <c r="S376" s="48"/>
      <c r="T376" s="48"/>
      <c r="U376" s="48"/>
      <c r="V376" s="48"/>
      <c r="W376" s="48"/>
      <c r="X376" s="48"/>
      <c r="Y376" s="48"/>
      <c r="Z376" s="48"/>
    </row>
    <row r="377" ht="15.75" customHeight="1">
      <c r="A377" s="49"/>
      <c r="B377" s="49"/>
      <c r="C377" s="49"/>
      <c r="D377" s="49"/>
      <c r="E377" s="49"/>
      <c r="F377" s="49"/>
      <c r="G377" s="49"/>
      <c r="H377" s="49"/>
      <c r="I377" s="49"/>
      <c r="J377" s="49"/>
      <c r="K377" s="49"/>
      <c r="L377" s="48"/>
      <c r="M377" s="48"/>
      <c r="N377" s="48"/>
      <c r="O377" s="48"/>
      <c r="P377" s="48"/>
      <c r="Q377" s="48"/>
      <c r="R377" s="48"/>
      <c r="S377" s="48"/>
      <c r="T377" s="48"/>
      <c r="U377" s="48"/>
      <c r="V377" s="48"/>
      <c r="W377" s="48"/>
      <c r="X377" s="48"/>
      <c r="Y377" s="48"/>
      <c r="Z377" s="48"/>
    </row>
    <row r="378" ht="15.75" customHeight="1">
      <c r="A378" s="49"/>
      <c r="B378" s="49"/>
      <c r="C378" s="49"/>
      <c r="D378" s="49"/>
      <c r="E378" s="49"/>
      <c r="F378" s="49"/>
      <c r="G378" s="49"/>
      <c r="H378" s="49"/>
      <c r="I378" s="49"/>
      <c r="J378" s="49"/>
      <c r="K378" s="49"/>
      <c r="L378" s="48"/>
      <c r="M378" s="48"/>
      <c r="N378" s="48"/>
      <c r="O378" s="48"/>
      <c r="P378" s="48"/>
      <c r="Q378" s="48"/>
      <c r="R378" s="48"/>
      <c r="S378" s="48"/>
      <c r="T378" s="48"/>
      <c r="U378" s="48"/>
      <c r="V378" s="48"/>
      <c r="W378" s="48"/>
      <c r="X378" s="48"/>
      <c r="Y378" s="48"/>
      <c r="Z378" s="48"/>
    </row>
    <row r="379" ht="15.75" customHeight="1">
      <c r="A379" s="49"/>
      <c r="B379" s="49"/>
      <c r="C379" s="49"/>
      <c r="D379" s="49"/>
      <c r="E379" s="49"/>
      <c r="F379" s="49"/>
      <c r="G379" s="49"/>
      <c r="H379" s="49"/>
      <c r="I379" s="49"/>
      <c r="J379" s="49"/>
      <c r="K379" s="49"/>
      <c r="L379" s="48"/>
      <c r="M379" s="48"/>
      <c r="N379" s="48"/>
      <c r="O379" s="48"/>
      <c r="P379" s="48"/>
      <c r="Q379" s="48"/>
      <c r="R379" s="48"/>
      <c r="S379" s="48"/>
      <c r="T379" s="48"/>
      <c r="U379" s="48"/>
      <c r="V379" s="48"/>
      <c r="W379" s="48"/>
      <c r="X379" s="48"/>
      <c r="Y379" s="48"/>
      <c r="Z379" s="48"/>
    </row>
    <row r="380" ht="15.75" customHeight="1">
      <c r="A380" s="49"/>
      <c r="B380" s="49"/>
      <c r="C380" s="49"/>
      <c r="D380" s="49"/>
      <c r="E380" s="49"/>
      <c r="F380" s="49"/>
      <c r="G380" s="49"/>
      <c r="H380" s="49"/>
      <c r="I380" s="49"/>
      <c r="J380" s="49"/>
      <c r="K380" s="49"/>
      <c r="L380" s="48"/>
      <c r="M380" s="48"/>
      <c r="N380" s="48"/>
      <c r="O380" s="48"/>
      <c r="P380" s="48"/>
      <c r="Q380" s="48"/>
      <c r="R380" s="48"/>
      <c r="S380" s="48"/>
      <c r="T380" s="48"/>
      <c r="U380" s="48"/>
      <c r="V380" s="48"/>
      <c r="W380" s="48"/>
      <c r="X380" s="48"/>
      <c r="Y380" s="48"/>
      <c r="Z380" s="48"/>
    </row>
    <row r="381" ht="15.75" customHeight="1">
      <c r="A381" s="49"/>
      <c r="B381" s="49"/>
      <c r="C381" s="49"/>
      <c r="D381" s="49"/>
      <c r="E381" s="49"/>
      <c r="F381" s="49"/>
      <c r="G381" s="49"/>
      <c r="H381" s="49"/>
      <c r="I381" s="49"/>
      <c r="J381" s="49"/>
      <c r="K381" s="49"/>
      <c r="L381" s="48"/>
      <c r="M381" s="48"/>
      <c r="N381" s="48"/>
      <c r="O381" s="48"/>
      <c r="P381" s="48"/>
      <c r="Q381" s="48"/>
      <c r="R381" s="48"/>
      <c r="S381" s="48"/>
      <c r="T381" s="48"/>
      <c r="U381" s="48"/>
      <c r="V381" s="48"/>
      <c r="W381" s="48"/>
      <c r="X381" s="48"/>
      <c r="Y381" s="48"/>
      <c r="Z381" s="48"/>
    </row>
    <row r="382" ht="15.75" customHeight="1">
      <c r="A382" s="49"/>
      <c r="B382" s="49"/>
      <c r="C382" s="49"/>
      <c r="D382" s="49"/>
      <c r="E382" s="49"/>
      <c r="F382" s="49"/>
      <c r="G382" s="49"/>
      <c r="H382" s="49"/>
      <c r="I382" s="49"/>
      <c r="J382" s="49"/>
      <c r="K382" s="49"/>
      <c r="L382" s="48"/>
      <c r="M382" s="48"/>
      <c r="N382" s="48"/>
      <c r="O382" s="48"/>
      <c r="P382" s="48"/>
      <c r="Q382" s="48"/>
      <c r="R382" s="48"/>
      <c r="S382" s="48"/>
      <c r="T382" s="48"/>
      <c r="U382" s="48"/>
      <c r="V382" s="48"/>
      <c r="W382" s="48"/>
      <c r="X382" s="48"/>
      <c r="Y382" s="48"/>
      <c r="Z382" s="48"/>
    </row>
    <row r="383" ht="15.75" customHeight="1">
      <c r="A383" s="49"/>
      <c r="B383" s="49"/>
      <c r="C383" s="49"/>
      <c r="D383" s="49"/>
      <c r="E383" s="49"/>
      <c r="F383" s="49"/>
      <c r="G383" s="49"/>
      <c r="H383" s="49"/>
      <c r="I383" s="49"/>
      <c r="J383" s="49"/>
      <c r="K383" s="49"/>
      <c r="L383" s="48"/>
      <c r="M383" s="48"/>
      <c r="N383" s="48"/>
      <c r="O383" s="48"/>
      <c r="P383" s="48"/>
      <c r="Q383" s="48"/>
      <c r="R383" s="48"/>
      <c r="S383" s="48"/>
      <c r="T383" s="48"/>
      <c r="U383" s="48"/>
      <c r="V383" s="48"/>
      <c r="W383" s="48"/>
      <c r="X383" s="48"/>
      <c r="Y383" s="48"/>
      <c r="Z383" s="48"/>
    </row>
    <row r="384" ht="15.75" customHeight="1">
      <c r="A384" s="49"/>
      <c r="B384" s="49"/>
      <c r="C384" s="49"/>
      <c r="D384" s="49"/>
      <c r="E384" s="49"/>
      <c r="F384" s="49"/>
      <c r="G384" s="49"/>
      <c r="H384" s="49"/>
      <c r="I384" s="49"/>
      <c r="J384" s="49"/>
      <c r="K384" s="49"/>
      <c r="L384" s="48"/>
      <c r="M384" s="48"/>
      <c r="N384" s="48"/>
      <c r="O384" s="48"/>
      <c r="P384" s="48"/>
      <c r="Q384" s="48"/>
      <c r="R384" s="48"/>
      <c r="S384" s="48"/>
      <c r="T384" s="48"/>
      <c r="U384" s="48"/>
      <c r="V384" s="48"/>
      <c r="W384" s="48"/>
      <c r="X384" s="48"/>
      <c r="Y384" s="48"/>
      <c r="Z384" s="48"/>
    </row>
    <row r="385" ht="15.75" customHeight="1">
      <c r="A385" s="49"/>
      <c r="B385" s="49"/>
      <c r="C385" s="49"/>
      <c r="D385" s="49"/>
      <c r="E385" s="49"/>
      <c r="F385" s="49"/>
      <c r="G385" s="49"/>
      <c r="H385" s="49"/>
      <c r="I385" s="49"/>
      <c r="J385" s="49"/>
      <c r="K385" s="49"/>
      <c r="L385" s="48"/>
      <c r="M385" s="48"/>
      <c r="N385" s="48"/>
      <c r="O385" s="48"/>
      <c r="P385" s="48"/>
      <c r="Q385" s="48"/>
      <c r="R385" s="48"/>
      <c r="S385" s="48"/>
      <c r="T385" s="48"/>
      <c r="U385" s="48"/>
      <c r="V385" s="48"/>
      <c r="W385" s="48"/>
      <c r="X385" s="48"/>
      <c r="Y385" s="48"/>
      <c r="Z385" s="48"/>
    </row>
    <row r="386" ht="15.75" customHeight="1">
      <c r="A386" s="49"/>
      <c r="B386" s="49"/>
      <c r="C386" s="49"/>
      <c r="D386" s="49"/>
      <c r="E386" s="49"/>
      <c r="F386" s="49"/>
      <c r="G386" s="49"/>
      <c r="H386" s="49"/>
      <c r="I386" s="49"/>
      <c r="J386" s="49"/>
      <c r="K386" s="49"/>
      <c r="L386" s="48"/>
      <c r="M386" s="48"/>
      <c r="N386" s="48"/>
      <c r="O386" s="48"/>
      <c r="P386" s="48"/>
      <c r="Q386" s="48"/>
      <c r="R386" s="48"/>
      <c r="S386" s="48"/>
      <c r="T386" s="48"/>
      <c r="U386" s="48"/>
      <c r="V386" s="48"/>
      <c r="W386" s="48"/>
      <c r="X386" s="48"/>
      <c r="Y386" s="48"/>
      <c r="Z386" s="48"/>
    </row>
    <row r="387" ht="15.75" customHeight="1">
      <c r="A387" s="49"/>
      <c r="B387" s="49"/>
      <c r="C387" s="49"/>
      <c r="D387" s="49"/>
      <c r="E387" s="49"/>
      <c r="F387" s="49"/>
      <c r="G387" s="49"/>
      <c r="H387" s="49"/>
      <c r="I387" s="49"/>
      <c r="J387" s="49"/>
      <c r="K387" s="49"/>
      <c r="L387" s="48"/>
      <c r="M387" s="48"/>
      <c r="N387" s="48"/>
      <c r="O387" s="48"/>
      <c r="P387" s="48"/>
      <c r="Q387" s="48"/>
      <c r="R387" s="48"/>
      <c r="S387" s="48"/>
      <c r="T387" s="48"/>
      <c r="U387" s="48"/>
      <c r="V387" s="48"/>
      <c r="W387" s="48"/>
      <c r="X387" s="48"/>
      <c r="Y387" s="48"/>
      <c r="Z387" s="48"/>
    </row>
    <row r="388" ht="15.75" customHeight="1">
      <c r="A388" s="49"/>
      <c r="B388" s="49"/>
      <c r="C388" s="49"/>
      <c r="D388" s="49"/>
      <c r="E388" s="49"/>
      <c r="F388" s="49"/>
      <c r="G388" s="49"/>
      <c r="H388" s="49"/>
      <c r="I388" s="49"/>
      <c r="J388" s="49"/>
      <c r="K388" s="49"/>
      <c r="L388" s="48"/>
      <c r="M388" s="48"/>
      <c r="N388" s="48"/>
      <c r="O388" s="48"/>
      <c r="P388" s="48"/>
      <c r="Q388" s="48"/>
      <c r="R388" s="48"/>
      <c r="S388" s="48"/>
      <c r="T388" s="48"/>
      <c r="U388" s="48"/>
      <c r="V388" s="48"/>
      <c r="W388" s="48"/>
      <c r="X388" s="48"/>
      <c r="Y388" s="48"/>
      <c r="Z388" s="48"/>
    </row>
    <row r="389" ht="15.75" customHeight="1">
      <c r="A389" s="49"/>
      <c r="B389" s="49"/>
      <c r="C389" s="49"/>
      <c r="D389" s="49"/>
      <c r="E389" s="49"/>
      <c r="F389" s="49"/>
      <c r="G389" s="49"/>
      <c r="H389" s="49"/>
      <c r="I389" s="49"/>
      <c r="J389" s="49"/>
      <c r="K389" s="49"/>
      <c r="L389" s="48"/>
      <c r="M389" s="48"/>
      <c r="N389" s="48"/>
      <c r="O389" s="48"/>
      <c r="P389" s="48"/>
      <c r="Q389" s="48"/>
      <c r="R389" s="48"/>
      <c r="S389" s="48"/>
      <c r="T389" s="48"/>
      <c r="U389" s="48"/>
      <c r="V389" s="48"/>
      <c r="W389" s="48"/>
      <c r="X389" s="48"/>
      <c r="Y389" s="48"/>
      <c r="Z389" s="48"/>
    </row>
    <row r="390" ht="15.75" customHeight="1">
      <c r="A390" s="49"/>
      <c r="B390" s="49"/>
      <c r="C390" s="49"/>
      <c r="D390" s="49"/>
      <c r="E390" s="49"/>
      <c r="F390" s="49"/>
      <c r="G390" s="49"/>
      <c r="H390" s="49"/>
      <c r="I390" s="49"/>
      <c r="J390" s="49"/>
      <c r="K390" s="49"/>
      <c r="L390" s="48"/>
      <c r="M390" s="48"/>
      <c r="N390" s="48"/>
      <c r="O390" s="48"/>
      <c r="P390" s="48"/>
      <c r="Q390" s="48"/>
      <c r="R390" s="48"/>
      <c r="S390" s="48"/>
      <c r="T390" s="48"/>
      <c r="U390" s="48"/>
      <c r="V390" s="48"/>
      <c r="W390" s="48"/>
      <c r="X390" s="48"/>
      <c r="Y390" s="48"/>
      <c r="Z390" s="48"/>
    </row>
    <row r="391" ht="15.75" customHeight="1">
      <c r="A391" s="49"/>
      <c r="B391" s="49"/>
      <c r="C391" s="49"/>
      <c r="D391" s="49"/>
      <c r="E391" s="49"/>
      <c r="F391" s="49"/>
      <c r="G391" s="49"/>
      <c r="H391" s="49"/>
      <c r="I391" s="49"/>
      <c r="J391" s="49"/>
      <c r="K391" s="49"/>
      <c r="L391" s="48"/>
      <c r="M391" s="48"/>
      <c r="N391" s="48"/>
      <c r="O391" s="48"/>
      <c r="P391" s="48"/>
      <c r="Q391" s="48"/>
      <c r="R391" s="48"/>
      <c r="S391" s="48"/>
      <c r="T391" s="48"/>
      <c r="U391" s="48"/>
      <c r="V391" s="48"/>
      <c r="W391" s="48"/>
      <c r="X391" s="48"/>
      <c r="Y391" s="48"/>
      <c r="Z391" s="48"/>
    </row>
    <row r="392" ht="15.75" customHeight="1">
      <c r="A392" s="49"/>
      <c r="B392" s="49"/>
      <c r="C392" s="49"/>
      <c r="D392" s="49"/>
      <c r="E392" s="49"/>
      <c r="F392" s="49"/>
      <c r="G392" s="49"/>
      <c r="H392" s="49"/>
      <c r="I392" s="49"/>
      <c r="J392" s="49"/>
      <c r="K392" s="49"/>
      <c r="L392" s="48"/>
      <c r="M392" s="48"/>
      <c r="N392" s="48"/>
      <c r="O392" s="48"/>
      <c r="P392" s="48"/>
      <c r="Q392" s="48"/>
      <c r="R392" s="48"/>
      <c r="S392" s="48"/>
      <c r="T392" s="48"/>
      <c r="U392" s="48"/>
      <c r="V392" s="48"/>
      <c r="W392" s="48"/>
      <c r="X392" s="48"/>
      <c r="Y392" s="48"/>
      <c r="Z392" s="48"/>
    </row>
    <row r="393" ht="15.75" customHeight="1">
      <c r="A393" s="49"/>
      <c r="B393" s="49"/>
      <c r="C393" s="49"/>
      <c r="D393" s="49"/>
      <c r="E393" s="49"/>
      <c r="F393" s="49"/>
      <c r="G393" s="49"/>
      <c r="H393" s="49"/>
      <c r="I393" s="49"/>
      <c r="J393" s="49"/>
      <c r="K393" s="49"/>
      <c r="L393" s="48"/>
      <c r="M393" s="48"/>
      <c r="N393" s="48"/>
      <c r="O393" s="48"/>
      <c r="P393" s="48"/>
      <c r="Q393" s="48"/>
      <c r="R393" s="48"/>
      <c r="S393" s="48"/>
      <c r="T393" s="48"/>
      <c r="U393" s="48"/>
      <c r="V393" s="48"/>
      <c r="W393" s="48"/>
      <c r="X393" s="48"/>
      <c r="Y393" s="48"/>
      <c r="Z393" s="48"/>
    </row>
    <row r="394" ht="15.75" customHeight="1">
      <c r="A394" s="49"/>
      <c r="B394" s="49"/>
      <c r="C394" s="49"/>
      <c r="D394" s="49"/>
      <c r="E394" s="49"/>
      <c r="F394" s="49"/>
      <c r="G394" s="49"/>
      <c r="H394" s="49"/>
      <c r="I394" s="49"/>
      <c r="J394" s="49"/>
      <c r="K394" s="49"/>
      <c r="L394" s="48"/>
      <c r="M394" s="48"/>
      <c r="N394" s="48"/>
      <c r="O394" s="48"/>
      <c r="P394" s="48"/>
      <c r="Q394" s="48"/>
      <c r="R394" s="48"/>
      <c r="S394" s="48"/>
      <c r="T394" s="48"/>
      <c r="U394" s="48"/>
      <c r="V394" s="48"/>
      <c r="W394" s="48"/>
      <c r="X394" s="48"/>
      <c r="Y394" s="48"/>
      <c r="Z394" s="48"/>
    </row>
    <row r="395" ht="15.75" customHeight="1">
      <c r="A395" s="49"/>
      <c r="B395" s="49"/>
      <c r="C395" s="49"/>
      <c r="D395" s="49"/>
      <c r="E395" s="49"/>
      <c r="F395" s="49"/>
      <c r="G395" s="49"/>
      <c r="H395" s="49"/>
      <c r="I395" s="49"/>
      <c r="J395" s="49"/>
      <c r="K395" s="49"/>
      <c r="L395" s="48"/>
      <c r="M395" s="48"/>
      <c r="N395" s="48"/>
      <c r="O395" s="48"/>
      <c r="P395" s="48"/>
      <c r="Q395" s="48"/>
      <c r="R395" s="48"/>
      <c r="S395" s="48"/>
      <c r="T395" s="48"/>
      <c r="U395" s="48"/>
      <c r="V395" s="48"/>
      <c r="W395" s="48"/>
      <c r="X395" s="48"/>
      <c r="Y395" s="48"/>
      <c r="Z395" s="48"/>
    </row>
    <row r="396" ht="15.75" customHeight="1">
      <c r="A396" s="49"/>
      <c r="B396" s="49"/>
      <c r="C396" s="49"/>
      <c r="D396" s="49"/>
      <c r="E396" s="49"/>
      <c r="F396" s="49"/>
      <c r="G396" s="49"/>
      <c r="H396" s="49"/>
      <c r="I396" s="49"/>
      <c r="J396" s="49"/>
      <c r="K396" s="49"/>
      <c r="L396" s="48"/>
      <c r="M396" s="48"/>
      <c r="N396" s="48"/>
      <c r="O396" s="48"/>
      <c r="P396" s="48"/>
      <c r="Q396" s="48"/>
      <c r="R396" s="48"/>
      <c r="S396" s="48"/>
      <c r="T396" s="48"/>
      <c r="U396" s="48"/>
      <c r="V396" s="48"/>
      <c r="W396" s="48"/>
      <c r="X396" s="48"/>
      <c r="Y396" s="48"/>
      <c r="Z396" s="48"/>
    </row>
    <row r="397" ht="15.75" customHeight="1">
      <c r="A397" s="49"/>
      <c r="B397" s="49"/>
      <c r="C397" s="49"/>
      <c r="D397" s="49"/>
      <c r="E397" s="49"/>
      <c r="F397" s="49"/>
      <c r="G397" s="49"/>
      <c r="H397" s="49"/>
      <c r="I397" s="49"/>
      <c r="J397" s="49"/>
      <c r="K397" s="49"/>
      <c r="L397" s="48"/>
      <c r="M397" s="48"/>
      <c r="N397" s="48"/>
      <c r="O397" s="48"/>
      <c r="P397" s="48"/>
      <c r="Q397" s="48"/>
      <c r="R397" s="48"/>
      <c r="S397" s="48"/>
      <c r="T397" s="48"/>
      <c r="U397" s="48"/>
      <c r="V397" s="48"/>
      <c r="W397" s="48"/>
      <c r="X397" s="48"/>
      <c r="Y397" s="48"/>
      <c r="Z397" s="48"/>
    </row>
    <row r="398" ht="15.75" customHeight="1">
      <c r="A398" s="49"/>
      <c r="B398" s="49"/>
      <c r="C398" s="49"/>
      <c r="D398" s="49"/>
      <c r="E398" s="49"/>
      <c r="F398" s="49"/>
      <c r="G398" s="49"/>
      <c r="H398" s="49"/>
      <c r="I398" s="49"/>
      <c r="J398" s="49"/>
      <c r="K398" s="49"/>
      <c r="L398" s="48"/>
      <c r="M398" s="48"/>
      <c r="N398" s="48"/>
      <c r="O398" s="48"/>
      <c r="P398" s="48"/>
      <c r="Q398" s="48"/>
      <c r="R398" s="48"/>
      <c r="S398" s="48"/>
      <c r="T398" s="48"/>
      <c r="U398" s="48"/>
      <c r="V398" s="48"/>
      <c r="W398" s="48"/>
      <c r="X398" s="48"/>
      <c r="Y398" s="48"/>
      <c r="Z398" s="48"/>
    </row>
    <row r="399" ht="15.75" customHeight="1">
      <c r="A399" s="49"/>
      <c r="B399" s="49"/>
      <c r="C399" s="49"/>
      <c r="D399" s="49"/>
      <c r="E399" s="49"/>
      <c r="F399" s="49"/>
      <c r="G399" s="49"/>
      <c r="H399" s="49"/>
      <c r="I399" s="49"/>
      <c r="J399" s="49"/>
      <c r="K399" s="49"/>
      <c r="L399" s="48"/>
      <c r="M399" s="48"/>
      <c r="N399" s="48"/>
      <c r="O399" s="48"/>
      <c r="P399" s="48"/>
      <c r="Q399" s="48"/>
      <c r="R399" s="48"/>
      <c r="S399" s="48"/>
      <c r="T399" s="48"/>
      <c r="U399" s="48"/>
      <c r="V399" s="48"/>
      <c r="W399" s="48"/>
      <c r="X399" s="48"/>
      <c r="Y399" s="48"/>
      <c r="Z399" s="48"/>
    </row>
    <row r="400" ht="15.75" customHeight="1">
      <c r="A400" s="49"/>
      <c r="B400" s="49"/>
      <c r="C400" s="49"/>
      <c r="D400" s="49"/>
      <c r="E400" s="49"/>
      <c r="F400" s="49"/>
      <c r="G400" s="49"/>
      <c r="H400" s="49"/>
      <c r="I400" s="49"/>
      <c r="J400" s="49"/>
      <c r="K400" s="49"/>
      <c r="L400" s="48"/>
      <c r="M400" s="48"/>
      <c r="N400" s="48"/>
      <c r="O400" s="48"/>
      <c r="P400" s="48"/>
      <c r="Q400" s="48"/>
      <c r="R400" s="48"/>
      <c r="S400" s="48"/>
      <c r="T400" s="48"/>
      <c r="U400" s="48"/>
      <c r="V400" s="48"/>
      <c r="W400" s="48"/>
      <c r="X400" s="48"/>
      <c r="Y400" s="48"/>
      <c r="Z400" s="48"/>
    </row>
    <row r="401" ht="15.75" customHeight="1">
      <c r="A401" s="49"/>
      <c r="B401" s="49"/>
      <c r="C401" s="49"/>
      <c r="D401" s="49"/>
      <c r="E401" s="49"/>
      <c r="F401" s="49"/>
      <c r="G401" s="49"/>
      <c r="H401" s="49"/>
      <c r="I401" s="49"/>
      <c r="J401" s="49"/>
      <c r="K401" s="49"/>
      <c r="L401" s="48"/>
      <c r="M401" s="48"/>
      <c r="N401" s="48"/>
      <c r="O401" s="48"/>
      <c r="P401" s="48"/>
      <c r="Q401" s="48"/>
      <c r="R401" s="48"/>
      <c r="S401" s="48"/>
      <c r="T401" s="48"/>
      <c r="U401" s="48"/>
      <c r="V401" s="48"/>
      <c r="W401" s="48"/>
      <c r="X401" s="48"/>
      <c r="Y401" s="48"/>
      <c r="Z401" s="48"/>
    </row>
    <row r="402" ht="15.75" customHeight="1">
      <c r="A402" s="49"/>
      <c r="B402" s="49"/>
      <c r="C402" s="49"/>
      <c r="D402" s="49"/>
      <c r="E402" s="49"/>
      <c r="F402" s="49"/>
      <c r="G402" s="49"/>
      <c r="H402" s="49"/>
      <c r="I402" s="49"/>
      <c r="J402" s="49"/>
      <c r="K402" s="49"/>
      <c r="L402" s="48"/>
      <c r="M402" s="48"/>
      <c r="N402" s="48"/>
      <c r="O402" s="48"/>
      <c r="P402" s="48"/>
      <c r="Q402" s="48"/>
      <c r="R402" s="48"/>
      <c r="S402" s="48"/>
      <c r="T402" s="48"/>
      <c r="U402" s="48"/>
      <c r="V402" s="48"/>
      <c r="W402" s="48"/>
      <c r="X402" s="48"/>
      <c r="Y402" s="48"/>
      <c r="Z402" s="48"/>
    </row>
    <row r="403" ht="15.75" customHeight="1">
      <c r="A403" s="49"/>
      <c r="B403" s="49"/>
      <c r="C403" s="49"/>
      <c r="D403" s="49"/>
      <c r="E403" s="49"/>
      <c r="F403" s="49"/>
      <c r="G403" s="49"/>
      <c r="H403" s="49"/>
      <c r="I403" s="49"/>
      <c r="J403" s="49"/>
      <c r="K403" s="49"/>
      <c r="L403" s="48"/>
      <c r="M403" s="48"/>
      <c r="N403" s="48"/>
      <c r="O403" s="48"/>
      <c r="P403" s="48"/>
      <c r="Q403" s="48"/>
      <c r="R403" s="48"/>
      <c r="S403" s="48"/>
      <c r="T403" s="48"/>
      <c r="U403" s="48"/>
      <c r="V403" s="48"/>
      <c r="W403" s="48"/>
      <c r="X403" s="48"/>
      <c r="Y403" s="48"/>
      <c r="Z403" s="48"/>
    </row>
    <row r="404" ht="15.75" customHeight="1">
      <c r="A404" s="49"/>
      <c r="B404" s="49"/>
      <c r="C404" s="49"/>
      <c r="D404" s="49"/>
      <c r="E404" s="49"/>
      <c r="F404" s="49"/>
      <c r="G404" s="49"/>
      <c r="H404" s="49"/>
      <c r="I404" s="49"/>
      <c r="J404" s="49"/>
      <c r="K404" s="49"/>
      <c r="L404" s="48"/>
      <c r="M404" s="48"/>
      <c r="N404" s="48"/>
      <c r="O404" s="48"/>
      <c r="P404" s="48"/>
      <c r="Q404" s="48"/>
      <c r="R404" s="48"/>
      <c r="S404" s="48"/>
      <c r="T404" s="48"/>
      <c r="U404" s="48"/>
      <c r="V404" s="48"/>
      <c r="W404" s="48"/>
      <c r="X404" s="48"/>
      <c r="Y404" s="48"/>
      <c r="Z404" s="48"/>
    </row>
    <row r="405" ht="15.75" customHeight="1">
      <c r="A405" s="49"/>
      <c r="B405" s="49"/>
      <c r="C405" s="49"/>
      <c r="D405" s="49"/>
      <c r="E405" s="49"/>
      <c r="F405" s="49"/>
      <c r="G405" s="49"/>
      <c r="H405" s="49"/>
      <c r="I405" s="49"/>
      <c r="J405" s="49"/>
      <c r="K405" s="49"/>
      <c r="L405" s="48"/>
      <c r="M405" s="48"/>
      <c r="N405" s="48"/>
      <c r="O405" s="48"/>
      <c r="P405" s="48"/>
      <c r="Q405" s="48"/>
      <c r="R405" s="48"/>
      <c r="S405" s="48"/>
      <c r="T405" s="48"/>
      <c r="U405" s="48"/>
      <c r="V405" s="48"/>
      <c r="W405" s="48"/>
      <c r="X405" s="48"/>
      <c r="Y405" s="48"/>
      <c r="Z405" s="48"/>
    </row>
    <row r="406" ht="15.75" customHeight="1">
      <c r="A406" s="49"/>
      <c r="B406" s="49"/>
      <c r="C406" s="49"/>
      <c r="D406" s="49"/>
      <c r="E406" s="49"/>
      <c r="F406" s="49"/>
      <c r="G406" s="49"/>
      <c r="H406" s="49"/>
      <c r="I406" s="49"/>
      <c r="J406" s="49"/>
      <c r="K406" s="49"/>
      <c r="L406" s="48"/>
      <c r="M406" s="48"/>
      <c r="N406" s="48"/>
      <c r="O406" s="48"/>
      <c r="P406" s="48"/>
      <c r="Q406" s="48"/>
      <c r="R406" s="48"/>
      <c r="S406" s="48"/>
      <c r="T406" s="48"/>
      <c r="U406" s="48"/>
      <c r="V406" s="48"/>
      <c r="W406" s="48"/>
      <c r="X406" s="48"/>
      <c r="Y406" s="48"/>
      <c r="Z406" s="48"/>
    </row>
    <row r="407" ht="15.75" customHeight="1">
      <c r="A407" s="49"/>
      <c r="B407" s="49"/>
      <c r="C407" s="49"/>
      <c r="D407" s="49"/>
      <c r="E407" s="49"/>
      <c r="F407" s="49"/>
      <c r="G407" s="49"/>
      <c r="H407" s="49"/>
      <c r="I407" s="49"/>
      <c r="J407" s="49"/>
      <c r="K407" s="49"/>
      <c r="L407" s="48"/>
      <c r="M407" s="48"/>
      <c r="N407" s="48"/>
      <c r="O407" s="48"/>
      <c r="P407" s="48"/>
      <c r="Q407" s="48"/>
      <c r="R407" s="48"/>
      <c r="S407" s="48"/>
      <c r="T407" s="48"/>
      <c r="U407" s="48"/>
      <c r="V407" s="48"/>
      <c r="W407" s="48"/>
      <c r="X407" s="48"/>
      <c r="Y407" s="48"/>
      <c r="Z407" s="48"/>
    </row>
    <row r="408" ht="15.75" customHeight="1">
      <c r="A408" s="49"/>
      <c r="B408" s="49"/>
      <c r="C408" s="49"/>
      <c r="D408" s="49"/>
      <c r="E408" s="49"/>
      <c r="F408" s="49"/>
      <c r="G408" s="49"/>
      <c r="H408" s="49"/>
      <c r="I408" s="49"/>
      <c r="J408" s="49"/>
      <c r="K408" s="49"/>
      <c r="L408" s="48"/>
      <c r="M408" s="48"/>
      <c r="N408" s="48"/>
      <c r="O408" s="48"/>
      <c r="P408" s="48"/>
      <c r="Q408" s="48"/>
      <c r="R408" s="48"/>
      <c r="S408" s="48"/>
      <c r="T408" s="48"/>
      <c r="U408" s="48"/>
      <c r="V408" s="48"/>
      <c r="W408" s="48"/>
      <c r="X408" s="48"/>
      <c r="Y408" s="48"/>
      <c r="Z408" s="48"/>
    </row>
    <row r="409" ht="15.75" customHeight="1">
      <c r="A409" s="49"/>
      <c r="B409" s="49"/>
      <c r="C409" s="49"/>
      <c r="D409" s="49"/>
      <c r="E409" s="49"/>
      <c r="F409" s="49"/>
      <c r="G409" s="49"/>
      <c r="H409" s="49"/>
      <c r="I409" s="49"/>
      <c r="J409" s="49"/>
      <c r="K409" s="49"/>
      <c r="L409" s="48"/>
      <c r="M409" s="48"/>
      <c r="N409" s="48"/>
      <c r="O409" s="48"/>
      <c r="P409" s="48"/>
      <c r="Q409" s="48"/>
      <c r="R409" s="48"/>
      <c r="S409" s="48"/>
      <c r="T409" s="48"/>
      <c r="U409" s="48"/>
      <c r="V409" s="48"/>
      <c r="W409" s="48"/>
      <c r="X409" s="48"/>
      <c r="Y409" s="48"/>
      <c r="Z409" s="48"/>
    </row>
    <row r="410" ht="15.75" customHeight="1">
      <c r="A410" s="49"/>
      <c r="B410" s="49"/>
      <c r="C410" s="49"/>
      <c r="D410" s="49"/>
      <c r="E410" s="49"/>
      <c r="F410" s="49"/>
      <c r="G410" s="49"/>
      <c r="H410" s="49"/>
      <c r="I410" s="49"/>
      <c r="J410" s="49"/>
      <c r="K410" s="49"/>
      <c r="L410" s="48"/>
      <c r="M410" s="48"/>
      <c r="N410" s="48"/>
      <c r="O410" s="48"/>
      <c r="P410" s="48"/>
      <c r="Q410" s="48"/>
      <c r="R410" s="48"/>
      <c r="S410" s="48"/>
      <c r="T410" s="48"/>
      <c r="U410" s="48"/>
      <c r="V410" s="48"/>
      <c r="W410" s="48"/>
      <c r="X410" s="48"/>
      <c r="Y410" s="48"/>
      <c r="Z410" s="48"/>
    </row>
    <row r="411" ht="15.75" customHeight="1">
      <c r="A411" s="49"/>
      <c r="B411" s="49"/>
      <c r="C411" s="49"/>
      <c r="D411" s="49"/>
      <c r="E411" s="49"/>
      <c r="F411" s="49"/>
      <c r="G411" s="49"/>
      <c r="H411" s="49"/>
      <c r="I411" s="49"/>
      <c r="J411" s="49"/>
      <c r="K411" s="49"/>
      <c r="L411" s="48"/>
      <c r="M411" s="48"/>
      <c r="N411" s="48"/>
      <c r="O411" s="48"/>
      <c r="P411" s="48"/>
      <c r="Q411" s="48"/>
      <c r="R411" s="48"/>
      <c r="S411" s="48"/>
      <c r="T411" s="48"/>
      <c r="U411" s="48"/>
      <c r="V411" s="48"/>
      <c r="W411" s="48"/>
      <c r="X411" s="48"/>
      <c r="Y411" s="48"/>
      <c r="Z411" s="48"/>
    </row>
    <row r="412" ht="15.75" customHeight="1">
      <c r="A412" s="49"/>
      <c r="B412" s="49"/>
      <c r="C412" s="49"/>
      <c r="D412" s="49"/>
      <c r="E412" s="49"/>
      <c r="F412" s="49"/>
      <c r="G412" s="49"/>
      <c r="H412" s="49"/>
      <c r="I412" s="49"/>
      <c r="J412" s="49"/>
      <c r="K412" s="49"/>
      <c r="L412" s="48"/>
      <c r="M412" s="48"/>
      <c r="N412" s="48"/>
      <c r="O412" s="48"/>
      <c r="P412" s="48"/>
      <c r="Q412" s="48"/>
      <c r="R412" s="48"/>
      <c r="S412" s="48"/>
      <c r="T412" s="48"/>
      <c r="U412" s="48"/>
      <c r="V412" s="48"/>
      <c r="W412" s="48"/>
      <c r="X412" s="48"/>
      <c r="Y412" s="48"/>
      <c r="Z412" s="48"/>
    </row>
    <row r="413" ht="15.75" customHeight="1">
      <c r="A413" s="49"/>
      <c r="B413" s="49"/>
      <c r="C413" s="49"/>
      <c r="D413" s="49"/>
      <c r="E413" s="49"/>
      <c r="F413" s="49"/>
      <c r="G413" s="49"/>
      <c r="H413" s="49"/>
      <c r="I413" s="49"/>
      <c r="J413" s="49"/>
      <c r="K413" s="49"/>
      <c r="L413" s="48"/>
      <c r="M413" s="48"/>
      <c r="N413" s="48"/>
      <c r="O413" s="48"/>
      <c r="P413" s="48"/>
      <c r="Q413" s="48"/>
      <c r="R413" s="48"/>
      <c r="S413" s="48"/>
      <c r="T413" s="48"/>
      <c r="U413" s="48"/>
      <c r="V413" s="48"/>
      <c r="W413" s="48"/>
      <c r="X413" s="48"/>
      <c r="Y413" s="48"/>
      <c r="Z413" s="48"/>
    </row>
    <row r="414" ht="15.75" customHeight="1">
      <c r="A414" s="49"/>
      <c r="B414" s="49"/>
      <c r="C414" s="49"/>
      <c r="D414" s="49"/>
      <c r="E414" s="49"/>
      <c r="F414" s="49"/>
      <c r="G414" s="49"/>
      <c r="H414" s="49"/>
      <c r="I414" s="49"/>
      <c r="J414" s="49"/>
      <c r="K414" s="49"/>
      <c r="L414" s="48"/>
      <c r="M414" s="48"/>
      <c r="N414" s="48"/>
      <c r="O414" s="48"/>
      <c r="P414" s="48"/>
      <c r="Q414" s="48"/>
      <c r="R414" s="48"/>
      <c r="S414" s="48"/>
      <c r="T414" s="48"/>
      <c r="U414" s="48"/>
      <c r="V414" s="48"/>
      <c r="W414" s="48"/>
      <c r="X414" s="48"/>
      <c r="Y414" s="48"/>
      <c r="Z414" s="48"/>
    </row>
    <row r="415" ht="15.75" customHeight="1">
      <c r="A415" s="49"/>
      <c r="B415" s="49"/>
      <c r="C415" s="49"/>
      <c r="D415" s="49"/>
      <c r="E415" s="49"/>
      <c r="F415" s="49"/>
      <c r="G415" s="49"/>
      <c r="H415" s="49"/>
      <c r="I415" s="49"/>
      <c r="J415" s="49"/>
      <c r="K415" s="49"/>
      <c r="L415" s="48"/>
      <c r="M415" s="48"/>
      <c r="N415" s="48"/>
      <c r="O415" s="48"/>
      <c r="P415" s="48"/>
      <c r="Q415" s="48"/>
      <c r="R415" s="48"/>
      <c r="S415" s="48"/>
      <c r="T415" s="48"/>
      <c r="U415" s="48"/>
      <c r="V415" s="48"/>
      <c r="W415" s="48"/>
      <c r="X415" s="48"/>
      <c r="Y415" s="48"/>
      <c r="Z415" s="48"/>
    </row>
    <row r="416" ht="15.75" customHeight="1">
      <c r="A416" s="49"/>
      <c r="B416" s="49"/>
      <c r="C416" s="49"/>
      <c r="D416" s="49"/>
      <c r="E416" s="49"/>
      <c r="F416" s="49"/>
      <c r="G416" s="49"/>
      <c r="H416" s="49"/>
      <c r="I416" s="49"/>
      <c r="J416" s="49"/>
      <c r="K416" s="49"/>
      <c r="L416" s="48"/>
      <c r="M416" s="48"/>
      <c r="N416" s="48"/>
      <c r="O416" s="48"/>
      <c r="P416" s="48"/>
      <c r="Q416" s="48"/>
      <c r="R416" s="48"/>
      <c r="S416" s="48"/>
      <c r="T416" s="48"/>
      <c r="U416" s="48"/>
      <c r="V416" s="48"/>
      <c r="W416" s="48"/>
      <c r="X416" s="48"/>
      <c r="Y416" s="48"/>
      <c r="Z416" s="48"/>
    </row>
    <row r="417" ht="15.75" customHeight="1">
      <c r="A417" s="49"/>
      <c r="B417" s="49"/>
      <c r="C417" s="49"/>
      <c r="D417" s="49"/>
      <c r="E417" s="49"/>
      <c r="F417" s="49"/>
      <c r="G417" s="49"/>
      <c r="H417" s="49"/>
      <c r="I417" s="49"/>
      <c r="J417" s="49"/>
      <c r="K417" s="49"/>
      <c r="L417" s="48"/>
      <c r="M417" s="48"/>
      <c r="N417" s="48"/>
      <c r="O417" s="48"/>
      <c r="P417" s="48"/>
      <c r="Q417" s="48"/>
      <c r="R417" s="48"/>
      <c r="S417" s="48"/>
      <c r="T417" s="48"/>
      <c r="U417" s="48"/>
      <c r="V417" s="48"/>
      <c r="W417" s="48"/>
      <c r="X417" s="48"/>
      <c r="Y417" s="48"/>
      <c r="Z417" s="48"/>
    </row>
    <row r="418" ht="15.75" customHeight="1">
      <c r="A418" s="49"/>
      <c r="B418" s="49"/>
      <c r="C418" s="49"/>
      <c r="D418" s="49"/>
      <c r="E418" s="49"/>
      <c r="F418" s="49"/>
      <c r="G418" s="49"/>
      <c r="H418" s="49"/>
      <c r="I418" s="49"/>
      <c r="J418" s="49"/>
      <c r="K418" s="49"/>
      <c r="L418" s="48"/>
      <c r="M418" s="48"/>
      <c r="N418" s="48"/>
      <c r="O418" s="48"/>
      <c r="P418" s="48"/>
      <c r="Q418" s="48"/>
      <c r="R418" s="48"/>
      <c r="S418" s="48"/>
      <c r="T418" s="48"/>
      <c r="U418" s="48"/>
      <c r="V418" s="48"/>
      <c r="W418" s="48"/>
      <c r="X418" s="48"/>
      <c r="Y418" s="48"/>
      <c r="Z418" s="48"/>
    </row>
    <row r="419" ht="15.75" customHeight="1">
      <c r="A419" s="49"/>
      <c r="B419" s="49"/>
      <c r="C419" s="49"/>
      <c r="D419" s="49"/>
      <c r="E419" s="49"/>
      <c r="F419" s="49"/>
      <c r="G419" s="49"/>
      <c r="H419" s="49"/>
      <c r="I419" s="49"/>
      <c r="J419" s="49"/>
      <c r="K419" s="49"/>
      <c r="L419" s="48"/>
      <c r="M419" s="48"/>
      <c r="N419" s="48"/>
      <c r="O419" s="48"/>
      <c r="P419" s="48"/>
      <c r="Q419" s="48"/>
      <c r="R419" s="48"/>
      <c r="S419" s="48"/>
      <c r="T419" s="48"/>
      <c r="U419" s="48"/>
      <c r="V419" s="48"/>
      <c r="W419" s="48"/>
      <c r="X419" s="48"/>
      <c r="Y419" s="48"/>
      <c r="Z419" s="48"/>
    </row>
    <row r="420" ht="15.75" customHeight="1">
      <c r="A420" s="49"/>
      <c r="B420" s="49"/>
      <c r="C420" s="49"/>
      <c r="D420" s="49"/>
      <c r="E420" s="49"/>
      <c r="F420" s="49"/>
      <c r="G420" s="49"/>
      <c r="H420" s="49"/>
      <c r="I420" s="49"/>
      <c r="J420" s="49"/>
      <c r="K420" s="49"/>
      <c r="L420" s="48"/>
      <c r="M420" s="48"/>
      <c r="N420" s="48"/>
      <c r="O420" s="48"/>
      <c r="P420" s="48"/>
      <c r="Q420" s="48"/>
      <c r="R420" s="48"/>
      <c r="S420" s="48"/>
      <c r="T420" s="48"/>
      <c r="U420" s="48"/>
      <c r="V420" s="48"/>
      <c r="W420" s="48"/>
      <c r="X420" s="48"/>
      <c r="Y420" s="48"/>
      <c r="Z420" s="48"/>
    </row>
    <row r="421" ht="15.75" customHeight="1">
      <c r="A421" s="49"/>
      <c r="B421" s="49"/>
      <c r="C421" s="49"/>
      <c r="D421" s="49"/>
      <c r="E421" s="49"/>
      <c r="F421" s="49"/>
      <c r="G421" s="49"/>
      <c r="H421" s="49"/>
      <c r="I421" s="49"/>
      <c r="J421" s="49"/>
      <c r="K421" s="49"/>
      <c r="L421" s="48"/>
      <c r="M421" s="48"/>
      <c r="N421" s="48"/>
      <c r="O421" s="48"/>
      <c r="P421" s="48"/>
      <c r="Q421" s="48"/>
      <c r="R421" s="48"/>
      <c r="S421" s="48"/>
      <c r="T421" s="48"/>
      <c r="U421" s="48"/>
      <c r="V421" s="48"/>
      <c r="W421" s="48"/>
      <c r="X421" s="48"/>
      <c r="Y421" s="48"/>
      <c r="Z421" s="48"/>
    </row>
    <row r="422" ht="15.75" customHeight="1">
      <c r="A422" s="49"/>
      <c r="B422" s="49"/>
      <c r="C422" s="49"/>
      <c r="D422" s="49"/>
      <c r="E422" s="49"/>
      <c r="F422" s="49"/>
      <c r="G422" s="49"/>
      <c r="H422" s="49"/>
      <c r="I422" s="49"/>
      <c r="J422" s="49"/>
      <c r="K422" s="49"/>
      <c r="L422" s="48"/>
      <c r="M422" s="48"/>
      <c r="N422" s="48"/>
      <c r="O422" s="48"/>
      <c r="P422" s="48"/>
      <c r="Q422" s="48"/>
      <c r="R422" s="48"/>
      <c r="S422" s="48"/>
      <c r="T422" s="48"/>
      <c r="U422" s="48"/>
      <c r="V422" s="48"/>
      <c r="W422" s="48"/>
      <c r="X422" s="48"/>
      <c r="Y422" s="48"/>
      <c r="Z422" s="48"/>
    </row>
    <row r="423" ht="15.75" customHeight="1">
      <c r="A423" s="49"/>
      <c r="B423" s="49"/>
      <c r="C423" s="49"/>
      <c r="D423" s="49"/>
      <c r="E423" s="49"/>
      <c r="F423" s="49"/>
      <c r="G423" s="49"/>
      <c r="H423" s="49"/>
      <c r="I423" s="49"/>
      <c r="J423" s="49"/>
      <c r="K423" s="49"/>
      <c r="L423" s="48"/>
      <c r="M423" s="48"/>
      <c r="N423" s="48"/>
      <c r="O423" s="48"/>
      <c r="P423" s="48"/>
      <c r="Q423" s="48"/>
      <c r="R423" s="48"/>
      <c r="S423" s="48"/>
      <c r="T423" s="48"/>
      <c r="U423" s="48"/>
      <c r="V423" s="48"/>
      <c r="W423" s="48"/>
      <c r="X423" s="48"/>
      <c r="Y423" s="48"/>
      <c r="Z423" s="48"/>
    </row>
    <row r="424" ht="15.75" customHeight="1">
      <c r="A424" s="49"/>
      <c r="B424" s="49"/>
      <c r="C424" s="49"/>
      <c r="D424" s="49"/>
      <c r="E424" s="49"/>
      <c r="F424" s="49"/>
      <c r="G424" s="49"/>
      <c r="H424" s="49"/>
      <c r="I424" s="49"/>
      <c r="J424" s="49"/>
      <c r="K424" s="49"/>
      <c r="L424" s="48"/>
      <c r="M424" s="48"/>
      <c r="N424" s="48"/>
      <c r="O424" s="48"/>
      <c r="P424" s="48"/>
      <c r="Q424" s="48"/>
      <c r="R424" s="48"/>
      <c r="S424" s="48"/>
      <c r="T424" s="48"/>
      <c r="U424" s="48"/>
      <c r="V424" s="48"/>
      <c r="W424" s="48"/>
      <c r="X424" s="48"/>
      <c r="Y424" s="48"/>
      <c r="Z424" s="48"/>
    </row>
    <row r="425" ht="15.75" customHeight="1">
      <c r="A425" s="49"/>
      <c r="B425" s="49"/>
      <c r="C425" s="49"/>
      <c r="D425" s="49"/>
      <c r="E425" s="49"/>
      <c r="F425" s="49"/>
      <c r="G425" s="49"/>
      <c r="H425" s="49"/>
      <c r="I425" s="49"/>
      <c r="J425" s="49"/>
      <c r="K425" s="49"/>
      <c r="L425" s="48"/>
      <c r="M425" s="48"/>
      <c r="N425" s="48"/>
      <c r="O425" s="48"/>
      <c r="P425" s="48"/>
      <c r="Q425" s="48"/>
      <c r="R425" s="48"/>
      <c r="S425" s="48"/>
      <c r="T425" s="48"/>
      <c r="U425" s="48"/>
      <c r="V425" s="48"/>
      <c r="W425" s="48"/>
      <c r="X425" s="48"/>
      <c r="Y425" s="48"/>
      <c r="Z425" s="48"/>
    </row>
    <row r="426" ht="15.75" customHeight="1">
      <c r="A426" s="49"/>
      <c r="B426" s="49"/>
      <c r="C426" s="49"/>
      <c r="D426" s="49"/>
      <c r="E426" s="49"/>
      <c r="F426" s="49"/>
      <c r="G426" s="49"/>
      <c r="H426" s="49"/>
      <c r="I426" s="49"/>
      <c r="J426" s="49"/>
      <c r="K426" s="49"/>
      <c r="L426" s="48"/>
      <c r="M426" s="48"/>
      <c r="N426" s="48"/>
      <c r="O426" s="48"/>
      <c r="P426" s="48"/>
      <c r="Q426" s="48"/>
      <c r="R426" s="48"/>
      <c r="S426" s="48"/>
      <c r="T426" s="48"/>
      <c r="U426" s="48"/>
      <c r="V426" s="48"/>
      <c r="W426" s="48"/>
      <c r="X426" s="48"/>
      <c r="Y426" s="48"/>
      <c r="Z426" s="48"/>
    </row>
    <row r="427" ht="15.75" customHeight="1">
      <c r="A427" s="49"/>
      <c r="B427" s="49"/>
      <c r="C427" s="49"/>
      <c r="D427" s="49"/>
      <c r="E427" s="49"/>
      <c r="F427" s="49"/>
      <c r="G427" s="49"/>
      <c r="H427" s="49"/>
      <c r="I427" s="49"/>
      <c r="J427" s="49"/>
      <c r="K427" s="49"/>
      <c r="L427" s="48"/>
      <c r="M427" s="48"/>
      <c r="N427" s="48"/>
      <c r="O427" s="48"/>
      <c r="P427" s="48"/>
      <c r="Q427" s="48"/>
      <c r="R427" s="48"/>
      <c r="S427" s="48"/>
      <c r="T427" s="48"/>
      <c r="U427" s="48"/>
      <c r="V427" s="48"/>
      <c r="W427" s="48"/>
      <c r="X427" s="48"/>
      <c r="Y427" s="48"/>
      <c r="Z427" s="48"/>
    </row>
    <row r="428" ht="15.75" customHeight="1">
      <c r="A428" s="49"/>
      <c r="B428" s="49"/>
      <c r="C428" s="49"/>
      <c r="D428" s="49"/>
      <c r="E428" s="49"/>
      <c r="F428" s="49"/>
      <c r="G428" s="49"/>
      <c r="H428" s="49"/>
      <c r="I428" s="49"/>
      <c r="J428" s="49"/>
      <c r="K428" s="49"/>
      <c r="L428" s="48"/>
      <c r="M428" s="48"/>
      <c r="N428" s="48"/>
      <c r="O428" s="48"/>
      <c r="P428" s="48"/>
      <c r="Q428" s="48"/>
      <c r="R428" s="48"/>
      <c r="S428" s="48"/>
      <c r="T428" s="48"/>
      <c r="U428" s="48"/>
      <c r="V428" s="48"/>
      <c r="W428" s="48"/>
      <c r="X428" s="48"/>
      <c r="Y428" s="48"/>
      <c r="Z428" s="48"/>
    </row>
    <row r="429" ht="15.75" customHeight="1">
      <c r="A429" s="49"/>
      <c r="B429" s="49"/>
      <c r="C429" s="49"/>
      <c r="D429" s="49"/>
      <c r="E429" s="49"/>
      <c r="F429" s="49"/>
      <c r="G429" s="49"/>
      <c r="H429" s="49"/>
      <c r="I429" s="49"/>
      <c r="J429" s="49"/>
      <c r="K429" s="49"/>
      <c r="L429" s="48"/>
      <c r="M429" s="48"/>
      <c r="N429" s="48"/>
      <c r="O429" s="48"/>
      <c r="P429" s="48"/>
      <c r="Q429" s="48"/>
      <c r="R429" s="48"/>
      <c r="S429" s="48"/>
      <c r="T429" s="48"/>
      <c r="U429" s="48"/>
      <c r="V429" s="48"/>
      <c r="W429" s="48"/>
      <c r="X429" s="48"/>
      <c r="Y429" s="48"/>
      <c r="Z429" s="48"/>
    </row>
    <row r="430" ht="15.75" customHeight="1">
      <c r="A430" s="49"/>
      <c r="B430" s="49"/>
      <c r="C430" s="49"/>
      <c r="D430" s="49"/>
      <c r="E430" s="49"/>
      <c r="F430" s="49"/>
      <c r="G430" s="49"/>
      <c r="H430" s="49"/>
      <c r="I430" s="49"/>
      <c r="J430" s="49"/>
      <c r="K430" s="49"/>
      <c r="L430" s="48"/>
      <c r="M430" s="48"/>
      <c r="N430" s="48"/>
      <c r="O430" s="48"/>
      <c r="P430" s="48"/>
      <c r="Q430" s="48"/>
      <c r="R430" s="48"/>
      <c r="S430" s="48"/>
      <c r="T430" s="48"/>
      <c r="U430" s="48"/>
      <c r="V430" s="48"/>
      <c r="W430" s="48"/>
      <c r="X430" s="48"/>
      <c r="Y430" s="48"/>
      <c r="Z430" s="48"/>
    </row>
    <row r="431" ht="15.75" customHeight="1">
      <c r="A431" s="49"/>
      <c r="B431" s="49"/>
      <c r="C431" s="49"/>
      <c r="D431" s="49"/>
      <c r="E431" s="49"/>
      <c r="F431" s="49"/>
      <c r="G431" s="49"/>
      <c r="H431" s="49"/>
      <c r="I431" s="49"/>
      <c r="J431" s="49"/>
      <c r="K431" s="49"/>
      <c r="L431" s="48"/>
      <c r="M431" s="48"/>
      <c r="N431" s="48"/>
      <c r="O431" s="48"/>
      <c r="P431" s="48"/>
      <c r="Q431" s="48"/>
      <c r="R431" s="48"/>
      <c r="S431" s="48"/>
      <c r="T431" s="48"/>
      <c r="U431" s="48"/>
      <c r="V431" s="48"/>
      <c r="W431" s="48"/>
      <c r="X431" s="48"/>
      <c r="Y431" s="48"/>
      <c r="Z431" s="48"/>
    </row>
    <row r="432" ht="15.75" customHeight="1">
      <c r="A432" s="49"/>
      <c r="B432" s="49"/>
      <c r="C432" s="49"/>
      <c r="D432" s="49"/>
      <c r="E432" s="49"/>
      <c r="F432" s="49"/>
      <c r="G432" s="49"/>
      <c r="H432" s="49"/>
      <c r="I432" s="49"/>
      <c r="J432" s="49"/>
      <c r="K432" s="49"/>
      <c r="L432" s="48"/>
      <c r="M432" s="48"/>
      <c r="N432" s="48"/>
      <c r="O432" s="48"/>
      <c r="P432" s="48"/>
      <c r="Q432" s="48"/>
      <c r="R432" s="48"/>
      <c r="S432" s="48"/>
      <c r="T432" s="48"/>
      <c r="U432" s="48"/>
      <c r="V432" s="48"/>
      <c r="W432" s="48"/>
      <c r="X432" s="48"/>
      <c r="Y432" s="48"/>
      <c r="Z432" s="48"/>
    </row>
    <row r="433" ht="15.75" customHeight="1">
      <c r="A433" s="49"/>
      <c r="B433" s="49"/>
      <c r="C433" s="49"/>
      <c r="D433" s="49"/>
      <c r="E433" s="49"/>
      <c r="F433" s="49"/>
      <c r="G433" s="49"/>
      <c r="H433" s="49"/>
      <c r="I433" s="49"/>
      <c r="J433" s="49"/>
      <c r="K433" s="49"/>
      <c r="L433" s="48"/>
      <c r="M433" s="48"/>
      <c r="N433" s="48"/>
      <c r="O433" s="48"/>
      <c r="P433" s="48"/>
      <c r="Q433" s="48"/>
      <c r="R433" s="48"/>
      <c r="S433" s="48"/>
      <c r="T433" s="48"/>
      <c r="U433" s="48"/>
      <c r="V433" s="48"/>
      <c r="W433" s="48"/>
      <c r="X433" s="48"/>
      <c r="Y433" s="48"/>
      <c r="Z433" s="48"/>
    </row>
    <row r="434" ht="15.75" customHeight="1">
      <c r="A434" s="49"/>
      <c r="B434" s="49"/>
      <c r="C434" s="49"/>
      <c r="D434" s="49"/>
      <c r="E434" s="49"/>
      <c r="F434" s="49"/>
      <c r="G434" s="49"/>
      <c r="H434" s="49"/>
      <c r="I434" s="49"/>
      <c r="J434" s="49"/>
      <c r="K434" s="49"/>
      <c r="L434" s="48"/>
      <c r="M434" s="48"/>
      <c r="N434" s="48"/>
      <c r="O434" s="48"/>
      <c r="P434" s="48"/>
      <c r="Q434" s="48"/>
      <c r="R434" s="48"/>
      <c r="S434" s="48"/>
      <c r="T434" s="48"/>
      <c r="U434" s="48"/>
      <c r="V434" s="48"/>
      <c r="W434" s="48"/>
      <c r="X434" s="48"/>
      <c r="Y434" s="48"/>
      <c r="Z434" s="48"/>
    </row>
    <row r="435" ht="15.75" customHeight="1">
      <c r="A435" s="49"/>
      <c r="B435" s="49"/>
      <c r="C435" s="49"/>
      <c r="D435" s="49"/>
      <c r="E435" s="49"/>
      <c r="F435" s="49"/>
      <c r="G435" s="49"/>
      <c r="H435" s="49"/>
      <c r="I435" s="49"/>
      <c r="J435" s="49"/>
      <c r="K435" s="49"/>
      <c r="L435" s="48"/>
      <c r="M435" s="48"/>
      <c r="N435" s="48"/>
      <c r="O435" s="48"/>
      <c r="P435" s="48"/>
      <c r="Q435" s="48"/>
      <c r="R435" s="48"/>
      <c r="S435" s="48"/>
      <c r="T435" s="48"/>
      <c r="U435" s="48"/>
      <c r="V435" s="48"/>
      <c r="W435" s="48"/>
      <c r="X435" s="48"/>
      <c r="Y435" s="48"/>
      <c r="Z435" s="48"/>
    </row>
    <row r="436" ht="15.75" customHeight="1">
      <c r="A436" s="49"/>
      <c r="B436" s="49"/>
      <c r="C436" s="49"/>
      <c r="D436" s="49"/>
      <c r="E436" s="49"/>
      <c r="F436" s="49"/>
      <c r="G436" s="49"/>
      <c r="H436" s="49"/>
      <c r="I436" s="49"/>
      <c r="J436" s="49"/>
      <c r="K436" s="49"/>
      <c r="L436" s="48"/>
      <c r="M436" s="48"/>
      <c r="N436" s="48"/>
      <c r="O436" s="48"/>
      <c r="P436" s="48"/>
      <c r="Q436" s="48"/>
      <c r="R436" s="48"/>
      <c r="S436" s="48"/>
      <c r="T436" s="48"/>
      <c r="U436" s="48"/>
      <c r="V436" s="48"/>
      <c r="W436" s="48"/>
      <c r="X436" s="48"/>
      <c r="Y436" s="48"/>
      <c r="Z436" s="48"/>
    </row>
    <row r="437" ht="15.75" customHeight="1">
      <c r="A437" s="49"/>
      <c r="B437" s="49"/>
      <c r="C437" s="49"/>
      <c r="D437" s="49"/>
      <c r="E437" s="49"/>
      <c r="F437" s="49"/>
      <c r="G437" s="49"/>
      <c r="H437" s="49"/>
      <c r="I437" s="49"/>
      <c r="J437" s="49"/>
      <c r="K437" s="49"/>
      <c r="L437" s="48"/>
      <c r="M437" s="48"/>
      <c r="N437" s="48"/>
      <c r="O437" s="48"/>
      <c r="P437" s="48"/>
      <c r="Q437" s="48"/>
      <c r="R437" s="48"/>
      <c r="S437" s="48"/>
      <c r="T437" s="48"/>
      <c r="U437" s="48"/>
      <c r="V437" s="48"/>
      <c r="W437" s="48"/>
      <c r="X437" s="48"/>
      <c r="Y437" s="48"/>
      <c r="Z437" s="48"/>
    </row>
    <row r="438" ht="15.75" customHeight="1">
      <c r="A438" s="49"/>
      <c r="B438" s="49"/>
      <c r="C438" s="49"/>
      <c r="D438" s="49"/>
      <c r="E438" s="49"/>
      <c r="F438" s="49"/>
      <c r="G438" s="49"/>
      <c r="H438" s="49"/>
      <c r="I438" s="49"/>
      <c r="J438" s="49"/>
      <c r="K438" s="49"/>
      <c r="L438" s="48"/>
      <c r="M438" s="48"/>
      <c r="N438" s="48"/>
      <c r="O438" s="48"/>
      <c r="P438" s="48"/>
      <c r="Q438" s="48"/>
      <c r="R438" s="48"/>
      <c r="S438" s="48"/>
      <c r="T438" s="48"/>
      <c r="U438" s="48"/>
      <c r="V438" s="48"/>
      <c r="W438" s="48"/>
      <c r="X438" s="48"/>
      <c r="Y438" s="48"/>
      <c r="Z438" s="48"/>
    </row>
    <row r="439" ht="15.75" customHeight="1">
      <c r="A439" s="49"/>
      <c r="B439" s="49"/>
      <c r="C439" s="49"/>
      <c r="D439" s="49"/>
      <c r="E439" s="49"/>
      <c r="F439" s="49"/>
      <c r="G439" s="49"/>
      <c r="H439" s="49"/>
      <c r="I439" s="49"/>
      <c r="J439" s="49"/>
      <c r="K439" s="49"/>
      <c r="L439" s="48"/>
      <c r="M439" s="48"/>
      <c r="N439" s="48"/>
      <c r="O439" s="48"/>
      <c r="P439" s="48"/>
      <c r="Q439" s="48"/>
      <c r="R439" s="48"/>
      <c r="S439" s="48"/>
      <c r="T439" s="48"/>
      <c r="U439" s="48"/>
      <c r="V439" s="48"/>
      <c r="W439" s="48"/>
      <c r="X439" s="48"/>
      <c r="Y439" s="48"/>
      <c r="Z439" s="48"/>
    </row>
    <row r="440" ht="15.75" customHeight="1">
      <c r="A440" s="49"/>
      <c r="B440" s="49"/>
      <c r="C440" s="49"/>
      <c r="D440" s="49"/>
      <c r="E440" s="49"/>
      <c r="F440" s="49"/>
      <c r="G440" s="49"/>
      <c r="H440" s="49"/>
      <c r="I440" s="49"/>
      <c r="J440" s="49"/>
      <c r="K440" s="49"/>
      <c r="L440" s="48"/>
      <c r="M440" s="48"/>
      <c r="N440" s="48"/>
      <c r="O440" s="48"/>
      <c r="P440" s="48"/>
      <c r="Q440" s="48"/>
      <c r="R440" s="48"/>
      <c r="S440" s="48"/>
      <c r="T440" s="48"/>
      <c r="U440" s="48"/>
      <c r="V440" s="48"/>
      <c r="W440" s="48"/>
      <c r="X440" s="48"/>
      <c r="Y440" s="48"/>
      <c r="Z440" s="48"/>
    </row>
    <row r="441" ht="15.75" customHeight="1">
      <c r="A441" s="49"/>
      <c r="B441" s="49"/>
      <c r="C441" s="49"/>
      <c r="D441" s="49"/>
      <c r="E441" s="49"/>
      <c r="F441" s="49"/>
      <c r="G441" s="49"/>
      <c r="H441" s="49"/>
      <c r="I441" s="49"/>
      <c r="J441" s="49"/>
      <c r="K441" s="49"/>
      <c r="L441" s="48"/>
      <c r="M441" s="48"/>
      <c r="N441" s="48"/>
      <c r="O441" s="48"/>
      <c r="P441" s="48"/>
      <c r="Q441" s="48"/>
      <c r="R441" s="48"/>
      <c r="S441" s="48"/>
      <c r="T441" s="48"/>
      <c r="U441" s="48"/>
      <c r="V441" s="48"/>
      <c r="W441" s="48"/>
      <c r="X441" s="48"/>
      <c r="Y441" s="48"/>
      <c r="Z441" s="48"/>
    </row>
    <row r="442" ht="15.75" customHeight="1">
      <c r="A442" s="49"/>
      <c r="B442" s="49"/>
      <c r="C442" s="49"/>
      <c r="D442" s="49"/>
      <c r="E442" s="49"/>
      <c r="F442" s="49"/>
      <c r="G442" s="49"/>
      <c r="H442" s="49"/>
      <c r="I442" s="49"/>
      <c r="J442" s="49"/>
      <c r="K442" s="49"/>
      <c r="L442" s="48"/>
      <c r="M442" s="48"/>
      <c r="N442" s="48"/>
      <c r="O442" s="48"/>
      <c r="P442" s="48"/>
      <c r="Q442" s="48"/>
      <c r="R442" s="48"/>
      <c r="S442" s="48"/>
      <c r="T442" s="48"/>
      <c r="U442" s="48"/>
      <c r="V442" s="48"/>
      <c r="W442" s="48"/>
      <c r="X442" s="48"/>
      <c r="Y442" s="48"/>
      <c r="Z442" s="48"/>
    </row>
    <row r="443" ht="15.75" customHeight="1">
      <c r="A443" s="49"/>
      <c r="B443" s="49"/>
      <c r="C443" s="49"/>
      <c r="D443" s="49"/>
      <c r="E443" s="49"/>
      <c r="F443" s="49"/>
      <c r="G443" s="49"/>
      <c r="H443" s="49"/>
      <c r="I443" s="49"/>
      <c r="J443" s="49"/>
      <c r="K443" s="49"/>
      <c r="L443" s="48"/>
      <c r="M443" s="48"/>
      <c r="N443" s="48"/>
      <c r="O443" s="48"/>
      <c r="P443" s="48"/>
      <c r="Q443" s="48"/>
      <c r="R443" s="48"/>
      <c r="S443" s="48"/>
      <c r="T443" s="48"/>
      <c r="U443" s="48"/>
      <c r="V443" s="48"/>
      <c r="W443" s="48"/>
      <c r="X443" s="48"/>
      <c r="Y443" s="48"/>
      <c r="Z443" s="48"/>
    </row>
    <row r="444" ht="15.75" customHeight="1">
      <c r="A444" s="49"/>
      <c r="B444" s="49"/>
      <c r="C444" s="49"/>
      <c r="D444" s="49"/>
      <c r="E444" s="49"/>
      <c r="F444" s="49"/>
      <c r="G444" s="49"/>
      <c r="H444" s="49"/>
      <c r="I444" s="49"/>
      <c r="J444" s="49"/>
      <c r="K444" s="49"/>
      <c r="L444" s="48"/>
      <c r="M444" s="48"/>
      <c r="N444" s="48"/>
      <c r="O444" s="48"/>
      <c r="P444" s="48"/>
      <c r="Q444" s="48"/>
      <c r="R444" s="48"/>
      <c r="S444" s="48"/>
      <c r="T444" s="48"/>
      <c r="U444" s="48"/>
      <c r="V444" s="48"/>
      <c r="W444" s="48"/>
      <c r="X444" s="48"/>
      <c r="Y444" s="48"/>
      <c r="Z444" s="48"/>
    </row>
    <row r="445" ht="15.75" customHeight="1">
      <c r="A445" s="49"/>
      <c r="B445" s="49"/>
      <c r="C445" s="49"/>
      <c r="D445" s="49"/>
      <c r="E445" s="49"/>
      <c r="F445" s="49"/>
      <c r="G445" s="49"/>
      <c r="H445" s="49"/>
      <c r="I445" s="49"/>
      <c r="J445" s="49"/>
      <c r="K445" s="49"/>
      <c r="L445" s="48"/>
      <c r="M445" s="48"/>
      <c r="N445" s="48"/>
      <c r="O445" s="48"/>
      <c r="P445" s="48"/>
      <c r="Q445" s="48"/>
      <c r="R445" s="48"/>
      <c r="S445" s="48"/>
      <c r="T445" s="48"/>
      <c r="U445" s="48"/>
      <c r="V445" s="48"/>
      <c r="W445" s="48"/>
      <c r="X445" s="48"/>
      <c r="Y445" s="48"/>
      <c r="Z445" s="48"/>
    </row>
    <row r="446" ht="15.75" customHeight="1">
      <c r="A446" s="49"/>
      <c r="B446" s="49"/>
      <c r="C446" s="49"/>
      <c r="D446" s="49"/>
      <c r="E446" s="49"/>
      <c r="F446" s="49"/>
      <c r="G446" s="49"/>
      <c r="H446" s="49"/>
      <c r="I446" s="49"/>
      <c r="J446" s="49"/>
      <c r="K446" s="49"/>
      <c r="L446" s="48"/>
      <c r="M446" s="48"/>
      <c r="N446" s="48"/>
      <c r="O446" s="48"/>
      <c r="P446" s="48"/>
      <c r="Q446" s="48"/>
      <c r="R446" s="48"/>
      <c r="S446" s="48"/>
      <c r="T446" s="48"/>
      <c r="U446" s="48"/>
      <c r="V446" s="48"/>
      <c r="W446" s="48"/>
      <c r="X446" s="48"/>
      <c r="Y446" s="48"/>
      <c r="Z446" s="48"/>
    </row>
    <row r="447" ht="15.75" customHeight="1">
      <c r="A447" s="49"/>
      <c r="B447" s="49"/>
      <c r="C447" s="49"/>
      <c r="D447" s="49"/>
      <c r="E447" s="49"/>
      <c r="F447" s="49"/>
      <c r="G447" s="49"/>
      <c r="H447" s="49"/>
      <c r="I447" s="49"/>
      <c r="J447" s="49"/>
      <c r="K447" s="49"/>
      <c r="L447" s="48"/>
      <c r="M447" s="48"/>
      <c r="N447" s="48"/>
      <c r="O447" s="48"/>
      <c r="P447" s="48"/>
      <c r="Q447" s="48"/>
      <c r="R447" s="48"/>
      <c r="S447" s="48"/>
      <c r="T447" s="48"/>
      <c r="U447" s="48"/>
      <c r="V447" s="48"/>
      <c r="W447" s="48"/>
      <c r="X447" s="48"/>
      <c r="Y447" s="48"/>
      <c r="Z447" s="48"/>
    </row>
    <row r="448" ht="15.75" customHeight="1">
      <c r="A448" s="49"/>
      <c r="B448" s="49"/>
      <c r="C448" s="49"/>
      <c r="D448" s="49"/>
      <c r="E448" s="49"/>
      <c r="F448" s="49"/>
      <c r="G448" s="49"/>
      <c r="H448" s="49"/>
      <c r="I448" s="49"/>
      <c r="J448" s="49"/>
      <c r="K448" s="49"/>
      <c r="L448" s="48"/>
      <c r="M448" s="48"/>
      <c r="N448" s="48"/>
      <c r="O448" s="48"/>
      <c r="P448" s="48"/>
      <c r="Q448" s="48"/>
      <c r="R448" s="48"/>
      <c r="S448" s="48"/>
      <c r="T448" s="48"/>
      <c r="U448" s="48"/>
      <c r="V448" s="48"/>
      <c r="W448" s="48"/>
      <c r="X448" s="48"/>
      <c r="Y448" s="48"/>
      <c r="Z448" s="48"/>
    </row>
    <row r="449" ht="15.75" customHeight="1">
      <c r="A449" s="49"/>
      <c r="B449" s="49"/>
      <c r="C449" s="49"/>
      <c r="D449" s="49"/>
      <c r="E449" s="49"/>
      <c r="F449" s="49"/>
      <c r="G449" s="49"/>
      <c r="H449" s="49"/>
      <c r="I449" s="49"/>
      <c r="J449" s="49"/>
      <c r="K449" s="49"/>
      <c r="L449" s="48"/>
      <c r="M449" s="48"/>
      <c r="N449" s="48"/>
      <c r="O449" s="48"/>
      <c r="P449" s="48"/>
      <c r="Q449" s="48"/>
      <c r="R449" s="48"/>
      <c r="S449" s="48"/>
      <c r="T449" s="48"/>
      <c r="U449" s="48"/>
      <c r="V449" s="48"/>
      <c r="W449" s="48"/>
      <c r="X449" s="48"/>
      <c r="Y449" s="48"/>
      <c r="Z449" s="48"/>
    </row>
    <row r="450" ht="15.75" customHeight="1">
      <c r="A450" s="49"/>
      <c r="B450" s="49"/>
      <c r="C450" s="49"/>
      <c r="D450" s="49"/>
      <c r="E450" s="49"/>
      <c r="F450" s="49"/>
      <c r="G450" s="49"/>
      <c r="H450" s="49"/>
      <c r="I450" s="49"/>
      <c r="J450" s="49"/>
      <c r="K450" s="49"/>
      <c r="L450" s="48"/>
      <c r="M450" s="48"/>
      <c r="N450" s="48"/>
      <c r="O450" s="48"/>
      <c r="P450" s="48"/>
      <c r="Q450" s="48"/>
      <c r="R450" s="48"/>
      <c r="S450" s="48"/>
      <c r="T450" s="48"/>
      <c r="U450" s="48"/>
      <c r="V450" s="48"/>
      <c r="W450" s="48"/>
      <c r="X450" s="48"/>
      <c r="Y450" s="48"/>
      <c r="Z450" s="48"/>
    </row>
    <row r="451" ht="15.75" customHeight="1">
      <c r="A451" s="49"/>
      <c r="B451" s="49"/>
      <c r="C451" s="49"/>
      <c r="D451" s="49"/>
      <c r="E451" s="49"/>
      <c r="F451" s="49"/>
      <c r="G451" s="49"/>
      <c r="H451" s="49"/>
      <c r="I451" s="49"/>
      <c r="J451" s="49"/>
      <c r="K451" s="49"/>
      <c r="L451" s="48"/>
      <c r="M451" s="48"/>
      <c r="N451" s="48"/>
      <c r="O451" s="48"/>
      <c r="P451" s="48"/>
      <c r="Q451" s="48"/>
      <c r="R451" s="48"/>
      <c r="S451" s="48"/>
      <c r="T451" s="48"/>
      <c r="U451" s="48"/>
      <c r="V451" s="48"/>
      <c r="W451" s="48"/>
      <c r="X451" s="48"/>
      <c r="Y451" s="48"/>
      <c r="Z451" s="48"/>
    </row>
    <row r="452" ht="15.75" customHeight="1">
      <c r="A452" s="49"/>
      <c r="B452" s="49"/>
      <c r="C452" s="49"/>
      <c r="D452" s="49"/>
      <c r="E452" s="49"/>
      <c r="F452" s="49"/>
      <c r="G452" s="49"/>
      <c r="H452" s="49"/>
      <c r="I452" s="49"/>
      <c r="J452" s="49"/>
      <c r="K452" s="49"/>
      <c r="L452" s="48"/>
      <c r="M452" s="48"/>
      <c r="N452" s="48"/>
      <c r="O452" s="48"/>
      <c r="P452" s="48"/>
      <c r="Q452" s="48"/>
      <c r="R452" s="48"/>
      <c r="S452" s="48"/>
      <c r="T452" s="48"/>
      <c r="U452" s="48"/>
      <c r="V452" s="48"/>
      <c r="W452" s="48"/>
      <c r="X452" s="48"/>
      <c r="Y452" s="48"/>
      <c r="Z452" s="48"/>
    </row>
    <row r="453" ht="15.75" customHeight="1">
      <c r="A453" s="49"/>
      <c r="B453" s="49"/>
      <c r="C453" s="49"/>
      <c r="D453" s="49"/>
      <c r="E453" s="49"/>
      <c r="F453" s="49"/>
      <c r="G453" s="49"/>
      <c r="H453" s="49"/>
      <c r="I453" s="49"/>
      <c r="J453" s="49"/>
      <c r="K453" s="49"/>
      <c r="L453" s="48"/>
      <c r="M453" s="48"/>
      <c r="N453" s="48"/>
      <c r="O453" s="48"/>
      <c r="P453" s="48"/>
      <c r="Q453" s="48"/>
      <c r="R453" s="48"/>
      <c r="S453" s="48"/>
      <c r="T453" s="48"/>
      <c r="U453" s="48"/>
      <c r="V453" s="48"/>
      <c r="W453" s="48"/>
      <c r="X453" s="48"/>
      <c r="Y453" s="48"/>
      <c r="Z453" s="48"/>
    </row>
    <row r="454" ht="15.75" customHeight="1">
      <c r="A454" s="49"/>
      <c r="B454" s="49"/>
      <c r="C454" s="49"/>
      <c r="D454" s="49"/>
      <c r="E454" s="49"/>
      <c r="F454" s="49"/>
      <c r="G454" s="49"/>
      <c r="H454" s="49"/>
      <c r="I454" s="49"/>
      <c r="J454" s="49"/>
      <c r="K454" s="49"/>
      <c r="L454" s="48"/>
      <c r="M454" s="48"/>
      <c r="N454" s="48"/>
      <c r="O454" s="48"/>
      <c r="P454" s="48"/>
      <c r="Q454" s="48"/>
      <c r="R454" s="48"/>
      <c r="S454" s="48"/>
      <c r="T454" s="48"/>
      <c r="U454" s="48"/>
      <c r="V454" s="48"/>
      <c r="W454" s="48"/>
      <c r="X454" s="48"/>
      <c r="Y454" s="48"/>
      <c r="Z454" s="48"/>
    </row>
    <row r="455" ht="15.75" customHeight="1">
      <c r="A455" s="49"/>
      <c r="B455" s="49"/>
      <c r="C455" s="49"/>
      <c r="D455" s="49"/>
      <c r="E455" s="49"/>
      <c r="F455" s="49"/>
      <c r="G455" s="49"/>
      <c r="H455" s="49"/>
      <c r="I455" s="49"/>
      <c r="J455" s="49"/>
      <c r="K455" s="49"/>
      <c r="L455" s="48"/>
      <c r="M455" s="48"/>
      <c r="N455" s="48"/>
      <c r="O455" s="48"/>
      <c r="P455" s="48"/>
      <c r="Q455" s="48"/>
      <c r="R455" s="48"/>
      <c r="S455" s="48"/>
      <c r="T455" s="48"/>
      <c r="U455" s="48"/>
      <c r="V455" s="48"/>
      <c r="W455" s="48"/>
      <c r="X455" s="48"/>
      <c r="Y455" s="48"/>
      <c r="Z455" s="48"/>
    </row>
    <row r="456" ht="15.75" customHeight="1">
      <c r="A456" s="49"/>
      <c r="B456" s="49"/>
      <c r="C456" s="49"/>
      <c r="D456" s="49"/>
      <c r="E456" s="49"/>
      <c r="F456" s="49"/>
      <c r="G456" s="49"/>
      <c r="H456" s="49"/>
      <c r="I456" s="49"/>
      <c r="J456" s="49"/>
      <c r="K456" s="49"/>
      <c r="L456" s="48"/>
      <c r="M456" s="48"/>
      <c r="N456" s="48"/>
      <c r="O456" s="48"/>
      <c r="P456" s="48"/>
      <c r="Q456" s="48"/>
      <c r="R456" s="48"/>
      <c r="S456" s="48"/>
      <c r="T456" s="48"/>
      <c r="U456" s="48"/>
      <c r="V456" s="48"/>
      <c r="W456" s="48"/>
      <c r="X456" s="48"/>
      <c r="Y456" s="48"/>
      <c r="Z456" s="48"/>
    </row>
    <row r="457" ht="15.75" customHeight="1">
      <c r="A457" s="49"/>
      <c r="B457" s="49"/>
      <c r="C457" s="49"/>
      <c r="D457" s="49"/>
      <c r="E457" s="49"/>
      <c r="F457" s="49"/>
      <c r="G457" s="49"/>
      <c r="H457" s="49"/>
      <c r="I457" s="49"/>
      <c r="J457" s="49"/>
      <c r="K457" s="49"/>
      <c r="L457" s="48"/>
      <c r="M457" s="48"/>
      <c r="N457" s="48"/>
      <c r="O457" s="48"/>
      <c r="P457" s="48"/>
      <c r="Q457" s="48"/>
      <c r="R457" s="48"/>
      <c r="S457" s="48"/>
      <c r="T457" s="48"/>
      <c r="U457" s="48"/>
      <c r="V457" s="48"/>
      <c r="W457" s="48"/>
      <c r="X457" s="48"/>
      <c r="Y457" s="48"/>
      <c r="Z457" s="48"/>
    </row>
    <row r="458" ht="15.75" customHeight="1">
      <c r="A458" s="49"/>
      <c r="B458" s="49"/>
      <c r="C458" s="49"/>
      <c r="D458" s="49"/>
      <c r="E458" s="49"/>
      <c r="F458" s="49"/>
      <c r="G458" s="49"/>
      <c r="H458" s="49"/>
      <c r="I458" s="49"/>
      <c r="J458" s="49"/>
      <c r="K458" s="49"/>
      <c r="L458" s="48"/>
      <c r="M458" s="48"/>
      <c r="N458" s="48"/>
      <c r="O458" s="48"/>
      <c r="P458" s="48"/>
      <c r="Q458" s="48"/>
      <c r="R458" s="48"/>
      <c r="S458" s="48"/>
      <c r="T458" s="48"/>
      <c r="U458" s="48"/>
      <c r="V458" s="48"/>
      <c r="W458" s="48"/>
      <c r="X458" s="48"/>
      <c r="Y458" s="48"/>
      <c r="Z458" s="48"/>
    </row>
    <row r="459" ht="15.75" customHeight="1">
      <c r="A459" s="49"/>
      <c r="B459" s="49"/>
      <c r="C459" s="49"/>
      <c r="D459" s="49"/>
      <c r="E459" s="49"/>
      <c r="F459" s="49"/>
      <c r="G459" s="49"/>
      <c r="H459" s="49"/>
      <c r="I459" s="49"/>
      <c r="J459" s="49"/>
      <c r="K459" s="49"/>
      <c r="L459" s="48"/>
      <c r="M459" s="48"/>
      <c r="N459" s="48"/>
      <c r="O459" s="48"/>
      <c r="P459" s="48"/>
      <c r="Q459" s="48"/>
      <c r="R459" s="48"/>
      <c r="S459" s="48"/>
      <c r="T459" s="48"/>
      <c r="U459" s="48"/>
      <c r="V459" s="48"/>
      <c r="W459" s="48"/>
      <c r="X459" s="48"/>
      <c r="Y459" s="48"/>
      <c r="Z459" s="48"/>
    </row>
    <row r="460" ht="15.75" customHeight="1">
      <c r="A460" s="49"/>
      <c r="B460" s="49"/>
      <c r="C460" s="49"/>
      <c r="D460" s="49"/>
      <c r="E460" s="49"/>
      <c r="F460" s="49"/>
      <c r="G460" s="49"/>
      <c r="H460" s="49"/>
      <c r="I460" s="49"/>
      <c r="J460" s="49"/>
      <c r="K460" s="49"/>
      <c r="L460" s="48"/>
      <c r="M460" s="48"/>
      <c r="N460" s="48"/>
      <c r="O460" s="48"/>
      <c r="P460" s="48"/>
      <c r="Q460" s="48"/>
      <c r="R460" s="48"/>
      <c r="S460" s="48"/>
      <c r="T460" s="48"/>
      <c r="U460" s="48"/>
      <c r="V460" s="48"/>
      <c r="W460" s="48"/>
      <c r="X460" s="48"/>
      <c r="Y460" s="48"/>
      <c r="Z460" s="48"/>
    </row>
    <row r="461" ht="15.75" customHeight="1">
      <c r="A461" s="49"/>
      <c r="B461" s="49"/>
      <c r="C461" s="49"/>
      <c r="D461" s="49"/>
      <c r="E461" s="49"/>
      <c r="F461" s="49"/>
      <c r="G461" s="49"/>
      <c r="H461" s="49"/>
      <c r="I461" s="49"/>
      <c r="J461" s="49"/>
      <c r="K461" s="49"/>
      <c r="L461" s="48"/>
      <c r="M461" s="48"/>
      <c r="N461" s="48"/>
      <c r="O461" s="48"/>
      <c r="P461" s="48"/>
      <c r="Q461" s="48"/>
      <c r="R461" s="48"/>
      <c r="S461" s="48"/>
      <c r="T461" s="48"/>
      <c r="U461" s="48"/>
      <c r="V461" s="48"/>
      <c r="W461" s="48"/>
      <c r="X461" s="48"/>
      <c r="Y461" s="48"/>
      <c r="Z461" s="48"/>
    </row>
    <row r="462" ht="15.75" customHeight="1">
      <c r="A462" s="49"/>
      <c r="B462" s="49"/>
      <c r="C462" s="49"/>
      <c r="D462" s="49"/>
      <c r="E462" s="49"/>
      <c r="F462" s="49"/>
      <c r="G462" s="49"/>
      <c r="H462" s="49"/>
      <c r="I462" s="49"/>
      <c r="J462" s="49"/>
      <c r="K462" s="49"/>
      <c r="L462" s="48"/>
      <c r="M462" s="48"/>
      <c r="N462" s="48"/>
      <c r="O462" s="48"/>
      <c r="P462" s="48"/>
      <c r="Q462" s="48"/>
      <c r="R462" s="48"/>
      <c r="S462" s="48"/>
      <c r="T462" s="48"/>
      <c r="U462" s="48"/>
      <c r="V462" s="48"/>
      <c r="W462" s="48"/>
      <c r="X462" s="48"/>
      <c r="Y462" s="48"/>
      <c r="Z462" s="48"/>
    </row>
    <row r="463" ht="15.75" customHeight="1">
      <c r="A463" s="49"/>
      <c r="B463" s="49"/>
      <c r="C463" s="49"/>
      <c r="D463" s="49"/>
      <c r="E463" s="49"/>
      <c r="F463" s="49"/>
      <c r="G463" s="49"/>
      <c r="H463" s="49"/>
      <c r="I463" s="49"/>
      <c r="J463" s="49"/>
      <c r="K463" s="49"/>
      <c r="L463" s="48"/>
      <c r="M463" s="48"/>
      <c r="N463" s="48"/>
      <c r="O463" s="48"/>
      <c r="P463" s="48"/>
      <c r="Q463" s="48"/>
      <c r="R463" s="48"/>
      <c r="S463" s="48"/>
      <c r="T463" s="48"/>
      <c r="U463" s="48"/>
      <c r="V463" s="48"/>
      <c r="W463" s="48"/>
      <c r="X463" s="48"/>
      <c r="Y463" s="48"/>
      <c r="Z463" s="48"/>
    </row>
    <row r="464" ht="15.75" customHeight="1">
      <c r="A464" s="49"/>
      <c r="B464" s="49"/>
      <c r="C464" s="49"/>
      <c r="D464" s="49"/>
      <c r="E464" s="49"/>
      <c r="F464" s="49"/>
      <c r="G464" s="49"/>
      <c r="H464" s="49"/>
      <c r="I464" s="49"/>
      <c r="J464" s="49"/>
      <c r="K464" s="49"/>
      <c r="L464" s="48"/>
      <c r="M464" s="48"/>
      <c r="N464" s="48"/>
      <c r="O464" s="48"/>
      <c r="P464" s="48"/>
      <c r="Q464" s="48"/>
      <c r="R464" s="48"/>
      <c r="S464" s="48"/>
      <c r="T464" s="48"/>
      <c r="U464" s="48"/>
      <c r="V464" s="48"/>
      <c r="W464" s="48"/>
      <c r="X464" s="48"/>
      <c r="Y464" s="48"/>
      <c r="Z464" s="48"/>
    </row>
    <row r="465" ht="15.75" customHeight="1">
      <c r="A465" s="49"/>
      <c r="B465" s="49"/>
      <c r="C465" s="49"/>
      <c r="D465" s="49"/>
      <c r="E465" s="49"/>
      <c r="F465" s="49"/>
      <c r="G465" s="49"/>
      <c r="H465" s="49"/>
      <c r="I465" s="49"/>
      <c r="J465" s="49"/>
      <c r="K465" s="49"/>
      <c r="L465" s="48"/>
      <c r="M465" s="48"/>
      <c r="N465" s="48"/>
      <c r="O465" s="48"/>
      <c r="P465" s="48"/>
      <c r="Q465" s="48"/>
      <c r="R465" s="48"/>
      <c r="S465" s="48"/>
      <c r="T465" s="48"/>
      <c r="U465" s="48"/>
      <c r="V465" s="48"/>
      <c r="W465" s="48"/>
      <c r="X465" s="48"/>
      <c r="Y465" s="48"/>
      <c r="Z465" s="48"/>
    </row>
    <row r="466" ht="15.75" customHeight="1">
      <c r="A466" s="49"/>
      <c r="B466" s="49"/>
      <c r="C466" s="49"/>
      <c r="D466" s="49"/>
      <c r="E466" s="49"/>
      <c r="F466" s="49"/>
      <c r="G466" s="49"/>
      <c r="H466" s="49"/>
      <c r="I466" s="49"/>
      <c r="J466" s="49"/>
      <c r="K466" s="49"/>
      <c r="L466" s="48"/>
      <c r="M466" s="48"/>
      <c r="N466" s="48"/>
      <c r="O466" s="48"/>
      <c r="P466" s="48"/>
      <c r="Q466" s="48"/>
      <c r="R466" s="48"/>
      <c r="S466" s="48"/>
      <c r="T466" s="48"/>
      <c r="U466" s="48"/>
      <c r="V466" s="48"/>
      <c r="W466" s="48"/>
      <c r="X466" s="48"/>
      <c r="Y466" s="48"/>
      <c r="Z466" s="48"/>
    </row>
    <row r="467" ht="15.75" customHeight="1">
      <c r="A467" s="49"/>
      <c r="B467" s="49"/>
      <c r="C467" s="49"/>
      <c r="D467" s="49"/>
      <c r="E467" s="49"/>
      <c r="F467" s="49"/>
      <c r="G467" s="49"/>
      <c r="H467" s="49"/>
      <c r="I467" s="49"/>
      <c r="J467" s="49"/>
      <c r="K467" s="49"/>
      <c r="L467" s="48"/>
      <c r="M467" s="48"/>
      <c r="N467" s="48"/>
      <c r="O467" s="48"/>
      <c r="P467" s="48"/>
      <c r="Q467" s="48"/>
      <c r="R467" s="48"/>
      <c r="S467" s="48"/>
      <c r="T467" s="48"/>
      <c r="U467" s="48"/>
      <c r="V467" s="48"/>
      <c r="W467" s="48"/>
      <c r="X467" s="48"/>
      <c r="Y467" s="48"/>
      <c r="Z467" s="48"/>
    </row>
    <row r="468" ht="15.75" customHeight="1">
      <c r="A468" s="49"/>
      <c r="B468" s="49"/>
      <c r="C468" s="49"/>
      <c r="D468" s="49"/>
      <c r="E468" s="49"/>
      <c r="F468" s="49"/>
      <c r="G468" s="49"/>
      <c r="H468" s="49"/>
      <c r="I468" s="49"/>
      <c r="J468" s="49"/>
      <c r="K468" s="49"/>
      <c r="L468" s="48"/>
      <c r="M468" s="48"/>
      <c r="N468" s="48"/>
      <c r="O468" s="48"/>
      <c r="P468" s="48"/>
      <c r="Q468" s="48"/>
      <c r="R468" s="48"/>
      <c r="S468" s="48"/>
      <c r="T468" s="48"/>
      <c r="U468" s="48"/>
      <c r="V468" s="48"/>
      <c r="W468" s="48"/>
      <c r="X468" s="48"/>
      <c r="Y468" s="48"/>
      <c r="Z468" s="48"/>
    </row>
    <row r="469" ht="15.75" customHeight="1">
      <c r="A469" s="49"/>
      <c r="B469" s="49"/>
      <c r="C469" s="49"/>
      <c r="D469" s="49"/>
      <c r="E469" s="49"/>
      <c r="F469" s="49"/>
      <c r="G469" s="49"/>
      <c r="H469" s="49"/>
      <c r="I469" s="49"/>
      <c r="J469" s="49"/>
      <c r="K469" s="49"/>
      <c r="L469" s="48"/>
      <c r="M469" s="48"/>
      <c r="N469" s="48"/>
      <c r="O469" s="48"/>
      <c r="P469" s="48"/>
      <c r="Q469" s="48"/>
      <c r="R469" s="48"/>
      <c r="S469" s="48"/>
      <c r="T469" s="48"/>
      <c r="U469" s="48"/>
      <c r="V469" s="48"/>
      <c r="W469" s="48"/>
      <c r="X469" s="48"/>
      <c r="Y469" s="48"/>
      <c r="Z469" s="48"/>
    </row>
    <row r="470" ht="15.75" customHeight="1">
      <c r="A470" s="49"/>
      <c r="B470" s="49"/>
      <c r="C470" s="49"/>
      <c r="D470" s="49"/>
      <c r="E470" s="49"/>
      <c r="F470" s="49"/>
      <c r="G470" s="49"/>
      <c r="H470" s="49"/>
      <c r="I470" s="49"/>
      <c r="J470" s="49"/>
      <c r="K470" s="49"/>
      <c r="L470" s="48"/>
      <c r="M470" s="48"/>
      <c r="N470" s="48"/>
      <c r="O470" s="48"/>
      <c r="P470" s="48"/>
      <c r="Q470" s="48"/>
      <c r="R470" s="48"/>
      <c r="S470" s="48"/>
      <c r="T470" s="48"/>
      <c r="U470" s="48"/>
      <c r="V470" s="48"/>
      <c r="W470" s="48"/>
      <c r="X470" s="48"/>
      <c r="Y470" s="48"/>
      <c r="Z470" s="48"/>
    </row>
    <row r="471" ht="15.75" customHeight="1">
      <c r="A471" s="49"/>
      <c r="B471" s="49"/>
      <c r="C471" s="49"/>
      <c r="D471" s="49"/>
      <c r="E471" s="49"/>
      <c r="F471" s="49"/>
      <c r="G471" s="49"/>
      <c r="H471" s="49"/>
      <c r="I471" s="49"/>
      <c r="J471" s="49"/>
      <c r="K471" s="49"/>
      <c r="L471" s="48"/>
      <c r="M471" s="48"/>
      <c r="N471" s="48"/>
      <c r="O471" s="48"/>
      <c r="P471" s="48"/>
      <c r="Q471" s="48"/>
      <c r="R471" s="48"/>
      <c r="S471" s="48"/>
      <c r="T471" s="48"/>
      <c r="U471" s="48"/>
      <c r="V471" s="48"/>
      <c r="W471" s="48"/>
      <c r="X471" s="48"/>
      <c r="Y471" s="48"/>
      <c r="Z471" s="48"/>
    </row>
    <row r="472" ht="15.75" customHeight="1">
      <c r="A472" s="49"/>
      <c r="B472" s="49"/>
      <c r="C472" s="49"/>
      <c r="D472" s="49"/>
      <c r="E472" s="49"/>
      <c r="F472" s="49"/>
      <c r="G472" s="49"/>
      <c r="H472" s="49"/>
      <c r="I472" s="49"/>
      <c r="J472" s="49"/>
      <c r="K472" s="49"/>
      <c r="L472" s="48"/>
      <c r="M472" s="48"/>
      <c r="N472" s="48"/>
      <c r="O472" s="48"/>
      <c r="P472" s="48"/>
      <c r="Q472" s="48"/>
      <c r="R472" s="48"/>
      <c r="S472" s="48"/>
      <c r="T472" s="48"/>
      <c r="U472" s="48"/>
      <c r="V472" s="48"/>
      <c r="W472" s="48"/>
      <c r="X472" s="48"/>
      <c r="Y472" s="48"/>
      <c r="Z472" s="48"/>
    </row>
    <row r="473" ht="15.75" customHeight="1">
      <c r="A473" s="49"/>
      <c r="B473" s="49"/>
      <c r="C473" s="49"/>
      <c r="D473" s="49"/>
      <c r="E473" s="49"/>
      <c r="F473" s="49"/>
      <c r="G473" s="49"/>
      <c r="H473" s="49"/>
      <c r="I473" s="49"/>
      <c r="J473" s="49"/>
      <c r="K473" s="49"/>
      <c r="L473" s="48"/>
      <c r="M473" s="48"/>
      <c r="N473" s="48"/>
      <c r="O473" s="48"/>
      <c r="P473" s="48"/>
      <c r="Q473" s="48"/>
      <c r="R473" s="48"/>
      <c r="S473" s="48"/>
      <c r="T473" s="48"/>
      <c r="U473" s="48"/>
      <c r="V473" s="48"/>
      <c r="W473" s="48"/>
      <c r="X473" s="48"/>
      <c r="Y473" s="48"/>
      <c r="Z473" s="48"/>
    </row>
    <row r="474" ht="15.75" customHeight="1">
      <c r="A474" s="49"/>
      <c r="B474" s="49"/>
      <c r="C474" s="49"/>
      <c r="D474" s="49"/>
      <c r="E474" s="49"/>
      <c r="F474" s="49"/>
      <c r="G474" s="49"/>
      <c r="H474" s="49"/>
      <c r="I474" s="49"/>
      <c r="J474" s="49"/>
      <c r="K474" s="49"/>
      <c r="L474" s="48"/>
      <c r="M474" s="48"/>
      <c r="N474" s="48"/>
      <c r="O474" s="48"/>
      <c r="P474" s="48"/>
      <c r="Q474" s="48"/>
      <c r="R474" s="48"/>
      <c r="S474" s="48"/>
      <c r="T474" s="48"/>
      <c r="U474" s="48"/>
      <c r="V474" s="48"/>
      <c r="W474" s="48"/>
      <c r="X474" s="48"/>
      <c r="Y474" s="48"/>
      <c r="Z474" s="48"/>
    </row>
    <row r="475" ht="15.75" customHeight="1">
      <c r="A475" s="49"/>
      <c r="B475" s="49"/>
      <c r="C475" s="49"/>
      <c r="D475" s="49"/>
      <c r="E475" s="49"/>
      <c r="F475" s="49"/>
      <c r="G475" s="49"/>
      <c r="H475" s="49"/>
      <c r="I475" s="49"/>
      <c r="J475" s="49"/>
      <c r="K475" s="49"/>
      <c r="L475" s="48"/>
      <c r="M475" s="48"/>
      <c r="N475" s="48"/>
      <c r="O475" s="48"/>
      <c r="P475" s="48"/>
      <c r="Q475" s="48"/>
      <c r="R475" s="48"/>
      <c r="S475" s="48"/>
      <c r="T475" s="48"/>
      <c r="U475" s="48"/>
      <c r="V475" s="48"/>
      <c r="W475" s="48"/>
      <c r="X475" s="48"/>
      <c r="Y475" s="48"/>
      <c r="Z475" s="48"/>
    </row>
    <row r="476" ht="15.75" customHeight="1">
      <c r="A476" s="49"/>
      <c r="B476" s="49"/>
      <c r="C476" s="49"/>
      <c r="D476" s="49"/>
      <c r="E476" s="49"/>
      <c r="F476" s="49"/>
      <c r="G476" s="49"/>
      <c r="H476" s="49"/>
      <c r="I476" s="49"/>
      <c r="J476" s="49"/>
      <c r="K476" s="49"/>
      <c r="L476" s="48"/>
      <c r="M476" s="48"/>
      <c r="N476" s="48"/>
      <c r="O476" s="48"/>
      <c r="P476" s="48"/>
      <c r="Q476" s="48"/>
      <c r="R476" s="48"/>
      <c r="S476" s="48"/>
      <c r="T476" s="48"/>
      <c r="U476" s="48"/>
      <c r="V476" s="48"/>
      <c r="W476" s="48"/>
      <c r="X476" s="48"/>
      <c r="Y476" s="48"/>
      <c r="Z476" s="48"/>
    </row>
    <row r="477" ht="15.75" customHeight="1">
      <c r="A477" s="49"/>
      <c r="B477" s="49"/>
      <c r="C477" s="49"/>
      <c r="D477" s="49"/>
      <c r="E477" s="49"/>
      <c r="F477" s="49"/>
      <c r="G477" s="49"/>
      <c r="H477" s="49"/>
      <c r="I477" s="49"/>
      <c r="J477" s="49"/>
      <c r="K477" s="49"/>
      <c r="L477" s="48"/>
      <c r="M477" s="48"/>
      <c r="N477" s="48"/>
      <c r="O477" s="48"/>
      <c r="P477" s="48"/>
      <c r="Q477" s="48"/>
      <c r="R477" s="48"/>
      <c r="S477" s="48"/>
      <c r="T477" s="48"/>
      <c r="U477" s="48"/>
      <c r="V477" s="48"/>
      <c r="W477" s="48"/>
      <c r="X477" s="48"/>
      <c r="Y477" s="48"/>
      <c r="Z477" s="48"/>
    </row>
    <row r="478" ht="15.75" customHeight="1">
      <c r="A478" s="49"/>
      <c r="B478" s="49"/>
      <c r="C478" s="49"/>
      <c r="D478" s="49"/>
      <c r="E478" s="49"/>
      <c r="F478" s="49"/>
      <c r="G478" s="49"/>
      <c r="H478" s="49"/>
      <c r="I478" s="49"/>
      <c r="J478" s="49"/>
      <c r="K478" s="49"/>
      <c r="L478" s="48"/>
      <c r="M478" s="48"/>
      <c r="N478" s="48"/>
      <c r="O478" s="48"/>
      <c r="P478" s="48"/>
      <c r="Q478" s="48"/>
      <c r="R478" s="48"/>
      <c r="S478" s="48"/>
      <c r="T478" s="48"/>
      <c r="U478" s="48"/>
      <c r="V478" s="48"/>
      <c r="W478" s="48"/>
      <c r="X478" s="48"/>
      <c r="Y478" s="48"/>
      <c r="Z478" s="48"/>
    </row>
    <row r="479" ht="15.75" customHeight="1">
      <c r="A479" s="49"/>
      <c r="B479" s="49"/>
      <c r="C479" s="49"/>
      <c r="D479" s="49"/>
      <c r="E479" s="49"/>
      <c r="F479" s="49"/>
      <c r="G479" s="49"/>
      <c r="H479" s="49"/>
      <c r="I479" s="49"/>
      <c r="J479" s="49"/>
      <c r="K479" s="49"/>
      <c r="L479" s="48"/>
      <c r="M479" s="48"/>
      <c r="N479" s="48"/>
      <c r="O479" s="48"/>
      <c r="P479" s="48"/>
      <c r="Q479" s="48"/>
      <c r="R479" s="48"/>
      <c r="S479" s="48"/>
      <c r="T479" s="48"/>
      <c r="U479" s="48"/>
      <c r="V479" s="48"/>
      <c r="W479" s="48"/>
      <c r="X479" s="48"/>
      <c r="Y479" s="48"/>
      <c r="Z479" s="48"/>
    </row>
    <row r="480" ht="15.75" customHeight="1">
      <c r="A480" s="49"/>
      <c r="B480" s="49"/>
      <c r="C480" s="49"/>
      <c r="D480" s="49"/>
      <c r="E480" s="49"/>
      <c r="F480" s="49"/>
      <c r="G480" s="49"/>
      <c r="H480" s="49"/>
      <c r="I480" s="49"/>
      <c r="J480" s="49"/>
      <c r="K480" s="49"/>
      <c r="L480" s="48"/>
      <c r="M480" s="48"/>
      <c r="N480" s="48"/>
      <c r="O480" s="48"/>
      <c r="P480" s="48"/>
      <c r="Q480" s="48"/>
      <c r="R480" s="48"/>
      <c r="S480" s="48"/>
      <c r="T480" s="48"/>
      <c r="U480" s="48"/>
      <c r="V480" s="48"/>
      <c r="W480" s="48"/>
      <c r="X480" s="48"/>
      <c r="Y480" s="48"/>
      <c r="Z480" s="48"/>
    </row>
    <row r="481" ht="15.75" customHeight="1">
      <c r="A481" s="49"/>
      <c r="B481" s="49"/>
      <c r="C481" s="49"/>
      <c r="D481" s="49"/>
      <c r="E481" s="49"/>
      <c r="F481" s="49"/>
      <c r="G481" s="49"/>
      <c r="H481" s="49"/>
      <c r="I481" s="49"/>
      <c r="J481" s="49"/>
      <c r="K481" s="49"/>
      <c r="L481" s="48"/>
      <c r="M481" s="48"/>
      <c r="N481" s="48"/>
      <c r="O481" s="48"/>
      <c r="P481" s="48"/>
      <c r="Q481" s="48"/>
      <c r="R481" s="48"/>
      <c r="S481" s="48"/>
      <c r="T481" s="48"/>
      <c r="U481" s="48"/>
      <c r="V481" s="48"/>
      <c r="W481" s="48"/>
      <c r="X481" s="48"/>
      <c r="Y481" s="48"/>
      <c r="Z481" s="48"/>
    </row>
    <row r="482" ht="15.75" customHeight="1">
      <c r="A482" s="49"/>
      <c r="B482" s="49"/>
      <c r="C482" s="49"/>
      <c r="D482" s="49"/>
      <c r="E482" s="49"/>
      <c r="F482" s="49"/>
      <c r="G482" s="49"/>
      <c r="H482" s="49"/>
      <c r="I482" s="49"/>
      <c r="J482" s="49"/>
      <c r="K482" s="49"/>
      <c r="L482" s="48"/>
      <c r="M482" s="48"/>
      <c r="N482" s="48"/>
      <c r="O482" s="48"/>
      <c r="P482" s="48"/>
      <c r="Q482" s="48"/>
      <c r="R482" s="48"/>
      <c r="S482" s="48"/>
      <c r="T482" s="48"/>
      <c r="U482" s="48"/>
      <c r="V482" s="48"/>
      <c r="W482" s="48"/>
      <c r="X482" s="48"/>
      <c r="Y482" s="48"/>
      <c r="Z482" s="48"/>
    </row>
    <row r="483" ht="15.75" customHeight="1">
      <c r="A483" s="49"/>
      <c r="B483" s="49"/>
      <c r="C483" s="49"/>
      <c r="D483" s="49"/>
      <c r="E483" s="49"/>
      <c r="F483" s="49"/>
      <c r="G483" s="49"/>
      <c r="H483" s="49"/>
      <c r="I483" s="49"/>
      <c r="J483" s="49"/>
      <c r="K483" s="49"/>
      <c r="L483" s="48"/>
      <c r="M483" s="48"/>
      <c r="N483" s="48"/>
      <c r="O483" s="48"/>
      <c r="P483" s="48"/>
      <c r="Q483" s="48"/>
      <c r="R483" s="48"/>
      <c r="S483" s="48"/>
      <c r="T483" s="48"/>
      <c r="U483" s="48"/>
      <c r="V483" s="48"/>
      <c r="W483" s="48"/>
      <c r="X483" s="48"/>
      <c r="Y483" s="48"/>
      <c r="Z483" s="48"/>
    </row>
    <row r="484" ht="15.75" customHeight="1">
      <c r="A484" s="49"/>
      <c r="B484" s="49"/>
      <c r="C484" s="49"/>
      <c r="D484" s="49"/>
      <c r="E484" s="49"/>
      <c r="F484" s="49"/>
      <c r="G484" s="49"/>
      <c r="H484" s="49"/>
      <c r="I484" s="49"/>
      <c r="J484" s="49"/>
      <c r="K484" s="49"/>
      <c r="L484" s="48"/>
      <c r="M484" s="48"/>
      <c r="N484" s="48"/>
      <c r="O484" s="48"/>
      <c r="P484" s="48"/>
      <c r="Q484" s="48"/>
      <c r="R484" s="48"/>
      <c r="S484" s="48"/>
      <c r="T484" s="48"/>
      <c r="U484" s="48"/>
      <c r="V484" s="48"/>
      <c r="W484" s="48"/>
      <c r="X484" s="48"/>
      <c r="Y484" s="48"/>
      <c r="Z484" s="48"/>
    </row>
    <row r="485" ht="15.75" customHeight="1">
      <c r="A485" s="49"/>
      <c r="B485" s="49"/>
      <c r="C485" s="49"/>
      <c r="D485" s="49"/>
      <c r="E485" s="49"/>
      <c r="F485" s="49"/>
      <c r="G485" s="49"/>
      <c r="H485" s="49"/>
      <c r="I485" s="49"/>
      <c r="J485" s="49"/>
      <c r="K485" s="49"/>
      <c r="L485" s="48"/>
      <c r="M485" s="48"/>
      <c r="N485" s="48"/>
      <c r="O485" s="48"/>
      <c r="P485" s="48"/>
      <c r="Q485" s="48"/>
      <c r="R485" s="48"/>
      <c r="S485" s="48"/>
      <c r="T485" s="48"/>
      <c r="U485" s="48"/>
      <c r="V485" s="48"/>
      <c r="W485" s="48"/>
      <c r="X485" s="48"/>
      <c r="Y485" s="48"/>
      <c r="Z485" s="48"/>
    </row>
    <row r="486" ht="15.75" customHeight="1">
      <c r="A486" s="49"/>
      <c r="B486" s="49"/>
      <c r="C486" s="49"/>
      <c r="D486" s="49"/>
      <c r="E486" s="49"/>
      <c r="F486" s="49"/>
      <c r="G486" s="49"/>
      <c r="H486" s="49"/>
      <c r="I486" s="49"/>
      <c r="J486" s="49"/>
      <c r="K486" s="49"/>
      <c r="L486" s="48"/>
      <c r="M486" s="48"/>
      <c r="N486" s="48"/>
      <c r="O486" s="48"/>
      <c r="P486" s="48"/>
      <c r="Q486" s="48"/>
      <c r="R486" s="48"/>
      <c r="S486" s="48"/>
      <c r="T486" s="48"/>
      <c r="U486" s="48"/>
      <c r="V486" s="48"/>
      <c r="W486" s="48"/>
      <c r="X486" s="48"/>
      <c r="Y486" s="48"/>
      <c r="Z486" s="48"/>
    </row>
    <row r="487" ht="15.75" customHeight="1">
      <c r="A487" s="49"/>
      <c r="B487" s="49"/>
      <c r="C487" s="49"/>
      <c r="D487" s="49"/>
      <c r="E487" s="49"/>
      <c r="F487" s="49"/>
      <c r="G487" s="49"/>
      <c r="H487" s="49"/>
      <c r="I487" s="49"/>
      <c r="J487" s="49"/>
      <c r="K487" s="49"/>
      <c r="L487" s="48"/>
      <c r="M487" s="48"/>
      <c r="N487" s="48"/>
      <c r="O487" s="48"/>
      <c r="P487" s="48"/>
      <c r="Q487" s="48"/>
      <c r="R487" s="48"/>
      <c r="S487" s="48"/>
      <c r="T487" s="48"/>
      <c r="U487" s="48"/>
      <c r="V487" s="48"/>
      <c r="W487" s="48"/>
      <c r="X487" s="48"/>
      <c r="Y487" s="48"/>
      <c r="Z487" s="48"/>
    </row>
    <row r="488" ht="15.75" customHeight="1">
      <c r="A488" s="49"/>
      <c r="B488" s="49"/>
      <c r="C488" s="49"/>
      <c r="D488" s="49"/>
      <c r="E488" s="49"/>
      <c r="F488" s="49"/>
      <c r="G488" s="49"/>
      <c r="H488" s="49"/>
      <c r="I488" s="49"/>
      <c r="J488" s="49"/>
      <c r="K488" s="49"/>
      <c r="L488" s="48"/>
      <c r="M488" s="48"/>
      <c r="N488" s="48"/>
      <c r="O488" s="48"/>
      <c r="P488" s="48"/>
      <c r="Q488" s="48"/>
      <c r="R488" s="48"/>
      <c r="S488" s="48"/>
      <c r="T488" s="48"/>
      <c r="U488" s="48"/>
      <c r="V488" s="48"/>
      <c r="W488" s="48"/>
      <c r="X488" s="48"/>
      <c r="Y488" s="48"/>
      <c r="Z488" s="48"/>
    </row>
    <row r="489" ht="15.75" customHeight="1">
      <c r="A489" s="49"/>
      <c r="B489" s="49"/>
      <c r="C489" s="49"/>
      <c r="D489" s="49"/>
      <c r="E489" s="49"/>
      <c r="F489" s="49"/>
      <c r="G489" s="49"/>
      <c r="H489" s="49"/>
      <c r="I489" s="49"/>
      <c r="J489" s="49"/>
      <c r="K489" s="49"/>
      <c r="L489" s="48"/>
      <c r="M489" s="48"/>
      <c r="N489" s="48"/>
      <c r="O489" s="48"/>
      <c r="P489" s="48"/>
      <c r="Q489" s="48"/>
      <c r="R489" s="48"/>
      <c r="S489" s="48"/>
      <c r="T489" s="48"/>
      <c r="U489" s="48"/>
      <c r="V489" s="48"/>
      <c r="W489" s="48"/>
      <c r="X489" s="48"/>
      <c r="Y489" s="48"/>
      <c r="Z489" s="48"/>
    </row>
    <row r="490" ht="15.75" customHeight="1">
      <c r="A490" s="49"/>
      <c r="B490" s="49"/>
      <c r="C490" s="49"/>
      <c r="D490" s="49"/>
      <c r="E490" s="49"/>
      <c r="F490" s="49"/>
      <c r="G490" s="49"/>
      <c r="H490" s="49"/>
      <c r="I490" s="49"/>
      <c r="J490" s="49"/>
      <c r="K490" s="49"/>
      <c r="L490" s="48"/>
      <c r="M490" s="48"/>
      <c r="N490" s="48"/>
      <c r="O490" s="48"/>
      <c r="P490" s="48"/>
      <c r="Q490" s="48"/>
      <c r="R490" s="48"/>
      <c r="S490" s="48"/>
      <c r="T490" s="48"/>
      <c r="U490" s="48"/>
      <c r="V490" s="48"/>
      <c r="W490" s="48"/>
      <c r="X490" s="48"/>
      <c r="Y490" s="48"/>
      <c r="Z490" s="48"/>
    </row>
    <row r="491" ht="15.75" customHeight="1">
      <c r="A491" s="49"/>
      <c r="B491" s="49"/>
      <c r="C491" s="49"/>
      <c r="D491" s="49"/>
      <c r="E491" s="49"/>
      <c r="F491" s="49"/>
      <c r="G491" s="49"/>
      <c r="H491" s="49"/>
      <c r="I491" s="49"/>
      <c r="J491" s="49"/>
      <c r="K491" s="49"/>
      <c r="L491" s="48"/>
      <c r="M491" s="48"/>
      <c r="N491" s="48"/>
      <c r="O491" s="48"/>
      <c r="P491" s="48"/>
      <c r="Q491" s="48"/>
      <c r="R491" s="48"/>
      <c r="S491" s="48"/>
      <c r="T491" s="48"/>
      <c r="U491" s="48"/>
      <c r="V491" s="48"/>
      <c r="W491" s="48"/>
      <c r="X491" s="48"/>
      <c r="Y491" s="48"/>
      <c r="Z491" s="48"/>
    </row>
    <row r="492" ht="15.75" customHeight="1">
      <c r="A492" s="49"/>
      <c r="B492" s="49"/>
      <c r="C492" s="49"/>
      <c r="D492" s="49"/>
      <c r="E492" s="49"/>
      <c r="F492" s="49"/>
      <c r="G492" s="49"/>
      <c r="H492" s="49"/>
      <c r="I492" s="49"/>
      <c r="J492" s="49"/>
      <c r="K492" s="49"/>
      <c r="L492" s="48"/>
      <c r="M492" s="48"/>
      <c r="N492" s="48"/>
      <c r="O492" s="48"/>
      <c r="P492" s="48"/>
      <c r="Q492" s="48"/>
      <c r="R492" s="48"/>
      <c r="S492" s="48"/>
      <c r="T492" s="48"/>
      <c r="U492" s="48"/>
      <c r="V492" s="48"/>
      <c r="W492" s="48"/>
      <c r="X492" s="48"/>
      <c r="Y492" s="48"/>
      <c r="Z492" s="48"/>
    </row>
    <row r="493" ht="15.75" customHeight="1">
      <c r="A493" s="49"/>
      <c r="B493" s="49"/>
      <c r="C493" s="49"/>
      <c r="D493" s="49"/>
      <c r="E493" s="49"/>
      <c r="F493" s="49"/>
      <c r="G493" s="49"/>
      <c r="H493" s="49"/>
      <c r="I493" s="49"/>
      <c r="J493" s="49"/>
      <c r="K493" s="49"/>
      <c r="L493" s="48"/>
      <c r="M493" s="48"/>
      <c r="N493" s="48"/>
      <c r="O493" s="48"/>
      <c r="P493" s="48"/>
      <c r="Q493" s="48"/>
      <c r="R493" s="48"/>
      <c r="S493" s="48"/>
      <c r="T493" s="48"/>
      <c r="U493" s="48"/>
      <c r="V493" s="48"/>
      <c r="W493" s="48"/>
      <c r="X493" s="48"/>
      <c r="Y493" s="48"/>
      <c r="Z493" s="48"/>
    </row>
    <row r="494" ht="15.75" customHeight="1">
      <c r="A494" s="49"/>
      <c r="B494" s="49"/>
      <c r="C494" s="49"/>
      <c r="D494" s="49"/>
      <c r="E494" s="49"/>
      <c r="F494" s="49"/>
      <c r="G494" s="49"/>
      <c r="H494" s="49"/>
      <c r="I494" s="49"/>
      <c r="J494" s="49"/>
      <c r="K494" s="49"/>
      <c r="L494" s="48"/>
      <c r="M494" s="48"/>
      <c r="N494" s="48"/>
      <c r="O494" s="48"/>
      <c r="P494" s="48"/>
      <c r="Q494" s="48"/>
      <c r="R494" s="48"/>
      <c r="S494" s="48"/>
      <c r="T494" s="48"/>
      <c r="U494" s="48"/>
      <c r="V494" s="48"/>
      <c r="W494" s="48"/>
      <c r="X494" s="48"/>
      <c r="Y494" s="48"/>
      <c r="Z494" s="48"/>
    </row>
    <row r="495" ht="15.75" customHeight="1">
      <c r="A495" s="49"/>
      <c r="B495" s="49"/>
      <c r="C495" s="49"/>
      <c r="D495" s="49"/>
      <c r="E495" s="49"/>
      <c r="F495" s="49"/>
      <c r="G495" s="49"/>
      <c r="H495" s="49"/>
      <c r="I495" s="49"/>
      <c r="J495" s="49"/>
      <c r="K495" s="49"/>
      <c r="L495" s="48"/>
      <c r="M495" s="48"/>
      <c r="N495" s="48"/>
      <c r="O495" s="48"/>
      <c r="P495" s="48"/>
      <c r="Q495" s="48"/>
      <c r="R495" s="48"/>
      <c r="S495" s="48"/>
      <c r="T495" s="48"/>
      <c r="U495" s="48"/>
      <c r="V495" s="48"/>
      <c r="W495" s="48"/>
      <c r="X495" s="48"/>
      <c r="Y495" s="48"/>
      <c r="Z495" s="48"/>
    </row>
    <row r="496" ht="15.75" customHeight="1">
      <c r="A496" s="49"/>
      <c r="B496" s="49"/>
      <c r="C496" s="49"/>
      <c r="D496" s="49"/>
      <c r="E496" s="49"/>
      <c r="F496" s="49"/>
      <c r="G496" s="49"/>
      <c r="H496" s="49"/>
      <c r="I496" s="49"/>
      <c r="J496" s="49"/>
      <c r="K496" s="49"/>
      <c r="L496" s="48"/>
      <c r="M496" s="48"/>
      <c r="N496" s="48"/>
      <c r="O496" s="48"/>
      <c r="P496" s="48"/>
      <c r="Q496" s="48"/>
      <c r="R496" s="48"/>
      <c r="S496" s="48"/>
      <c r="T496" s="48"/>
      <c r="U496" s="48"/>
      <c r="V496" s="48"/>
      <c r="W496" s="48"/>
      <c r="X496" s="48"/>
      <c r="Y496" s="48"/>
      <c r="Z496" s="48"/>
    </row>
    <row r="497" ht="15.75" customHeight="1">
      <c r="A497" s="49"/>
      <c r="B497" s="49"/>
      <c r="C497" s="49"/>
      <c r="D497" s="49"/>
      <c r="E497" s="49"/>
      <c r="F497" s="49"/>
      <c r="G497" s="49"/>
      <c r="H497" s="49"/>
      <c r="I497" s="49"/>
      <c r="J497" s="49"/>
      <c r="K497" s="49"/>
      <c r="L497" s="48"/>
      <c r="M497" s="48"/>
      <c r="N497" s="48"/>
      <c r="O497" s="48"/>
      <c r="P497" s="48"/>
      <c r="Q497" s="48"/>
      <c r="R497" s="48"/>
      <c r="S497" s="48"/>
      <c r="T497" s="48"/>
      <c r="U497" s="48"/>
      <c r="V497" s="48"/>
      <c r="W497" s="48"/>
      <c r="X497" s="48"/>
      <c r="Y497" s="48"/>
      <c r="Z497" s="48"/>
    </row>
    <row r="498" ht="15.75" customHeight="1">
      <c r="A498" s="49"/>
      <c r="B498" s="49"/>
      <c r="C498" s="49"/>
      <c r="D498" s="49"/>
      <c r="E498" s="49"/>
      <c r="F498" s="49"/>
      <c r="G498" s="49"/>
      <c r="H498" s="49"/>
      <c r="I498" s="49"/>
      <c r="J498" s="49"/>
      <c r="K498" s="49"/>
      <c r="L498" s="48"/>
      <c r="M498" s="48"/>
      <c r="N498" s="48"/>
      <c r="O498" s="48"/>
      <c r="P498" s="48"/>
      <c r="Q498" s="48"/>
      <c r="R498" s="48"/>
      <c r="S498" s="48"/>
      <c r="T498" s="48"/>
      <c r="U498" s="48"/>
      <c r="V498" s="48"/>
      <c r="W498" s="48"/>
      <c r="X498" s="48"/>
      <c r="Y498" s="48"/>
      <c r="Z498" s="48"/>
    </row>
    <row r="499" ht="15.75" customHeight="1">
      <c r="A499" s="49"/>
      <c r="B499" s="49"/>
      <c r="C499" s="49"/>
      <c r="D499" s="49"/>
      <c r="E499" s="49"/>
      <c r="F499" s="49"/>
      <c r="G499" s="49"/>
      <c r="H499" s="49"/>
      <c r="I499" s="49"/>
      <c r="J499" s="49"/>
      <c r="K499" s="49"/>
      <c r="L499" s="48"/>
      <c r="M499" s="48"/>
      <c r="N499" s="48"/>
      <c r="O499" s="48"/>
      <c r="P499" s="48"/>
      <c r="Q499" s="48"/>
      <c r="R499" s="48"/>
      <c r="S499" s="48"/>
      <c r="T499" s="48"/>
      <c r="U499" s="48"/>
      <c r="V499" s="48"/>
      <c r="W499" s="48"/>
      <c r="X499" s="48"/>
      <c r="Y499" s="48"/>
      <c r="Z499" s="48"/>
    </row>
    <row r="500" ht="15.75" customHeight="1">
      <c r="A500" s="49"/>
      <c r="B500" s="49"/>
      <c r="C500" s="49"/>
      <c r="D500" s="49"/>
      <c r="E500" s="49"/>
      <c r="F500" s="49"/>
      <c r="G500" s="49"/>
      <c r="H500" s="49"/>
      <c r="I500" s="49"/>
      <c r="J500" s="49"/>
      <c r="K500" s="49"/>
      <c r="L500" s="48"/>
      <c r="M500" s="48"/>
      <c r="N500" s="48"/>
      <c r="O500" s="48"/>
      <c r="P500" s="48"/>
      <c r="Q500" s="48"/>
      <c r="R500" s="48"/>
      <c r="S500" s="48"/>
      <c r="T500" s="48"/>
      <c r="U500" s="48"/>
      <c r="V500" s="48"/>
      <c r="W500" s="48"/>
      <c r="X500" s="48"/>
      <c r="Y500" s="48"/>
      <c r="Z500" s="48"/>
    </row>
    <row r="501" ht="15.75" customHeight="1">
      <c r="A501" s="49"/>
      <c r="B501" s="49"/>
      <c r="C501" s="49"/>
      <c r="D501" s="49"/>
      <c r="E501" s="49"/>
      <c r="F501" s="49"/>
      <c r="G501" s="49"/>
      <c r="H501" s="49"/>
      <c r="I501" s="49"/>
      <c r="J501" s="49"/>
      <c r="K501" s="49"/>
      <c r="L501" s="48"/>
      <c r="M501" s="48"/>
      <c r="N501" s="48"/>
      <c r="O501" s="48"/>
      <c r="P501" s="48"/>
      <c r="Q501" s="48"/>
      <c r="R501" s="48"/>
      <c r="S501" s="48"/>
      <c r="T501" s="48"/>
      <c r="U501" s="48"/>
      <c r="V501" s="48"/>
      <c r="W501" s="48"/>
      <c r="X501" s="48"/>
      <c r="Y501" s="48"/>
      <c r="Z501" s="48"/>
    </row>
    <row r="502" ht="15.75" customHeight="1">
      <c r="A502" s="49"/>
      <c r="B502" s="49"/>
      <c r="C502" s="49"/>
      <c r="D502" s="49"/>
      <c r="E502" s="49"/>
      <c r="F502" s="49"/>
      <c r="G502" s="49"/>
      <c r="H502" s="49"/>
      <c r="I502" s="49"/>
      <c r="J502" s="49"/>
      <c r="K502" s="49"/>
      <c r="L502" s="48"/>
      <c r="M502" s="48"/>
      <c r="N502" s="48"/>
      <c r="O502" s="48"/>
      <c r="P502" s="48"/>
      <c r="Q502" s="48"/>
      <c r="R502" s="48"/>
      <c r="S502" s="48"/>
      <c r="T502" s="48"/>
      <c r="U502" s="48"/>
      <c r="V502" s="48"/>
      <c r="W502" s="48"/>
      <c r="X502" s="48"/>
      <c r="Y502" s="48"/>
      <c r="Z502" s="48"/>
    </row>
    <row r="503" ht="15.75" customHeight="1">
      <c r="A503" s="49"/>
      <c r="B503" s="49"/>
      <c r="C503" s="49"/>
      <c r="D503" s="49"/>
      <c r="E503" s="49"/>
      <c r="F503" s="49"/>
      <c r="G503" s="49"/>
      <c r="H503" s="49"/>
      <c r="I503" s="49"/>
      <c r="J503" s="49"/>
      <c r="K503" s="49"/>
      <c r="L503" s="48"/>
      <c r="M503" s="48"/>
      <c r="N503" s="48"/>
      <c r="O503" s="48"/>
      <c r="P503" s="48"/>
      <c r="Q503" s="48"/>
      <c r="R503" s="48"/>
      <c r="S503" s="48"/>
      <c r="T503" s="48"/>
      <c r="U503" s="48"/>
      <c r="V503" s="48"/>
      <c r="W503" s="48"/>
      <c r="X503" s="48"/>
      <c r="Y503" s="48"/>
      <c r="Z503" s="48"/>
    </row>
    <row r="504" ht="15.75" customHeight="1">
      <c r="A504" s="49"/>
      <c r="B504" s="49"/>
      <c r="C504" s="49"/>
      <c r="D504" s="49"/>
      <c r="E504" s="49"/>
      <c r="F504" s="49"/>
      <c r="G504" s="49"/>
      <c r="H504" s="49"/>
      <c r="I504" s="49"/>
      <c r="J504" s="49"/>
      <c r="K504" s="49"/>
      <c r="L504" s="48"/>
      <c r="M504" s="48"/>
      <c r="N504" s="48"/>
      <c r="O504" s="48"/>
      <c r="P504" s="48"/>
      <c r="Q504" s="48"/>
      <c r="R504" s="48"/>
      <c r="S504" s="48"/>
      <c r="T504" s="48"/>
      <c r="U504" s="48"/>
      <c r="V504" s="48"/>
      <c r="W504" s="48"/>
      <c r="X504" s="48"/>
      <c r="Y504" s="48"/>
      <c r="Z504" s="48"/>
    </row>
    <row r="505" ht="15.75" customHeight="1">
      <c r="A505" s="49"/>
      <c r="B505" s="49"/>
      <c r="C505" s="49"/>
      <c r="D505" s="49"/>
      <c r="E505" s="49"/>
      <c r="F505" s="49"/>
      <c r="G505" s="49"/>
      <c r="H505" s="49"/>
      <c r="I505" s="49"/>
      <c r="J505" s="49"/>
      <c r="K505" s="49"/>
      <c r="L505" s="48"/>
      <c r="M505" s="48"/>
      <c r="N505" s="48"/>
      <c r="O505" s="48"/>
      <c r="P505" s="48"/>
      <c r="Q505" s="48"/>
      <c r="R505" s="48"/>
      <c r="S505" s="48"/>
      <c r="T505" s="48"/>
      <c r="U505" s="48"/>
      <c r="V505" s="48"/>
      <c r="W505" s="48"/>
      <c r="X505" s="48"/>
      <c r="Y505" s="48"/>
      <c r="Z505" s="48"/>
    </row>
    <row r="506" ht="15.75" customHeight="1">
      <c r="A506" s="49"/>
      <c r="B506" s="49"/>
      <c r="C506" s="49"/>
      <c r="D506" s="49"/>
      <c r="E506" s="49"/>
      <c r="F506" s="49"/>
      <c r="G506" s="49"/>
      <c r="H506" s="49"/>
      <c r="I506" s="49"/>
      <c r="J506" s="49"/>
      <c r="K506" s="49"/>
      <c r="L506" s="48"/>
      <c r="M506" s="48"/>
      <c r="N506" s="48"/>
      <c r="O506" s="48"/>
      <c r="P506" s="48"/>
      <c r="Q506" s="48"/>
      <c r="R506" s="48"/>
      <c r="S506" s="48"/>
      <c r="T506" s="48"/>
      <c r="U506" s="48"/>
      <c r="V506" s="48"/>
      <c r="W506" s="48"/>
      <c r="X506" s="48"/>
      <c r="Y506" s="48"/>
      <c r="Z506" s="48"/>
    </row>
    <row r="507" ht="15.75" customHeight="1">
      <c r="A507" s="49"/>
      <c r="B507" s="49"/>
      <c r="C507" s="49"/>
      <c r="D507" s="49"/>
      <c r="E507" s="49"/>
      <c r="F507" s="49"/>
      <c r="G507" s="49"/>
      <c r="H507" s="49"/>
      <c r="I507" s="49"/>
      <c r="J507" s="49"/>
      <c r="K507" s="49"/>
      <c r="L507" s="48"/>
      <c r="M507" s="48"/>
      <c r="N507" s="48"/>
      <c r="O507" s="48"/>
      <c r="P507" s="48"/>
      <c r="Q507" s="48"/>
      <c r="R507" s="48"/>
      <c r="S507" s="48"/>
      <c r="T507" s="48"/>
      <c r="U507" s="48"/>
      <c r="V507" s="48"/>
      <c r="W507" s="48"/>
      <c r="X507" s="48"/>
      <c r="Y507" s="48"/>
      <c r="Z507" s="48"/>
    </row>
    <row r="508" ht="15.75" customHeight="1">
      <c r="A508" s="49"/>
      <c r="B508" s="49"/>
      <c r="C508" s="49"/>
      <c r="D508" s="49"/>
      <c r="E508" s="49"/>
      <c r="F508" s="49"/>
      <c r="G508" s="49"/>
      <c r="H508" s="49"/>
      <c r="I508" s="49"/>
      <c r="J508" s="49"/>
      <c r="K508" s="49"/>
      <c r="L508" s="48"/>
      <c r="M508" s="48"/>
      <c r="N508" s="48"/>
      <c r="O508" s="48"/>
      <c r="P508" s="48"/>
      <c r="Q508" s="48"/>
      <c r="R508" s="48"/>
      <c r="S508" s="48"/>
      <c r="T508" s="48"/>
      <c r="U508" s="48"/>
      <c r="V508" s="48"/>
      <c r="W508" s="48"/>
      <c r="X508" s="48"/>
      <c r="Y508" s="48"/>
      <c r="Z508" s="48"/>
    </row>
    <row r="509" ht="15.75" customHeight="1">
      <c r="A509" s="49"/>
      <c r="B509" s="49"/>
      <c r="C509" s="49"/>
      <c r="D509" s="49"/>
      <c r="E509" s="49"/>
      <c r="F509" s="49"/>
      <c r="G509" s="49"/>
      <c r="H509" s="49"/>
      <c r="I509" s="49"/>
      <c r="J509" s="49"/>
      <c r="K509" s="49"/>
      <c r="L509" s="48"/>
      <c r="M509" s="48"/>
      <c r="N509" s="48"/>
      <c r="O509" s="48"/>
      <c r="P509" s="48"/>
      <c r="Q509" s="48"/>
      <c r="R509" s="48"/>
      <c r="S509" s="48"/>
      <c r="T509" s="48"/>
      <c r="U509" s="48"/>
      <c r="V509" s="48"/>
      <c r="W509" s="48"/>
      <c r="X509" s="48"/>
      <c r="Y509" s="48"/>
      <c r="Z509" s="48"/>
    </row>
    <row r="510" ht="15.75" customHeight="1">
      <c r="A510" s="49"/>
      <c r="B510" s="49"/>
      <c r="C510" s="49"/>
      <c r="D510" s="49"/>
      <c r="E510" s="49"/>
      <c r="F510" s="49"/>
      <c r="G510" s="49"/>
      <c r="H510" s="49"/>
      <c r="I510" s="49"/>
      <c r="J510" s="49"/>
      <c r="K510" s="49"/>
      <c r="L510" s="48"/>
      <c r="M510" s="48"/>
      <c r="N510" s="48"/>
      <c r="O510" s="48"/>
      <c r="P510" s="48"/>
      <c r="Q510" s="48"/>
      <c r="R510" s="48"/>
      <c r="S510" s="48"/>
      <c r="T510" s="48"/>
      <c r="U510" s="48"/>
      <c r="V510" s="48"/>
      <c r="W510" s="48"/>
      <c r="X510" s="48"/>
      <c r="Y510" s="48"/>
      <c r="Z510" s="48"/>
    </row>
    <row r="511" ht="15.75" customHeight="1">
      <c r="A511" s="49"/>
      <c r="B511" s="49"/>
      <c r="C511" s="49"/>
      <c r="D511" s="49"/>
      <c r="E511" s="49"/>
      <c r="F511" s="49"/>
      <c r="G511" s="49"/>
      <c r="H511" s="49"/>
      <c r="I511" s="49"/>
      <c r="J511" s="49"/>
      <c r="K511" s="49"/>
      <c r="L511" s="48"/>
      <c r="M511" s="48"/>
      <c r="N511" s="48"/>
      <c r="O511" s="48"/>
      <c r="P511" s="48"/>
      <c r="Q511" s="48"/>
      <c r="R511" s="48"/>
      <c r="S511" s="48"/>
      <c r="T511" s="48"/>
      <c r="U511" s="48"/>
      <c r="V511" s="48"/>
      <c r="W511" s="48"/>
      <c r="X511" s="48"/>
      <c r="Y511" s="48"/>
      <c r="Z511" s="48"/>
    </row>
    <row r="512" ht="15.75" customHeight="1">
      <c r="A512" s="49"/>
      <c r="B512" s="49"/>
      <c r="C512" s="49"/>
      <c r="D512" s="49"/>
      <c r="E512" s="49"/>
      <c r="F512" s="49"/>
      <c r="G512" s="49"/>
      <c r="H512" s="49"/>
      <c r="I512" s="49"/>
      <c r="J512" s="49"/>
      <c r="K512" s="49"/>
      <c r="L512" s="48"/>
      <c r="M512" s="48"/>
      <c r="N512" s="48"/>
      <c r="O512" s="48"/>
      <c r="P512" s="48"/>
      <c r="Q512" s="48"/>
      <c r="R512" s="48"/>
      <c r="S512" s="48"/>
      <c r="T512" s="48"/>
      <c r="U512" s="48"/>
      <c r="V512" s="48"/>
      <c r="W512" s="48"/>
      <c r="X512" s="48"/>
      <c r="Y512" s="48"/>
      <c r="Z512" s="48"/>
    </row>
    <row r="513" ht="15.75" customHeight="1">
      <c r="A513" s="49"/>
      <c r="B513" s="49"/>
      <c r="C513" s="49"/>
      <c r="D513" s="49"/>
      <c r="E513" s="49"/>
      <c r="F513" s="49"/>
      <c r="G513" s="49"/>
      <c r="H513" s="49"/>
      <c r="I513" s="49"/>
      <c r="J513" s="49"/>
      <c r="K513" s="49"/>
      <c r="L513" s="48"/>
      <c r="M513" s="48"/>
      <c r="N513" s="48"/>
      <c r="O513" s="48"/>
      <c r="P513" s="48"/>
      <c r="Q513" s="48"/>
      <c r="R513" s="48"/>
      <c r="S513" s="48"/>
      <c r="T513" s="48"/>
      <c r="U513" s="48"/>
      <c r="V513" s="48"/>
      <c r="W513" s="48"/>
      <c r="X513" s="48"/>
      <c r="Y513" s="48"/>
      <c r="Z513" s="48"/>
    </row>
    <row r="514" ht="15.75" customHeight="1">
      <c r="A514" s="49"/>
      <c r="B514" s="49"/>
      <c r="C514" s="49"/>
      <c r="D514" s="49"/>
      <c r="E514" s="49"/>
      <c r="F514" s="49"/>
      <c r="G514" s="49"/>
      <c r="H514" s="49"/>
      <c r="I514" s="49"/>
      <c r="J514" s="49"/>
      <c r="K514" s="49"/>
      <c r="L514" s="48"/>
      <c r="M514" s="48"/>
      <c r="N514" s="48"/>
      <c r="O514" s="48"/>
      <c r="P514" s="48"/>
      <c r="Q514" s="48"/>
      <c r="R514" s="48"/>
      <c r="S514" s="48"/>
      <c r="T514" s="48"/>
      <c r="U514" s="48"/>
      <c r="V514" s="48"/>
      <c r="W514" s="48"/>
      <c r="X514" s="48"/>
      <c r="Y514" s="48"/>
      <c r="Z514" s="48"/>
    </row>
    <row r="515" ht="15.75" customHeight="1">
      <c r="A515" s="49"/>
      <c r="B515" s="49"/>
      <c r="C515" s="49"/>
      <c r="D515" s="49"/>
      <c r="E515" s="49"/>
      <c r="F515" s="49"/>
      <c r="G515" s="49"/>
      <c r="H515" s="49"/>
      <c r="I515" s="49"/>
      <c r="J515" s="49"/>
      <c r="K515" s="49"/>
      <c r="L515" s="48"/>
      <c r="M515" s="48"/>
      <c r="N515" s="48"/>
      <c r="O515" s="48"/>
      <c r="P515" s="48"/>
      <c r="Q515" s="48"/>
      <c r="R515" s="48"/>
      <c r="S515" s="48"/>
      <c r="T515" s="48"/>
      <c r="U515" s="48"/>
      <c r="V515" s="48"/>
      <c r="W515" s="48"/>
      <c r="X515" s="48"/>
      <c r="Y515" s="48"/>
      <c r="Z515" s="48"/>
    </row>
    <row r="516" ht="15.75" customHeight="1">
      <c r="A516" s="49"/>
      <c r="B516" s="49"/>
      <c r="C516" s="49"/>
      <c r="D516" s="49"/>
      <c r="E516" s="49"/>
      <c r="F516" s="49"/>
      <c r="G516" s="49"/>
      <c r="H516" s="49"/>
      <c r="I516" s="49"/>
      <c r="J516" s="49"/>
      <c r="K516" s="49"/>
      <c r="L516" s="48"/>
      <c r="M516" s="48"/>
      <c r="N516" s="48"/>
      <c r="O516" s="48"/>
      <c r="P516" s="48"/>
      <c r="Q516" s="48"/>
      <c r="R516" s="48"/>
      <c r="S516" s="48"/>
      <c r="T516" s="48"/>
      <c r="U516" s="48"/>
      <c r="V516" s="48"/>
      <c r="W516" s="48"/>
      <c r="X516" s="48"/>
      <c r="Y516" s="48"/>
      <c r="Z516" s="48"/>
    </row>
    <row r="517" ht="15.75" customHeight="1">
      <c r="A517" s="49"/>
      <c r="B517" s="49"/>
      <c r="C517" s="49"/>
      <c r="D517" s="49"/>
      <c r="E517" s="49"/>
      <c r="F517" s="49"/>
      <c r="G517" s="49"/>
      <c r="H517" s="49"/>
      <c r="I517" s="49"/>
      <c r="J517" s="49"/>
      <c r="K517" s="49"/>
      <c r="L517" s="48"/>
      <c r="M517" s="48"/>
      <c r="N517" s="48"/>
      <c r="O517" s="48"/>
      <c r="P517" s="48"/>
      <c r="Q517" s="48"/>
      <c r="R517" s="48"/>
      <c r="S517" s="48"/>
      <c r="T517" s="48"/>
      <c r="U517" s="48"/>
      <c r="V517" s="48"/>
      <c r="W517" s="48"/>
      <c r="X517" s="48"/>
      <c r="Y517" s="48"/>
      <c r="Z517" s="48"/>
    </row>
    <row r="518" ht="15.75" customHeight="1">
      <c r="A518" s="49"/>
      <c r="B518" s="49"/>
      <c r="C518" s="49"/>
      <c r="D518" s="49"/>
      <c r="E518" s="49"/>
      <c r="F518" s="49"/>
      <c r="G518" s="49"/>
      <c r="H518" s="49"/>
      <c r="I518" s="49"/>
      <c r="J518" s="49"/>
      <c r="K518" s="49"/>
      <c r="L518" s="48"/>
      <c r="M518" s="48"/>
      <c r="N518" s="48"/>
      <c r="O518" s="48"/>
      <c r="P518" s="48"/>
      <c r="Q518" s="48"/>
      <c r="R518" s="48"/>
      <c r="S518" s="48"/>
      <c r="T518" s="48"/>
      <c r="U518" s="48"/>
      <c r="V518" s="48"/>
      <c r="W518" s="48"/>
      <c r="X518" s="48"/>
      <c r="Y518" s="48"/>
      <c r="Z518" s="48"/>
    </row>
    <row r="519" ht="15.75" customHeight="1">
      <c r="A519" s="49"/>
      <c r="B519" s="49"/>
      <c r="C519" s="49"/>
      <c r="D519" s="49"/>
      <c r="E519" s="49"/>
      <c r="F519" s="49"/>
      <c r="G519" s="49"/>
      <c r="H519" s="49"/>
      <c r="I519" s="49"/>
      <c r="J519" s="49"/>
      <c r="K519" s="49"/>
      <c r="L519" s="48"/>
      <c r="M519" s="48"/>
      <c r="N519" s="48"/>
      <c r="O519" s="48"/>
      <c r="P519" s="48"/>
      <c r="Q519" s="48"/>
      <c r="R519" s="48"/>
      <c r="S519" s="48"/>
      <c r="T519" s="48"/>
      <c r="U519" s="48"/>
      <c r="V519" s="48"/>
      <c r="W519" s="48"/>
      <c r="X519" s="48"/>
      <c r="Y519" s="48"/>
      <c r="Z519" s="48"/>
    </row>
    <row r="520" ht="15.75" customHeight="1">
      <c r="A520" s="49"/>
      <c r="B520" s="49"/>
      <c r="C520" s="49"/>
      <c r="D520" s="49"/>
      <c r="E520" s="49"/>
      <c r="F520" s="49"/>
      <c r="G520" s="49"/>
      <c r="H520" s="49"/>
      <c r="I520" s="49"/>
      <c r="J520" s="49"/>
      <c r="K520" s="49"/>
      <c r="L520" s="48"/>
      <c r="M520" s="48"/>
      <c r="N520" s="48"/>
      <c r="O520" s="48"/>
      <c r="P520" s="48"/>
      <c r="Q520" s="48"/>
      <c r="R520" s="48"/>
      <c r="S520" s="48"/>
      <c r="T520" s="48"/>
      <c r="U520" s="48"/>
      <c r="V520" s="48"/>
      <c r="W520" s="48"/>
      <c r="X520" s="48"/>
      <c r="Y520" s="48"/>
      <c r="Z520" s="48"/>
    </row>
    <row r="521" ht="15.75" customHeight="1">
      <c r="A521" s="49"/>
      <c r="B521" s="49"/>
      <c r="C521" s="49"/>
      <c r="D521" s="49"/>
      <c r="E521" s="49"/>
      <c r="F521" s="49"/>
      <c r="G521" s="49"/>
      <c r="H521" s="49"/>
      <c r="I521" s="49"/>
      <c r="J521" s="49"/>
      <c r="K521" s="49"/>
      <c r="L521" s="48"/>
      <c r="M521" s="48"/>
      <c r="N521" s="48"/>
      <c r="O521" s="48"/>
      <c r="P521" s="48"/>
      <c r="Q521" s="48"/>
      <c r="R521" s="48"/>
      <c r="S521" s="48"/>
      <c r="T521" s="48"/>
      <c r="U521" s="48"/>
      <c r="V521" s="48"/>
      <c r="W521" s="48"/>
      <c r="X521" s="48"/>
      <c r="Y521" s="48"/>
      <c r="Z521" s="48"/>
    </row>
    <row r="522" ht="15.75" customHeight="1">
      <c r="A522" s="49"/>
      <c r="B522" s="49"/>
      <c r="C522" s="49"/>
      <c r="D522" s="49"/>
      <c r="E522" s="49"/>
      <c r="F522" s="49"/>
      <c r="G522" s="49"/>
      <c r="H522" s="49"/>
      <c r="I522" s="49"/>
      <c r="J522" s="49"/>
      <c r="K522" s="49"/>
      <c r="L522" s="48"/>
      <c r="M522" s="48"/>
      <c r="N522" s="48"/>
      <c r="O522" s="48"/>
      <c r="P522" s="48"/>
      <c r="Q522" s="48"/>
      <c r="R522" s="48"/>
      <c r="S522" s="48"/>
      <c r="T522" s="48"/>
      <c r="U522" s="48"/>
      <c r="V522" s="48"/>
      <c r="W522" s="48"/>
      <c r="X522" s="48"/>
      <c r="Y522" s="48"/>
      <c r="Z522" s="48"/>
    </row>
    <row r="523" ht="15.75" customHeight="1">
      <c r="A523" s="49"/>
      <c r="B523" s="49"/>
      <c r="C523" s="49"/>
      <c r="D523" s="49"/>
      <c r="E523" s="49"/>
      <c r="F523" s="49"/>
      <c r="G523" s="49"/>
      <c r="H523" s="49"/>
      <c r="I523" s="49"/>
      <c r="J523" s="49"/>
      <c r="K523" s="49"/>
      <c r="L523" s="48"/>
      <c r="M523" s="48"/>
      <c r="N523" s="48"/>
      <c r="O523" s="48"/>
      <c r="P523" s="48"/>
      <c r="Q523" s="48"/>
      <c r="R523" s="48"/>
      <c r="S523" s="48"/>
      <c r="T523" s="48"/>
      <c r="U523" s="48"/>
      <c r="V523" s="48"/>
      <c r="W523" s="48"/>
      <c r="X523" s="48"/>
      <c r="Y523" s="48"/>
      <c r="Z523" s="48"/>
    </row>
    <row r="524" ht="15.75" customHeight="1">
      <c r="A524" s="49"/>
      <c r="B524" s="49"/>
      <c r="C524" s="49"/>
      <c r="D524" s="49"/>
      <c r="E524" s="49"/>
      <c r="F524" s="49"/>
      <c r="G524" s="49"/>
      <c r="H524" s="49"/>
      <c r="I524" s="49"/>
      <c r="J524" s="49"/>
      <c r="K524" s="49"/>
      <c r="L524" s="48"/>
      <c r="M524" s="48"/>
      <c r="N524" s="48"/>
      <c r="O524" s="48"/>
      <c r="P524" s="48"/>
      <c r="Q524" s="48"/>
      <c r="R524" s="48"/>
      <c r="S524" s="48"/>
      <c r="T524" s="48"/>
      <c r="U524" s="48"/>
      <c r="V524" s="48"/>
      <c r="W524" s="48"/>
      <c r="X524" s="48"/>
      <c r="Y524" s="48"/>
      <c r="Z524" s="48"/>
    </row>
    <row r="525" ht="15.75" customHeight="1">
      <c r="A525" s="49"/>
      <c r="B525" s="49"/>
      <c r="C525" s="49"/>
      <c r="D525" s="49"/>
      <c r="E525" s="49"/>
      <c r="F525" s="49"/>
      <c r="G525" s="49"/>
      <c r="H525" s="49"/>
      <c r="I525" s="49"/>
      <c r="J525" s="49"/>
      <c r="K525" s="49"/>
      <c r="L525" s="48"/>
      <c r="M525" s="48"/>
      <c r="N525" s="48"/>
      <c r="O525" s="48"/>
      <c r="P525" s="48"/>
      <c r="Q525" s="48"/>
      <c r="R525" s="48"/>
      <c r="S525" s="48"/>
      <c r="T525" s="48"/>
      <c r="U525" s="48"/>
      <c r="V525" s="48"/>
      <c r="W525" s="48"/>
      <c r="X525" s="48"/>
      <c r="Y525" s="48"/>
      <c r="Z525" s="48"/>
    </row>
    <row r="526" ht="15.75" customHeight="1">
      <c r="A526" s="49"/>
      <c r="B526" s="49"/>
      <c r="C526" s="49"/>
      <c r="D526" s="49"/>
      <c r="E526" s="49"/>
      <c r="F526" s="49"/>
      <c r="G526" s="49"/>
      <c r="H526" s="49"/>
      <c r="I526" s="49"/>
      <c r="J526" s="49"/>
      <c r="K526" s="49"/>
      <c r="L526" s="48"/>
      <c r="M526" s="48"/>
      <c r="N526" s="48"/>
      <c r="O526" s="48"/>
      <c r="P526" s="48"/>
      <c r="Q526" s="48"/>
      <c r="R526" s="48"/>
      <c r="S526" s="48"/>
      <c r="T526" s="48"/>
      <c r="U526" s="48"/>
      <c r="V526" s="48"/>
      <c r="W526" s="48"/>
      <c r="X526" s="48"/>
      <c r="Y526" s="48"/>
      <c r="Z526" s="48"/>
    </row>
    <row r="527" ht="15.75" customHeight="1">
      <c r="A527" s="49"/>
      <c r="B527" s="49"/>
      <c r="C527" s="49"/>
      <c r="D527" s="49"/>
      <c r="E527" s="49"/>
      <c r="F527" s="49"/>
      <c r="G527" s="49"/>
      <c r="H527" s="49"/>
      <c r="I527" s="49"/>
      <c r="J527" s="49"/>
      <c r="K527" s="49"/>
      <c r="L527" s="48"/>
      <c r="M527" s="48"/>
      <c r="N527" s="48"/>
      <c r="O527" s="48"/>
      <c r="P527" s="48"/>
      <c r="Q527" s="48"/>
      <c r="R527" s="48"/>
      <c r="S527" s="48"/>
      <c r="T527" s="48"/>
      <c r="U527" s="48"/>
      <c r="V527" s="48"/>
      <c r="W527" s="48"/>
      <c r="X527" s="48"/>
      <c r="Y527" s="48"/>
      <c r="Z527" s="48"/>
    </row>
    <row r="528" ht="15.75" customHeight="1">
      <c r="A528" s="49"/>
      <c r="B528" s="49"/>
      <c r="C528" s="49"/>
      <c r="D528" s="49"/>
      <c r="E528" s="49"/>
      <c r="F528" s="49"/>
      <c r="G528" s="49"/>
      <c r="H528" s="49"/>
      <c r="I528" s="49"/>
      <c r="J528" s="49"/>
      <c r="K528" s="49"/>
      <c r="L528" s="48"/>
      <c r="M528" s="48"/>
      <c r="N528" s="48"/>
      <c r="O528" s="48"/>
      <c r="P528" s="48"/>
      <c r="Q528" s="48"/>
      <c r="R528" s="48"/>
      <c r="S528" s="48"/>
      <c r="T528" s="48"/>
      <c r="U528" s="48"/>
      <c r="V528" s="48"/>
      <c r="W528" s="48"/>
      <c r="X528" s="48"/>
      <c r="Y528" s="48"/>
      <c r="Z528" s="48"/>
    </row>
    <row r="529" ht="15.75" customHeight="1">
      <c r="A529" s="49"/>
      <c r="B529" s="49"/>
      <c r="C529" s="49"/>
      <c r="D529" s="49"/>
      <c r="E529" s="49"/>
      <c r="F529" s="49"/>
      <c r="G529" s="49"/>
      <c r="H529" s="49"/>
      <c r="I529" s="49"/>
      <c r="J529" s="49"/>
      <c r="K529" s="49"/>
      <c r="L529" s="48"/>
      <c r="M529" s="48"/>
      <c r="N529" s="48"/>
      <c r="O529" s="48"/>
      <c r="P529" s="48"/>
      <c r="Q529" s="48"/>
      <c r="R529" s="48"/>
      <c r="S529" s="48"/>
      <c r="T529" s="48"/>
      <c r="U529" s="48"/>
      <c r="V529" s="48"/>
      <c r="W529" s="48"/>
      <c r="X529" s="48"/>
      <c r="Y529" s="48"/>
      <c r="Z529" s="48"/>
    </row>
    <row r="530" ht="15.75" customHeight="1">
      <c r="A530" s="49"/>
      <c r="B530" s="49"/>
      <c r="C530" s="49"/>
      <c r="D530" s="49"/>
      <c r="E530" s="49"/>
      <c r="F530" s="49"/>
      <c r="G530" s="49"/>
      <c r="H530" s="49"/>
      <c r="I530" s="49"/>
      <c r="J530" s="49"/>
      <c r="K530" s="49"/>
      <c r="L530" s="48"/>
      <c r="M530" s="48"/>
      <c r="N530" s="48"/>
      <c r="O530" s="48"/>
      <c r="P530" s="48"/>
      <c r="Q530" s="48"/>
      <c r="R530" s="48"/>
      <c r="S530" s="48"/>
      <c r="T530" s="48"/>
      <c r="U530" s="48"/>
      <c r="V530" s="48"/>
      <c r="W530" s="48"/>
      <c r="X530" s="48"/>
      <c r="Y530" s="48"/>
      <c r="Z530" s="48"/>
    </row>
    <row r="531" ht="15.75" customHeight="1">
      <c r="A531" s="49"/>
      <c r="B531" s="49"/>
      <c r="C531" s="49"/>
      <c r="D531" s="49"/>
      <c r="E531" s="49"/>
      <c r="F531" s="49"/>
      <c r="G531" s="49"/>
      <c r="H531" s="49"/>
      <c r="I531" s="49"/>
      <c r="J531" s="49"/>
      <c r="K531" s="49"/>
      <c r="L531" s="48"/>
      <c r="M531" s="48"/>
      <c r="N531" s="48"/>
      <c r="O531" s="48"/>
      <c r="P531" s="48"/>
      <c r="Q531" s="48"/>
      <c r="R531" s="48"/>
      <c r="S531" s="48"/>
      <c r="T531" s="48"/>
      <c r="U531" s="48"/>
      <c r="V531" s="48"/>
      <c r="W531" s="48"/>
      <c r="X531" s="48"/>
      <c r="Y531" s="48"/>
      <c r="Z531" s="48"/>
    </row>
    <row r="532" ht="15.75" customHeight="1">
      <c r="A532" s="49"/>
      <c r="B532" s="49"/>
      <c r="C532" s="49"/>
      <c r="D532" s="49"/>
      <c r="E532" s="49"/>
      <c r="F532" s="49"/>
      <c r="G532" s="49"/>
      <c r="H532" s="49"/>
      <c r="I532" s="49"/>
      <c r="J532" s="49"/>
      <c r="K532" s="49"/>
      <c r="L532" s="48"/>
      <c r="M532" s="48"/>
      <c r="N532" s="48"/>
      <c r="O532" s="48"/>
      <c r="P532" s="48"/>
      <c r="Q532" s="48"/>
      <c r="R532" s="48"/>
      <c r="S532" s="48"/>
      <c r="T532" s="48"/>
      <c r="U532" s="48"/>
      <c r="V532" s="48"/>
      <c r="W532" s="48"/>
      <c r="X532" s="48"/>
      <c r="Y532" s="48"/>
      <c r="Z532" s="48"/>
    </row>
    <row r="533" ht="15.75" customHeight="1">
      <c r="A533" s="49"/>
      <c r="B533" s="49"/>
      <c r="C533" s="49"/>
      <c r="D533" s="49"/>
      <c r="E533" s="49"/>
      <c r="F533" s="49"/>
      <c r="G533" s="49"/>
      <c r="H533" s="49"/>
      <c r="I533" s="49"/>
      <c r="J533" s="49"/>
      <c r="K533" s="49"/>
      <c r="L533" s="48"/>
      <c r="M533" s="48"/>
      <c r="N533" s="48"/>
      <c r="O533" s="48"/>
      <c r="P533" s="48"/>
      <c r="Q533" s="48"/>
      <c r="R533" s="48"/>
      <c r="S533" s="48"/>
      <c r="T533" s="48"/>
      <c r="U533" s="48"/>
      <c r="V533" s="48"/>
      <c r="W533" s="48"/>
      <c r="X533" s="48"/>
      <c r="Y533" s="48"/>
      <c r="Z533" s="48"/>
    </row>
    <row r="534" ht="15.75" customHeight="1">
      <c r="A534" s="49"/>
      <c r="B534" s="49"/>
      <c r="C534" s="49"/>
      <c r="D534" s="49"/>
      <c r="E534" s="49"/>
      <c r="F534" s="49"/>
      <c r="G534" s="49"/>
      <c r="H534" s="49"/>
      <c r="I534" s="49"/>
      <c r="J534" s="49"/>
      <c r="K534" s="49"/>
      <c r="L534" s="48"/>
      <c r="M534" s="48"/>
      <c r="N534" s="48"/>
      <c r="O534" s="48"/>
      <c r="P534" s="48"/>
      <c r="Q534" s="48"/>
      <c r="R534" s="48"/>
      <c r="S534" s="48"/>
      <c r="T534" s="48"/>
      <c r="U534" s="48"/>
      <c r="V534" s="48"/>
      <c r="W534" s="48"/>
      <c r="X534" s="48"/>
      <c r="Y534" s="48"/>
      <c r="Z534" s="48"/>
    </row>
    <row r="535" ht="15.75" customHeight="1">
      <c r="A535" s="49"/>
      <c r="B535" s="49"/>
      <c r="C535" s="49"/>
      <c r="D535" s="49"/>
      <c r="E535" s="49"/>
      <c r="F535" s="49"/>
      <c r="G535" s="49"/>
      <c r="H535" s="49"/>
      <c r="I535" s="49"/>
      <c r="J535" s="49"/>
      <c r="K535" s="49"/>
      <c r="L535" s="48"/>
      <c r="M535" s="48"/>
      <c r="N535" s="48"/>
      <c r="O535" s="48"/>
      <c r="P535" s="48"/>
      <c r="Q535" s="48"/>
      <c r="R535" s="48"/>
      <c r="S535" s="48"/>
      <c r="T535" s="48"/>
      <c r="U535" s="48"/>
      <c r="V535" s="48"/>
      <c r="W535" s="48"/>
      <c r="X535" s="48"/>
      <c r="Y535" s="48"/>
      <c r="Z535" s="48"/>
    </row>
    <row r="536" ht="15.75" customHeight="1">
      <c r="A536" s="49"/>
      <c r="B536" s="49"/>
      <c r="C536" s="49"/>
      <c r="D536" s="49"/>
      <c r="E536" s="49"/>
      <c r="F536" s="49"/>
      <c r="G536" s="49"/>
      <c r="H536" s="49"/>
      <c r="I536" s="49"/>
      <c r="J536" s="49"/>
      <c r="K536" s="49"/>
      <c r="L536" s="48"/>
      <c r="M536" s="48"/>
      <c r="N536" s="48"/>
      <c r="O536" s="48"/>
      <c r="P536" s="48"/>
      <c r="Q536" s="48"/>
      <c r="R536" s="48"/>
      <c r="S536" s="48"/>
      <c r="T536" s="48"/>
      <c r="U536" s="48"/>
      <c r="V536" s="48"/>
      <c r="W536" s="48"/>
      <c r="X536" s="48"/>
      <c r="Y536" s="48"/>
      <c r="Z536" s="48"/>
    </row>
    <row r="537" ht="15.75" customHeight="1">
      <c r="A537" s="49"/>
      <c r="B537" s="49"/>
      <c r="C537" s="49"/>
      <c r="D537" s="49"/>
      <c r="E537" s="49"/>
      <c r="F537" s="49"/>
      <c r="G537" s="49"/>
      <c r="H537" s="49"/>
      <c r="I537" s="49"/>
      <c r="J537" s="49"/>
      <c r="K537" s="49"/>
      <c r="L537" s="48"/>
      <c r="M537" s="48"/>
      <c r="N537" s="48"/>
      <c r="O537" s="48"/>
      <c r="P537" s="48"/>
      <c r="Q537" s="48"/>
      <c r="R537" s="48"/>
      <c r="S537" s="48"/>
      <c r="T537" s="48"/>
      <c r="U537" s="48"/>
      <c r="V537" s="48"/>
      <c r="W537" s="48"/>
      <c r="X537" s="48"/>
      <c r="Y537" s="48"/>
      <c r="Z537" s="48"/>
    </row>
    <row r="538" ht="15.75" customHeight="1">
      <c r="A538" s="49"/>
      <c r="B538" s="49"/>
      <c r="C538" s="49"/>
      <c r="D538" s="49"/>
      <c r="E538" s="49"/>
      <c r="F538" s="49"/>
      <c r="G538" s="49"/>
      <c r="H538" s="49"/>
      <c r="I538" s="49"/>
      <c r="J538" s="49"/>
      <c r="K538" s="49"/>
      <c r="L538" s="48"/>
      <c r="M538" s="48"/>
      <c r="N538" s="48"/>
      <c r="O538" s="48"/>
      <c r="P538" s="48"/>
      <c r="Q538" s="48"/>
      <c r="R538" s="48"/>
      <c r="S538" s="48"/>
      <c r="T538" s="48"/>
      <c r="U538" s="48"/>
      <c r="V538" s="48"/>
      <c r="W538" s="48"/>
      <c r="X538" s="48"/>
      <c r="Y538" s="48"/>
      <c r="Z538" s="48"/>
    </row>
    <row r="539" ht="15.75" customHeight="1">
      <c r="A539" s="49"/>
      <c r="B539" s="49"/>
      <c r="C539" s="49"/>
      <c r="D539" s="49"/>
      <c r="E539" s="49"/>
      <c r="F539" s="49"/>
      <c r="G539" s="49"/>
      <c r="H539" s="49"/>
      <c r="I539" s="49"/>
      <c r="J539" s="49"/>
      <c r="K539" s="49"/>
      <c r="L539" s="48"/>
      <c r="M539" s="48"/>
      <c r="N539" s="48"/>
      <c r="O539" s="48"/>
      <c r="P539" s="48"/>
      <c r="Q539" s="48"/>
      <c r="R539" s="48"/>
      <c r="S539" s="48"/>
      <c r="T539" s="48"/>
      <c r="U539" s="48"/>
      <c r="V539" s="48"/>
      <c r="W539" s="48"/>
      <c r="X539" s="48"/>
      <c r="Y539" s="48"/>
      <c r="Z539" s="48"/>
    </row>
    <row r="540" ht="15.75" customHeight="1">
      <c r="A540" s="49"/>
      <c r="B540" s="49"/>
      <c r="C540" s="49"/>
      <c r="D540" s="49"/>
      <c r="E540" s="49"/>
      <c r="F540" s="49"/>
      <c r="G540" s="49"/>
      <c r="H540" s="49"/>
      <c r="I540" s="49"/>
      <c r="J540" s="49"/>
      <c r="K540" s="49"/>
      <c r="L540" s="48"/>
      <c r="M540" s="48"/>
      <c r="N540" s="48"/>
      <c r="O540" s="48"/>
      <c r="P540" s="48"/>
      <c r="Q540" s="48"/>
      <c r="R540" s="48"/>
      <c r="S540" s="48"/>
      <c r="T540" s="48"/>
      <c r="U540" s="48"/>
      <c r="V540" s="48"/>
      <c r="W540" s="48"/>
      <c r="X540" s="48"/>
      <c r="Y540" s="48"/>
      <c r="Z540" s="48"/>
    </row>
    <row r="541" ht="15.75" customHeight="1">
      <c r="A541" s="49"/>
      <c r="B541" s="49"/>
      <c r="C541" s="49"/>
      <c r="D541" s="49"/>
      <c r="E541" s="49"/>
      <c r="F541" s="49"/>
      <c r="G541" s="49"/>
      <c r="H541" s="49"/>
      <c r="I541" s="49"/>
      <c r="J541" s="49"/>
      <c r="K541" s="49"/>
      <c r="L541" s="48"/>
      <c r="M541" s="48"/>
      <c r="N541" s="48"/>
      <c r="O541" s="48"/>
      <c r="P541" s="48"/>
      <c r="Q541" s="48"/>
      <c r="R541" s="48"/>
      <c r="S541" s="48"/>
      <c r="T541" s="48"/>
      <c r="U541" s="48"/>
      <c r="V541" s="48"/>
      <c r="W541" s="48"/>
      <c r="X541" s="48"/>
      <c r="Y541" s="48"/>
      <c r="Z541" s="48"/>
    </row>
    <row r="542" ht="15.75" customHeight="1">
      <c r="A542" s="49"/>
      <c r="B542" s="49"/>
      <c r="C542" s="49"/>
      <c r="D542" s="49"/>
      <c r="E542" s="49"/>
      <c r="F542" s="49"/>
      <c r="G542" s="49"/>
      <c r="H542" s="49"/>
      <c r="I542" s="49"/>
      <c r="J542" s="49"/>
      <c r="K542" s="49"/>
      <c r="L542" s="48"/>
      <c r="M542" s="48"/>
      <c r="N542" s="48"/>
      <c r="O542" s="48"/>
      <c r="P542" s="48"/>
      <c r="Q542" s="48"/>
      <c r="R542" s="48"/>
      <c r="S542" s="48"/>
      <c r="T542" s="48"/>
      <c r="U542" s="48"/>
      <c r="V542" s="48"/>
      <c r="W542" s="48"/>
      <c r="X542" s="48"/>
      <c r="Y542" s="48"/>
      <c r="Z542" s="48"/>
    </row>
    <row r="543" ht="15.75" customHeight="1">
      <c r="A543" s="49"/>
      <c r="B543" s="49"/>
      <c r="C543" s="49"/>
      <c r="D543" s="49"/>
      <c r="E543" s="49"/>
      <c r="F543" s="49"/>
      <c r="G543" s="49"/>
      <c r="H543" s="49"/>
      <c r="I543" s="49"/>
      <c r="J543" s="49"/>
      <c r="K543" s="49"/>
      <c r="L543" s="48"/>
      <c r="M543" s="48"/>
      <c r="N543" s="48"/>
      <c r="O543" s="48"/>
      <c r="P543" s="48"/>
      <c r="Q543" s="48"/>
      <c r="R543" s="48"/>
      <c r="S543" s="48"/>
      <c r="T543" s="48"/>
      <c r="U543" s="48"/>
      <c r="V543" s="48"/>
      <c r="W543" s="48"/>
      <c r="X543" s="48"/>
      <c r="Y543" s="48"/>
      <c r="Z543" s="48"/>
    </row>
    <row r="544" ht="15.75" customHeight="1">
      <c r="A544" s="49"/>
      <c r="B544" s="49"/>
      <c r="C544" s="49"/>
      <c r="D544" s="49"/>
      <c r="E544" s="49"/>
      <c r="F544" s="49"/>
      <c r="G544" s="49"/>
      <c r="H544" s="49"/>
      <c r="I544" s="49"/>
      <c r="J544" s="49"/>
      <c r="K544" s="49"/>
      <c r="L544" s="48"/>
      <c r="M544" s="48"/>
      <c r="N544" s="48"/>
      <c r="O544" s="48"/>
      <c r="P544" s="48"/>
      <c r="Q544" s="48"/>
      <c r="R544" s="48"/>
      <c r="S544" s="48"/>
      <c r="T544" s="48"/>
      <c r="U544" s="48"/>
      <c r="V544" s="48"/>
      <c r="W544" s="48"/>
      <c r="X544" s="48"/>
      <c r="Y544" s="48"/>
      <c r="Z544" s="48"/>
    </row>
    <row r="545" ht="15.75" customHeight="1">
      <c r="A545" s="49"/>
      <c r="B545" s="49"/>
      <c r="C545" s="49"/>
      <c r="D545" s="49"/>
      <c r="E545" s="49"/>
      <c r="F545" s="49"/>
      <c r="G545" s="49"/>
      <c r="H545" s="49"/>
      <c r="I545" s="49"/>
      <c r="J545" s="49"/>
      <c r="K545" s="49"/>
      <c r="L545" s="48"/>
      <c r="M545" s="48"/>
      <c r="N545" s="48"/>
      <c r="O545" s="48"/>
      <c r="P545" s="48"/>
      <c r="Q545" s="48"/>
      <c r="R545" s="48"/>
      <c r="S545" s="48"/>
      <c r="T545" s="48"/>
      <c r="U545" s="48"/>
      <c r="V545" s="48"/>
      <c r="W545" s="48"/>
      <c r="X545" s="48"/>
      <c r="Y545" s="48"/>
      <c r="Z545" s="48"/>
    </row>
    <row r="546" ht="15.75" customHeight="1">
      <c r="A546" s="49"/>
      <c r="B546" s="49"/>
      <c r="C546" s="49"/>
      <c r="D546" s="49"/>
      <c r="E546" s="49"/>
      <c r="F546" s="49"/>
      <c r="G546" s="49"/>
      <c r="H546" s="49"/>
      <c r="I546" s="49"/>
      <c r="J546" s="49"/>
      <c r="K546" s="49"/>
      <c r="L546" s="48"/>
      <c r="M546" s="48"/>
      <c r="N546" s="48"/>
      <c r="O546" s="48"/>
      <c r="P546" s="48"/>
      <c r="Q546" s="48"/>
      <c r="R546" s="48"/>
      <c r="S546" s="48"/>
      <c r="T546" s="48"/>
      <c r="U546" s="48"/>
      <c r="V546" s="48"/>
      <c r="W546" s="48"/>
      <c r="X546" s="48"/>
      <c r="Y546" s="48"/>
      <c r="Z546" s="48"/>
    </row>
    <row r="547" ht="15.75" customHeight="1">
      <c r="A547" s="49"/>
      <c r="B547" s="49"/>
      <c r="C547" s="49"/>
      <c r="D547" s="49"/>
      <c r="E547" s="49"/>
      <c r="F547" s="49"/>
      <c r="G547" s="49"/>
      <c r="H547" s="49"/>
      <c r="I547" s="49"/>
      <c r="J547" s="49"/>
      <c r="K547" s="49"/>
      <c r="L547" s="48"/>
      <c r="M547" s="48"/>
      <c r="N547" s="48"/>
      <c r="O547" s="48"/>
      <c r="P547" s="48"/>
      <c r="Q547" s="48"/>
      <c r="R547" s="48"/>
      <c r="S547" s="48"/>
      <c r="T547" s="48"/>
      <c r="U547" s="48"/>
      <c r="V547" s="48"/>
      <c r="W547" s="48"/>
      <c r="X547" s="48"/>
      <c r="Y547" s="48"/>
      <c r="Z547" s="48"/>
    </row>
    <row r="548" ht="15.75" customHeight="1">
      <c r="A548" s="49"/>
      <c r="B548" s="49"/>
      <c r="C548" s="49"/>
      <c r="D548" s="49"/>
      <c r="E548" s="49"/>
      <c r="F548" s="49"/>
      <c r="G548" s="49"/>
      <c r="H548" s="49"/>
      <c r="I548" s="49"/>
      <c r="J548" s="49"/>
      <c r="K548" s="49"/>
      <c r="L548" s="48"/>
      <c r="M548" s="48"/>
      <c r="N548" s="48"/>
      <c r="O548" s="48"/>
      <c r="P548" s="48"/>
      <c r="Q548" s="48"/>
      <c r="R548" s="48"/>
      <c r="S548" s="48"/>
      <c r="T548" s="48"/>
      <c r="U548" s="48"/>
      <c r="V548" s="48"/>
      <c r="W548" s="48"/>
      <c r="X548" s="48"/>
      <c r="Y548" s="48"/>
      <c r="Z548" s="48"/>
    </row>
    <row r="549" ht="15.75" customHeight="1">
      <c r="A549" s="49"/>
      <c r="B549" s="49"/>
      <c r="C549" s="49"/>
      <c r="D549" s="49"/>
      <c r="E549" s="49"/>
      <c r="F549" s="49"/>
      <c r="G549" s="49"/>
      <c r="H549" s="49"/>
      <c r="I549" s="49"/>
      <c r="J549" s="49"/>
      <c r="K549" s="49"/>
      <c r="L549" s="48"/>
      <c r="M549" s="48"/>
      <c r="N549" s="48"/>
      <c r="O549" s="48"/>
      <c r="P549" s="48"/>
      <c r="Q549" s="48"/>
      <c r="R549" s="48"/>
      <c r="S549" s="48"/>
      <c r="T549" s="48"/>
      <c r="U549" s="48"/>
      <c r="V549" s="48"/>
      <c r="W549" s="48"/>
      <c r="X549" s="48"/>
      <c r="Y549" s="48"/>
      <c r="Z549" s="48"/>
    </row>
    <row r="550" ht="15.75" customHeight="1">
      <c r="A550" s="49"/>
      <c r="B550" s="49"/>
      <c r="C550" s="49"/>
      <c r="D550" s="49"/>
      <c r="E550" s="49"/>
      <c r="F550" s="49"/>
      <c r="G550" s="49"/>
      <c r="H550" s="49"/>
      <c r="I550" s="49"/>
      <c r="J550" s="49"/>
      <c r="K550" s="49"/>
      <c r="L550" s="48"/>
      <c r="M550" s="48"/>
      <c r="N550" s="48"/>
      <c r="O550" s="48"/>
      <c r="P550" s="48"/>
      <c r="Q550" s="48"/>
      <c r="R550" s="48"/>
      <c r="S550" s="48"/>
      <c r="T550" s="48"/>
      <c r="U550" s="48"/>
      <c r="V550" s="48"/>
      <c r="W550" s="48"/>
      <c r="X550" s="48"/>
      <c r="Y550" s="48"/>
      <c r="Z550" s="48"/>
    </row>
    <row r="551" ht="15.75" customHeight="1">
      <c r="A551" s="49"/>
      <c r="B551" s="49"/>
      <c r="C551" s="49"/>
      <c r="D551" s="49"/>
      <c r="E551" s="49"/>
      <c r="F551" s="49"/>
      <c r="G551" s="49"/>
      <c r="H551" s="49"/>
      <c r="I551" s="49"/>
      <c r="J551" s="49"/>
      <c r="K551" s="49"/>
      <c r="L551" s="48"/>
      <c r="M551" s="48"/>
      <c r="N551" s="48"/>
      <c r="O551" s="48"/>
      <c r="P551" s="48"/>
      <c r="Q551" s="48"/>
      <c r="R551" s="48"/>
      <c r="S551" s="48"/>
      <c r="T551" s="48"/>
      <c r="U551" s="48"/>
      <c r="V551" s="48"/>
      <c r="W551" s="48"/>
      <c r="X551" s="48"/>
      <c r="Y551" s="48"/>
      <c r="Z551" s="48"/>
    </row>
    <row r="552" ht="15.75" customHeight="1">
      <c r="A552" s="49"/>
      <c r="B552" s="49"/>
      <c r="C552" s="49"/>
      <c r="D552" s="49"/>
      <c r="E552" s="49"/>
      <c r="F552" s="49"/>
      <c r="G552" s="49"/>
      <c r="H552" s="49"/>
      <c r="I552" s="49"/>
      <c r="J552" s="49"/>
      <c r="K552" s="49"/>
      <c r="L552" s="48"/>
      <c r="M552" s="48"/>
      <c r="N552" s="48"/>
      <c r="O552" s="48"/>
      <c r="P552" s="48"/>
      <c r="Q552" s="48"/>
      <c r="R552" s="48"/>
      <c r="S552" s="48"/>
      <c r="T552" s="48"/>
      <c r="U552" s="48"/>
      <c r="V552" s="48"/>
      <c r="W552" s="48"/>
      <c r="X552" s="48"/>
      <c r="Y552" s="48"/>
      <c r="Z552" s="48"/>
    </row>
    <row r="553" ht="15.75" customHeight="1">
      <c r="A553" s="49"/>
      <c r="B553" s="49"/>
      <c r="C553" s="49"/>
      <c r="D553" s="49"/>
      <c r="E553" s="49"/>
      <c r="F553" s="49"/>
      <c r="G553" s="49"/>
      <c r="H553" s="49"/>
      <c r="I553" s="49"/>
      <c r="J553" s="49"/>
      <c r="K553" s="49"/>
      <c r="L553" s="48"/>
      <c r="M553" s="48"/>
      <c r="N553" s="48"/>
      <c r="O553" s="48"/>
      <c r="P553" s="48"/>
      <c r="Q553" s="48"/>
      <c r="R553" s="48"/>
      <c r="S553" s="48"/>
      <c r="T553" s="48"/>
      <c r="U553" s="48"/>
      <c r="V553" s="48"/>
      <c r="W553" s="48"/>
      <c r="X553" s="48"/>
      <c r="Y553" s="48"/>
      <c r="Z553" s="48"/>
    </row>
    <row r="554" ht="15.75" customHeight="1">
      <c r="A554" s="49"/>
      <c r="B554" s="49"/>
      <c r="C554" s="49"/>
      <c r="D554" s="49"/>
      <c r="E554" s="49"/>
      <c r="F554" s="49"/>
      <c r="G554" s="49"/>
      <c r="H554" s="49"/>
      <c r="I554" s="49"/>
      <c r="J554" s="49"/>
      <c r="K554" s="49"/>
      <c r="L554" s="48"/>
      <c r="M554" s="48"/>
      <c r="N554" s="48"/>
      <c r="O554" s="48"/>
      <c r="P554" s="48"/>
      <c r="Q554" s="48"/>
      <c r="R554" s="48"/>
      <c r="S554" s="48"/>
      <c r="T554" s="48"/>
      <c r="U554" s="48"/>
      <c r="V554" s="48"/>
      <c r="W554" s="48"/>
      <c r="X554" s="48"/>
      <c r="Y554" s="48"/>
      <c r="Z554" s="48"/>
    </row>
    <row r="555" ht="15.75" customHeight="1">
      <c r="A555" s="49"/>
      <c r="B555" s="49"/>
      <c r="C555" s="49"/>
      <c r="D555" s="49"/>
      <c r="E555" s="49"/>
      <c r="F555" s="49"/>
      <c r="G555" s="49"/>
      <c r="H555" s="49"/>
      <c r="I555" s="49"/>
      <c r="J555" s="49"/>
      <c r="K555" s="49"/>
      <c r="L555" s="48"/>
      <c r="M555" s="48"/>
      <c r="N555" s="48"/>
      <c r="O555" s="48"/>
      <c r="P555" s="48"/>
      <c r="Q555" s="48"/>
      <c r="R555" s="48"/>
      <c r="S555" s="48"/>
      <c r="T555" s="48"/>
      <c r="U555" s="48"/>
      <c r="V555" s="48"/>
      <c r="W555" s="48"/>
      <c r="X555" s="48"/>
      <c r="Y555" s="48"/>
      <c r="Z555" s="48"/>
    </row>
    <row r="556" ht="15.75" customHeight="1">
      <c r="A556" s="49"/>
      <c r="B556" s="49"/>
      <c r="C556" s="49"/>
      <c r="D556" s="49"/>
      <c r="E556" s="49"/>
      <c r="F556" s="49"/>
      <c r="G556" s="49"/>
      <c r="H556" s="49"/>
      <c r="I556" s="49"/>
      <c r="J556" s="49"/>
      <c r="K556" s="49"/>
      <c r="L556" s="48"/>
      <c r="M556" s="48"/>
      <c r="N556" s="48"/>
      <c r="O556" s="48"/>
      <c r="P556" s="48"/>
      <c r="Q556" s="48"/>
      <c r="R556" s="48"/>
      <c r="S556" s="48"/>
      <c r="T556" s="48"/>
      <c r="U556" s="48"/>
      <c r="V556" s="48"/>
      <c r="W556" s="48"/>
      <c r="X556" s="48"/>
      <c r="Y556" s="48"/>
      <c r="Z556" s="48"/>
    </row>
    <row r="557" ht="15.75" customHeight="1">
      <c r="A557" s="49"/>
      <c r="B557" s="49"/>
      <c r="C557" s="49"/>
      <c r="D557" s="49"/>
      <c r="E557" s="49"/>
      <c r="F557" s="49"/>
      <c r="G557" s="49"/>
      <c r="H557" s="49"/>
      <c r="I557" s="49"/>
      <c r="J557" s="49"/>
      <c r="K557" s="49"/>
      <c r="L557" s="48"/>
      <c r="M557" s="48"/>
      <c r="N557" s="48"/>
      <c r="O557" s="48"/>
      <c r="P557" s="48"/>
      <c r="Q557" s="48"/>
      <c r="R557" s="48"/>
      <c r="S557" s="48"/>
      <c r="T557" s="48"/>
      <c r="U557" s="48"/>
      <c r="V557" s="48"/>
      <c r="W557" s="48"/>
      <c r="X557" s="48"/>
      <c r="Y557" s="48"/>
      <c r="Z557" s="48"/>
    </row>
    <row r="558" ht="15.75" customHeight="1">
      <c r="A558" s="49"/>
      <c r="B558" s="49"/>
      <c r="C558" s="49"/>
      <c r="D558" s="49"/>
      <c r="E558" s="49"/>
      <c r="F558" s="49"/>
      <c r="G558" s="49"/>
      <c r="H558" s="49"/>
      <c r="I558" s="49"/>
      <c r="J558" s="49"/>
      <c r="K558" s="49"/>
      <c r="L558" s="48"/>
      <c r="M558" s="48"/>
      <c r="N558" s="48"/>
      <c r="O558" s="48"/>
      <c r="P558" s="48"/>
      <c r="Q558" s="48"/>
      <c r="R558" s="48"/>
      <c r="S558" s="48"/>
      <c r="T558" s="48"/>
      <c r="U558" s="48"/>
      <c r="V558" s="48"/>
      <c r="W558" s="48"/>
      <c r="X558" s="48"/>
      <c r="Y558" s="48"/>
      <c r="Z558" s="48"/>
    </row>
    <row r="559" ht="15.75" customHeight="1">
      <c r="A559" s="49"/>
      <c r="B559" s="49"/>
      <c r="C559" s="49"/>
      <c r="D559" s="49"/>
      <c r="E559" s="49"/>
      <c r="F559" s="49"/>
      <c r="G559" s="49"/>
      <c r="H559" s="49"/>
      <c r="I559" s="49"/>
      <c r="J559" s="49"/>
      <c r="K559" s="49"/>
      <c r="L559" s="48"/>
      <c r="M559" s="48"/>
      <c r="N559" s="48"/>
      <c r="O559" s="48"/>
      <c r="P559" s="48"/>
      <c r="Q559" s="48"/>
      <c r="R559" s="48"/>
      <c r="S559" s="48"/>
      <c r="T559" s="48"/>
      <c r="U559" s="48"/>
      <c r="V559" s="48"/>
      <c r="W559" s="48"/>
      <c r="X559" s="48"/>
      <c r="Y559" s="48"/>
      <c r="Z559" s="48"/>
    </row>
    <row r="560" ht="15.75" customHeight="1">
      <c r="A560" s="49"/>
      <c r="B560" s="49"/>
      <c r="C560" s="49"/>
      <c r="D560" s="49"/>
      <c r="E560" s="49"/>
      <c r="F560" s="49"/>
      <c r="G560" s="49"/>
      <c r="H560" s="49"/>
      <c r="I560" s="49"/>
      <c r="J560" s="49"/>
      <c r="K560" s="49"/>
      <c r="L560" s="48"/>
      <c r="M560" s="48"/>
      <c r="N560" s="48"/>
      <c r="O560" s="48"/>
      <c r="P560" s="48"/>
      <c r="Q560" s="48"/>
      <c r="R560" s="48"/>
      <c r="S560" s="48"/>
      <c r="T560" s="48"/>
      <c r="U560" s="48"/>
      <c r="V560" s="48"/>
      <c r="W560" s="48"/>
      <c r="X560" s="48"/>
      <c r="Y560" s="48"/>
      <c r="Z560" s="48"/>
    </row>
    <row r="561" ht="15.75" customHeight="1">
      <c r="A561" s="49"/>
      <c r="B561" s="49"/>
      <c r="C561" s="49"/>
      <c r="D561" s="49"/>
      <c r="E561" s="49"/>
      <c r="F561" s="49"/>
      <c r="G561" s="49"/>
      <c r="H561" s="49"/>
      <c r="I561" s="49"/>
      <c r="J561" s="49"/>
      <c r="K561" s="49"/>
      <c r="L561" s="48"/>
      <c r="M561" s="48"/>
      <c r="N561" s="48"/>
      <c r="O561" s="48"/>
      <c r="P561" s="48"/>
      <c r="Q561" s="48"/>
      <c r="R561" s="48"/>
      <c r="S561" s="48"/>
      <c r="T561" s="48"/>
      <c r="U561" s="48"/>
      <c r="V561" s="48"/>
      <c r="W561" s="48"/>
      <c r="X561" s="48"/>
      <c r="Y561" s="48"/>
      <c r="Z561" s="48"/>
    </row>
    <row r="562" ht="15.75" customHeight="1">
      <c r="A562" s="49"/>
      <c r="B562" s="49"/>
      <c r="C562" s="49"/>
      <c r="D562" s="49"/>
      <c r="E562" s="49"/>
      <c r="F562" s="49"/>
      <c r="G562" s="49"/>
      <c r="H562" s="49"/>
      <c r="I562" s="49"/>
      <c r="J562" s="49"/>
      <c r="K562" s="49"/>
      <c r="L562" s="48"/>
      <c r="M562" s="48"/>
      <c r="N562" s="48"/>
      <c r="O562" s="48"/>
      <c r="P562" s="48"/>
      <c r="Q562" s="48"/>
      <c r="R562" s="48"/>
      <c r="S562" s="48"/>
      <c r="T562" s="48"/>
      <c r="U562" s="48"/>
      <c r="V562" s="48"/>
      <c r="W562" s="48"/>
      <c r="X562" s="48"/>
      <c r="Y562" s="48"/>
      <c r="Z562" s="48"/>
    </row>
    <row r="563" ht="15.75" customHeight="1">
      <c r="A563" s="49"/>
      <c r="B563" s="49"/>
      <c r="C563" s="49"/>
      <c r="D563" s="49"/>
      <c r="E563" s="49"/>
      <c r="F563" s="49"/>
      <c r="G563" s="49"/>
      <c r="H563" s="49"/>
      <c r="I563" s="49"/>
      <c r="J563" s="49"/>
      <c r="K563" s="49"/>
      <c r="L563" s="48"/>
      <c r="M563" s="48"/>
      <c r="N563" s="48"/>
      <c r="O563" s="48"/>
      <c r="P563" s="48"/>
      <c r="Q563" s="48"/>
      <c r="R563" s="48"/>
      <c r="S563" s="48"/>
      <c r="T563" s="48"/>
      <c r="U563" s="48"/>
      <c r="V563" s="48"/>
      <c r="W563" s="48"/>
      <c r="X563" s="48"/>
      <c r="Y563" s="48"/>
      <c r="Z563" s="48"/>
    </row>
    <row r="564" ht="15.75" customHeight="1">
      <c r="A564" s="49"/>
      <c r="B564" s="49"/>
      <c r="C564" s="49"/>
      <c r="D564" s="49"/>
      <c r="E564" s="49"/>
      <c r="F564" s="49"/>
      <c r="G564" s="49"/>
      <c r="H564" s="49"/>
      <c r="I564" s="49"/>
      <c r="J564" s="49"/>
      <c r="K564" s="49"/>
      <c r="L564" s="48"/>
      <c r="M564" s="48"/>
      <c r="N564" s="48"/>
      <c r="O564" s="48"/>
      <c r="P564" s="48"/>
      <c r="Q564" s="48"/>
      <c r="R564" s="48"/>
      <c r="S564" s="48"/>
      <c r="T564" s="48"/>
      <c r="U564" s="48"/>
      <c r="V564" s="48"/>
      <c r="W564" s="48"/>
      <c r="X564" s="48"/>
      <c r="Y564" s="48"/>
      <c r="Z564" s="48"/>
    </row>
    <row r="565" ht="15.75" customHeight="1">
      <c r="A565" s="49"/>
      <c r="B565" s="49"/>
      <c r="C565" s="49"/>
      <c r="D565" s="49"/>
      <c r="E565" s="49"/>
      <c r="F565" s="49"/>
      <c r="G565" s="49"/>
      <c r="H565" s="49"/>
      <c r="I565" s="49"/>
      <c r="J565" s="49"/>
      <c r="K565" s="49"/>
      <c r="L565" s="48"/>
      <c r="M565" s="48"/>
      <c r="N565" s="48"/>
      <c r="O565" s="48"/>
      <c r="P565" s="48"/>
      <c r="Q565" s="48"/>
      <c r="R565" s="48"/>
      <c r="S565" s="48"/>
      <c r="T565" s="48"/>
      <c r="U565" s="48"/>
      <c r="V565" s="48"/>
      <c r="W565" s="48"/>
      <c r="X565" s="48"/>
      <c r="Y565" s="48"/>
      <c r="Z565" s="48"/>
    </row>
    <row r="566" ht="15.75" customHeight="1">
      <c r="A566" s="49"/>
      <c r="B566" s="49"/>
      <c r="C566" s="49"/>
      <c r="D566" s="49"/>
      <c r="E566" s="49"/>
      <c r="F566" s="49"/>
      <c r="G566" s="49"/>
      <c r="H566" s="49"/>
      <c r="I566" s="49"/>
      <c r="J566" s="49"/>
      <c r="K566" s="49"/>
      <c r="L566" s="48"/>
      <c r="M566" s="48"/>
      <c r="N566" s="48"/>
      <c r="O566" s="48"/>
      <c r="P566" s="48"/>
      <c r="Q566" s="48"/>
      <c r="R566" s="48"/>
      <c r="S566" s="48"/>
      <c r="T566" s="48"/>
      <c r="U566" s="48"/>
      <c r="V566" s="48"/>
      <c r="W566" s="48"/>
      <c r="X566" s="48"/>
      <c r="Y566" s="48"/>
      <c r="Z566" s="48"/>
    </row>
    <row r="567" ht="15.75" customHeight="1">
      <c r="A567" s="49"/>
      <c r="B567" s="49"/>
      <c r="C567" s="49"/>
      <c r="D567" s="49"/>
      <c r="E567" s="49"/>
      <c r="F567" s="49"/>
      <c r="G567" s="49"/>
      <c r="H567" s="49"/>
      <c r="I567" s="49"/>
      <c r="J567" s="49"/>
      <c r="K567" s="49"/>
      <c r="L567" s="48"/>
      <c r="M567" s="48"/>
      <c r="N567" s="48"/>
      <c r="O567" s="48"/>
      <c r="P567" s="48"/>
      <c r="Q567" s="48"/>
      <c r="R567" s="48"/>
      <c r="S567" s="48"/>
      <c r="T567" s="48"/>
      <c r="U567" s="48"/>
      <c r="V567" s="48"/>
      <c r="W567" s="48"/>
      <c r="X567" s="48"/>
      <c r="Y567" s="48"/>
      <c r="Z567" s="48"/>
    </row>
    <row r="568" ht="15.75" customHeight="1">
      <c r="A568" s="49"/>
      <c r="B568" s="49"/>
      <c r="C568" s="49"/>
      <c r="D568" s="49"/>
      <c r="E568" s="49"/>
      <c r="F568" s="49"/>
      <c r="G568" s="49"/>
      <c r="H568" s="49"/>
      <c r="I568" s="49"/>
      <c r="J568" s="49"/>
      <c r="K568" s="49"/>
      <c r="L568" s="48"/>
      <c r="M568" s="48"/>
      <c r="N568" s="48"/>
      <c r="O568" s="48"/>
      <c r="P568" s="48"/>
      <c r="Q568" s="48"/>
      <c r="R568" s="48"/>
      <c r="S568" s="48"/>
      <c r="T568" s="48"/>
      <c r="U568" s="48"/>
      <c r="V568" s="48"/>
      <c r="W568" s="48"/>
      <c r="X568" s="48"/>
      <c r="Y568" s="48"/>
      <c r="Z568" s="48"/>
    </row>
    <row r="569" ht="15.75" customHeight="1">
      <c r="A569" s="49"/>
      <c r="B569" s="49"/>
      <c r="C569" s="49"/>
      <c r="D569" s="49"/>
      <c r="E569" s="49"/>
      <c r="F569" s="49"/>
      <c r="G569" s="49"/>
      <c r="H569" s="49"/>
      <c r="I569" s="49"/>
      <c r="J569" s="49"/>
      <c r="K569" s="49"/>
      <c r="L569" s="48"/>
      <c r="M569" s="48"/>
      <c r="N569" s="48"/>
      <c r="O569" s="48"/>
      <c r="P569" s="48"/>
      <c r="Q569" s="48"/>
      <c r="R569" s="48"/>
      <c r="S569" s="48"/>
      <c r="T569" s="48"/>
      <c r="U569" s="48"/>
      <c r="V569" s="48"/>
      <c r="W569" s="48"/>
      <c r="X569" s="48"/>
      <c r="Y569" s="48"/>
      <c r="Z569" s="48"/>
    </row>
    <row r="570" ht="15.75" customHeight="1">
      <c r="A570" s="49"/>
      <c r="B570" s="49"/>
      <c r="C570" s="49"/>
      <c r="D570" s="49"/>
      <c r="E570" s="49"/>
      <c r="F570" s="49"/>
      <c r="G570" s="49"/>
      <c r="H570" s="49"/>
      <c r="I570" s="49"/>
      <c r="J570" s="49"/>
      <c r="K570" s="49"/>
      <c r="L570" s="48"/>
      <c r="M570" s="48"/>
      <c r="N570" s="48"/>
      <c r="O570" s="48"/>
      <c r="P570" s="48"/>
      <c r="Q570" s="48"/>
      <c r="R570" s="48"/>
      <c r="S570" s="48"/>
      <c r="T570" s="48"/>
      <c r="U570" s="48"/>
      <c r="V570" s="48"/>
      <c r="W570" s="48"/>
      <c r="X570" s="48"/>
      <c r="Y570" s="48"/>
      <c r="Z570" s="48"/>
    </row>
    <row r="571" ht="15.75" customHeight="1">
      <c r="A571" s="49"/>
      <c r="B571" s="49"/>
      <c r="C571" s="49"/>
      <c r="D571" s="49"/>
      <c r="E571" s="49"/>
      <c r="F571" s="49"/>
      <c r="G571" s="49"/>
      <c r="H571" s="49"/>
      <c r="I571" s="49"/>
      <c r="J571" s="49"/>
      <c r="K571" s="49"/>
      <c r="L571" s="48"/>
      <c r="M571" s="48"/>
      <c r="N571" s="48"/>
      <c r="O571" s="48"/>
      <c r="P571" s="48"/>
      <c r="Q571" s="48"/>
      <c r="R571" s="48"/>
      <c r="S571" s="48"/>
      <c r="T571" s="48"/>
      <c r="U571" s="48"/>
      <c r="V571" s="48"/>
      <c r="W571" s="48"/>
      <c r="X571" s="48"/>
      <c r="Y571" s="48"/>
      <c r="Z571" s="48"/>
    </row>
    <row r="572" ht="15.75" customHeight="1">
      <c r="A572" s="49"/>
      <c r="B572" s="49"/>
      <c r="C572" s="49"/>
      <c r="D572" s="49"/>
      <c r="E572" s="49"/>
      <c r="F572" s="49"/>
      <c r="G572" s="49"/>
      <c r="H572" s="49"/>
      <c r="I572" s="49"/>
      <c r="J572" s="49"/>
      <c r="K572" s="49"/>
      <c r="L572" s="48"/>
      <c r="M572" s="48"/>
      <c r="N572" s="48"/>
      <c r="O572" s="48"/>
      <c r="P572" s="48"/>
      <c r="Q572" s="48"/>
      <c r="R572" s="48"/>
      <c r="S572" s="48"/>
      <c r="T572" s="48"/>
      <c r="U572" s="48"/>
      <c r="V572" s="48"/>
      <c r="W572" s="48"/>
      <c r="X572" s="48"/>
      <c r="Y572" s="48"/>
      <c r="Z572" s="48"/>
    </row>
    <row r="573" ht="15.75" customHeight="1">
      <c r="A573" s="49"/>
      <c r="B573" s="49"/>
      <c r="C573" s="49"/>
      <c r="D573" s="49"/>
      <c r="E573" s="49"/>
      <c r="F573" s="49"/>
      <c r="G573" s="49"/>
      <c r="H573" s="49"/>
      <c r="I573" s="49"/>
      <c r="J573" s="49"/>
      <c r="K573" s="49"/>
      <c r="L573" s="48"/>
      <c r="M573" s="48"/>
      <c r="N573" s="48"/>
      <c r="O573" s="48"/>
      <c r="P573" s="48"/>
      <c r="Q573" s="48"/>
      <c r="R573" s="48"/>
      <c r="S573" s="48"/>
      <c r="T573" s="48"/>
      <c r="U573" s="48"/>
      <c r="V573" s="48"/>
      <c r="W573" s="48"/>
      <c r="X573" s="48"/>
      <c r="Y573" s="48"/>
      <c r="Z573" s="48"/>
    </row>
    <row r="574" ht="15.75" customHeight="1">
      <c r="A574" s="49"/>
      <c r="B574" s="49"/>
      <c r="C574" s="49"/>
      <c r="D574" s="49"/>
      <c r="E574" s="49"/>
      <c r="F574" s="49"/>
      <c r="G574" s="49"/>
      <c r="H574" s="49"/>
      <c r="I574" s="49"/>
      <c r="J574" s="49"/>
      <c r="K574" s="49"/>
      <c r="L574" s="48"/>
      <c r="M574" s="48"/>
      <c r="N574" s="48"/>
      <c r="O574" s="48"/>
      <c r="P574" s="48"/>
      <c r="Q574" s="48"/>
      <c r="R574" s="48"/>
      <c r="S574" s="48"/>
      <c r="T574" s="48"/>
      <c r="U574" s="48"/>
      <c r="V574" s="48"/>
      <c r="W574" s="48"/>
      <c r="X574" s="48"/>
      <c r="Y574" s="48"/>
      <c r="Z574" s="48"/>
    </row>
    <row r="575" ht="15.75" customHeight="1">
      <c r="A575" s="49"/>
      <c r="B575" s="49"/>
      <c r="C575" s="49"/>
      <c r="D575" s="49"/>
      <c r="E575" s="49"/>
      <c r="F575" s="49"/>
      <c r="G575" s="49"/>
      <c r="H575" s="49"/>
      <c r="I575" s="49"/>
      <c r="J575" s="49"/>
      <c r="K575" s="49"/>
      <c r="L575" s="48"/>
      <c r="M575" s="48"/>
      <c r="N575" s="48"/>
      <c r="O575" s="48"/>
      <c r="P575" s="48"/>
      <c r="Q575" s="48"/>
      <c r="R575" s="48"/>
      <c r="S575" s="48"/>
      <c r="T575" s="48"/>
      <c r="U575" s="48"/>
      <c r="V575" s="48"/>
      <c r="W575" s="48"/>
      <c r="X575" s="48"/>
      <c r="Y575" s="48"/>
      <c r="Z575" s="48"/>
    </row>
    <row r="576" ht="15.75" customHeight="1">
      <c r="A576" s="49"/>
      <c r="B576" s="49"/>
      <c r="C576" s="49"/>
      <c r="D576" s="49"/>
      <c r="E576" s="49"/>
      <c r="F576" s="49"/>
      <c r="G576" s="49"/>
      <c r="H576" s="49"/>
      <c r="I576" s="49"/>
      <c r="J576" s="49"/>
      <c r="K576" s="49"/>
      <c r="L576" s="48"/>
      <c r="M576" s="48"/>
      <c r="N576" s="48"/>
      <c r="O576" s="48"/>
      <c r="P576" s="48"/>
      <c r="Q576" s="48"/>
      <c r="R576" s="48"/>
      <c r="S576" s="48"/>
      <c r="T576" s="48"/>
      <c r="U576" s="48"/>
      <c r="V576" s="48"/>
      <c r="W576" s="48"/>
      <c r="X576" s="48"/>
      <c r="Y576" s="48"/>
      <c r="Z576" s="48"/>
    </row>
    <row r="577" ht="15.75" customHeight="1">
      <c r="A577" s="49"/>
      <c r="B577" s="49"/>
      <c r="C577" s="49"/>
      <c r="D577" s="49"/>
      <c r="E577" s="49"/>
      <c r="F577" s="49"/>
      <c r="G577" s="49"/>
      <c r="H577" s="49"/>
      <c r="I577" s="49"/>
      <c r="J577" s="49"/>
      <c r="K577" s="49"/>
      <c r="L577" s="48"/>
      <c r="M577" s="48"/>
      <c r="N577" s="48"/>
      <c r="O577" s="48"/>
      <c r="P577" s="48"/>
      <c r="Q577" s="48"/>
      <c r="R577" s="48"/>
      <c r="S577" s="48"/>
      <c r="T577" s="48"/>
      <c r="U577" s="48"/>
      <c r="V577" s="48"/>
      <c r="W577" s="48"/>
      <c r="X577" s="48"/>
      <c r="Y577" s="48"/>
      <c r="Z577" s="48"/>
    </row>
    <row r="578" ht="15.75" customHeight="1">
      <c r="A578" s="49"/>
      <c r="B578" s="49"/>
      <c r="C578" s="49"/>
      <c r="D578" s="49"/>
      <c r="E578" s="49"/>
      <c r="F578" s="49"/>
      <c r="G578" s="49"/>
      <c r="H578" s="49"/>
      <c r="I578" s="49"/>
      <c r="J578" s="49"/>
      <c r="K578" s="49"/>
      <c r="L578" s="48"/>
      <c r="M578" s="48"/>
      <c r="N578" s="48"/>
      <c r="O578" s="48"/>
      <c r="P578" s="48"/>
      <c r="Q578" s="48"/>
      <c r="R578" s="48"/>
      <c r="S578" s="48"/>
      <c r="T578" s="48"/>
      <c r="U578" s="48"/>
      <c r="V578" s="48"/>
      <c r="W578" s="48"/>
      <c r="X578" s="48"/>
      <c r="Y578" s="48"/>
      <c r="Z578" s="48"/>
    </row>
    <row r="579" ht="15.75" customHeight="1">
      <c r="A579" s="49"/>
      <c r="B579" s="49"/>
      <c r="C579" s="49"/>
      <c r="D579" s="49"/>
      <c r="E579" s="49"/>
      <c r="F579" s="49"/>
      <c r="G579" s="49"/>
      <c r="H579" s="49"/>
      <c r="I579" s="49"/>
      <c r="J579" s="49"/>
      <c r="K579" s="49"/>
      <c r="L579" s="48"/>
      <c r="M579" s="48"/>
      <c r="N579" s="48"/>
      <c r="O579" s="48"/>
      <c r="P579" s="48"/>
      <c r="Q579" s="48"/>
      <c r="R579" s="48"/>
      <c r="S579" s="48"/>
      <c r="T579" s="48"/>
      <c r="U579" s="48"/>
      <c r="V579" s="48"/>
      <c r="W579" s="48"/>
      <c r="X579" s="48"/>
      <c r="Y579" s="48"/>
      <c r="Z579" s="48"/>
    </row>
    <row r="580" ht="15.75" customHeight="1">
      <c r="A580" s="49"/>
      <c r="B580" s="49"/>
      <c r="C580" s="49"/>
      <c r="D580" s="49"/>
      <c r="E580" s="49"/>
      <c r="F580" s="49"/>
      <c r="G580" s="49"/>
      <c r="H580" s="49"/>
      <c r="I580" s="49"/>
      <c r="J580" s="49"/>
      <c r="K580" s="49"/>
      <c r="L580" s="48"/>
      <c r="M580" s="48"/>
      <c r="N580" s="48"/>
      <c r="O580" s="48"/>
      <c r="P580" s="48"/>
      <c r="Q580" s="48"/>
      <c r="R580" s="48"/>
      <c r="S580" s="48"/>
      <c r="T580" s="48"/>
      <c r="U580" s="48"/>
      <c r="V580" s="48"/>
      <c r="W580" s="48"/>
      <c r="X580" s="48"/>
      <c r="Y580" s="48"/>
      <c r="Z580" s="48"/>
    </row>
    <row r="581" ht="15.75" customHeight="1">
      <c r="A581" s="49"/>
      <c r="B581" s="49"/>
      <c r="C581" s="49"/>
      <c r="D581" s="49"/>
      <c r="E581" s="49"/>
      <c r="F581" s="49"/>
      <c r="G581" s="49"/>
      <c r="H581" s="49"/>
      <c r="I581" s="49"/>
      <c r="J581" s="49"/>
      <c r="K581" s="49"/>
      <c r="L581" s="48"/>
      <c r="M581" s="48"/>
      <c r="N581" s="48"/>
      <c r="O581" s="48"/>
      <c r="P581" s="48"/>
      <c r="Q581" s="48"/>
      <c r="R581" s="48"/>
      <c r="S581" s="48"/>
      <c r="T581" s="48"/>
      <c r="U581" s="48"/>
      <c r="V581" s="48"/>
      <c r="W581" s="48"/>
      <c r="X581" s="48"/>
      <c r="Y581" s="48"/>
      <c r="Z581" s="48"/>
    </row>
    <row r="582" ht="15.75" customHeight="1">
      <c r="A582" s="49"/>
      <c r="B582" s="49"/>
      <c r="C582" s="49"/>
      <c r="D582" s="49"/>
      <c r="E582" s="49"/>
      <c r="F582" s="49"/>
      <c r="G582" s="49"/>
      <c r="H582" s="49"/>
      <c r="I582" s="49"/>
      <c r="J582" s="49"/>
      <c r="K582" s="49"/>
      <c r="L582" s="48"/>
      <c r="M582" s="48"/>
      <c r="N582" s="48"/>
      <c r="O582" s="48"/>
      <c r="P582" s="48"/>
      <c r="Q582" s="48"/>
      <c r="R582" s="48"/>
      <c r="S582" s="48"/>
      <c r="T582" s="48"/>
      <c r="U582" s="48"/>
      <c r="V582" s="48"/>
      <c r="W582" s="48"/>
      <c r="X582" s="48"/>
      <c r="Y582" s="48"/>
      <c r="Z582" s="48"/>
    </row>
    <row r="583" ht="15.75" customHeight="1">
      <c r="A583" s="49"/>
      <c r="B583" s="49"/>
      <c r="C583" s="49"/>
      <c r="D583" s="49"/>
      <c r="E583" s="49"/>
      <c r="F583" s="49"/>
      <c r="G583" s="49"/>
      <c r="H583" s="49"/>
      <c r="I583" s="49"/>
      <c r="J583" s="49"/>
      <c r="K583" s="49"/>
      <c r="L583" s="48"/>
      <c r="M583" s="48"/>
      <c r="N583" s="48"/>
      <c r="O583" s="48"/>
      <c r="P583" s="48"/>
      <c r="Q583" s="48"/>
      <c r="R583" s="48"/>
      <c r="S583" s="48"/>
      <c r="T583" s="48"/>
      <c r="U583" s="48"/>
      <c r="V583" s="48"/>
      <c r="W583" s="48"/>
      <c r="X583" s="48"/>
      <c r="Y583" s="48"/>
      <c r="Z583" s="48"/>
    </row>
    <row r="584" ht="15.75" customHeight="1">
      <c r="A584" s="49"/>
      <c r="B584" s="49"/>
      <c r="C584" s="49"/>
      <c r="D584" s="49"/>
      <c r="E584" s="49"/>
      <c r="F584" s="49"/>
      <c r="G584" s="49"/>
      <c r="H584" s="49"/>
      <c r="I584" s="49"/>
      <c r="J584" s="49"/>
      <c r="K584" s="49"/>
      <c r="L584" s="48"/>
      <c r="M584" s="48"/>
      <c r="N584" s="48"/>
      <c r="O584" s="48"/>
      <c r="P584" s="48"/>
      <c r="Q584" s="48"/>
      <c r="R584" s="48"/>
      <c r="S584" s="48"/>
      <c r="T584" s="48"/>
      <c r="U584" s="48"/>
      <c r="V584" s="48"/>
      <c r="W584" s="48"/>
      <c r="X584" s="48"/>
      <c r="Y584" s="48"/>
      <c r="Z584" s="48"/>
    </row>
    <row r="585" ht="15.75" customHeight="1">
      <c r="A585" s="49"/>
      <c r="B585" s="49"/>
      <c r="C585" s="49"/>
      <c r="D585" s="49"/>
      <c r="E585" s="49"/>
      <c r="F585" s="49"/>
      <c r="G585" s="49"/>
      <c r="H585" s="49"/>
      <c r="I585" s="49"/>
      <c r="J585" s="49"/>
      <c r="K585" s="49"/>
      <c r="L585" s="48"/>
      <c r="M585" s="48"/>
      <c r="N585" s="48"/>
      <c r="O585" s="48"/>
      <c r="P585" s="48"/>
      <c r="Q585" s="48"/>
      <c r="R585" s="48"/>
      <c r="S585" s="48"/>
      <c r="T585" s="48"/>
      <c r="U585" s="48"/>
      <c r="V585" s="48"/>
      <c r="W585" s="48"/>
      <c r="X585" s="48"/>
      <c r="Y585" s="48"/>
      <c r="Z585" s="48"/>
    </row>
    <row r="586" ht="15.75" customHeight="1">
      <c r="A586" s="49"/>
      <c r="B586" s="49"/>
      <c r="C586" s="49"/>
      <c r="D586" s="49"/>
      <c r="E586" s="49"/>
      <c r="F586" s="49"/>
      <c r="G586" s="49"/>
      <c r="H586" s="49"/>
      <c r="I586" s="49"/>
      <c r="J586" s="49"/>
      <c r="K586" s="49"/>
      <c r="L586" s="48"/>
      <c r="M586" s="48"/>
      <c r="N586" s="48"/>
      <c r="O586" s="48"/>
      <c r="P586" s="48"/>
      <c r="Q586" s="48"/>
      <c r="R586" s="48"/>
      <c r="S586" s="48"/>
      <c r="T586" s="48"/>
      <c r="U586" s="48"/>
      <c r="V586" s="48"/>
      <c r="W586" s="48"/>
      <c r="X586" s="48"/>
      <c r="Y586" s="48"/>
      <c r="Z586" s="48"/>
    </row>
    <row r="587" ht="15.75" customHeight="1">
      <c r="A587" s="49"/>
      <c r="B587" s="49"/>
      <c r="C587" s="49"/>
      <c r="D587" s="49"/>
      <c r="E587" s="49"/>
      <c r="F587" s="49"/>
      <c r="G587" s="49"/>
      <c r="H587" s="49"/>
      <c r="I587" s="49"/>
      <c r="J587" s="49"/>
      <c r="K587" s="49"/>
      <c r="L587" s="48"/>
      <c r="M587" s="48"/>
      <c r="N587" s="48"/>
      <c r="O587" s="48"/>
      <c r="P587" s="48"/>
      <c r="Q587" s="48"/>
      <c r="R587" s="48"/>
      <c r="S587" s="48"/>
      <c r="T587" s="48"/>
      <c r="U587" s="48"/>
      <c r="V587" s="48"/>
      <c r="W587" s="48"/>
      <c r="X587" s="48"/>
      <c r="Y587" s="48"/>
      <c r="Z587" s="48"/>
    </row>
    <row r="588" ht="15.75" customHeight="1">
      <c r="A588" s="49"/>
      <c r="B588" s="49"/>
      <c r="C588" s="49"/>
      <c r="D588" s="49"/>
      <c r="E588" s="49"/>
      <c r="F588" s="49"/>
      <c r="G588" s="49"/>
      <c r="H588" s="49"/>
      <c r="I588" s="49"/>
      <c r="J588" s="49"/>
      <c r="K588" s="49"/>
      <c r="L588" s="48"/>
      <c r="M588" s="48"/>
      <c r="N588" s="48"/>
      <c r="O588" s="48"/>
      <c r="P588" s="48"/>
      <c r="Q588" s="48"/>
      <c r="R588" s="48"/>
      <c r="S588" s="48"/>
      <c r="T588" s="48"/>
      <c r="U588" s="48"/>
      <c r="V588" s="48"/>
      <c r="W588" s="48"/>
      <c r="X588" s="48"/>
      <c r="Y588" s="48"/>
      <c r="Z588" s="48"/>
    </row>
    <row r="589" ht="15.75" customHeight="1">
      <c r="A589" s="49"/>
      <c r="B589" s="49"/>
      <c r="C589" s="49"/>
      <c r="D589" s="49"/>
      <c r="E589" s="49"/>
      <c r="F589" s="49"/>
      <c r="G589" s="49"/>
      <c r="H589" s="49"/>
      <c r="I589" s="49"/>
      <c r="J589" s="49"/>
      <c r="K589" s="49"/>
      <c r="L589" s="48"/>
      <c r="M589" s="48"/>
      <c r="N589" s="48"/>
      <c r="O589" s="48"/>
      <c r="P589" s="48"/>
      <c r="Q589" s="48"/>
      <c r="R589" s="48"/>
      <c r="S589" s="48"/>
      <c r="T589" s="48"/>
      <c r="U589" s="48"/>
      <c r="V589" s="48"/>
      <c r="W589" s="48"/>
      <c r="X589" s="48"/>
      <c r="Y589" s="48"/>
      <c r="Z589" s="48"/>
    </row>
    <row r="590" ht="15.75" customHeight="1">
      <c r="A590" s="49"/>
      <c r="B590" s="49"/>
      <c r="C590" s="49"/>
      <c r="D590" s="49"/>
      <c r="E590" s="49"/>
      <c r="F590" s="49"/>
      <c r="G590" s="49"/>
      <c r="H590" s="49"/>
      <c r="I590" s="49"/>
      <c r="J590" s="49"/>
      <c r="K590" s="49"/>
      <c r="L590" s="48"/>
      <c r="M590" s="48"/>
      <c r="N590" s="48"/>
      <c r="O590" s="48"/>
      <c r="P590" s="48"/>
      <c r="Q590" s="48"/>
      <c r="R590" s="48"/>
      <c r="S590" s="48"/>
      <c r="T590" s="48"/>
      <c r="U590" s="48"/>
      <c r="V590" s="48"/>
      <c r="W590" s="48"/>
      <c r="X590" s="48"/>
      <c r="Y590" s="48"/>
      <c r="Z590" s="48"/>
    </row>
    <row r="591" ht="15.75" customHeight="1">
      <c r="A591" s="49"/>
      <c r="B591" s="49"/>
      <c r="C591" s="49"/>
      <c r="D591" s="49"/>
      <c r="E591" s="49"/>
      <c r="F591" s="49"/>
      <c r="G591" s="49"/>
      <c r="H591" s="49"/>
      <c r="I591" s="49"/>
      <c r="J591" s="49"/>
      <c r="K591" s="49"/>
      <c r="L591" s="48"/>
      <c r="M591" s="48"/>
      <c r="N591" s="48"/>
      <c r="O591" s="48"/>
      <c r="P591" s="48"/>
      <c r="Q591" s="48"/>
      <c r="R591" s="48"/>
      <c r="S591" s="48"/>
      <c r="T591" s="48"/>
      <c r="U591" s="48"/>
      <c r="V591" s="48"/>
      <c r="W591" s="48"/>
      <c r="X591" s="48"/>
      <c r="Y591" s="48"/>
      <c r="Z591" s="48"/>
    </row>
    <row r="592" ht="15.75" customHeight="1">
      <c r="A592" s="49"/>
      <c r="B592" s="49"/>
      <c r="C592" s="49"/>
      <c r="D592" s="49"/>
      <c r="E592" s="49"/>
      <c r="F592" s="49"/>
      <c r="G592" s="49"/>
      <c r="H592" s="49"/>
      <c r="I592" s="49"/>
      <c r="J592" s="49"/>
      <c r="K592" s="49"/>
      <c r="L592" s="48"/>
      <c r="M592" s="48"/>
      <c r="N592" s="48"/>
      <c r="O592" s="48"/>
      <c r="P592" s="48"/>
      <c r="Q592" s="48"/>
      <c r="R592" s="48"/>
      <c r="S592" s="48"/>
      <c r="T592" s="48"/>
      <c r="U592" s="48"/>
      <c r="V592" s="48"/>
      <c r="W592" s="48"/>
      <c r="X592" s="48"/>
      <c r="Y592" s="48"/>
      <c r="Z592" s="48"/>
    </row>
    <row r="593" ht="15.75" customHeight="1">
      <c r="A593" s="49"/>
      <c r="B593" s="49"/>
      <c r="C593" s="49"/>
      <c r="D593" s="49"/>
      <c r="E593" s="49"/>
      <c r="F593" s="49"/>
      <c r="G593" s="49"/>
      <c r="H593" s="49"/>
      <c r="I593" s="49"/>
      <c r="J593" s="49"/>
      <c r="K593" s="49"/>
      <c r="L593" s="48"/>
      <c r="M593" s="48"/>
      <c r="N593" s="48"/>
      <c r="O593" s="48"/>
      <c r="P593" s="48"/>
      <c r="Q593" s="48"/>
      <c r="R593" s="48"/>
      <c r="S593" s="48"/>
      <c r="T593" s="48"/>
      <c r="U593" s="48"/>
      <c r="V593" s="48"/>
      <c r="W593" s="48"/>
      <c r="X593" s="48"/>
      <c r="Y593" s="48"/>
      <c r="Z593" s="48"/>
    </row>
    <row r="594" ht="15.75" customHeight="1">
      <c r="A594" s="49"/>
      <c r="B594" s="49"/>
      <c r="C594" s="49"/>
      <c r="D594" s="49"/>
      <c r="E594" s="49"/>
      <c r="F594" s="49"/>
      <c r="G594" s="49"/>
      <c r="H594" s="49"/>
      <c r="I594" s="49"/>
      <c r="J594" s="49"/>
      <c r="K594" s="49"/>
      <c r="L594" s="48"/>
      <c r="M594" s="48"/>
      <c r="N594" s="48"/>
      <c r="O594" s="48"/>
      <c r="P594" s="48"/>
      <c r="Q594" s="48"/>
      <c r="R594" s="48"/>
      <c r="S594" s="48"/>
      <c r="T594" s="48"/>
      <c r="U594" s="48"/>
      <c r="V594" s="48"/>
      <c r="W594" s="48"/>
      <c r="X594" s="48"/>
      <c r="Y594" s="48"/>
      <c r="Z594" s="48"/>
    </row>
    <row r="595" ht="15.75" customHeight="1">
      <c r="A595" s="49"/>
      <c r="B595" s="49"/>
      <c r="C595" s="49"/>
      <c r="D595" s="49"/>
      <c r="E595" s="49"/>
      <c r="F595" s="49"/>
      <c r="G595" s="49"/>
      <c r="H595" s="49"/>
      <c r="I595" s="49"/>
      <c r="J595" s="49"/>
      <c r="K595" s="49"/>
      <c r="L595" s="48"/>
      <c r="M595" s="48"/>
      <c r="N595" s="48"/>
      <c r="O595" s="48"/>
      <c r="P595" s="48"/>
      <c r="Q595" s="48"/>
      <c r="R595" s="48"/>
      <c r="S595" s="48"/>
      <c r="T595" s="48"/>
      <c r="U595" s="48"/>
      <c r="V595" s="48"/>
      <c r="W595" s="48"/>
      <c r="X595" s="48"/>
      <c r="Y595" s="48"/>
      <c r="Z595" s="48"/>
    </row>
    <row r="596" ht="15.75" customHeight="1">
      <c r="A596" s="49"/>
      <c r="B596" s="49"/>
      <c r="C596" s="49"/>
      <c r="D596" s="49"/>
      <c r="E596" s="49"/>
      <c r="F596" s="49"/>
      <c r="G596" s="49"/>
      <c r="H596" s="49"/>
      <c r="I596" s="49"/>
      <c r="J596" s="49"/>
      <c r="K596" s="49"/>
      <c r="L596" s="48"/>
      <c r="M596" s="48"/>
      <c r="N596" s="48"/>
      <c r="O596" s="48"/>
      <c r="P596" s="48"/>
      <c r="Q596" s="48"/>
      <c r="R596" s="48"/>
      <c r="S596" s="48"/>
      <c r="T596" s="48"/>
      <c r="U596" s="48"/>
      <c r="V596" s="48"/>
      <c r="W596" s="48"/>
      <c r="X596" s="48"/>
      <c r="Y596" s="48"/>
      <c r="Z596" s="48"/>
    </row>
    <row r="597" ht="15.75" customHeight="1">
      <c r="A597" s="49"/>
      <c r="B597" s="49"/>
      <c r="C597" s="49"/>
      <c r="D597" s="49"/>
      <c r="E597" s="49"/>
      <c r="F597" s="49"/>
      <c r="G597" s="49"/>
      <c r="H597" s="49"/>
      <c r="I597" s="49"/>
      <c r="J597" s="49"/>
      <c r="K597" s="49"/>
      <c r="L597" s="48"/>
      <c r="M597" s="48"/>
      <c r="N597" s="48"/>
      <c r="O597" s="48"/>
      <c r="P597" s="48"/>
      <c r="Q597" s="48"/>
      <c r="R597" s="48"/>
      <c r="S597" s="48"/>
      <c r="T597" s="48"/>
      <c r="U597" s="48"/>
      <c r="V597" s="48"/>
      <c r="W597" s="48"/>
      <c r="X597" s="48"/>
      <c r="Y597" s="48"/>
      <c r="Z597" s="48"/>
    </row>
    <row r="598" ht="15.75" customHeight="1">
      <c r="A598" s="49"/>
      <c r="B598" s="49"/>
      <c r="C598" s="49"/>
      <c r="D598" s="49"/>
      <c r="E598" s="49"/>
      <c r="F598" s="49"/>
      <c r="G598" s="49"/>
      <c r="H598" s="49"/>
      <c r="I598" s="49"/>
      <c r="J598" s="49"/>
      <c r="K598" s="49"/>
      <c r="L598" s="48"/>
      <c r="M598" s="48"/>
      <c r="N598" s="48"/>
      <c r="O598" s="48"/>
      <c r="P598" s="48"/>
      <c r="Q598" s="48"/>
      <c r="R598" s="48"/>
      <c r="S598" s="48"/>
      <c r="T598" s="48"/>
      <c r="U598" s="48"/>
      <c r="V598" s="48"/>
      <c r="W598" s="48"/>
      <c r="X598" s="48"/>
      <c r="Y598" s="48"/>
      <c r="Z598" s="48"/>
    </row>
    <row r="599" ht="15.75" customHeight="1">
      <c r="A599" s="49"/>
      <c r="B599" s="49"/>
      <c r="C599" s="49"/>
      <c r="D599" s="49"/>
      <c r="E599" s="49"/>
      <c r="F599" s="49"/>
      <c r="G599" s="49"/>
      <c r="H599" s="49"/>
      <c r="I599" s="49"/>
      <c r="J599" s="49"/>
      <c r="K599" s="49"/>
      <c r="L599" s="48"/>
      <c r="M599" s="48"/>
      <c r="N599" s="48"/>
      <c r="O599" s="48"/>
      <c r="P599" s="48"/>
      <c r="Q599" s="48"/>
      <c r="R599" s="48"/>
      <c r="S599" s="48"/>
      <c r="T599" s="48"/>
      <c r="U599" s="48"/>
      <c r="V599" s="48"/>
      <c r="W599" s="48"/>
      <c r="X599" s="48"/>
      <c r="Y599" s="48"/>
      <c r="Z599" s="48"/>
    </row>
    <row r="600" ht="15.75" customHeight="1">
      <c r="A600" s="49"/>
      <c r="B600" s="49"/>
      <c r="C600" s="49"/>
      <c r="D600" s="49"/>
      <c r="E600" s="49"/>
      <c r="F600" s="49"/>
      <c r="G600" s="49"/>
      <c r="H600" s="49"/>
      <c r="I600" s="49"/>
      <c r="J600" s="49"/>
      <c r="K600" s="49"/>
      <c r="L600" s="48"/>
      <c r="M600" s="48"/>
      <c r="N600" s="48"/>
      <c r="O600" s="48"/>
      <c r="P600" s="48"/>
      <c r="Q600" s="48"/>
      <c r="R600" s="48"/>
      <c r="S600" s="48"/>
      <c r="T600" s="48"/>
      <c r="U600" s="48"/>
      <c r="V600" s="48"/>
      <c r="W600" s="48"/>
      <c r="X600" s="48"/>
      <c r="Y600" s="48"/>
      <c r="Z600" s="48"/>
    </row>
    <row r="601" ht="15.75" customHeight="1">
      <c r="A601" s="49"/>
      <c r="B601" s="49"/>
      <c r="C601" s="49"/>
      <c r="D601" s="49"/>
      <c r="E601" s="49"/>
      <c r="F601" s="49"/>
      <c r="G601" s="49"/>
      <c r="H601" s="49"/>
      <c r="I601" s="49"/>
      <c r="J601" s="49"/>
      <c r="K601" s="49"/>
      <c r="L601" s="48"/>
      <c r="M601" s="48"/>
      <c r="N601" s="48"/>
      <c r="O601" s="48"/>
      <c r="P601" s="48"/>
      <c r="Q601" s="48"/>
      <c r="R601" s="48"/>
      <c r="S601" s="48"/>
      <c r="T601" s="48"/>
      <c r="U601" s="48"/>
      <c r="V601" s="48"/>
      <c r="W601" s="48"/>
      <c r="X601" s="48"/>
      <c r="Y601" s="48"/>
      <c r="Z601" s="48"/>
    </row>
    <row r="602" ht="15.75" customHeight="1">
      <c r="A602" s="49"/>
      <c r="B602" s="49"/>
      <c r="C602" s="49"/>
      <c r="D602" s="49"/>
      <c r="E602" s="49"/>
      <c r="F602" s="49"/>
      <c r="G602" s="49"/>
      <c r="H602" s="49"/>
      <c r="I602" s="49"/>
      <c r="J602" s="49"/>
      <c r="K602" s="49"/>
      <c r="L602" s="48"/>
      <c r="M602" s="48"/>
      <c r="N602" s="48"/>
      <c r="O602" s="48"/>
      <c r="P602" s="48"/>
      <c r="Q602" s="48"/>
      <c r="R602" s="48"/>
      <c r="S602" s="48"/>
      <c r="T602" s="48"/>
      <c r="U602" s="48"/>
      <c r="V602" s="48"/>
      <c r="W602" s="48"/>
      <c r="X602" s="48"/>
      <c r="Y602" s="48"/>
      <c r="Z602" s="48"/>
    </row>
    <row r="603" ht="15.75" customHeight="1">
      <c r="A603" s="49"/>
      <c r="B603" s="49"/>
      <c r="C603" s="49"/>
      <c r="D603" s="49"/>
      <c r="E603" s="49"/>
      <c r="F603" s="49"/>
      <c r="G603" s="49"/>
      <c r="H603" s="49"/>
      <c r="I603" s="49"/>
      <c r="J603" s="49"/>
      <c r="K603" s="49"/>
      <c r="L603" s="48"/>
      <c r="M603" s="48"/>
      <c r="N603" s="48"/>
      <c r="O603" s="48"/>
      <c r="P603" s="48"/>
      <c r="Q603" s="48"/>
      <c r="R603" s="48"/>
      <c r="S603" s="48"/>
      <c r="T603" s="48"/>
      <c r="U603" s="48"/>
      <c r="V603" s="48"/>
      <c r="W603" s="48"/>
      <c r="X603" s="48"/>
      <c r="Y603" s="48"/>
      <c r="Z603" s="48"/>
    </row>
    <row r="604" ht="15.75" customHeight="1">
      <c r="A604" s="49"/>
      <c r="B604" s="49"/>
      <c r="C604" s="49"/>
      <c r="D604" s="49"/>
      <c r="E604" s="49"/>
      <c r="F604" s="49"/>
      <c r="G604" s="49"/>
      <c r="H604" s="49"/>
      <c r="I604" s="49"/>
      <c r="J604" s="49"/>
      <c r="K604" s="49"/>
      <c r="L604" s="48"/>
      <c r="M604" s="48"/>
      <c r="N604" s="48"/>
      <c r="O604" s="48"/>
      <c r="P604" s="48"/>
      <c r="Q604" s="48"/>
      <c r="R604" s="48"/>
      <c r="S604" s="48"/>
      <c r="T604" s="48"/>
      <c r="U604" s="48"/>
      <c r="V604" s="48"/>
      <c r="W604" s="48"/>
      <c r="X604" s="48"/>
      <c r="Y604" s="48"/>
      <c r="Z604" s="48"/>
    </row>
    <row r="605" ht="15.75" customHeight="1">
      <c r="A605" s="49"/>
      <c r="B605" s="49"/>
      <c r="C605" s="49"/>
      <c r="D605" s="49"/>
      <c r="E605" s="49"/>
      <c r="F605" s="49"/>
      <c r="G605" s="49"/>
      <c r="H605" s="49"/>
      <c r="I605" s="49"/>
      <c r="J605" s="49"/>
      <c r="K605" s="49"/>
      <c r="L605" s="48"/>
      <c r="M605" s="48"/>
      <c r="N605" s="48"/>
      <c r="O605" s="48"/>
      <c r="P605" s="48"/>
      <c r="Q605" s="48"/>
      <c r="R605" s="48"/>
      <c r="S605" s="48"/>
      <c r="T605" s="48"/>
      <c r="U605" s="48"/>
      <c r="V605" s="48"/>
      <c r="W605" s="48"/>
      <c r="X605" s="48"/>
      <c r="Y605" s="48"/>
      <c r="Z605" s="48"/>
    </row>
    <row r="606" ht="15.75" customHeight="1">
      <c r="A606" s="49"/>
      <c r="B606" s="49"/>
      <c r="C606" s="49"/>
      <c r="D606" s="49"/>
      <c r="E606" s="49"/>
      <c r="F606" s="49"/>
      <c r="G606" s="49"/>
      <c r="H606" s="49"/>
      <c r="I606" s="49"/>
      <c r="J606" s="49"/>
      <c r="K606" s="49"/>
      <c r="L606" s="48"/>
      <c r="M606" s="48"/>
      <c r="N606" s="48"/>
      <c r="O606" s="48"/>
      <c r="P606" s="48"/>
      <c r="Q606" s="48"/>
      <c r="R606" s="48"/>
      <c r="S606" s="48"/>
      <c r="T606" s="48"/>
      <c r="U606" s="48"/>
      <c r="V606" s="48"/>
      <c r="W606" s="48"/>
      <c r="X606" s="48"/>
      <c r="Y606" s="48"/>
      <c r="Z606" s="48"/>
    </row>
    <row r="607" ht="15.75" customHeight="1">
      <c r="A607" s="49"/>
      <c r="B607" s="49"/>
      <c r="C607" s="49"/>
      <c r="D607" s="49"/>
      <c r="E607" s="49"/>
      <c r="F607" s="49"/>
      <c r="G607" s="49"/>
      <c r="H607" s="49"/>
      <c r="I607" s="49"/>
      <c r="J607" s="49"/>
      <c r="K607" s="49"/>
      <c r="L607" s="48"/>
      <c r="M607" s="48"/>
      <c r="N607" s="48"/>
      <c r="O607" s="48"/>
      <c r="P607" s="48"/>
      <c r="Q607" s="48"/>
      <c r="R607" s="48"/>
      <c r="S607" s="48"/>
      <c r="T607" s="48"/>
      <c r="U607" s="48"/>
      <c r="V607" s="48"/>
      <c r="W607" s="48"/>
      <c r="X607" s="48"/>
      <c r="Y607" s="48"/>
      <c r="Z607" s="48"/>
    </row>
    <row r="608" ht="15.75" customHeight="1">
      <c r="A608" s="49"/>
      <c r="B608" s="49"/>
      <c r="C608" s="49"/>
      <c r="D608" s="49"/>
      <c r="E608" s="49"/>
      <c r="F608" s="49"/>
      <c r="G608" s="49"/>
      <c r="H608" s="49"/>
      <c r="I608" s="49"/>
      <c r="J608" s="49"/>
      <c r="K608" s="49"/>
      <c r="L608" s="48"/>
      <c r="M608" s="48"/>
      <c r="N608" s="48"/>
      <c r="O608" s="48"/>
      <c r="P608" s="48"/>
      <c r="Q608" s="48"/>
      <c r="R608" s="48"/>
      <c r="S608" s="48"/>
      <c r="T608" s="48"/>
      <c r="U608" s="48"/>
      <c r="V608" s="48"/>
      <c r="W608" s="48"/>
      <c r="X608" s="48"/>
      <c r="Y608" s="48"/>
      <c r="Z608" s="48"/>
    </row>
    <row r="609" ht="15.75" customHeight="1">
      <c r="A609" s="49"/>
      <c r="B609" s="49"/>
      <c r="C609" s="49"/>
      <c r="D609" s="49"/>
      <c r="E609" s="49"/>
      <c r="F609" s="49"/>
      <c r="G609" s="49"/>
      <c r="H609" s="49"/>
      <c r="I609" s="49"/>
      <c r="J609" s="49"/>
      <c r="K609" s="49"/>
      <c r="L609" s="48"/>
      <c r="M609" s="48"/>
      <c r="N609" s="48"/>
      <c r="O609" s="48"/>
      <c r="P609" s="48"/>
      <c r="Q609" s="48"/>
      <c r="R609" s="48"/>
      <c r="S609" s="48"/>
      <c r="T609" s="48"/>
      <c r="U609" s="48"/>
      <c r="V609" s="48"/>
      <c r="W609" s="48"/>
      <c r="X609" s="48"/>
      <c r="Y609" s="48"/>
      <c r="Z609" s="48"/>
    </row>
    <row r="610" ht="15.75" customHeight="1">
      <c r="A610" s="49"/>
      <c r="B610" s="49"/>
      <c r="C610" s="49"/>
      <c r="D610" s="49"/>
      <c r="E610" s="49"/>
      <c r="F610" s="49"/>
      <c r="G610" s="49"/>
      <c r="H610" s="49"/>
      <c r="I610" s="49"/>
      <c r="J610" s="49"/>
      <c r="K610" s="49"/>
      <c r="L610" s="48"/>
      <c r="M610" s="48"/>
      <c r="N610" s="48"/>
      <c r="O610" s="48"/>
      <c r="P610" s="48"/>
      <c r="Q610" s="48"/>
      <c r="R610" s="48"/>
      <c r="S610" s="48"/>
      <c r="T610" s="48"/>
      <c r="U610" s="48"/>
      <c r="V610" s="48"/>
      <c r="W610" s="48"/>
      <c r="X610" s="48"/>
      <c r="Y610" s="48"/>
      <c r="Z610" s="48"/>
    </row>
    <row r="611" ht="15.75" customHeight="1">
      <c r="A611" s="49"/>
      <c r="B611" s="49"/>
      <c r="C611" s="49"/>
      <c r="D611" s="49"/>
      <c r="E611" s="49"/>
      <c r="F611" s="49"/>
      <c r="G611" s="49"/>
      <c r="H611" s="49"/>
      <c r="I611" s="49"/>
      <c r="J611" s="49"/>
      <c r="K611" s="49"/>
      <c r="L611" s="48"/>
      <c r="M611" s="48"/>
      <c r="N611" s="48"/>
      <c r="O611" s="48"/>
      <c r="P611" s="48"/>
      <c r="Q611" s="48"/>
      <c r="R611" s="48"/>
      <c r="S611" s="48"/>
      <c r="T611" s="48"/>
      <c r="U611" s="48"/>
      <c r="V611" s="48"/>
      <c r="W611" s="48"/>
      <c r="X611" s="48"/>
      <c r="Y611" s="48"/>
      <c r="Z611" s="48"/>
    </row>
    <row r="612" ht="15.75" customHeight="1">
      <c r="A612" s="49"/>
      <c r="B612" s="49"/>
      <c r="C612" s="49"/>
      <c r="D612" s="49"/>
      <c r="E612" s="49"/>
      <c r="F612" s="49"/>
      <c r="G612" s="49"/>
      <c r="H612" s="49"/>
      <c r="I612" s="49"/>
      <c r="J612" s="49"/>
      <c r="K612" s="49"/>
      <c r="L612" s="48"/>
      <c r="M612" s="48"/>
      <c r="N612" s="48"/>
      <c r="O612" s="48"/>
      <c r="P612" s="48"/>
      <c r="Q612" s="48"/>
      <c r="R612" s="48"/>
      <c r="S612" s="48"/>
      <c r="T612" s="48"/>
      <c r="U612" s="48"/>
      <c r="V612" s="48"/>
      <c r="W612" s="48"/>
      <c r="X612" s="48"/>
      <c r="Y612" s="48"/>
      <c r="Z612" s="48"/>
    </row>
    <row r="613" ht="15.75" customHeight="1">
      <c r="A613" s="49"/>
      <c r="B613" s="49"/>
      <c r="C613" s="49"/>
      <c r="D613" s="49"/>
      <c r="E613" s="49"/>
      <c r="F613" s="49"/>
      <c r="G613" s="49"/>
      <c r="H613" s="49"/>
      <c r="I613" s="49"/>
      <c r="J613" s="49"/>
      <c r="K613" s="49"/>
      <c r="L613" s="48"/>
      <c r="M613" s="48"/>
      <c r="N613" s="48"/>
      <c r="O613" s="48"/>
      <c r="P613" s="48"/>
      <c r="Q613" s="48"/>
      <c r="R613" s="48"/>
      <c r="S613" s="48"/>
      <c r="T613" s="48"/>
      <c r="U613" s="48"/>
      <c r="V613" s="48"/>
      <c r="W613" s="48"/>
      <c r="X613" s="48"/>
      <c r="Y613" s="48"/>
      <c r="Z613" s="48"/>
    </row>
    <row r="614" ht="15.75" customHeight="1">
      <c r="A614" s="49"/>
      <c r="B614" s="49"/>
      <c r="C614" s="49"/>
      <c r="D614" s="49"/>
      <c r="E614" s="49"/>
      <c r="F614" s="49"/>
      <c r="G614" s="49"/>
      <c r="H614" s="49"/>
      <c r="I614" s="49"/>
      <c r="J614" s="49"/>
      <c r="K614" s="49"/>
      <c r="L614" s="48"/>
      <c r="M614" s="48"/>
      <c r="N614" s="48"/>
      <c r="O614" s="48"/>
      <c r="P614" s="48"/>
      <c r="Q614" s="48"/>
      <c r="R614" s="48"/>
      <c r="S614" s="48"/>
      <c r="T614" s="48"/>
      <c r="U614" s="48"/>
      <c r="V614" s="48"/>
      <c r="W614" s="48"/>
      <c r="X614" s="48"/>
      <c r="Y614" s="48"/>
      <c r="Z614" s="48"/>
    </row>
    <row r="615" ht="15.75" customHeight="1">
      <c r="A615" s="49"/>
      <c r="B615" s="49"/>
      <c r="C615" s="49"/>
      <c r="D615" s="49"/>
      <c r="E615" s="49"/>
      <c r="F615" s="49"/>
      <c r="G615" s="49"/>
      <c r="H615" s="49"/>
      <c r="I615" s="49"/>
      <c r="J615" s="49"/>
      <c r="K615" s="49"/>
      <c r="L615" s="48"/>
      <c r="M615" s="48"/>
      <c r="N615" s="48"/>
      <c r="O615" s="48"/>
      <c r="P615" s="48"/>
      <c r="Q615" s="48"/>
      <c r="R615" s="48"/>
      <c r="S615" s="48"/>
      <c r="T615" s="48"/>
      <c r="U615" s="48"/>
      <c r="V615" s="48"/>
      <c r="W615" s="48"/>
      <c r="X615" s="48"/>
      <c r="Y615" s="48"/>
      <c r="Z615" s="48"/>
    </row>
    <row r="616" ht="15.75" customHeight="1">
      <c r="A616" s="49"/>
      <c r="B616" s="49"/>
      <c r="C616" s="49"/>
      <c r="D616" s="49"/>
      <c r="E616" s="49"/>
      <c r="F616" s="49"/>
      <c r="G616" s="49"/>
      <c r="H616" s="49"/>
      <c r="I616" s="49"/>
      <c r="J616" s="49"/>
      <c r="K616" s="49"/>
      <c r="L616" s="48"/>
      <c r="M616" s="48"/>
      <c r="N616" s="48"/>
      <c r="O616" s="48"/>
      <c r="P616" s="48"/>
      <c r="Q616" s="48"/>
      <c r="R616" s="48"/>
      <c r="S616" s="48"/>
      <c r="T616" s="48"/>
      <c r="U616" s="48"/>
      <c r="V616" s="48"/>
      <c r="W616" s="48"/>
      <c r="X616" s="48"/>
      <c r="Y616" s="48"/>
      <c r="Z616" s="48"/>
    </row>
    <row r="617" ht="15.75" customHeight="1">
      <c r="A617" s="49"/>
      <c r="B617" s="49"/>
      <c r="C617" s="49"/>
      <c r="D617" s="49"/>
      <c r="E617" s="49"/>
      <c r="F617" s="49"/>
      <c r="G617" s="49"/>
      <c r="H617" s="49"/>
      <c r="I617" s="49"/>
      <c r="J617" s="49"/>
      <c r="K617" s="49"/>
      <c r="L617" s="48"/>
      <c r="M617" s="48"/>
      <c r="N617" s="48"/>
      <c r="O617" s="48"/>
      <c r="P617" s="48"/>
      <c r="Q617" s="48"/>
      <c r="R617" s="48"/>
      <c r="S617" s="48"/>
      <c r="T617" s="48"/>
      <c r="U617" s="48"/>
      <c r="V617" s="48"/>
      <c r="W617" s="48"/>
      <c r="X617" s="48"/>
      <c r="Y617" s="48"/>
      <c r="Z617" s="48"/>
    </row>
    <row r="618" ht="15.75" customHeight="1">
      <c r="A618" s="49"/>
      <c r="B618" s="49"/>
      <c r="C618" s="49"/>
      <c r="D618" s="49"/>
      <c r="E618" s="49"/>
      <c r="F618" s="49"/>
      <c r="G618" s="49"/>
      <c r="H618" s="49"/>
      <c r="I618" s="49"/>
      <c r="J618" s="49"/>
      <c r="K618" s="49"/>
      <c r="L618" s="48"/>
      <c r="M618" s="48"/>
      <c r="N618" s="48"/>
      <c r="O618" s="48"/>
      <c r="P618" s="48"/>
      <c r="Q618" s="48"/>
      <c r="R618" s="48"/>
      <c r="S618" s="48"/>
      <c r="T618" s="48"/>
      <c r="U618" s="48"/>
      <c r="V618" s="48"/>
      <c r="W618" s="48"/>
      <c r="X618" s="48"/>
      <c r="Y618" s="48"/>
      <c r="Z618" s="48"/>
    </row>
    <row r="619" ht="15.75" customHeight="1">
      <c r="A619" s="49"/>
      <c r="B619" s="49"/>
      <c r="C619" s="49"/>
      <c r="D619" s="49"/>
      <c r="E619" s="49"/>
      <c r="F619" s="49"/>
      <c r="G619" s="49"/>
      <c r="H619" s="49"/>
      <c r="I619" s="49"/>
      <c r="J619" s="49"/>
      <c r="K619" s="49"/>
      <c r="L619" s="48"/>
      <c r="M619" s="48"/>
      <c r="N619" s="48"/>
      <c r="O619" s="48"/>
      <c r="P619" s="48"/>
      <c r="Q619" s="48"/>
      <c r="R619" s="48"/>
      <c r="S619" s="48"/>
      <c r="T619" s="48"/>
      <c r="U619" s="48"/>
      <c r="V619" s="48"/>
      <c r="W619" s="48"/>
      <c r="X619" s="48"/>
      <c r="Y619" s="48"/>
      <c r="Z619" s="48"/>
    </row>
    <row r="620" ht="15.75" customHeight="1">
      <c r="A620" s="49"/>
      <c r="B620" s="49"/>
      <c r="C620" s="49"/>
      <c r="D620" s="49"/>
      <c r="E620" s="49"/>
      <c r="F620" s="49"/>
      <c r="G620" s="49"/>
      <c r="H620" s="49"/>
      <c r="I620" s="49"/>
      <c r="J620" s="49"/>
      <c r="K620" s="49"/>
      <c r="L620" s="48"/>
      <c r="M620" s="48"/>
      <c r="N620" s="48"/>
      <c r="O620" s="48"/>
      <c r="P620" s="48"/>
      <c r="Q620" s="48"/>
      <c r="R620" s="48"/>
      <c r="S620" s="48"/>
      <c r="T620" s="48"/>
      <c r="U620" s="48"/>
      <c r="V620" s="48"/>
      <c r="W620" s="48"/>
      <c r="X620" s="48"/>
      <c r="Y620" s="48"/>
      <c r="Z620" s="48"/>
    </row>
    <row r="621" ht="15.75" customHeight="1">
      <c r="A621" s="49"/>
      <c r="B621" s="49"/>
      <c r="C621" s="49"/>
      <c r="D621" s="49"/>
      <c r="E621" s="49"/>
      <c r="F621" s="49"/>
      <c r="G621" s="49"/>
      <c r="H621" s="49"/>
      <c r="I621" s="49"/>
      <c r="J621" s="49"/>
      <c r="K621" s="49"/>
      <c r="L621" s="48"/>
      <c r="M621" s="48"/>
      <c r="N621" s="48"/>
      <c r="O621" s="48"/>
      <c r="P621" s="48"/>
      <c r="Q621" s="48"/>
      <c r="R621" s="48"/>
      <c r="S621" s="48"/>
      <c r="T621" s="48"/>
      <c r="U621" s="48"/>
      <c r="V621" s="48"/>
      <c r="W621" s="48"/>
      <c r="X621" s="48"/>
      <c r="Y621" s="48"/>
      <c r="Z621" s="48"/>
    </row>
    <row r="622" ht="15.75" customHeight="1">
      <c r="A622" s="49"/>
      <c r="B622" s="49"/>
      <c r="C622" s="49"/>
      <c r="D622" s="49"/>
      <c r="E622" s="49"/>
      <c r="F622" s="49"/>
      <c r="G622" s="49"/>
      <c r="H622" s="49"/>
      <c r="I622" s="49"/>
      <c r="J622" s="49"/>
      <c r="K622" s="49"/>
      <c r="L622" s="48"/>
      <c r="M622" s="48"/>
      <c r="N622" s="48"/>
      <c r="O622" s="48"/>
      <c r="P622" s="48"/>
      <c r="Q622" s="48"/>
      <c r="R622" s="48"/>
      <c r="S622" s="48"/>
      <c r="T622" s="48"/>
      <c r="U622" s="48"/>
      <c r="V622" s="48"/>
      <c r="W622" s="48"/>
      <c r="X622" s="48"/>
      <c r="Y622" s="48"/>
      <c r="Z622" s="48"/>
    </row>
    <row r="623" ht="15.75" customHeight="1">
      <c r="A623" s="49"/>
      <c r="B623" s="49"/>
      <c r="C623" s="49"/>
      <c r="D623" s="49"/>
      <c r="E623" s="49"/>
      <c r="F623" s="49"/>
      <c r="G623" s="49"/>
      <c r="H623" s="49"/>
      <c r="I623" s="49"/>
      <c r="J623" s="49"/>
      <c r="K623" s="49"/>
      <c r="L623" s="48"/>
      <c r="M623" s="48"/>
      <c r="N623" s="48"/>
      <c r="O623" s="48"/>
      <c r="P623" s="48"/>
      <c r="Q623" s="48"/>
      <c r="R623" s="48"/>
      <c r="S623" s="48"/>
      <c r="T623" s="48"/>
      <c r="U623" s="48"/>
      <c r="V623" s="48"/>
      <c r="W623" s="48"/>
      <c r="X623" s="48"/>
      <c r="Y623" s="48"/>
      <c r="Z623" s="48"/>
    </row>
    <row r="624" ht="15.75" customHeight="1">
      <c r="A624" s="49"/>
      <c r="B624" s="49"/>
      <c r="C624" s="49"/>
      <c r="D624" s="49"/>
      <c r="E624" s="49"/>
      <c r="F624" s="49"/>
      <c r="G624" s="49"/>
      <c r="H624" s="49"/>
      <c r="I624" s="49"/>
      <c r="J624" s="49"/>
      <c r="K624" s="49"/>
      <c r="L624" s="48"/>
      <c r="M624" s="48"/>
      <c r="N624" s="48"/>
      <c r="O624" s="48"/>
      <c r="P624" s="48"/>
      <c r="Q624" s="48"/>
      <c r="R624" s="48"/>
      <c r="S624" s="48"/>
      <c r="T624" s="48"/>
      <c r="U624" s="48"/>
      <c r="V624" s="48"/>
      <c r="W624" s="48"/>
      <c r="X624" s="48"/>
      <c r="Y624" s="48"/>
      <c r="Z624" s="48"/>
    </row>
    <row r="625" ht="15.75" customHeight="1">
      <c r="A625" s="49"/>
      <c r="B625" s="49"/>
      <c r="C625" s="49"/>
      <c r="D625" s="49"/>
      <c r="E625" s="49"/>
      <c r="F625" s="49"/>
      <c r="G625" s="49"/>
      <c r="H625" s="49"/>
      <c r="I625" s="49"/>
      <c r="J625" s="49"/>
      <c r="K625" s="49"/>
      <c r="L625" s="48"/>
      <c r="M625" s="48"/>
      <c r="N625" s="48"/>
      <c r="O625" s="48"/>
      <c r="P625" s="48"/>
      <c r="Q625" s="48"/>
      <c r="R625" s="48"/>
      <c r="S625" s="48"/>
      <c r="T625" s="48"/>
      <c r="U625" s="48"/>
      <c r="V625" s="48"/>
      <c r="W625" s="48"/>
      <c r="X625" s="48"/>
      <c r="Y625" s="48"/>
      <c r="Z625" s="48"/>
    </row>
    <row r="626" ht="15.75" customHeight="1">
      <c r="A626" s="49"/>
      <c r="B626" s="49"/>
      <c r="C626" s="49"/>
      <c r="D626" s="49"/>
      <c r="E626" s="49"/>
      <c r="F626" s="49"/>
      <c r="G626" s="49"/>
      <c r="H626" s="49"/>
      <c r="I626" s="49"/>
      <c r="J626" s="49"/>
      <c r="K626" s="49"/>
      <c r="L626" s="48"/>
      <c r="M626" s="48"/>
      <c r="N626" s="48"/>
      <c r="O626" s="48"/>
      <c r="P626" s="48"/>
      <c r="Q626" s="48"/>
      <c r="R626" s="48"/>
      <c r="S626" s="48"/>
      <c r="T626" s="48"/>
      <c r="U626" s="48"/>
      <c r="V626" s="48"/>
      <c r="W626" s="48"/>
      <c r="X626" s="48"/>
      <c r="Y626" s="48"/>
      <c r="Z626" s="48"/>
    </row>
    <row r="627" ht="15.75" customHeight="1">
      <c r="A627" s="49"/>
      <c r="B627" s="49"/>
      <c r="C627" s="49"/>
      <c r="D627" s="49"/>
      <c r="E627" s="49"/>
      <c r="F627" s="49"/>
      <c r="G627" s="49"/>
      <c r="H627" s="49"/>
      <c r="I627" s="49"/>
      <c r="J627" s="49"/>
      <c r="K627" s="49"/>
      <c r="L627" s="48"/>
      <c r="M627" s="48"/>
      <c r="N627" s="48"/>
      <c r="O627" s="48"/>
      <c r="P627" s="48"/>
      <c r="Q627" s="48"/>
      <c r="R627" s="48"/>
      <c r="S627" s="48"/>
      <c r="T627" s="48"/>
      <c r="U627" s="48"/>
      <c r="V627" s="48"/>
      <c r="W627" s="48"/>
      <c r="X627" s="48"/>
      <c r="Y627" s="48"/>
      <c r="Z627" s="48"/>
    </row>
    <row r="628" ht="15.75" customHeight="1">
      <c r="A628" s="49"/>
      <c r="B628" s="49"/>
      <c r="C628" s="49"/>
      <c r="D628" s="49"/>
      <c r="E628" s="49"/>
      <c r="F628" s="49"/>
      <c r="G628" s="49"/>
      <c r="H628" s="49"/>
      <c r="I628" s="49"/>
      <c r="J628" s="49"/>
      <c r="K628" s="49"/>
      <c r="L628" s="48"/>
      <c r="M628" s="48"/>
      <c r="N628" s="48"/>
      <c r="O628" s="48"/>
      <c r="P628" s="48"/>
      <c r="Q628" s="48"/>
      <c r="R628" s="48"/>
      <c r="S628" s="48"/>
      <c r="T628" s="48"/>
      <c r="U628" s="48"/>
      <c r="V628" s="48"/>
      <c r="W628" s="48"/>
      <c r="X628" s="48"/>
      <c r="Y628" s="48"/>
      <c r="Z628" s="48"/>
    </row>
    <row r="629" ht="15.75" customHeight="1">
      <c r="A629" s="49"/>
      <c r="B629" s="49"/>
      <c r="C629" s="49"/>
      <c r="D629" s="49"/>
      <c r="E629" s="49"/>
      <c r="F629" s="49"/>
      <c r="G629" s="49"/>
      <c r="H629" s="49"/>
      <c r="I629" s="49"/>
      <c r="J629" s="49"/>
      <c r="K629" s="49"/>
      <c r="L629" s="48"/>
      <c r="M629" s="48"/>
      <c r="N629" s="48"/>
      <c r="O629" s="48"/>
      <c r="P629" s="48"/>
      <c r="Q629" s="48"/>
      <c r="R629" s="48"/>
      <c r="S629" s="48"/>
      <c r="T629" s="48"/>
      <c r="U629" s="48"/>
      <c r="V629" s="48"/>
      <c r="W629" s="48"/>
      <c r="X629" s="48"/>
      <c r="Y629" s="48"/>
      <c r="Z629" s="48"/>
    </row>
    <row r="630" ht="15.75" customHeight="1">
      <c r="A630" s="49"/>
      <c r="B630" s="49"/>
      <c r="C630" s="49"/>
      <c r="D630" s="49"/>
      <c r="E630" s="49"/>
      <c r="F630" s="49"/>
      <c r="G630" s="49"/>
      <c r="H630" s="49"/>
      <c r="I630" s="49"/>
      <c r="J630" s="49"/>
      <c r="K630" s="49"/>
      <c r="L630" s="48"/>
      <c r="M630" s="48"/>
      <c r="N630" s="48"/>
      <c r="O630" s="48"/>
      <c r="P630" s="48"/>
      <c r="Q630" s="48"/>
      <c r="R630" s="48"/>
      <c r="S630" s="48"/>
      <c r="T630" s="48"/>
      <c r="U630" s="48"/>
      <c r="V630" s="48"/>
      <c r="W630" s="48"/>
      <c r="X630" s="48"/>
      <c r="Y630" s="48"/>
      <c r="Z630" s="48"/>
    </row>
    <row r="631" ht="15.75" customHeight="1">
      <c r="A631" s="49"/>
      <c r="B631" s="49"/>
      <c r="C631" s="49"/>
      <c r="D631" s="49"/>
      <c r="E631" s="49"/>
      <c r="F631" s="49"/>
      <c r="G631" s="49"/>
      <c r="H631" s="49"/>
      <c r="I631" s="49"/>
      <c r="J631" s="49"/>
      <c r="K631" s="49"/>
      <c r="L631" s="48"/>
      <c r="M631" s="48"/>
      <c r="N631" s="48"/>
      <c r="O631" s="48"/>
      <c r="P631" s="48"/>
      <c r="Q631" s="48"/>
      <c r="R631" s="48"/>
      <c r="S631" s="48"/>
      <c r="T631" s="48"/>
      <c r="U631" s="48"/>
      <c r="V631" s="48"/>
      <c r="W631" s="48"/>
      <c r="X631" s="48"/>
      <c r="Y631" s="48"/>
      <c r="Z631" s="48"/>
    </row>
    <row r="632" ht="15.75" customHeight="1">
      <c r="A632" s="49"/>
      <c r="B632" s="49"/>
      <c r="C632" s="49"/>
      <c r="D632" s="49"/>
      <c r="E632" s="49"/>
      <c r="F632" s="49"/>
      <c r="G632" s="49"/>
      <c r="H632" s="49"/>
      <c r="I632" s="49"/>
      <c r="J632" s="49"/>
      <c r="K632" s="49"/>
      <c r="L632" s="48"/>
      <c r="M632" s="48"/>
      <c r="N632" s="48"/>
      <c r="O632" s="48"/>
      <c r="P632" s="48"/>
      <c r="Q632" s="48"/>
      <c r="R632" s="48"/>
      <c r="S632" s="48"/>
      <c r="T632" s="48"/>
      <c r="U632" s="48"/>
      <c r="V632" s="48"/>
      <c r="W632" s="48"/>
      <c r="X632" s="48"/>
      <c r="Y632" s="48"/>
      <c r="Z632" s="48"/>
    </row>
    <row r="633" ht="15.75" customHeight="1">
      <c r="A633" s="49"/>
      <c r="B633" s="49"/>
      <c r="C633" s="49"/>
      <c r="D633" s="49"/>
      <c r="E633" s="49"/>
      <c r="F633" s="49"/>
      <c r="G633" s="49"/>
      <c r="H633" s="49"/>
      <c r="I633" s="49"/>
      <c r="J633" s="49"/>
      <c r="K633" s="49"/>
      <c r="L633" s="48"/>
      <c r="M633" s="48"/>
      <c r="N633" s="48"/>
      <c r="O633" s="48"/>
      <c r="P633" s="48"/>
      <c r="Q633" s="48"/>
      <c r="R633" s="48"/>
      <c r="S633" s="48"/>
      <c r="T633" s="48"/>
      <c r="U633" s="48"/>
      <c r="V633" s="48"/>
      <c r="W633" s="48"/>
      <c r="X633" s="48"/>
      <c r="Y633" s="48"/>
      <c r="Z633" s="48"/>
    </row>
    <row r="634" ht="15.75" customHeight="1">
      <c r="A634" s="49"/>
      <c r="B634" s="49"/>
      <c r="C634" s="49"/>
      <c r="D634" s="49"/>
      <c r="E634" s="49"/>
      <c r="F634" s="49"/>
      <c r="G634" s="49"/>
      <c r="H634" s="49"/>
      <c r="I634" s="49"/>
      <c r="J634" s="49"/>
      <c r="K634" s="49"/>
      <c r="L634" s="48"/>
      <c r="M634" s="48"/>
      <c r="N634" s="48"/>
      <c r="O634" s="48"/>
      <c r="P634" s="48"/>
      <c r="Q634" s="48"/>
      <c r="R634" s="48"/>
      <c r="S634" s="48"/>
      <c r="T634" s="48"/>
      <c r="U634" s="48"/>
      <c r="V634" s="48"/>
      <c r="W634" s="48"/>
      <c r="X634" s="48"/>
      <c r="Y634" s="48"/>
      <c r="Z634" s="48"/>
    </row>
    <row r="635" ht="15.75" customHeight="1">
      <c r="A635" s="49"/>
      <c r="B635" s="49"/>
      <c r="C635" s="49"/>
      <c r="D635" s="49"/>
      <c r="E635" s="49"/>
      <c r="F635" s="49"/>
      <c r="G635" s="49"/>
      <c r="H635" s="49"/>
      <c r="I635" s="49"/>
      <c r="J635" s="49"/>
      <c r="K635" s="49"/>
      <c r="L635" s="48"/>
      <c r="M635" s="48"/>
      <c r="N635" s="48"/>
      <c r="O635" s="48"/>
      <c r="P635" s="48"/>
      <c r="Q635" s="48"/>
      <c r="R635" s="48"/>
      <c r="S635" s="48"/>
      <c r="T635" s="48"/>
      <c r="U635" s="48"/>
      <c r="V635" s="48"/>
      <c r="W635" s="48"/>
      <c r="X635" s="48"/>
      <c r="Y635" s="48"/>
      <c r="Z635" s="48"/>
    </row>
    <row r="636" ht="15.75" customHeight="1">
      <c r="A636" s="49"/>
      <c r="B636" s="49"/>
      <c r="C636" s="49"/>
      <c r="D636" s="49"/>
      <c r="E636" s="49"/>
      <c r="F636" s="49"/>
      <c r="G636" s="49"/>
      <c r="H636" s="49"/>
      <c r="I636" s="49"/>
      <c r="J636" s="49"/>
      <c r="K636" s="49"/>
      <c r="L636" s="48"/>
      <c r="M636" s="48"/>
      <c r="N636" s="48"/>
      <c r="O636" s="48"/>
      <c r="P636" s="48"/>
      <c r="Q636" s="48"/>
      <c r="R636" s="48"/>
      <c r="S636" s="48"/>
      <c r="T636" s="48"/>
      <c r="U636" s="48"/>
      <c r="V636" s="48"/>
      <c r="W636" s="48"/>
      <c r="X636" s="48"/>
      <c r="Y636" s="48"/>
      <c r="Z636" s="48"/>
    </row>
    <row r="637" ht="15.75" customHeight="1">
      <c r="A637" s="49"/>
      <c r="B637" s="49"/>
      <c r="C637" s="49"/>
      <c r="D637" s="49"/>
      <c r="E637" s="49"/>
      <c r="F637" s="49"/>
      <c r="G637" s="49"/>
      <c r="H637" s="49"/>
      <c r="I637" s="49"/>
      <c r="J637" s="49"/>
      <c r="K637" s="49"/>
      <c r="L637" s="48"/>
      <c r="M637" s="48"/>
      <c r="N637" s="48"/>
      <c r="O637" s="48"/>
      <c r="P637" s="48"/>
      <c r="Q637" s="48"/>
      <c r="R637" s="48"/>
      <c r="S637" s="48"/>
      <c r="T637" s="48"/>
      <c r="U637" s="48"/>
      <c r="V637" s="48"/>
      <c r="W637" s="48"/>
      <c r="X637" s="48"/>
      <c r="Y637" s="48"/>
      <c r="Z637" s="48"/>
    </row>
    <row r="638" ht="15.75" customHeight="1">
      <c r="A638" s="49"/>
      <c r="B638" s="49"/>
      <c r="C638" s="49"/>
      <c r="D638" s="49"/>
      <c r="E638" s="49"/>
      <c r="F638" s="49"/>
      <c r="G638" s="49"/>
      <c r="H638" s="49"/>
      <c r="I638" s="49"/>
      <c r="J638" s="49"/>
      <c r="K638" s="49"/>
      <c r="L638" s="48"/>
      <c r="M638" s="48"/>
      <c r="N638" s="48"/>
      <c r="O638" s="48"/>
      <c r="P638" s="48"/>
      <c r="Q638" s="48"/>
      <c r="R638" s="48"/>
      <c r="S638" s="48"/>
      <c r="T638" s="48"/>
      <c r="U638" s="48"/>
      <c r="V638" s="48"/>
      <c r="W638" s="48"/>
      <c r="X638" s="48"/>
      <c r="Y638" s="48"/>
      <c r="Z638" s="48"/>
    </row>
    <row r="639" ht="15.75" customHeight="1">
      <c r="A639" s="49"/>
      <c r="B639" s="49"/>
      <c r="C639" s="49"/>
      <c r="D639" s="49"/>
      <c r="E639" s="49"/>
      <c r="F639" s="49"/>
      <c r="G639" s="49"/>
      <c r="H639" s="49"/>
      <c r="I639" s="49"/>
      <c r="J639" s="49"/>
      <c r="K639" s="49"/>
      <c r="L639" s="48"/>
      <c r="M639" s="48"/>
      <c r="N639" s="48"/>
      <c r="O639" s="48"/>
      <c r="P639" s="48"/>
      <c r="Q639" s="48"/>
      <c r="R639" s="48"/>
      <c r="S639" s="48"/>
      <c r="T639" s="48"/>
      <c r="U639" s="48"/>
      <c r="V639" s="48"/>
      <c r="W639" s="48"/>
      <c r="X639" s="48"/>
      <c r="Y639" s="48"/>
      <c r="Z639" s="48"/>
    </row>
    <row r="640" ht="15.75" customHeight="1">
      <c r="A640" s="49"/>
      <c r="B640" s="49"/>
      <c r="C640" s="49"/>
      <c r="D640" s="49"/>
      <c r="E640" s="49"/>
      <c r="F640" s="49"/>
      <c r="G640" s="49"/>
      <c r="H640" s="49"/>
      <c r="I640" s="49"/>
      <c r="J640" s="49"/>
      <c r="K640" s="49"/>
      <c r="L640" s="48"/>
      <c r="M640" s="48"/>
      <c r="N640" s="48"/>
      <c r="O640" s="48"/>
      <c r="P640" s="48"/>
      <c r="Q640" s="48"/>
      <c r="R640" s="48"/>
      <c r="S640" s="48"/>
      <c r="T640" s="48"/>
      <c r="U640" s="48"/>
      <c r="V640" s="48"/>
      <c r="W640" s="48"/>
      <c r="X640" s="48"/>
      <c r="Y640" s="48"/>
      <c r="Z640" s="48"/>
    </row>
    <row r="641" ht="15.75" customHeight="1">
      <c r="A641" s="49"/>
      <c r="B641" s="49"/>
      <c r="C641" s="49"/>
      <c r="D641" s="49"/>
      <c r="E641" s="49"/>
      <c r="F641" s="49"/>
      <c r="G641" s="49"/>
      <c r="H641" s="49"/>
      <c r="I641" s="49"/>
      <c r="J641" s="49"/>
      <c r="K641" s="49"/>
      <c r="L641" s="48"/>
      <c r="M641" s="48"/>
      <c r="N641" s="48"/>
      <c r="O641" s="48"/>
      <c r="P641" s="48"/>
      <c r="Q641" s="48"/>
      <c r="R641" s="48"/>
      <c r="S641" s="48"/>
      <c r="T641" s="48"/>
      <c r="U641" s="48"/>
      <c r="V641" s="48"/>
      <c r="W641" s="48"/>
      <c r="X641" s="48"/>
      <c r="Y641" s="48"/>
      <c r="Z641" s="48"/>
    </row>
    <row r="642" ht="15.75" customHeight="1">
      <c r="A642" s="49"/>
      <c r="B642" s="49"/>
      <c r="C642" s="49"/>
      <c r="D642" s="49"/>
      <c r="E642" s="49"/>
      <c r="F642" s="49"/>
      <c r="G642" s="49"/>
      <c r="H642" s="49"/>
      <c r="I642" s="49"/>
      <c r="J642" s="49"/>
      <c r="K642" s="49"/>
      <c r="L642" s="48"/>
      <c r="M642" s="48"/>
      <c r="N642" s="48"/>
      <c r="O642" s="48"/>
      <c r="P642" s="48"/>
      <c r="Q642" s="48"/>
      <c r="R642" s="48"/>
      <c r="S642" s="48"/>
      <c r="T642" s="48"/>
      <c r="U642" s="48"/>
      <c r="V642" s="48"/>
      <c r="W642" s="48"/>
      <c r="X642" s="48"/>
      <c r="Y642" s="48"/>
      <c r="Z642" s="48"/>
    </row>
    <row r="643" ht="15.75" customHeight="1">
      <c r="A643" s="49"/>
      <c r="B643" s="49"/>
      <c r="C643" s="49"/>
      <c r="D643" s="49"/>
      <c r="E643" s="49"/>
      <c r="F643" s="49"/>
      <c r="G643" s="49"/>
      <c r="H643" s="49"/>
      <c r="I643" s="49"/>
      <c r="J643" s="49"/>
      <c r="K643" s="49"/>
      <c r="L643" s="48"/>
      <c r="M643" s="48"/>
      <c r="N643" s="48"/>
      <c r="O643" s="48"/>
      <c r="P643" s="48"/>
      <c r="Q643" s="48"/>
      <c r="R643" s="48"/>
      <c r="S643" s="48"/>
      <c r="T643" s="48"/>
      <c r="U643" s="48"/>
      <c r="V643" s="48"/>
      <c r="W643" s="48"/>
      <c r="X643" s="48"/>
      <c r="Y643" s="48"/>
      <c r="Z643" s="48"/>
    </row>
    <row r="644" ht="15.75" customHeight="1">
      <c r="A644" s="49"/>
      <c r="B644" s="49"/>
      <c r="C644" s="49"/>
      <c r="D644" s="49"/>
      <c r="E644" s="49"/>
      <c r="F644" s="49"/>
      <c r="G644" s="49"/>
      <c r="H644" s="49"/>
      <c r="I644" s="49"/>
      <c r="J644" s="49"/>
      <c r="K644" s="49"/>
      <c r="L644" s="48"/>
      <c r="M644" s="48"/>
      <c r="N644" s="48"/>
      <c r="O644" s="48"/>
      <c r="P644" s="48"/>
      <c r="Q644" s="48"/>
      <c r="R644" s="48"/>
      <c r="S644" s="48"/>
      <c r="T644" s="48"/>
      <c r="U644" s="48"/>
      <c r="V644" s="48"/>
      <c r="W644" s="48"/>
      <c r="X644" s="48"/>
      <c r="Y644" s="48"/>
      <c r="Z644" s="48"/>
    </row>
    <row r="645" ht="15.75" customHeight="1">
      <c r="A645" s="49"/>
      <c r="B645" s="49"/>
      <c r="C645" s="49"/>
      <c r="D645" s="49"/>
      <c r="E645" s="49"/>
      <c r="F645" s="49"/>
      <c r="G645" s="49"/>
      <c r="H645" s="49"/>
      <c r="I645" s="49"/>
      <c r="J645" s="49"/>
      <c r="K645" s="49"/>
      <c r="L645" s="48"/>
      <c r="M645" s="48"/>
      <c r="N645" s="48"/>
      <c r="O645" s="48"/>
      <c r="P645" s="48"/>
      <c r="Q645" s="48"/>
      <c r="R645" s="48"/>
      <c r="S645" s="48"/>
      <c r="T645" s="48"/>
      <c r="U645" s="48"/>
      <c r="V645" s="48"/>
      <c r="W645" s="48"/>
      <c r="X645" s="48"/>
      <c r="Y645" s="48"/>
      <c r="Z645" s="48"/>
    </row>
    <row r="646" ht="15.75" customHeight="1">
      <c r="A646" s="49"/>
      <c r="B646" s="49"/>
      <c r="C646" s="49"/>
      <c r="D646" s="49"/>
      <c r="E646" s="49"/>
      <c r="F646" s="49"/>
      <c r="G646" s="49"/>
      <c r="H646" s="49"/>
      <c r="I646" s="49"/>
      <c r="J646" s="49"/>
      <c r="K646" s="49"/>
      <c r="L646" s="48"/>
      <c r="M646" s="48"/>
      <c r="N646" s="48"/>
      <c r="O646" s="48"/>
      <c r="P646" s="48"/>
      <c r="Q646" s="48"/>
      <c r="R646" s="48"/>
      <c r="S646" s="48"/>
      <c r="T646" s="48"/>
      <c r="U646" s="48"/>
      <c r="V646" s="48"/>
      <c r="W646" s="48"/>
      <c r="X646" s="48"/>
      <c r="Y646" s="48"/>
      <c r="Z646" s="48"/>
    </row>
    <row r="647" ht="15.75" customHeight="1">
      <c r="A647" s="49"/>
      <c r="B647" s="49"/>
      <c r="C647" s="49"/>
      <c r="D647" s="49"/>
      <c r="E647" s="49"/>
      <c r="F647" s="49"/>
      <c r="G647" s="49"/>
      <c r="H647" s="49"/>
      <c r="I647" s="49"/>
      <c r="J647" s="49"/>
      <c r="K647" s="49"/>
      <c r="L647" s="48"/>
      <c r="M647" s="48"/>
      <c r="N647" s="48"/>
      <c r="O647" s="48"/>
      <c r="P647" s="48"/>
      <c r="Q647" s="48"/>
      <c r="R647" s="48"/>
      <c r="S647" s="48"/>
      <c r="T647" s="48"/>
      <c r="U647" s="48"/>
      <c r="V647" s="48"/>
      <c r="W647" s="48"/>
      <c r="X647" s="48"/>
      <c r="Y647" s="48"/>
      <c r="Z647" s="48"/>
    </row>
    <row r="648" ht="15.75" customHeight="1">
      <c r="A648" s="49"/>
      <c r="B648" s="49"/>
      <c r="C648" s="49"/>
      <c r="D648" s="49"/>
      <c r="E648" s="49"/>
      <c r="F648" s="49"/>
      <c r="G648" s="49"/>
      <c r="H648" s="49"/>
      <c r="I648" s="49"/>
      <c r="J648" s="49"/>
      <c r="K648" s="49"/>
      <c r="L648" s="48"/>
      <c r="M648" s="48"/>
      <c r="N648" s="48"/>
      <c r="O648" s="48"/>
      <c r="P648" s="48"/>
      <c r="Q648" s="48"/>
      <c r="R648" s="48"/>
      <c r="S648" s="48"/>
      <c r="T648" s="48"/>
      <c r="U648" s="48"/>
      <c r="V648" s="48"/>
      <c r="W648" s="48"/>
      <c r="X648" s="48"/>
      <c r="Y648" s="48"/>
      <c r="Z648" s="48"/>
    </row>
    <row r="649" ht="15.75" customHeight="1">
      <c r="A649" s="49"/>
      <c r="B649" s="49"/>
      <c r="C649" s="49"/>
      <c r="D649" s="49"/>
      <c r="E649" s="49"/>
      <c r="F649" s="49"/>
      <c r="G649" s="49"/>
      <c r="H649" s="49"/>
      <c r="I649" s="49"/>
      <c r="J649" s="49"/>
      <c r="K649" s="49"/>
      <c r="L649" s="48"/>
      <c r="M649" s="48"/>
      <c r="N649" s="48"/>
      <c r="O649" s="48"/>
      <c r="P649" s="48"/>
      <c r="Q649" s="48"/>
      <c r="R649" s="48"/>
      <c r="S649" s="48"/>
      <c r="T649" s="48"/>
      <c r="U649" s="48"/>
      <c r="V649" s="48"/>
      <c r="W649" s="48"/>
      <c r="X649" s="48"/>
      <c r="Y649" s="48"/>
      <c r="Z649" s="48"/>
    </row>
    <row r="650" ht="15.75" customHeight="1">
      <c r="A650" s="49"/>
      <c r="B650" s="49"/>
      <c r="C650" s="49"/>
      <c r="D650" s="49"/>
      <c r="E650" s="49"/>
      <c r="F650" s="49"/>
      <c r="G650" s="49"/>
      <c r="H650" s="49"/>
      <c r="I650" s="49"/>
      <c r="J650" s="49"/>
      <c r="K650" s="49"/>
      <c r="L650" s="48"/>
      <c r="M650" s="48"/>
      <c r="N650" s="48"/>
      <c r="O650" s="48"/>
      <c r="P650" s="48"/>
      <c r="Q650" s="48"/>
      <c r="R650" s="48"/>
      <c r="S650" s="48"/>
      <c r="T650" s="48"/>
      <c r="U650" s="48"/>
      <c r="V650" s="48"/>
      <c r="W650" s="48"/>
      <c r="X650" s="48"/>
      <c r="Y650" s="48"/>
      <c r="Z650" s="48"/>
    </row>
    <row r="651" ht="15.75" customHeight="1">
      <c r="A651" s="49"/>
      <c r="B651" s="49"/>
      <c r="C651" s="49"/>
      <c r="D651" s="49"/>
      <c r="E651" s="49"/>
      <c r="F651" s="49"/>
      <c r="G651" s="49"/>
      <c r="H651" s="49"/>
      <c r="I651" s="49"/>
      <c r="J651" s="49"/>
      <c r="K651" s="49"/>
      <c r="L651" s="48"/>
      <c r="M651" s="48"/>
      <c r="N651" s="48"/>
      <c r="O651" s="48"/>
      <c r="P651" s="48"/>
      <c r="Q651" s="48"/>
      <c r="R651" s="48"/>
      <c r="S651" s="48"/>
      <c r="T651" s="48"/>
      <c r="U651" s="48"/>
      <c r="V651" s="48"/>
      <c r="W651" s="48"/>
      <c r="X651" s="48"/>
      <c r="Y651" s="48"/>
      <c r="Z651" s="48"/>
    </row>
    <row r="652" ht="15.75" customHeight="1">
      <c r="A652" s="49"/>
      <c r="B652" s="49"/>
      <c r="C652" s="49"/>
      <c r="D652" s="49"/>
      <c r="E652" s="49"/>
      <c r="F652" s="49"/>
      <c r="G652" s="49"/>
      <c r="H652" s="49"/>
      <c r="I652" s="49"/>
      <c r="J652" s="49"/>
      <c r="K652" s="49"/>
      <c r="L652" s="48"/>
      <c r="M652" s="48"/>
      <c r="N652" s="48"/>
      <c r="O652" s="48"/>
      <c r="P652" s="48"/>
      <c r="Q652" s="48"/>
      <c r="R652" s="48"/>
      <c r="S652" s="48"/>
      <c r="T652" s="48"/>
      <c r="U652" s="48"/>
      <c r="V652" s="48"/>
      <c r="W652" s="48"/>
      <c r="X652" s="48"/>
      <c r="Y652" s="48"/>
      <c r="Z652" s="48"/>
    </row>
    <row r="653" ht="15.75" customHeight="1">
      <c r="A653" s="49"/>
      <c r="B653" s="49"/>
      <c r="C653" s="49"/>
      <c r="D653" s="49"/>
      <c r="E653" s="49"/>
      <c r="F653" s="49"/>
      <c r="G653" s="49"/>
      <c r="H653" s="49"/>
      <c r="I653" s="49"/>
      <c r="J653" s="49"/>
      <c r="K653" s="49"/>
      <c r="L653" s="48"/>
      <c r="M653" s="48"/>
      <c r="N653" s="48"/>
      <c r="O653" s="48"/>
      <c r="P653" s="48"/>
      <c r="Q653" s="48"/>
      <c r="R653" s="48"/>
      <c r="S653" s="48"/>
      <c r="T653" s="48"/>
      <c r="U653" s="48"/>
      <c r="V653" s="48"/>
      <c r="W653" s="48"/>
      <c r="X653" s="48"/>
      <c r="Y653" s="48"/>
      <c r="Z653" s="48"/>
    </row>
    <row r="654" ht="15.75" customHeight="1">
      <c r="A654" s="49"/>
      <c r="B654" s="49"/>
      <c r="C654" s="49"/>
      <c r="D654" s="49"/>
      <c r="E654" s="49"/>
      <c r="F654" s="49"/>
      <c r="G654" s="49"/>
      <c r="H654" s="49"/>
      <c r="I654" s="49"/>
      <c r="J654" s="49"/>
      <c r="K654" s="49"/>
      <c r="L654" s="48"/>
      <c r="M654" s="48"/>
      <c r="N654" s="48"/>
      <c r="O654" s="48"/>
      <c r="P654" s="48"/>
      <c r="Q654" s="48"/>
      <c r="R654" s="48"/>
      <c r="S654" s="48"/>
      <c r="T654" s="48"/>
      <c r="U654" s="48"/>
      <c r="V654" s="48"/>
      <c r="W654" s="48"/>
      <c r="X654" s="48"/>
      <c r="Y654" s="48"/>
      <c r="Z654" s="48"/>
    </row>
    <row r="655" ht="15.75" customHeight="1">
      <c r="A655" s="49"/>
      <c r="B655" s="49"/>
      <c r="C655" s="49"/>
      <c r="D655" s="49"/>
      <c r="E655" s="49"/>
      <c r="F655" s="49"/>
      <c r="G655" s="49"/>
      <c r="H655" s="49"/>
      <c r="I655" s="49"/>
      <c r="J655" s="49"/>
      <c r="K655" s="49"/>
      <c r="L655" s="48"/>
      <c r="M655" s="48"/>
      <c r="N655" s="48"/>
      <c r="O655" s="48"/>
      <c r="P655" s="48"/>
      <c r="Q655" s="48"/>
      <c r="R655" s="48"/>
      <c r="S655" s="48"/>
      <c r="T655" s="48"/>
      <c r="U655" s="48"/>
      <c r="V655" s="48"/>
      <c r="W655" s="48"/>
      <c r="X655" s="48"/>
      <c r="Y655" s="48"/>
      <c r="Z655" s="48"/>
    </row>
    <row r="656" ht="15.75" customHeight="1">
      <c r="A656" s="49"/>
      <c r="B656" s="49"/>
      <c r="C656" s="49"/>
      <c r="D656" s="49"/>
      <c r="E656" s="49"/>
      <c r="F656" s="49"/>
      <c r="G656" s="49"/>
      <c r="H656" s="49"/>
      <c r="I656" s="49"/>
      <c r="J656" s="49"/>
      <c r="K656" s="49"/>
      <c r="L656" s="48"/>
      <c r="M656" s="48"/>
      <c r="N656" s="48"/>
      <c r="O656" s="48"/>
      <c r="P656" s="48"/>
      <c r="Q656" s="48"/>
      <c r="R656" s="48"/>
      <c r="S656" s="48"/>
      <c r="T656" s="48"/>
      <c r="U656" s="48"/>
      <c r="V656" s="48"/>
      <c r="W656" s="48"/>
      <c r="X656" s="48"/>
      <c r="Y656" s="48"/>
      <c r="Z656" s="48"/>
    </row>
    <row r="657" ht="15.75" customHeight="1">
      <c r="A657" s="49"/>
      <c r="B657" s="49"/>
      <c r="C657" s="49"/>
      <c r="D657" s="49"/>
      <c r="E657" s="49"/>
      <c r="F657" s="49"/>
      <c r="G657" s="49"/>
      <c r="H657" s="49"/>
      <c r="I657" s="49"/>
      <c r="J657" s="49"/>
      <c r="K657" s="49"/>
      <c r="L657" s="48"/>
      <c r="M657" s="48"/>
      <c r="N657" s="48"/>
      <c r="O657" s="48"/>
      <c r="P657" s="48"/>
      <c r="Q657" s="48"/>
      <c r="R657" s="48"/>
      <c r="S657" s="48"/>
      <c r="T657" s="48"/>
      <c r="U657" s="48"/>
      <c r="V657" s="48"/>
      <c r="W657" s="48"/>
      <c r="X657" s="48"/>
      <c r="Y657" s="48"/>
      <c r="Z657" s="48"/>
    </row>
    <row r="658" ht="15.75" customHeight="1">
      <c r="A658" s="49"/>
      <c r="B658" s="49"/>
      <c r="C658" s="49"/>
      <c r="D658" s="49"/>
      <c r="E658" s="49"/>
      <c r="F658" s="49"/>
      <c r="G658" s="49"/>
      <c r="H658" s="49"/>
      <c r="I658" s="49"/>
      <c r="J658" s="49"/>
      <c r="K658" s="49"/>
      <c r="L658" s="48"/>
      <c r="M658" s="48"/>
      <c r="N658" s="48"/>
      <c r="O658" s="48"/>
      <c r="P658" s="48"/>
      <c r="Q658" s="48"/>
      <c r="R658" s="48"/>
      <c r="S658" s="48"/>
      <c r="T658" s="48"/>
      <c r="U658" s="48"/>
      <c r="V658" s="48"/>
      <c r="W658" s="48"/>
      <c r="X658" s="48"/>
      <c r="Y658" s="48"/>
      <c r="Z658" s="48"/>
    </row>
    <row r="659" ht="15.75" customHeight="1">
      <c r="A659" s="49"/>
      <c r="B659" s="49"/>
      <c r="C659" s="49"/>
      <c r="D659" s="49"/>
      <c r="E659" s="49"/>
      <c r="F659" s="49"/>
      <c r="G659" s="49"/>
      <c r="H659" s="49"/>
      <c r="I659" s="49"/>
      <c r="J659" s="49"/>
      <c r="K659" s="49"/>
      <c r="L659" s="48"/>
      <c r="M659" s="48"/>
      <c r="N659" s="48"/>
      <c r="O659" s="48"/>
      <c r="P659" s="48"/>
      <c r="Q659" s="48"/>
      <c r="R659" s="48"/>
      <c r="S659" s="48"/>
      <c r="T659" s="48"/>
      <c r="U659" s="48"/>
      <c r="V659" s="48"/>
      <c r="W659" s="48"/>
      <c r="X659" s="48"/>
      <c r="Y659" s="48"/>
      <c r="Z659" s="48"/>
    </row>
    <row r="660" ht="15.75" customHeight="1">
      <c r="A660" s="49"/>
      <c r="B660" s="49"/>
      <c r="C660" s="49"/>
      <c r="D660" s="49"/>
      <c r="E660" s="49"/>
      <c r="F660" s="49"/>
      <c r="G660" s="49"/>
      <c r="H660" s="49"/>
      <c r="I660" s="49"/>
      <c r="J660" s="49"/>
      <c r="K660" s="49"/>
      <c r="L660" s="48"/>
      <c r="M660" s="48"/>
      <c r="N660" s="48"/>
      <c r="O660" s="48"/>
      <c r="P660" s="48"/>
      <c r="Q660" s="48"/>
      <c r="R660" s="48"/>
      <c r="S660" s="48"/>
      <c r="T660" s="48"/>
      <c r="U660" s="48"/>
      <c r="V660" s="48"/>
      <c r="W660" s="48"/>
      <c r="X660" s="48"/>
      <c r="Y660" s="48"/>
      <c r="Z660" s="48"/>
    </row>
    <row r="661" ht="15.75" customHeight="1">
      <c r="A661" s="49"/>
      <c r="B661" s="49"/>
      <c r="C661" s="49"/>
      <c r="D661" s="49"/>
      <c r="E661" s="49"/>
      <c r="F661" s="49"/>
      <c r="G661" s="49"/>
      <c r="H661" s="49"/>
      <c r="I661" s="49"/>
      <c r="J661" s="49"/>
      <c r="K661" s="49"/>
      <c r="L661" s="48"/>
      <c r="M661" s="48"/>
      <c r="N661" s="48"/>
      <c r="O661" s="48"/>
      <c r="P661" s="48"/>
      <c r="Q661" s="48"/>
      <c r="R661" s="48"/>
      <c r="S661" s="48"/>
      <c r="T661" s="48"/>
      <c r="U661" s="48"/>
      <c r="V661" s="48"/>
      <c r="W661" s="48"/>
      <c r="X661" s="48"/>
      <c r="Y661" s="48"/>
      <c r="Z661" s="48"/>
    </row>
    <row r="662" ht="15.75" customHeight="1">
      <c r="A662" s="49"/>
      <c r="B662" s="49"/>
      <c r="C662" s="49"/>
      <c r="D662" s="49"/>
      <c r="E662" s="49"/>
      <c r="F662" s="49"/>
      <c r="G662" s="49"/>
      <c r="H662" s="49"/>
      <c r="I662" s="49"/>
      <c r="J662" s="49"/>
      <c r="K662" s="49"/>
      <c r="L662" s="48"/>
      <c r="M662" s="48"/>
      <c r="N662" s="48"/>
      <c r="O662" s="48"/>
      <c r="P662" s="48"/>
      <c r="Q662" s="48"/>
      <c r="R662" s="48"/>
      <c r="S662" s="48"/>
      <c r="T662" s="48"/>
      <c r="U662" s="48"/>
      <c r="V662" s="48"/>
      <c r="W662" s="48"/>
      <c r="X662" s="48"/>
      <c r="Y662" s="48"/>
      <c r="Z662" s="48"/>
    </row>
    <row r="663" ht="15.75" customHeight="1">
      <c r="A663" s="49"/>
      <c r="B663" s="49"/>
      <c r="C663" s="49"/>
      <c r="D663" s="49"/>
      <c r="E663" s="49"/>
      <c r="F663" s="49"/>
      <c r="G663" s="49"/>
      <c r="H663" s="49"/>
      <c r="I663" s="49"/>
      <c r="J663" s="49"/>
      <c r="K663" s="49"/>
      <c r="L663" s="48"/>
      <c r="M663" s="48"/>
      <c r="N663" s="48"/>
      <c r="O663" s="48"/>
      <c r="P663" s="48"/>
      <c r="Q663" s="48"/>
      <c r="R663" s="48"/>
      <c r="S663" s="48"/>
      <c r="T663" s="48"/>
      <c r="U663" s="48"/>
      <c r="V663" s="48"/>
      <c r="W663" s="48"/>
      <c r="X663" s="48"/>
      <c r="Y663" s="48"/>
      <c r="Z663" s="48"/>
    </row>
    <row r="664" ht="15.75" customHeight="1">
      <c r="A664" s="49"/>
      <c r="B664" s="49"/>
      <c r="C664" s="49"/>
      <c r="D664" s="49"/>
      <c r="E664" s="49"/>
      <c r="F664" s="49"/>
      <c r="G664" s="49"/>
      <c r="H664" s="49"/>
      <c r="I664" s="49"/>
      <c r="J664" s="49"/>
      <c r="K664" s="49"/>
      <c r="L664" s="48"/>
      <c r="M664" s="48"/>
      <c r="N664" s="48"/>
      <c r="O664" s="48"/>
      <c r="P664" s="48"/>
      <c r="Q664" s="48"/>
      <c r="R664" s="48"/>
      <c r="S664" s="48"/>
      <c r="T664" s="48"/>
      <c r="U664" s="48"/>
      <c r="V664" s="48"/>
      <c r="W664" s="48"/>
      <c r="X664" s="48"/>
      <c r="Y664" s="48"/>
      <c r="Z664" s="48"/>
    </row>
    <row r="665" ht="15.75" customHeight="1">
      <c r="A665" s="49"/>
      <c r="B665" s="49"/>
      <c r="C665" s="49"/>
      <c r="D665" s="49"/>
      <c r="E665" s="49"/>
      <c r="F665" s="49"/>
      <c r="G665" s="49"/>
      <c r="H665" s="49"/>
      <c r="I665" s="49"/>
      <c r="J665" s="49"/>
      <c r="K665" s="49"/>
      <c r="L665" s="48"/>
      <c r="M665" s="48"/>
      <c r="N665" s="48"/>
      <c r="O665" s="48"/>
      <c r="P665" s="48"/>
      <c r="Q665" s="48"/>
      <c r="R665" s="48"/>
      <c r="S665" s="48"/>
      <c r="T665" s="48"/>
      <c r="U665" s="48"/>
      <c r="V665" s="48"/>
      <c r="W665" s="48"/>
      <c r="X665" s="48"/>
      <c r="Y665" s="48"/>
      <c r="Z665" s="48"/>
    </row>
    <row r="666" ht="15.75" customHeight="1">
      <c r="A666" s="49"/>
      <c r="B666" s="49"/>
      <c r="C666" s="49"/>
      <c r="D666" s="49"/>
      <c r="E666" s="49"/>
      <c r="F666" s="49"/>
      <c r="G666" s="49"/>
      <c r="H666" s="49"/>
      <c r="I666" s="49"/>
      <c r="J666" s="49"/>
      <c r="K666" s="49"/>
      <c r="L666" s="48"/>
      <c r="M666" s="48"/>
      <c r="N666" s="48"/>
      <c r="O666" s="48"/>
      <c r="P666" s="48"/>
      <c r="Q666" s="48"/>
      <c r="R666" s="48"/>
      <c r="S666" s="48"/>
      <c r="T666" s="48"/>
      <c r="U666" s="48"/>
      <c r="V666" s="48"/>
      <c r="W666" s="48"/>
      <c r="X666" s="48"/>
      <c r="Y666" s="48"/>
      <c r="Z666" s="48"/>
    </row>
    <row r="667" ht="15.75" customHeight="1">
      <c r="A667" s="49"/>
      <c r="B667" s="49"/>
      <c r="C667" s="49"/>
      <c r="D667" s="49"/>
      <c r="E667" s="49"/>
      <c r="F667" s="49"/>
      <c r="G667" s="49"/>
      <c r="H667" s="49"/>
      <c r="I667" s="49"/>
      <c r="J667" s="49"/>
      <c r="K667" s="49"/>
      <c r="L667" s="48"/>
      <c r="M667" s="48"/>
      <c r="N667" s="48"/>
      <c r="O667" s="48"/>
      <c r="P667" s="48"/>
      <c r="Q667" s="48"/>
      <c r="R667" s="48"/>
      <c r="S667" s="48"/>
      <c r="T667" s="48"/>
      <c r="U667" s="48"/>
      <c r="V667" s="48"/>
      <c r="W667" s="48"/>
      <c r="X667" s="48"/>
      <c r="Y667" s="48"/>
      <c r="Z667" s="48"/>
    </row>
    <row r="668" ht="15.75" customHeight="1">
      <c r="A668" s="49"/>
      <c r="B668" s="49"/>
      <c r="C668" s="49"/>
      <c r="D668" s="49"/>
      <c r="E668" s="49"/>
      <c r="F668" s="49"/>
      <c r="G668" s="49"/>
      <c r="H668" s="49"/>
      <c r="I668" s="49"/>
      <c r="J668" s="49"/>
      <c r="K668" s="49"/>
      <c r="L668" s="48"/>
      <c r="M668" s="48"/>
      <c r="N668" s="48"/>
      <c r="O668" s="48"/>
      <c r="P668" s="48"/>
      <c r="Q668" s="48"/>
      <c r="R668" s="48"/>
      <c r="S668" s="48"/>
      <c r="T668" s="48"/>
      <c r="U668" s="48"/>
      <c r="V668" s="48"/>
      <c r="W668" s="48"/>
      <c r="X668" s="48"/>
      <c r="Y668" s="48"/>
      <c r="Z668" s="48"/>
    </row>
    <row r="669" ht="15.75" customHeight="1">
      <c r="A669" s="49"/>
      <c r="B669" s="49"/>
      <c r="C669" s="49"/>
      <c r="D669" s="49"/>
      <c r="E669" s="49"/>
      <c r="F669" s="49"/>
      <c r="G669" s="49"/>
      <c r="H669" s="49"/>
      <c r="I669" s="49"/>
      <c r="J669" s="49"/>
      <c r="K669" s="49"/>
      <c r="L669" s="48"/>
      <c r="M669" s="48"/>
      <c r="N669" s="48"/>
      <c r="O669" s="48"/>
      <c r="P669" s="48"/>
      <c r="Q669" s="48"/>
      <c r="R669" s="48"/>
      <c r="S669" s="48"/>
      <c r="T669" s="48"/>
      <c r="U669" s="48"/>
      <c r="V669" s="48"/>
      <c r="W669" s="48"/>
      <c r="X669" s="48"/>
      <c r="Y669" s="48"/>
      <c r="Z669" s="48"/>
    </row>
    <row r="670" ht="15.75" customHeight="1">
      <c r="A670" s="49"/>
      <c r="B670" s="49"/>
      <c r="C670" s="49"/>
      <c r="D670" s="49"/>
      <c r="E670" s="49"/>
      <c r="F670" s="49"/>
      <c r="G670" s="49"/>
      <c r="H670" s="49"/>
      <c r="I670" s="49"/>
      <c r="J670" s="49"/>
      <c r="K670" s="49"/>
      <c r="L670" s="48"/>
      <c r="M670" s="48"/>
      <c r="N670" s="48"/>
      <c r="O670" s="48"/>
      <c r="P670" s="48"/>
      <c r="Q670" s="48"/>
      <c r="R670" s="48"/>
      <c r="S670" s="48"/>
      <c r="T670" s="48"/>
      <c r="U670" s="48"/>
      <c r="V670" s="48"/>
      <c r="W670" s="48"/>
      <c r="X670" s="48"/>
      <c r="Y670" s="48"/>
      <c r="Z670" s="48"/>
    </row>
    <row r="671" ht="15.75" customHeight="1">
      <c r="A671" s="49"/>
      <c r="B671" s="49"/>
      <c r="C671" s="49"/>
      <c r="D671" s="49"/>
      <c r="E671" s="49"/>
      <c r="F671" s="49"/>
      <c r="G671" s="49"/>
      <c r="H671" s="49"/>
      <c r="I671" s="49"/>
      <c r="J671" s="49"/>
      <c r="K671" s="49"/>
      <c r="L671" s="48"/>
      <c r="M671" s="48"/>
      <c r="N671" s="48"/>
      <c r="O671" s="48"/>
      <c r="P671" s="48"/>
      <c r="Q671" s="48"/>
      <c r="R671" s="48"/>
      <c r="S671" s="48"/>
      <c r="T671" s="48"/>
      <c r="U671" s="48"/>
      <c r="V671" s="48"/>
      <c r="W671" s="48"/>
      <c r="X671" s="48"/>
      <c r="Y671" s="48"/>
      <c r="Z671" s="48"/>
    </row>
    <row r="672" ht="15.75" customHeight="1">
      <c r="A672" s="49"/>
      <c r="B672" s="49"/>
      <c r="C672" s="49"/>
      <c r="D672" s="49"/>
      <c r="E672" s="49"/>
      <c r="F672" s="49"/>
      <c r="G672" s="49"/>
      <c r="H672" s="49"/>
      <c r="I672" s="49"/>
      <c r="J672" s="49"/>
      <c r="K672" s="49"/>
      <c r="L672" s="48"/>
      <c r="M672" s="48"/>
      <c r="N672" s="48"/>
      <c r="O672" s="48"/>
      <c r="P672" s="48"/>
      <c r="Q672" s="48"/>
      <c r="R672" s="48"/>
      <c r="S672" s="48"/>
      <c r="T672" s="48"/>
      <c r="U672" s="48"/>
      <c r="V672" s="48"/>
      <c r="W672" s="48"/>
      <c r="X672" s="48"/>
      <c r="Y672" s="48"/>
      <c r="Z672" s="48"/>
    </row>
    <row r="673" ht="15.75" customHeight="1">
      <c r="A673" s="49"/>
      <c r="B673" s="49"/>
      <c r="C673" s="49"/>
      <c r="D673" s="49"/>
      <c r="E673" s="49"/>
      <c r="F673" s="49"/>
      <c r="G673" s="49"/>
      <c r="H673" s="49"/>
      <c r="I673" s="49"/>
      <c r="J673" s="49"/>
      <c r="K673" s="49"/>
      <c r="L673" s="48"/>
      <c r="M673" s="48"/>
      <c r="N673" s="48"/>
      <c r="O673" s="48"/>
      <c r="P673" s="48"/>
      <c r="Q673" s="48"/>
      <c r="R673" s="48"/>
      <c r="S673" s="48"/>
      <c r="T673" s="48"/>
      <c r="U673" s="48"/>
      <c r="V673" s="48"/>
      <c r="W673" s="48"/>
      <c r="X673" s="48"/>
      <c r="Y673" s="48"/>
      <c r="Z673" s="48"/>
    </row>
    <row r="674" ht="15.75" customHeight="1">
      <c r="A674" s="49"/>
      <c r="B674" s="49"/>
      <c r="C674" s="49"/>
      <c r="D674" s="49"/>
      <c r="E674" s="49"/>
      <c r="F674" s="49"/>
      <c r="G674" s="49"/>
      <c r="H674" s="49"/>
      <c r="I674" s="49"/>
      <c r="J674" s="49"/>
      <c r="K674" s="49"/>
      <c r="L674" s="48"/>
      <c r="M674" s="48"/>
      <c r="N674" s="48"/>
      <c r="O674" s="48"/>
      <c r="P674" s="48"/>
      <c r="Q674" s="48"/>
      <c r="R674" s="48"/>
      <c r="S674" s="48"/>
      <c r="T674" s="48"/>
      <c r="U674" s="48"/>
      <c r="V674" s="48"/>
      <c r="W674" s="48"/>
      <c r="X674" s="48"/>
      <c r="Y674" s="48"/>
      <c r="Z674" s="48"/>
    </row>
    <row r="675" ht="15.75" customHeight="1">
      <c r="A675" s="49"/>
      <c r="B675" s="49"/>
      <c r="C675" s="49"/>
      <c r="D675" s="49"/>
      <c r="E675" s="49"/>
      <c r="F675" s="49"/>
      <c r="G675" s="49"/>
      <c r="H675" s="49"/>
      <c r="I675" s="49"/>
      <c r="J675" s="49"/>
      <c r="K675" s="49"/>
      <c r="L675" s="48"/>
      <c r="M675" s="48"/>
      <c r="N675" s="48"/>
      <c r="O675" s="48"/>
      <c r="P675" s="48"/>
      <c r="Q675" s="48"/>
      <c r="R675" s="48"/>
      <c r="S675" s="48"/>
      <c r="T675" s="48"/>
      <c r="U675" s="48"/>
      <c r="V675" s="48"/>
      <c r="W675" s="48"/>
      <c r="X675" s="48"/>
      <c r="Y675" s="48"/>
      <c r="Z675" s="48"/>
    </row>
    <row r="676" ht="15.75" customHeight="1">
      <c r="A676" s="49"/>
      <c r="B676" s="49"/>
      <c r="C676" s="49"/>
      <c r="D676" s="49"/>
      <c r="E676" s="49"/>
      <c r="F676" s="49"/>
      <c r="G676" s="49"/>
      <c r="H676" s="49"/>
      <c r="I676" s="49"/>
      <c r="J676" s="49"/>
      <c r="K676" s="49"/>
      <c r="L676" s="48"/>
      <c r="M676" s="48"/>
      <c r="N676" s="48"/>
      <c r="O676" s="48"/>
      <c r="P676" s="48"/>
      <c r="Q676" s="48"/>
      <c r="R676" s="48"/>
      <c r="S676" s="48"/>
      <c r="T676" s="48"/>
      <c r="U676" s="48"/>
      <c r="V676" s="48"/>
      <c r="W676" s="48"/>
      <c r="X676" s="48"/>
      <c r="Y676" s="48"/>
      <c r="Z676" s="48"/>
    </row>
    <row r="677" ht="15.75" customHeight="1">
      <c r="A677" s="49"/>
      <c r="B677" s="49"/>
      <c r="C677" s="49"/>
      <c r="D677" s="49"/>
      <c r="E677" s="49"/>
      <c r="F677" s="49"/>
      <c r="G677" s="49"/>
      <c r="H677" s="49"/>
      <c r="I677" s="49"/>
      <c r="J677" s="49"/>
      <c r="K677" s="49"/>
      <c r="L677" s="48"/>
      <c r="M677" s="48"/>
      <c r="N677" s="48"/>
      <c r="O677" s="48"/>
      <c r="P677" s="48"/>
      <c r="Q677" s="48"/>
      <c r="R677" s="48"/>
      <c r="S677" s="48"/>
      <c r="T677" s="48"/>
      <c r="U677" s="48"/>
      <c r="V677" s="48"/>
      <c r="W677" s="48"/>
      <c r="X677" s="48"/>
      <c r="Y677" s="48"/>
      <c r="Z677" s="48"/>
    </row>
    <row r="678" ht="15.75" customHeight="1">
      <c r="A678" s="49"/>
      <c r="B678" s="49"/>
      <c r="C678" s="49"/>
      <c r="D678" s="49"/>
      <c r="E678" s="49"/>
      <c r="F678" s="49"/>
      <c r="G678" s="49"/>
      <c r="H678" s="49"/>
      <c r="I678" s="49"/>
      <c r="J678" s="49"/>
      <c r="K678" s="49"/>
      <c r="L678" s="48"/>
      <c r="M678" s="48"/>
      <c r="N678" s="48"/>
      <c r="O678" s="48"/>
      <c r="P678" s="48"/>
      <c r="Q678" s="48"/>
      <c r="R678" s="48"/>
      <c r="S678" s="48"/>
      <c r="T678" s="48"/>
      <c r="U678" s="48"/>
      <c r="V678" s="48"/>
      <c r="W678" s="48"/>
      <c r="X678" s="48"/>
      <c r="Y678" s="48"/>
      <c r="Z678" s="48"/>
    </row>
    <row r="679" ht="15.75" customHeight="1">
      <c r="A679" s="49"/>
      <c r="B679" s="49"/>
      <c r="C679" s="49"/>
      <c r="D679" s="49"/>
      <c r="E679" s="49"/>
      <c r="F679" s="49"/>
      <c r="G679" s="49"/>
      <c r="H679" s="49"/>
      <c r="I679" s="49"/>
      <c r="J679" s="49"/>
      <c r="K679" s="49"/>
      <c r="L679" s="48"/>
      <c r="M679" s="48"/>
      <c r="N679" s="48"/>
      <c r="O679" s="48"/>
      <c r="P679" s="48"/>
      <c r="Q679" s="48"/>
      <c r="R679" s="48"/>
      <c r="S679" s="48"/>
      <c r="T679" s="48"/>
      <c r="U679" s="48"/>
      <c r="V679" s="48"/>
      <c r="W679" s="48"/>
      <c r="X679" s="48"/>
      <c r="Y679" s="48"/>
      <c r="Z679" s="48"/>
    </row>
    <row r="680" ht="15.75" customHeight="1">
      <c r="A680" s="49"/>
      <c r="B680" s="49"/>
      <c r="C680" s="49"/>
      <c r="D680" s="49"/>
      <c r="E680" s="49"/>
      <c r="F680" s="49"/>
      <c r="G680" s="49"/>
      <c r="H680" s="49"/>
      <c r="I680" s="49"/>
      <c r="J680" s="49"/>
      <c r="K680" s="49"/>
      <c r="L680" s="48"/>
      <c r="M680" s="48"/>
      <c r="N680" s="48"/>
      <c r="O680" s="48"/>
      <c r="P680" s="48"/>
      <c r="Q680" s="48"/>
      <c r="R680" s="48"/>
      <c r="S680" s="48"/>
      <c r="T680" s="48"/>
      <c r="U680" s="48"/>
      <c r="V680" s="48"/>
      <c r="W680" s="48"/>
      <c r="X680" s="48"/>
      <c r="Y680" s="48"/>
      <c r="Z680" s="48"/>
    </row>
    <row r="681" ht="15.75" customHeight="1">
      <c r="A681" s="49"/>
      <c r="B681" s="49"/>
      <c r="C681" s="49"/>
      <c r="D681" s="49"/>
      <c r="E681" s="49"/>
      <c r="F681" s="49"/>
      <c r="G681" s="49"/>
      <c r="H681" s="49"/>
      <c r="I681" s="49"/>
      <c r="J681" s="49"/>
      <c r="K681" s="49"/>
      <c r="L681" s="48"/>
      <c r="M681" s="48"/>
      <c r="N681" s="48"/>
      <c r="O681" s="48"/>
      <c r="P681" s="48"/>
      <c r="Q681" s="48"/>
      <c r="R681" s="48"/>
      <c r="S681" s="48"/>
      <c r="T681" s="48"/>
      <c r="U681" s="48"/>
      <c r="V681" s="48"/>
      <c r="W681" s="48"/>
      <c r="X681" s="48"/>
      <c r="Y681" s="48"/>
      <c r="Z681" s="48"/>
    </row>
    <row r="682" ht="15.75" customHeight="1">
      <c r="A682" s="49"/>
      <c r="B682" s="49"/>
      <c r="C682" s="49"/>
      <c r="D682" s="49"/>
      <c r="E682" s="49"/>
      <c r="F682" s="49"/>
      <c r="G682" s="49"/>
      <c r="H682" s="49"/>
      <c r="I682" s="49"/>
      <c r="J682" s="49"/>
      <c r="K682" s="49"/>
      <c r="L682" s="48"/>
      <c r="M682" s="48"/>
      <c r="N682" s="48"/>
      <c r="O682" s="48"/>
      <c r="P682" s="48"/>
      <c r="Q682" s="48"/>
      <c r="R682" s="48"/>
      <c r="S682" s="48"/>
      <c r="T682" s="48"/>
      <c r="U682" s="48"/>
      <c r="V682" s="48"/>
      <c r="W682" s="48"/>
      <c r="X682" s="48"/>
      <c r="Y682" s="48"/>
      <c r="Z682" s="48"/>
    </row>
    <row r="683" ht="15.75" customHeight="1">
      <c r="A683" s="49"/>
      <c r="B683" s="49"/>
      <c r="C683" s="49"/>
      <c r="D683" s="49"/>
      <c r="E683" s="49"/>
      <c r="F683" s="49"/>
      <c r="G683" s="49"/>
      <c r="H683" s="49"/>
      <c r="I683" s="49"/>
      <c r="J683" s="49"/>
      <c r="K683" s="49"/>
      <c r="L683" s="48"/>
      <c r="M683" s="48"/>
      <c r="N683" s="48"/>
      <c r="O683" s="48"/>
      <c r="P683" s="48"/>
      <c r="Q683" s="48"/>
      <c r="R683" s="48"/>
      <c r="S683" s="48"/>
      <c r="T683" s="48"/>
      <c r="U683" s="48"/>
      <c r="V683" s="48"/>
      <c r="W683" s="48"/>
      <c r="X683" s="48"/>
      <c r="Y683" s="48"/>
      <c r="Z683" s="48"/>
    </row>
    <row r="684" ht="15.75" customHeight="1">
      <c r="A684" s="49"/>
      <c r="B684" s="49"/>
      <c r="C684" s="49"/>
      <c r="D684" s="49"/>
      <c r="E684" s="49"/>
      <c r="F684" s="49"/>
      <c r="G684" s="49"/>
      <c r="H684" s="49"/>
      <c r="I684" s="49"/>
      <c r="J684" s="49"/>
      <c r="K684" s="49"/>
      <c r="L684" s="48"/>
      <c r="M684" s="48"/>
      <c r="N684" s="48"/>
      <c r="O684" s="48"/>
      <c r="P684" s="48"/>
      <c r="Q684" s="48"/>
      <c r="R684" s="48"/>
      <c r="S684" s="48"/>
      <c r="T684" s="48"/>
      <c r="U684" s="48"/>
      <c r="V684" s="48"/>
      <c r="W684" s="48"/>
      <c r="X684" s="48"/>
      <c r="Y684" s="48"/>
      <c r="Z684" s="48"/>
    </row>
    <row r="685" ht="15.75" customHeight="1">
      <c r="A685" s="49"/>
      <c r="B685" s="49"/>
      <c r="C685" s="49"/>
      <c r="D685" s="49"/>
      <c r="E685" s="49"/>
      <c r="F685" s="49"/>
      <c r="G685" s="49"/>
      <c r="H685" s="49"/>
      <c r="I685" s="49"/>
      <c r="J685" s="49"/>
      <c r="K685" s="49"/>
      <c r="L685" s="48"/>
      <c r="M685" s="48"/>
      <c r="N685" s="48"/>
      <c r="O685" s="48"/>
      <c r="P685" s="48"/>
      <c r="Q685" s="48"/>
      <c r="R685" s="48"/>
      <c r="S685" s="48"/>
      <c r="T685" s="48"/>
      <c r="U685" s="48"/>
      <c r="V685" s="48"/>
      <c r="W685" s="48"/>
      <c r="X685" s="48"/>
      <c r="Y685" s="48"/>
      <c r="Z685" s="48"/>
    </row>
    <row r="686" ht="15.75" customHeight="1">
      <c r="A686" s="49"/>
      <c r="B686" s="49"/>
      <c r="C686" s="49"/>
      <c r="D686" s="49"/>
      <c r="E686" s="49"/>
      <c r="F686" s="49"/>
      <c r="G686" s="49"/>
      <c r="H686" s="49"/>
      <c r="I686" s="49"/>
      <c r="J686" s="49"/>
      <c r="K686" s="49"/>
      <c r="L686" s="48"/>
      <c r="M686" s="48"/>
      <c r="N686" s="48"/>
      <c r="O686" s="48"/>
      <c r="P686" s="48"/>
      <c r="Q686" s="48"/>
      <c r="R686" s="48"/>
      <c r="S686" s="48"/>
      <c r="T686" s="48"/>
      <c r="U686" s="48"/>
      <c r="V686" s="48"/>
      <c r="W686" s="48"/>
      <c r="X686" s="48"/>
      <c r="Y686" s="48"/>
      <c r="Z686" s="48"/>
    </row>
    <row r="687" ht="15.75" customHeight="1">
      <c r="A687" s="49"/>
      <c r="B687" s="49"/>
      <c r="C687" s="49"/>
      <c r="D687" s="49"/>
      <c r="E687" s="49"/>
      <c r="F687" s="49"/>
      <c r="G687" s="49"/>
      <c r="H687" s="49"/>
      <c r="I687" s="49"/>
      <c r="J687" s="49"/>
      <c r="K687" s="49"/>
      <c r="L687" s="48"/>
      <c r="M687" s="48"/>
      <c r="N687" s="48"/>
      <c r="O687" s="48"/>
      <c r="P687" s="48"/>
      <c r="Q687" s="48"/>
      <c r="R687" s="48"/>
      <c r="S687" s="48"/>
      <c r="T687" s="48"/>
      <c r="U687" s="48"/>
      <c r="V687" s="48"/>
      <c r="W687" s="48"/>
      <c r="X687" s="48"/>
      <c r="Y687" s="48"/>
      <c r="Z687" s="48"/>
    </row>
    <row r="688" ht="15.75" customHeight="1">
      <c r="A688" s="49"/>
      <c r="B688" s="49"/>
      <c r="C688" s="49"/>
      <c r="D688" s="49"/>
      <c r="E688" s="49"/>
      <c r="F688" s="49"/>
      <c r="G688" s="49"/>
      <c r="H688" s="49"/>
      <c r="I688" s="49"/>
      <c r="J688" s="49"/>
      <c r="K688" s="49"/>
      <c r="L688" s="48"/>
      <c r="M688" s="48"/>
      <c r="N688" s="48"/>
      <c r="O688" s="48"/>
      <c r="P688" s="48"/>
      <c r="Q688" s="48"/>
      <c r="R688" s="48"/>
      <c r="S688" s="48"/>
      <c r="T688" s="48"/>
      <c r="U688" s="48"/>
      <c r="V688" s="48"/>
      <c r="W688" s="48"/>
      <c r="X688" s="48"/>
      <c r="Y688" s="48"/>
      <c r="Z688" s="48"/>
    </row>
    <row r="689" ht="15.75" customHeight="1">
      <c r="A689" s="49"/>
      <c r="B689" s="49"/>
      <c r="C689" s="49"/>
      <c r="D689" s="49"/>
      <c r="E689" s="49"/>
      <c r="F689" s="49"/>
      <c r="G689" s="49"/>
      <c r="H689" s="49"/>
      <c r="I689" s="49"/>
      <c r="J689" s="49"/>
      <c r="K689" s="49"/>
      <c r="L689" s="48"/>
      <c r="M689" s="48"/>
      <c r="N689" s="48"/>
      <c r="O689" s="48"/>
      <c r="P689" s="48"/>
      <c r="Q689" s="48"/>
      <c r="R689" s="48"/>
      <c r="S689" s="48"/>
      <c r="T689" s="48"/>
      <c r="U689" s="48"/>
      <c r="V689" s="48"/>
      <c r="W689" s="48"/>
      <c r="X689" s="48"/>
      <c r="Y689" s="48"/>
      <c r="Z689" s="48"/>
    </row>
    <row r="690" ht="15.75" customHeight="1">
      <c r="A690" s="49"/>
      <c r="B690" s="49"/>
      <c r="C690" s="49"/>
      <c r="D690" s="49"/>
      <c r="E690" s="49"/>
      <c r="F690" s="49"/>
      <c r="G690" s="49"/>
      <c r="H690" s="49"/>
      <c r="I690" s="49"/>
      <c r="J690" s="49"/>
      <c r="K690" s="49"/>
      <c r="L690" s="48"/>
      <c r="M690" s="48"/>
      <c r="N690" s="48"/>
      <c r="O690" s="48"/>
      <c r="P690" s="48"/>
      <c r="Q690" s="48"/>
      <c r="R690" s="48"/>
      <c r="S690" s="48"/>
      <c r="T690" s="48"/>
      <c r="U690" s="48"/>
      <c r="V690" s="48"/>
      <c r="W690" s="48"/>
      <c r="X690" s="48"/>
      <c r="Y690" s="48"/>
      <c r="Z690" s="48"/>
    </row>
    <row r="691" ht="15.75" customHeight="1">
      <c r="A691" s="49"/>
      <c r="B691" s="49"/>
      <c r="C691" s="49"/>
      <c r="D691" s="49"/>
      <c r="E691" s="49"/>
      <c r="F691" s="49"/>
      <c r="G691" s="49"/>
      <c r="H691" s="49"/>
      <c r="I691" s="49"/>
      <c r="J691" s="49"/>
      <c r="K691" s="49"/>
      <c r="L691" s="48"/>
      <c r="M691" s="48"/>
      <c r="N691" s="48"/>
      <c r="O691" s="48"/>
      <c r="P691" s="48"/>
      <c r="Q691" s="48"/>
      <c r="R691" s="48"/>
      <c r="S691" s="48"/>
      <c r="T691" s="48"/>
      <c r="U691" s="48"/>
      <c r="V691" s="48"/>
      <c r="W691" s="48"/>
      <c r="X691" s="48"/>
      <c r="Y691" s="48"/>
      <c r="Z691" s="48"/>
    </row>
    <row r="692" ht="15.75" customHeight="1">
      <c r="A692" s="49"/>
      <c r="B692" s="49"/>
      <c r="C692" s="49"/>
      <c r="D692" s="49"/>
      <c r="E692" s="49"/>
      <c r="F692" s="49"/>
      <c r="G692" s="49"/>
      <c r="H692" s="49"/>
      <c r="I692" s="49"/>
      <c r="J692" s="49"/>
      <c r="K692" s="49"/>
      <c r="L692" s="48"/>
      <c r="M692" s="48"/>
      <c r="N692" s="48"/>
      <c r="O692" s="48"/>
      <c r="P692" s="48"/>
      <c r="Q692" s="48"/>
      <c r="R692" s="48"/>
      <c r="S692" s="48"/>
      <c r="T692" s="48"/>
      <c r="U692" s="48"/>
      <c r="V692" s="48"/>
      <c r="W692" s="48"/>
      <c r="X692" s="48"/>
      <c r="Y692" s="48"/>
      <c r="Z692" s="48"/>
    </row>
    <row r="693" ht="15.75" customHeight="1">
      <c r="A693" s="49"/>
      <c r="B693" s="49"/>
      <c r="C693" s="49"/>
      <c r="D693" s="49"/>
      <c r="E693" s="49"/>
      <c r="F693" s="49"/>
      <c r="G693" s="49"/>
      <c r="H693" s="49"/>
      <c r="I693" s="49"/>
      <c r="J693" s="49"/>
      <c r="K693" s="49"/>
      <c r="L693" s="48"/>
      <c r="M693" s="48"/>
      <c r="N693" s="48"/>
      <c r="O693" s="48"/>
      <c r="P693" s="48"/>
      <c r="Q693" s="48"/>
      <c r="R693" s="48"/>
      <c r="S693" s="48"/>
      <c r="T693" s="48"/>
      <c r="U693" s="48"/>
      <c r="V693" s="48"/>
      <c r="W693" s="48"/>
      <c r="X693" s="48"/>
      <c r="Y693" s="48"/>
      <c r="Z693" s="48"/>
    </row>
    <row r="694" ht="15.75" customHeight="1">
      <c r="A694" s="49"/>
      <c r="B694" s="49"/>
      <c r="C694" s="49"/>
      <c r="D694" s="49"/>
      <c r="E694" s="49"/>
      <c r="F694" s="49"/>
      <c r="G694" s="49"/>
      <c r="H694" s="49"/>
      <c r="I694" s="49"/>
      <c r="J694" s="49"/>
      <c r="K694" s="49"/>
      <c r="L694" s="48"/>
      <c r="M694" s="48"/>
      <c r="N694" s="48"/>
      <c r="O694" s="48"/>
      <c r="P694" s="48"/>
      <c r="Q694" s="48"/>
      <c r="R694" s="48"/>
      <c r="S694" s="48"/>
      <c r="T694" s="48"/>
      <c r="U694" s="48"/>
      <c r="V694" s="48"/>
      <c r="W694" s="48"/>
      <c r="X694" s="48"/>
      <c r="Y694" s="48"/>
      <c r="Z694" s="48"/>
    </row>
    <row r="695" ht="15.75" customHeight="1">
      <c r="A695" s="49"/>
      <c r="B695" s="49"/>
      <c r="C695" s="49"/>
      <c r="D695" s="49"/>
      <c r="E695" s="49"/>
      <c r="F695" s="49"/>
      <c r="G695" s="49"/>
      <c r="H695" s="49"/>
      <c r="I695" s="49"/>
      <c r="J695" s="49"/>
      <c r="K695" s="49"/>
      <c r="L695" s="48"/>
      <c r="M695" s="48"/>
      <c r="N695" s="48"/>
      <c r="O695" s="48"/>
      <c r="P695" s="48"/>
      <c r="Q695" s="48"/>
      <c r="R695" s="48"/>
      <c r="S695" s="48"/>
      <c r="T695" s="48"/>
      <c r="U695" s="48"/>
      <c r="V695" s="48"/>
      <c r="W695" s="48"/>
      <c r="X695" s="48"/>
      <c r="Y695" s="48"/>
      <c r="Z695" s="48"/>
    </row>
    <row r="696" ht="15.75" customHeight="1">
      <c r="A696" s="49"/>
      <c r="B696" s="49"/>
      <c r="C696" s="49"/>
      <c r="D696" s="49"/>
      <c r="E696" s="49"/>
      <c r="F696" s="49"/>
      <c r="G696" s="49"/>
      <c r="H696" s="49"/>
      <c r="I696" s="49"/>
      <c r="J696" s="49"/>
      <c r="K696" s="49"/>
      <c r="L696" s="48"/>
      <c r="M696" s="48"/>
      <c r="N696" s="48"/>
      <c r="O696" s="48"/>
      <c r="P696" s="48"/>
      <c r="Q696" s="48"/>
      <c r="R696" s="48"/>
      <c r="S696" s="48"/>
      <c r="T696" s="48"/>
      <c r="U696" s="48"/>
      <c r="V696" s="48"/>
      <c r="W696" s="48"/>
      <c r="X696" s="48"/>
      <c r="Y696" s="48"/>
      <c r="Z696" s="48"/>
    </row>
    <row r="697" ht="15.75" customHeight="1">
      <c r="A697" s="49"/>
      <c r="B697" s="49"/>
      <c r="C697" s="49"/>
      <c r="D697" s="49"/>
      <c r="E697" s="49"/>
      <c r="F697" s="49"/>
      <c r="G697" s="49"/>
      <c r="H697" s="49"/>
      <c r="I697" s="49"/>
      <c r="J697" s="49"/>
      <c r="K697" s="49"/>
      <c r="L697" s="48"/>
      <c r="M697" s="48"/>
      <c r="N697" s="48"/>
      <c r="O697" s="48"/>
      <c r="P697" s="48"/>
      <c r="Q697" s="48"/>
      <c r="R697" s="48"/>
      <c r="S697" s="48"/>
      <c r="T697" s="48"/>
      <c r="U697" s="48"/>
      <c r="V697" s="48"/>
      <c r="W697" s="48"/>
      <c r="X697" s="48"/>
      <c r="Y697" s="48"/>
      <c r="Z697" s="48"/>
    </row>
    <row r="698" ht="15.75" customHeight="1">
      <c r="A698" s="49"/>
      <c r="B698" s="49"/>
      <c r="C698" s="49"/>
      <c r="D698" s="49"/>
      <c r="E698" s="49"/>
      <c r="F698" s="49"/>
      <c r="G698" s="49"/>
      <c r="H698" s="49"/>
      <c r="I698" s="49"/>
      <c r="J698" s="49"/>
      <c r="K698" s="49"/>
      <c r="L698" s="48"/>
      <c r="M698" s="48"/>
      <c r="N698" s="48"/>
      <c r="O698" s="48"/>
      <c r="P698" s="48"/>
      <c r="Q698" s="48"/>
      <c r="R698" s="48"/>
      <c r="S698" s="48"/>
      <c r="T698" s="48"/>
      <c r="U698" s="48"/>
      <c r="V698" s="48"/>
      <c r="W698" s="48"/>
      <c r="X698" s="48"/>
      <c r="Y698" s="48"/>
      <c r="Z698" s="48"/>
    </row>
    <row r="699" ht="15.75" customHeight="1">
      <c r="A699" s="49"/>
      <c r="B699" s="49"/>
      <c r="C699" s="49"/>
      <c r="D699" s="49"/>
      <c r="E699" s="49"/>
      <c r="F699" s="49"/>
      <c r="G699" s="49"/>
      <c r="H699" s="49"/>
      <c r="I699" s="49"/>
      <c r="J699" s="49"/>
      <c r="K699" s="49"/>
      <c r="L699" s="48"/>
      <c r="M699" s="48"/>
      <c r="N699" s="48"/>
      <c r="O699" s="48"/>
      <c r="P699" s="48"/>
      <c r="Q699" s="48"/>
      <c r="R699" s="48"/>
      <c r="S699" s="48"/>
      <c r="T699" s="48"/>
      <c r="U699" s="48"/>
      <c r="V699" s="48"/>
      <c r="W699" s="48"/>
      <c r="X699" s="48"/>
      <c r="Y699" s="48"/>
      <c r="Z699" s="48"/>
    </row>
    <row r="700" ht="15.75" customHeight="1">
      <c r="A700" s="49"/>
      <c r="B700" s="49"/>
      <c r="C700" s="49"/>
      <c r="D700" s="49"/>
      <c r="E700" s="49"/>
      <c r="F700" s="49"/>
      <c r="G700" s="49"/>
      <c r="H700" s="49"/>
      <c r="I700" s="49"/>
      <c r="J700" s="49"/>
      <c r="K700" s="49"/>
      <c r="L700" s="48"/>
      <c r="M700" s="48"/>
      <c r="N700" s="48"/>
      <c r="O700" s="48"/>
      <c r="P700" s="48"/>
      <c r="Q700" s="48"/>
      <c r="R700" s="48"/>
      <c r="S700" s="48"/>
      <c r="T700" s="48"/>
      <c r="U700" s="48"/>
      <c r="V700" s="48"/>
      <c r="W700" s="48"/>
      <c r="X700" s="48"/>
      <c r="Y700" s="48"/>
      <c r="Z700" s="48"/>
    </row>
    <row r="701" ht="15.75" customHeight="1">
      <c r="A701" s="49"/>
      <c r="B701" s="49"/>
      <c r="C701" s="49"/>
      <c r="D701" s="49"/>
      <c r="E701" s="49"/>
      <c r="F701" s="49"/>
      <c r="G701" s="49"/>
      <c r="H701" s="49"/>
      <c r="I701" s="49"/>
      <c r="J701" s="49"/>
      <c r="K701" s="49"/>
      <c r="L701" s="48"/>
      <c r="M701" s="48"/>
      <c r="N701" s="48"/>
      <c r="O701" s="48"/>
      <c r="P701" s="48"/>
      <c r="Q701" s="48"/>
      <c r="R701" s="48"/>
      <c r="S701" s="48"/>
      <c r="T701" s="48"/>
      <c r="U701" s="48"/>
      <c r="V701" s="48"/>
      <c r="W701" s="48"/>
      <c r="X701" s="48"/>
      <c r="Y701" s="48"/>
      <c r="Z701" s="48"/>
    </row>
    <row r="702" ht="15.75" customHeight="1">
      <c r="A702" s="49"/>
      <c r="B702" s="49"/>
      <c r="C702" s="49"/>
      <c r="D702" s="49"/>
      <c r="E702" s="49"/>
      <c r="F702" s="49"/>
      <c r="G702" s="49"/>
      <c r="H702" s="49"/>
      <c r="I702" s="49"/>
      <c r="J702" s="49"/>
      <c r="K702" s="49"/>
      <c r="L702" s="48"/>
      <c r="M702" s="48"/>
      <c r="N702" s="48"/>
      <c r="O702" s="48"/>
      <c r="P702" s="48"/>
      <c r="Q702" s="48"/>
      <c r="R702" s="48"/>
      <c r="S702" s="48"/>
      <c r="T702" s="48"/>
      <c r="U702" s="48"/>
      <c r="V702" s="48"/>
      <c r="W702" s="48"/>
      <c r="X702" s="48"/>
      <c r="Y702" s="48"/>
      <c r="Z702" s="48"/>
    </row>
    <row r="703" ht="15.75" customHeight="1">
      <c r="A703" s="49"/>
      <c r="B703" s="49"/>
      <c r="C703" s="49"/>
      <c r="D703" s="49"/>
      <c r="E703" s="49"/>
      <c r="F703" s="49"/>
      <c r="G703" s="49"/>
      <c r="H703" s="49"/>
      <c r="I703" s="49"/>
      <c r="J703" s="49"/>
      <c r="K703" s="49"/>
      <c r="L703" s="48"/>
      <c r="M703" s="48"/>
      <c r="N703" s="48"/>
      <c r="O703" s="48"/>
      <c r="P703" s="48"/>
      <c r="Q703" s="48"/>
      <c r="R703" s="48"/>
      <c r="S703" s="48"/>
      <c r="T703" s="48"/>
      <c r="U703" s="48"/>
      <c r="V703" s="48"/>
      <c r="W703" s="48"/>
      <c r="X703" s="48"/>
      <c r="Y703" s="48"/>
      <c r="Z703" s="48"/>
    </row>
    <row r="704" ht="15.75" customHeight="1">
      <c r="A704" s="49"/>
      <c r="B704" s="49"/>
      <c r="C704" s="49"/>
      <c r="D704" s="49"/>
      <c r="E704" s="49"/>
      <c r="F704" s="49"/>
      <c r="G704" s="49"/>
      <c r="H704" s="49"/>
      <c r="I704" s="49"/>
      <c r="J704" s="49"/>
      <c r="K704" s="49"/>
      <c r="L704" s="48"/>
      <c r="M704" s="48"/>
      <c r="N704" s="48"/>
      <c r="O704" s="48"/>
      <c r="P704" s="48"/>
      <c r="Q704" s="48"/>
      <c r="R704" s="48"/>
      <c r="S704" s="48"/>
      <c r="T704" s="48"/>
      <c r="U704" s="48"/>
      <c r="V704" s="48"/>
      <c r="W704" s="48"/>
      <c r="X704" s="48"/>
      <c r="Y704" s="48"/>
      <c r="Z704" s="48"/>
    </row>
    <row r="705" ht="15.75" customHeight="1">
      <c r="A705" s="49"/>
      <c r="B705" s="49"/>
      <c r="C705" s="49"/>
      <c r="D705" s="49"/>
      <c r="E705" s="49"/>
      <c r="F705" s="49"/>
      <c r="G705" s="49"/>
      <c r="H705" s="49"/>
      <c r="I705" s="49"/>
      <c r="J705" s="49"/>
      <c r="K705" s="49"/>
      <c r="L705" s="48"/>
      <c r="M705" s="48"/>
      <c r="N705" s="48"/>
      <c r="O705" s="48"/>
      <c r="P705" s="48"/>
      <c r="Q705" s="48"/>
      <c r="R705" s="48"/>
      <c r="S705" s="48"/>
      <c r="T705" s="48"/>
      <c r="U705" s="48"/>
      <c r="V705" s="48"/>
      <c r="W705" s="48"/>
      <c r="X705" s="48"/>
      <c r="Y705" s="48"/>
      <c r="Z705" s="48"/>
    </row>
    <row r="706" ht="15.75" customHeight="1">
      <c r="A706" s="49"/>
      <c r="B706" s="49"/>
      <c r="C706" s="49"/>
      <c r="D706" s="49"/>
      <c r="E706" s="49"/>
      <c r="F706" s="49"/>
      <c r="G706" s="49"/>
      <c r="H706" s="49"/>
      <c r="I706" s="49"/>
      <c r="J706" s="49"/>
      <c r="K706" s="49"/>
      <c r="L706" s="48"/>
      <c r="M706" s="48"/>
      <c r="N706" s="48"/>
      <c r="O706" s="48"/>
      <c r="P706" s="48"/>
      <c r="Q706" s="48"/>
      <c r="R706" s="48"/>
      <c r="S706" s="48"/>
      <c r="T706" s="48"/>
      <c r="U706" s="48"/>
      <c r="V706" s="48"/>
      <c r="W706" s="48"/>
      <c r="X706" s="48"/>
      <c r="Y706" s="48"/>
      <c r="Z706" s="48"/>
    </row>
    <row r="707" ht="15.75" customHeight="1">
      <c r="A707" s="49"/>
      <c r="B707" s="49"/>
      <c r="C707" s="49"/>
      <c r="D707" s="49"/>
      <c r="E707" s="49"/>
      <c r="F707" s="49"/>
      <c r="G707" s="49"/>
      <c r="H707" s="49"/>
      <c r="I707" s="49"/>
      <c r="J707" s="49"/>
      <c r="K707" s="49"/>
      <c r="L707" s="48"/>
      <c r="M707" s="48"/>
      <c r="N707" s="48"/>
      <c r="O707" s="48"/>
      <c r="P707" s="48"/>
      <c r="Q707" s="48"/>
      <c r="R707" s="48"/>
      <c r="S707" s="48"/>
      <c r="T707" s="48"/>
      <c r="U707" s="48"/>
      <c r="V707" s="48"/>
      <c r="W707" s="48"/>
      <c r="X707" s="48"/>
      <c r="Y707" s="48"/>
      <c r="Z707" s="48"/>
    </row>
    <row r="708" ht="15.75" customHeight="1">
      <c r="A708" s="49"/>
      <c r="B708" s="49"/>
      <c r="C708" s="49"/>
      <c r="D708" s="49"/>
      <c r="E708" s="49"/>
      <c r="F708" s="49"/>
      <c r="G708" s="49"/>
      <c r="H708" s="49"/>
      <c r="I708" s="49"/>
      <c r="J708" s="49"/>
      <c r="K708" s="49"/>
      <c r="L708" s="48"/>
      <c r="M708" s="48"/>
      <c r="N708" s="48"/>
      <c r="O708" s="48"/>
      <c r="P708" s="48"/>
      <c r="Q708" s="48"/>
      <c r="R708" s="48"/>
      <c r="S708" s="48"/>
      <c r="T708" s="48"/>
      <c r="U708" s="48"/>
      <c r="V708" s="48"/>
      <c r="W708" s="48"/>
      <c r="X708" s="48"/>
      <c r="Y708" s="48"/>
      <c r="Z708" s="48"/>
    </row>
    <row r="709" ht="15.75" customHeight="1">
      <c r="A709" s="49"/>
      <c r="B709" s="49"/>
      <c r="C709" s="49"/>
      <c r="D709" s="49"/>
      <c r="E709" s="49"/>
      <c r="F709" s="49"/>
      <c r="G709" s="49"/>
      <c r="H709" s="49"/>
      <c r="I709" s="49"/>
      <c r="J709" s="49"/>
      <c r="K709" s="49"/>
      <c r="L709" s="48"/>
      <c r="M709" s="48"/>
      <c r="N709" s="48"/>
      <c r="O709" s="48"/>
      <c r="P709" s="48"/>
      <c r="Q709" s="48"/>
      <c r="R709" s="48"/>
      <c r="S709" s="48"/>
      <c r="T709" s="48"/>
      <c r="U709" s="48"/>
      <c r="V709" s="48"/>
      <c r="W709" s="48"/>
      <c r="X709" s="48"/>
      <c r="Y709" s="48"/>
      <c r="Z709" s="48"/>
    </row>
    <row r="710" ht="15.75" customHeight="1">
      <c r="A710" s="49"/>
      <c r="B710" s="49"/>
      <c r="C710" s="49"/>
      <c r="D710" s="49"/>
      <c r="E710" s="49"/>
      <c r="F710" s="49"/>
      <c r="G710" s="49"/>
      <c r="H710" s="49"/>
      <c r="I710" s="49"/>
      <c r="J710" s="49"/>
      <c r="K710" s="49"/>
      <c r="L710" s="48"/>
      <c r="M710" s="48"/>
      <c r="N710" s="48"/>
      <c r="O710" s="48"/>
      <c r="P710" s="48"/>
      <c r="Q710" s="48"/>
      <c r="R710" s="48"/>
      <c r="S710" s="48"/>
      <c r="T710" s="48"/>
      <c r="U710" s="48"/>
      <c r="V710" s="48"/>
      <c r="W710" s="48"/>
      <c r="X710" s="48"/>
      <c r="Y710" s="48"/>
      <c r="Z710" s="48"/>
    </row>
    <row r="711" ht="15.75" customHeight="1">
      <c r="A711" s="49"/>
      <c r="B711" s="49"/>
      <c r="C711" s="49"/>
      <c r="D711" s="49"/>
      <c r="E711" s="49"/>
      <c r="F711" s="49"/>
      <c r="G711" s="49"/>
      <c r="H711" s="49"/>
      <c r="I711" s="49"/>
      <c r="J711" s="49"/>
      <c r="K711" s="49"/>
      <c r="L711" s="48"/>
      <c r="M711" s="48"/>
      <c r="N711" s="48"/>
      <c r="O711" s="48"/>
      <c r="P711" s="48"/>
      <c r="Q711" s="48"/>
      <c r="R711" s="48"/>
      <c r="S711" s="48"/>
      <c r="T711" s="48"/>
      <c r="U711" s="48"/>
      <c r="V711" s="48"/>
      <c r="W711" s="48"/>
      <c r="X711" s="48"/>
      <c r="Y711" s="48"/>
      <c r="Z711" s="48"/>
    </row>
    <row r="712" ht="15.75" customHeight="1">
      <c r="A712" s="49"/>
      <c r="B712" s="49"/>
      <c r="C712" s="49"/>
      <c r="D712" s="49"/>
      <c r="E712" s="49"/>
      <c r="F712" s="49"/>
      <c r="G712" s="49"/>
      <c r="H712" s="49"/>
      <c r="I712" s="49"/>
      <c r="J712" s="49"/>
      <c r="K712" s="49"/>
      <c r="L712" s="48"/>
      <c r="M712" s="48"/>
      <c r="N712" s="48"/>
      <c r="O712" s="48"/>
      <c r="P712" s="48"/>
      <c r="Q712" s="48"/>
      <c r="R712" s="48"/>
      <c r="S712" s="48"/>
      <c r="T712" s="48"/>
      <c r="U712" s="48"/>
      <c r="V712" s="48"/>
      <c r="W712" s="48"/>
      <c r="X712" s="48"/>
      <c r="Y712" s="48"/>
      <c r="Z712" s="48"/>
    </row>
    <row r="713" ht="15.75" customHeight="1">
      <c r="A713" s="49"/>
      <c r="B713" s="49"/>
      <c r="C713" s="49"/>
      <c r="D713" s="49"/>
      <c r="E713" s="49"/>
      <c r="F713" s="49"/>
      <c r="G713" s="49"/>
      <c r="H713" s="49"/>
      <c r="I713" s="49"/>
      <c r="J713" s="49"/>
      <c r="K713" s="49"/>
      <c r="L713" s="48"/>
      <c r="M713" s="48"/>
      <c r="N713" s="48"/>
      <c r="O713" s="48"/>
      <c r="P713" s="48"/>
      <c r="Q713" s="48"/>
      <c r="R713" s="48"/>
      <c r="S713" s="48"/>
      <c r="T713" s="48"/>
      <c r="U713" s="48"/>
      <c r="V713" s="48"/>
      <c r="W713" s="48"/>
      <c r="X713" s="48"/>
      <c r="Y713" s="48"/>
      <c r="Z713" s="48"/>
    </row>
    <row r="714" ht="15.75" customHeight="1">
      <c r="A714" s="49"/>
      <c r="B714" s="49"/>
      <c r="C714" s="49"/>
      <c r="D714" s="49"/>
      <c r="E714" s="49"/>
      <c r="F714" s="49"/>
      <c r="G714" s="49"/>
      <c r="H714" s="49"/>
      <c r="I714" s="49"/>
      <c r="J714" s="49"/>
      <c r="K714" s="49"/>
      <c r="L714" s="48"/>
      <c r="M714" s="48"/>
      <c r="N714" s="48"/>
      <c r="O714" s="48"/>
      <c r="P714" s="48"/>
      <c r="Q714" s="48"/>
      <c r="R714" s="48"/>
      <c r="S714" s="48"/>
      <c r="T714" s="48"/>
      <c r="U714" s="48"/>
      <c r="V714" s="48"/>
      <c r="W714" s="48"/>
      <c r="X714" s="48"/>
      <c r="Y714" s="48"/>
      <c r="Z714" s="48"/>
    </row>
    <row r="715" ht="15.75" customHeight="1">
      <c r="A715" s="49"/>
      <c r="B715" s="49"/>
      <c r="C715" s="49"/>
      <c r="D715" s="49"/>
      <c r="E715" s="49"/>
      <c r="F715" s="49"/>
      <c r="G715" s="49"/>
      <c r="H715" s="49"/>
      <c r="I715" s="49"/>
      <c r="J715" s="49"/>
      <c r="K715" s="49"/>
      <c r="L715" s="48"/>
      <c r="M715" s="48"/>
      <c r="N715" s="48"/>
      <c r="O715" s="48"/>
      <c r="P715" s="48"/>
      <c r="Q715" s="48"/>
      <c r="R715" s="48"/>
      <c r="S715" s="48"/>
      <c r="T715" s="48"/>
      <c r="U715" s="48"/>
      <c r="V715" s="48"/>
      <c r="W715" s="48"/>
      <c r="X715" s="48"/>
      <c r="Y715" s="48"/>
      <c r="Z715" s="48"/>
    </row>
    <row r="716" ht="15.75" customHeight="1">
      <c r="A716" s="49"/>
      <c r="B716" s="49"/>
      <c r="C716" s="49"/>
      <c r="D716" s="49"/>
      <c r="E716" s="49"/>
      <c r="F716" s="49"/>
      <c r="G716" s="49"/>
      <c r="H716" s="49"/>
      <c r="I716" s="49"/>
      <c r="J716" s="49"/>
      <c r="K716" s="49"/>
      <c r="L716" s="48"/>
      <c r="M716" s="48"/>
      <c r="N716" s="48"/>
      <c r="O716" s="48"/>
      <c r="P716" s="48"/>
      <c r="Q716" s="48"/>
      <c r="R716" s="48"/>
      <c r="S716" s="48"/>
      <c r="T716" s="48"/>
      <c r="U716" s="48"/>
      <c r="V716" s="48"/>
      <c r="W716" s="48"/>
      <c r="X716" s="48"/>
      <c r="Y716" s="48"/>
      <c r="Z716" s="48"/>
    </row>
    <row r="717" ht="15.75" customHeight="1">
      <c r="A717" s="49"/>
      <c r="B717" s="49"/>
      <c r="C717" s="49"/>
      <c r="D717" s="49"/>
      <c r="E717" s="49"/>
      <c r="F717" s="49"/>
      <c r="G717" s="49"/>
      <c r="H717" s="49"/>
      <c r="I717" s="49"/>
      <c r="J717" s="49"/>
      <c r="K717" s="49"/>
      <c r="L717" s="48"/>
      <c r="M717" s="48"/>
      <c r="N717" s="48"/>
      <c r="O717" s="48"/>
      <c r="P717" s="48"/>
      <c r="Q717" s="48"/>
      <c r="R717" s="48"/>
      <c r="S717" s="48"/>
      <c r="T717" s="48"/>
      <c r="U717" s="48"/>
      <c r="V717" s="48"/>
      <c r="W717" s="48"/>
      <c r="X717" s="48"/>
      <c r="Y717" s="48"/>
      <c r="Z717" s="48"/>
    </row>
    <row r="718" ht="15.75" customHeight="1">
      <c r="A718" s="49"/>
      <c r="B718" s="49"/>
      <c r="C718" s="49"/>
      <c r="D718" s="49"/>
      <c r="E718" s="49"/>
      <c r="F718" s="49"/>
      <c r="G718" s="49"/>
      <c r="H718" s="49"/>
      <c r="I718" s="49"/>
      <c r="J718" s="49"/>
      <c r="K718" s="49"/>
      <c r="L718" s="48"/>
      <c r="M718" s="48"/>
      <c r="N718" s="48"/>
      <c r="O718" s="48"/>
      <c r="P718" s="48"/>
      <c r="Q718" s="48"/>
      <c r="R718" s="48"/>
      <c r="S718" s="48"/>
      <c r="T718" s="48"/>
      <c r="U718" s="48"/>
      <c r="V718" s="48"/>
      <c r="W718" s="48"/>
      <c r="X718" s="48"/>
      <c r="Y718" s="48"/>
      <c r="Z718" s="48"/>
    </row>
    <row r="719" ht="15.75" customHeight="1">
      <c r="A719" s="49"/>
      <c r="B719" s="49"/>
      <c r="C719" s="49"/>
      <c r="D719" s="49"/>
      <c r="E719" s="49"/>
      <c r="F719" s="49"/>
      <c r="G719" s="49"/>
      <c r="H719" s="49"/>
      <c r="I719" s="49"/>
      <c r="J719" s="49"/>
      <c r="K719" s="49"/>
      <c r="L719" s="48"/>
      <c r="M719" s="48"/>
      <c r="N719" s="48"/>
      <c r="O719" s="48"/>
      <c r="P719" s="48"/>
      <c r="Q719" s="48"/>
      <c r="R719" s="48"/>
      <c r="S719" s="48"/>
      <c r="T719" s="48"/>
      <c r="U719" s="48"/>
      <c r="V719" s="48"/>
      <c r="W719" s="48"/>
      <c r="X719" s="48"/>
      <c r="Y719" s="48"/>
      <c r="Z719" s="48"/>
    </row>
    <row r="720" ht="15.75" customHeight="1">
      <c r="A720" s="49"/>
      <c r="B720" s="49"/>
      <c r="C720" s="49"/>
      <c r="D720" s="49"/>
      <c r="E720" s="49"/>
      <c r="F720" s="49"/>
      <c r="G720" s="49"/>
      <c r="H720" s="49"/>
      <c r="I720" s="49"/>
      <c r="J720" s="49"/>
      <c r="K720" s="49"/>
      <c r="L720" s="48"/>
      <c r="M720" s="48"/>
      <c r="N720" s="48"/>
      <c r="O720" s="48"/>
      <c r="P720" s="48"/>
      <c r="Q720" s="48"/>
      <c r="R720" s="48"/>
      <c r="S720" s="48"/>
      <c r="T720" s="48"/>
      <c r="U720" s="48"/>
      <c r="V720" s="48"/>
      <c r="W720" s="48"/>
      <c r="X720" s="48"/>
      <c r="Y720" s="48"/>
      <c r="Z720" s="48"/>
    </row>
    <row r="721" ht="15.75" customHeight="1">
      <c r="A721" s="49"/>
      <c r="B721" s="49"/>
      <c r="C721" s="49"/>
      <c r="D721" s="49"/>
      <c r="E721" s="49"/>
      <c r="F721" s="49"/>
      <c r="G721" s="49"/>
      <c r="H721" s="49"/>
      <c r="I721" s="49"/>
      <c r="J721" s="49"/>
      <c r="K721" s="49"/>
      <c r="L721" s="48"/>
      <c r="M721" s="48"/>
      <c r="N721" s="48"/>
      <c r="O721" s="48"/>
      <c r="P721" s="48"/>
      <c r="Q721" s="48"/>
      <c r="R721" s="48"/>
      <c r="S721" s="48"/>
      <c r="T721" s="48"/>
      <c r="U721" s="48"/>
      <c r="V721" s="48"/>
      <c r="W721" s="48"/>
      <c r="X721" s="48"/>
      <c r="Y721" s="48"/>
      <c r="Z721" s="48"/>
    </row>
    <row r="722" ht="15.75" customHeight="1">
      <c r="A722" s="49"/>
      <c r="B722" s="49"/>
      <c r="C722" s="49"/>
      <c r="D722" s="49"/>
      <c r="E722" s="49"/>
      <c r="F722" s="49"/>
      <c r="G722" s="49"/>
      <c r="H722" s="49"/>
      <c r="I722" s="49"/>
      <c r="J722" s="49"/>
      <c r="K722" s="49"/>
      <c r="L722" s="48"/>
      <c r="M722" s="48"/>
      <c r="N722" s="48"/>
      <c r="O722" s="48"/>
      <c r="P722" s="48"/>
      <c r="Q722" s="48"/>
      <c r="R722" s="48"/>
      <c r="S722" s="48"/>
      <c r="T722" s="48"/>
      <c r="U722" s="48"/>
      <c r="V722" s="48"/>
      <c r="W722" s="48"/>
      <c r="X722" s="48"/>
      <c r="Y722" s="48"/>
      <c r="Z722" s="48"/>
    </row>
    <row r="723" ht="15.75" customHeight="1">
      <c r="A723" s="49"/>
      <c r="B723" s="49"/>
      <c r="C723" s="49"/>
      <c r="D723" s="49"/>
      <c r="E723" s="49"/>
      <c r="F723" s="49"/>
      <c r="G723" s="49"/>
      <c r="H723" s="49"/>
      <c r="I723" s="49"/>
      <c r="J723" s="49"/>
      <c r="K723" s="49"/>
      <c r="L723" s="48"/>
      <c r="M723" s="48"/>
      <c r="N723" s="48"/>
      <c r="O723" s="48"/>
      <c r="P723" s="48"/>
      <c r="Q723" s="48"/>
      <c r="R723" s="48"/>
      <c r="S723" s="48"/>
      <c r="T723" s="48"/>
      <c r="U723" s="48"/>
      <c r="V723" s="48"/>
      <c r="W723" s="48"/>
      <c r="X723" s="48"/>
      <c r="Y723" s="48"/>
      <c r="Z723" s="48"/>
    </row>
    <row r="724" ht="15.75" customHeight="1">
      <c r="A724" s="49"/>
      <c r="B724" s="49"/>
      <c r="C724" s="49"/>
      <c r="D724" s="49"/>
      <c r="E724" s="49"/>
      <c r="F724" s="49"/>
      <c r="G724" s="49"/>
      <c r="H724" s="49"/>
      <c r="I724" s="49"/>
      <c r="J724" s="49"/>
      <c r="K724" s="49"/>
      <c r="L724" s="48"/>
      <c r="M724" s="48"/>
      <c r="N724" s="48"/>
      <c r="O724" s="48"/>
      <c r="P724" s="48"/>
      <c r="Q724" s="48"/>
      <c r="R724" s="48"/>
      <c r="S724" s="48"/>
      <c r="T724" s="48"/>
      <c r="U724" s="48"/>
      <c r="V724" s="48"/>
      <c r="W724" s="48"/>
      <c r="X724" s="48"/>
      <c r="Y724" s="48"/>
      <c r="Z724" s="48"/>
    </row>
    <row r="725" ht="15.75" customHeight="1">
      <c r="A725" s="49"/>
      <c r="B725" s="49"/>
      <c r="C725" s="49"/>
      <c r="D725" s="49"/>
      <c r="E725" s="49"/>
      <c r="F725" s="49"/>
      <c r="G725" s="49"/>
      <c r="H725" s="49"/>
      <c r="I725" s="49"/>
      <c r="J725" s="49"/>
      <c r="K725" s="49"/>
      <c r="L725" s="48"/>
      <c r="M725" s="48"/>
      <c r="N725" s="48"/>
      <c r="O725" s="48"/>
      <c r="P725" s="48"/>
      <c r="Q725" s="48"/>
      <c r="R725" s="48"/>
      <c r="S725" s="48"/>
      <c r="T725" s="48"/>
      <c r="U725" s="48"/>
      <c r="V725" s="48"/>
      <c r="W725" s="48"/>
      <c r="X725" s="48"/>
      <c r="Y725" s="48"/>
      <c r="Z725" s="48"/>
    </row>
    <row r="726" ht="15.75" customHeight="1">
      <c r="A726" s="49"/>
      <c r="B726" s="49"/>
      <c r="C726" s="49"/>
      <c r="D726" s="49"/>
      <c r="E726" s="49"/>
      <c r="F726" s="49"/>
      <c r="G726" s="49"/>
      <c r="H726" s="49"/>
      <c r="I726" s="49"/>
      <c r="J726" s="49"/>
      <c r="K726" s="49"/>
      <c r="L726" s="48"/>
      <c r="M726" s="48"/>
      <c r="N726" s="48"/>
      <c r="O726" s="48"/>
      <c r="P726" s="48"/>
      <c r="Q726" s="48"/>
      <c r="R726" s="48"/>
      <c r="S726" s="48"/>
      <c r="T726" s="48"/>
      <c r="U726" s="48"/>
      <c r="V726" s="48"/>
      <c r="W726" s="48"/>
      <c r="X726" s="48"/>
      <c r="Y726" s="48"/>
      <c r="Z726" s="48"/>
    </row>
    <row r="727" ht="15.75" customHeight="1">
      <c r="A727" s="49"/>
      <c r="B727" s="49"/>
      <c r="C727" s="49"/>
      <c r="D727" s="49"/>
      <c r="E727" s="49"/>
      <c r="F727" s="49"/>
      <c r="G727" s="49"/>
      <c r="H727" s="49"/>
      <c r="I727" s="49"/>
      <c r="J727" s="49"/>
      <c r="K727" s="49"/>
      <c r="L727" s="48"/>
      <c r="M727" s="48"/>
      <c r="N727" s="48"/>
      <c r="O727" s="48"/>
      <c r="P727" s="48"/>
      <c r="Q727" s="48"/>
      <c r="R727" s="48"/>
      <c r="S727" s="48"/>
      <c r="T727" s="48"/>
      <c r="U727" s="48"/>
      <c r="V727" s="48"/>
      <c r="W727" s="48"/>
      <c r="X727" s="48"/>
      <c r="Y727" s="48"/>
      <c r="Z727" s="48"/>
    </row>
    <row r="728" ht="15.75" customHeight="1">
      <c r="A728" s="49"/>
      <c r="B728" s="49"/>
      <c r="C728" s="49"/>
      <c r="D728" s="49"/>
      <c r="E728" s="49"/>
      <c r="F728" s="49"/>
      <c r="G728" s="49"/>
      <c r="H728" s="49"/>
      <c r="I728" s="49"/>
      <c r="J728" s="49"/>
      <c r="K728" s="49"/>
      <c r="L728" s="48"/>
      <c r="M728" s="48"/>
      <c r="N728" s="48"/>
      <c r="O728" s="48"/>
      <c r="P728" s="48"/>
      <c r="Q728" s="48"/>
      <c r="R728" s="48"/>
      <c r="S728" s="48"/>
      <c r="T728" s="48"/>
      <c r="U728" s="48"/>
      <c r="V728" s="48"/>
      <c r="W728" s="48"/>
      <c r="X728" s="48"/>
      <c r="Y728" s="48"/>
      <c r="Z728" s="48"/>
    </row>
    <row r="729" ht="15.75" customHeight="1">
      <c r="A729" s="49"/>
      <c r="B729" s="49"/>
      <c r="C729" s="49"/>
      <c r="D729" s="49"/>
      <c r="E729" s="49"/>
      <c r="F729" s="49"/>
      <c r="G729" s="49"/>
      <c r="H729" s="49"/>
      <c r="I729" s="49"/>
      <c r="J729" s="49"/>
      <c r="K729" s="49"/>
      <c r="L729" s="48"/>
      <c r="M729" s="48"/>
      <c r="N729" s="48"/>
      <c r="O729" s="48"/>
      <c r="P729" s="48"/>
      <c r="Q729" s="48"/>
      <c r="R729" s="48"/>
      <c r="S729" s="48"/>
      <c r="T729" s="48"/>
      <c r="U729" s="48"/>
      <c r="V729" s="48"/>
      <c r="W729" s="48"/>
      <c r="X729" s="48"/>
      <c r="Y729" s="48"/>
      <c r="Z729" s="48"/>
    </row>
    <row r="730" ht="15.75" customHeight="1">
      <c r="A730" s="49"/>
      <c r="B730" s="49"/>
      <c r="C730" s="49"/>
      <c r="D730" s="49"/>
      <c r="E730" s="49"/>
      <c r="F730" s="49"/>
      <c r="G730" s="49"/>
      <c r="H730" s="49"/>
      <c r="I730" s="49"/>
      <c r="J730" s="49"/>
      <c r="K730" s="49"/>
      <c r="L730" s="48"/>
      <c r="M730" s="48"/>
      <c r="N730" s="48"/>
      <c r="O730" s="48"/>
      <c r="P730" s="48"/>
      <c r="Q730" s="48"/>
      <c r="R730" s="48"/>
      <c r="S730" s="48"/>
      <c r="T730" s="48"/>
      <c r="U730" s="48"/>
      <c r="V730" s="48"/>
      <c r="W730" s="48"/>
      <c r="X730" s="48"/>
      <c r="Y730" s="48"/>
      <c r="Z730" s="48"/>
    </row>
    <row r="731" ht="15.75" customHeight="1">
      <c r="A731" s="49"/>
      <c r="B731" s="49"/>
      <c r="C731" s="49"/>
      <c r="D731" s="49"/>
      <c r="E731" s="49"/>
      <c r="F731" s="49"/>
      <c r="G731" s="49"/>
      <c r="H731" s="49"/>
      <c r="I731" s="49"/>
      <c r="J731" s="49"/>
      <c r="K731" s="49"/>
      <c r="L731" s="48"/>
      <c r="M731" s="48"/>
      <c r="N731" s="48"/>
      <c r="O731" s="48"/>
      <c r="P731" s="48"/>
      <c r="Q731" s="48"/>
      <c r="R731" s="48"/>
      <c r="S731" s="48"/>
      <c r="T731" s="48"/>
      <c r="U731" s="48"/>
      <c r="V731" s="48"/>
      <c r="W731" s="48"/>
      <c r="X731" s="48"/>
      <c r="Y731" s="48"/>
      <c r="Z731" s="48"/>
    </row>
    <row r="732" ht="15.75" customHeight="1">
      <c r="A732" s="49"/>
      <c r="B732" s="49"/>
      <c r="C732" s="49"/>
      <c r="D732" s="49"/>
      <c r="E732" s="49"/>
      <c r="F732" s="49"/>
      <c r="G732" s="49"/>
      <c r="H732" s="49"/>
      <c r="I732" s="49"/>
      <c r="J732" s="49"/>
      <c r="K732" s="49"/>
      <c r="L732" s="48"/>
      <c r="M732" s="48"/>
      <c r="N732" s="48"/>
      <c r="O732" s="48"/>
      <c r="P732" s="48"/>
      <c r="Q732" s="48"/>
      <c r="R732" s="48"/>
      <c r="S732" s="48"/>
      <c r="T732" s="48"/>
      <c r="U732" s="48"/>
      <c r="V732" s="48"/>
      <c r="W732" s="48"/>
      <c r="X732" s="48"/>
      <c r="Y732" s="48"/>
      <c r="Z732" s="48"/>
    </row>
    <row r="733" ht="15.75" customHeight="1">
      <c r="A733" s="49"/>
      <c r="B733" s="49"/>
      <c r="C733" s="49"/>
      <c r="D733" s="49"/>
      <c r="E733" s="49"/>
      <c r="F733" s="49"/>
      <c r="G733" s="49"/>
      <c r="H733" s="49"/>
      <c r="I733" s="49"/>
      <c r="J733" s="49"/>
      <c r="K733" s="49"/>
      <c r="L733" s="48"/>
      <c r="M733" s="48"/>
      <c r="N733" s="48"/>
      <c r="O733" s="48"/>
      <c r="P733" s="48"/>
      <c r="Q733" s="48"/>
      <c r="R733" s="48"/>
      <c r="S733" s="48"/>
      <c r="T733" s="48"/>
      <c r="U733" s="48"/>
      <c r="V733" s="48"/>
      <c r="W733" s="48"/>
      <c r="X733" s="48"/>
      <c r="Y733" s="48"/>
      <c r="Z733" s="48"/>
    </row>
    <row r="734" ht="15.75" customHeight="1">
      <c r="A734" s="49"/>
      <c r="B734" s="49"/>
      <c r="C734" s="49"/>
      <c r="D734" s="49"/>
      <c r="E734" s="49"/>
      <c r="F734" s="49"/>
      <c r="G734" s="49"/>
      <c r="H734" s="49"/>
      <c r="I734" s="49"/>
      <c r="J734" s="49"/>
      <c r="K734" s="49"/>
      <c r="L734" s="48"/>
      <c r="M734" s="48"/>
      <c r="N734" s="48"/>
      <c r="O734" s="48"/>
      <c r="P734" s="48"/>
      <c r="Q734" s="48"/>
      <c r="R734" s="48"/>
      <c r="S734" s="48"/>
      <c r="T734" s="48"/>
      <c r="U734" s="48"/>
      <c r="V734" s="48"/>
      <c r="W734" s="48"/>
      <c r="X734" s="48"/>
      <c r="Y734" s="48"/>
      <c r="Z734" s="48"/>
    </row>
    <row r="735" ht="15.75" customHeight="1">
      <c r="A735" s="49"/>
      <c r="B735" s="49"/>
      <c r="C735" s="49"/>
      <c r="D735" s="49"/>
      <c r="E735" s="49"/>
      <c r="F735" s="49"/>
      <c r="G735" s="49"/>
      <c r="H735" s="49"/>
      <c r="I735" s="49"/>
      <c r="J735" s="49"/>
      <c r="K735" s="49"/>
      <c r="L735" s="48"/>
      <c r="M735" s="48"/>
      <c r="N735" s="48"/>
      <c r="O735" s="48"/>
      <c r="P735" s="48"/>
      <c r="Q735" s="48"/>
      <c r="R735" s="48"/>
      <c r="S735" s="48"/>
      <c r="T735" s="48"/>
      <c r="U735" s="48"/>
      <c r="V735" s="48"/>
      <c r="W735" s="48"/>
      <c r="X735" s="48"/>
      <c r="Y735" s="48"/>
      <c r="Z735" s="48"/>
    </row>
    <row r="736" ht="15.75" customHeight="1">
      <c r="A736" s="49"/>
      <c r="B736" s="49"/>
      <c r="C736" s="49"/>
      <c r="D736" s="49"/>
      <c r="E736" s="49"/>
      <c r="F736" s="49"/>
      <c r="G736" s="49"/>
      <c r="H736" s="49"/>
      <c r="I736" s="49"/>
      <c r="J736" s="49"/>
      <c r="K736" s="49"/>
      <c r="L736" s="48"/>
      <c r="M736" s="48"/>
      <c r="N736" s="48"/>
      <c r="O736" s="48"/>
      <c r="P736" s="48"/>
      <c r="Q736" s="48"/>
      <c r="R736" s="48"/>
      <c r="S736" s="48"/>
      <c r="T736" s="48"/>
      <c r="U736" s="48"/>
      <c r="V736" s="48"/>
      <c r="W736" s="48"/>
      <c r="X736" s="48"/>
      <c r="Y736" s="48"/>
      <c r="Z736" s="48"/>
    </row>
    <row r="737" ht="15.75" customHeight="1">
      <c r="A737" s="49"/>
      <c r="B737" s="49"/>
      <c r="C737" s="49"/>
      <c r="D737" s="49"/>
      <c r="E737" s="49"/>
      <c r="F737" s="49"/>
      <c r="G737" s="49"/>
      <c r="H737" s="49"/>
      <c r="I737" s="49"/>
      <c r="J737" s="49"/>
      <c r="K737" s="49"/>
      <c r="L737" s="48"/>
      <c r="M737" s="48"/>
      <c r="N737" s="48"/>
      <c r="O737" s="48"/>
      <c r="P737" s="48"/>
      <c r="Q737" s="48"/>
      <c r="R737" s="48"/>
      <c r="S737" s="48"/>
      <c r="T737" s="48"/>
      <c r="U737" s="48"/>
      <c r="V737" s="48"/>
      <c r="W737" s="48"/>
      <c r="X737" s="48"/>
      <c r="Y737" s="48"/>
      <c r="Z737" s="48"/>
    </row>
    <row r="738" ht="15.75" customHeight="1">
      <c r="A738" s="49"/>
      <c r="B738" s="49"/>
      <c r="C738" s="49"/>
      <c r="D738" s="49"/>
      <c r="E738" s="49"/>
      <c r="F738" s="49"/>
      <c r="G738" s="49"/>
      <c r="H738" s="49"/>
      <c r="I738" s="49"/>
      <c r="J738" s="49"/>
      <c r="K738" s="49"/>
      <c r="L738" s="48"/>
      <c r="M738" s="48"/>
      <c r="N738" s="48"/>
      <c r="O738" s="48"/>
      <c r="P738" s="48"/>
      <c r="Q738" s="48"/>
      <c r="R738" s="48"/>
      <c r="S738" s="48"/>
      <c r="T738" s="48"/>
      <c r="U738" s="48"/>
      <c r="V738" s="48"/>
      <c r="W738" s="48"/>
      <c r="X738" s="48"/>
      <c r="Y738" s="48"/>
      <c r="Z738" s="48"/>
    </row>
    <row r="739" ht="15.75" customHeight="1">
      <c r="A739" s="49"/>
      <c r="B739" s="49"/>
      <c r="C739" s="49"/>
      <c r="D739" s="49"/>
      <c r="E739" s="49"/>
      <c r="F739" s="49"/>
      <c r="G739" s="49"/>
      <c r="H739" s="49"/>
      <c r="I739" s="49"/>
      <c r="J739" s="49"/>
      <c r="K739" s="49"/>
      <c r="L739" s="48"/>
      <c r="M739" s="48"/>
      <c r="N739" s="48"/>
      <c r="O739" s="48"/>
      <c r="P739" s="48"/>
      <c r="Q739" s="48"/>
      <c r="R739" s="48"/>
      <c r="S739" s="48"/>
      <c r="T739" s="48"/>
      <c r="U739" s="48"/>
      <c r="V739" s="48"/>
      <c r="W739" s="48"/>
      <c r="X739" s="48"/>
      <c r="Y739" s="48"/>
      <c r="Z739" s="48"/>
    </row>
    <row r="740" ht="15.75" customHeight="1">
      <c r="A740" s="49"/>
      <c r="B740" s="49"/>
      <c r="C740" s="49"/>
      <c r="D740" s="49"/>
      <c r="E740" s="49"/>
      <c r="F740" s="49"/>
      <c r="G740" s="49"/>
      <c r="H740" s="49"/>
      <c r="I740" s="49"/>
      <c r="J740" s="49"/>
      <c r="K740" s="49"/>
      <c r="L740" s="48"/>
      <c r="M740" s="48"/>
      <c r="N740" s="48"/>
      <c r="O740" s="48"/>
      <c r="P740" s="48"/>
      <c r="Q740" s="48"/>
      <c r="R740" s="48"/>
      <c r="S740" s="48"/>
      <c r="T740" s="48"/>
      <c r="U740" s="48"/>
      <c r="V740" s="48"/>
      <c r="W740" s="48"/>
      <c r="X740" s="48"/>
      <c r="Y740" s="48"/>
      <c r="Z740" s="48"/>
    </row>
    <row r="741" ht="15.75" customHeight="1">
      <c r="A741" s="49"/>
      <c r="B741" s="49"/>
      <c r="C741" s="49"/>
      <c r="D741" s="49"/>
      <c r="E741" s="49"/>
      <c r="F741" s="49"/>
      <c r="G741" s="49"/>
      <c r="H741" s="49"/>
      <c r="I741" s="49"/>
      <c r="J741" s="49"/>
      <c r="K741" s="49"/>
      <c r="L741" s="48"/>
      <c r="M741" s="48"/>
      <c r="N741" s="48"/>
      <c r="O741" s="48"/>
      <c r="P741" s="48"/>
      <c r="Q741" s="48"/>
      <c r="R741" s="48"/>
      <c r="S741" s="48"/>
      <c r="T741" s="48"/>
      <c r="U741" s="48"/>
      <c r="V741" s="48"/>
      <c r="W741" s="48"/>
      <c r="X741" s="48"/>
      <c r="Y741" s="48"/>
      <c r="Z741" s="48"/>
    </row>
    <row r="742" ht="15.75" customHeight="1">
      <c r="A742" s="49"/>
      <c r="B742" s="49"/>
      <c r="C742" s="49"/>
      <c r="D742" s="49"/>
      <c r="E742" s="49"/>
      <c r="F742" s="49"/>
      <c r="G742" s="49"/>
      <c r="H742" s="49"/>
      <c r="I742" s="49"/>
      <c r="J742" s="49"/>
      <c r="K742" s="49"/>
      <c r="L742" s="48"/>
      <c r="M742" s="48"/>
      <c r="N742" s="48"/>
      <c r="O742" s="48"/>
      <c r="P742" s="48"/>
      <c r="Q742" s="48"/>
      <c r="R742" s="48"/>
      <c r="S742" s="48"/>
      <c r="T742" s="48"/>
      <c r="U742" s="48"/>
      <c r="V742" s="48"/>
      <c r="W742" s="48"/>
      <c r="X742" s="48"/>
      <c r="Y742" s="48"/>
      <c r="Z742" s="48"/>
    </row>
    <row r="743" ht="15.75" customHeight="1">
      <c r="A743" s="49"/>
      <c r="B743" s="49"/>
      <c r="C743" s="49"/>
      <c r="D743" s="49"/>
      <c r="E743" s="49"/>
      <c r="F743" s="49"/>
      <c r="G743" s="49"/>
      <c r="H743" s="49"/>
      <c r="I743" s="49"/>
      <c r="J743" s="49"/>
      <c r="K743" s="49"/>
      <c r="L743" s="48"/>
      <c r="M743" s="48"/>
      <c r="N743" s="48"/>
      <c r="O743" s="48"/>
      <c r="P743" s="48"/>
      <c r="Q743" s="48"/>
      <c r="R743" s="48"/>
      <c r="S743" s="48"/>
      <c r="T743" s="48"/>
      <c r="U743" s="48"/>
      <c r="V743" s="48"/>
      <c r="W743" s="48"/>
      <c r="X743" s="48"/>
      <c r="Y743" s="48"/>
      <c r="Z743" s="48"/>
    </row>
    <row r="744" ht="15.75" customHeight="1">
      <c r="A744" s="49"/>
      <c r="B744" s="49"/>
      <c r="C744" s="49"/>
      <c r="D744" s="49"/>
      <c r="E744" s="49"/>
      <c r="F744" s="49"/>
      <c r="G744" s="49"/>
      <c r="H744" s="49"/>
      <c r="I744" s="49"/>
      <c r="J744" s="49"/>
      <c r="K744" s="49"/>
      <c r="L744" s="48"/>
      <c r="M744" s="48"/>
      <c r="N744" s="48"/>
      <c r="O744" s="48"/>
      <c r="P744" s="48"/>
      <c r="Q744" s="48"/>
      <c r="R744" s="48"/>
      <c r="S744" s="48"/>
      <c r="T744" s="48"/>
      <c r="U744" s="48"/>
      <c r="V744" s="48"/>
      <c r="W744" s="48"/>
      <c r="X744" s="48"/>
      <c r="Y744" s="48"/>
      <c r="Z744" s="48"/>
    </row>
    <row r="745" ht="15.75" customHeight="1">
      <c r="A745" s="49"/>
      <c r="B745" s="49"/>
      <c r="C745" s="49"/>
      <c r="D745" s="49"/>
      <c r="E745" s="49"/>
      <c r="F745" s="49"/>
      <c r="G745" s="49"/>
      <c r="H745" s="49"/>
      <c r="I745" s="49"/>
      <c r="J745" s="49"/>
      <c r="K745" s="49"/>
      <c r="L745" s="48"/>
      <c r="M745" s="48"/>
      <c r="N745" s="48"/>
      <c r="O745" s="48"/>
      <c r="P745" s="48"/>
      <c r="Q745" s="48"/>
      <c r="R745" s="48"/>
      <c r="S745" s="48"/>
      <c r="T745" s="48"/>
      <c r="U745" s="48"/>
      <c r="V745" s="48"/>
      <c r="W745" s="48"/>
      <c r="X745" s="48"/>
      <c r="Y745" s="48"/>
      <c r="Z745" s="48"/>
    </row>
    <row r="746" ht="15.75" customHeight="1">
      <c r="A746" s="49"/>
      <c r="B746" s="49"/>
      <c r="C746" s="49"/>
      <c r="D746" s="49"/>
      <c r="E746" s="49"/>
      <c r="F746" s="49"/>
      <c r="G746" s="49"/>
      <c r="H746" s="49"/>
      <c r="I746" s="49"/>
      <c r="J746" s="49"/>
      <c r="K746" s="49"/>
      <c r="L746" s="48"/>
      <c r="M746" s="48"/>
      <c r="N746" s="48"/>
      <c r="O746" s="48"/>
      <c r="P746" s="48"/>
      <c r="Q746" s="48"/>
      <c r="R746" s="48"/>
      <c r="S746" s="48"/>
      <c r="T746" s="48"/>
      <c r="U746" s="48"/>
      <c r="V746" s="48"/>
      <c r="W746" s="48"/>
      <c r="X746" s="48"/>
      <c r="Y746" s="48"/>
      <c r="Z746" s="48"/>
    </row>
    <row r="747" ht="15.75" customHeight="1">
      <c r="A747" s="49"/>
      <c r="B747" s="49"/>
      <c r="C747" s="49"/>
      <c r="D747" s="49"/>
      <c r="E747" s="49"/>
      <c r="F747" s="49"/>
      <c r="G747" s="49"/>
      <c r="H747" s="49"/>
      <c r="I747" s="49"/>
      <c r="J747" s="49"/>
      <c r="K747" s="49"/>
      <c r="L747" s="48"/>
      <c r="M747" s="48"/>
      <c r="N747" s="48"/>
      <c r="O747" s="48"/>
      <c r="P747" s="48"/>
      <c r="Q747" s="48"/>
      <c r="R747" s="48"/>
      <c r="S747" s="48"/>
      <c r="T747" s="48"/>
      <c r="U747" s="48"/>
      <c r="V747" s="48"/>
      <c r="W747" s="48"/>
      <c r="X747" s="48"/>
      <c r="Y747" s="48"/>
      <c r="Z747" s="48"/>
    </row>
    <row r="748" ht="15.75" customHeight="1">
      <c r="A748" s="49"/>
      <c r="B748" s="49"/>
      <c r="C748" s="49"/>
      <c r="D748" s="49"/>
      <c r="E748" s="49"/>
      <c r="F748" s="49"/>
      <c r="G748" s="49"/>
      <c r="H748" s="49"/>
      <c r="I748" s="49"/>
      <c r="J748" s="49"/>
      <c r="K748" s="49"/>
      <c r="L748" s="48"/>
      <c r="M748" s="48"/>
      <c r="N748" s="48"/>
      <c r="O748" s="48"/>
      <c r="P748" s="48"/>
      <c r="Q748" s="48"/>
      <c r="R748" s="48"/>
      <c r="S748" s="48"/>
      <c r="T748" s="48"/>
      <c r="U748" s="48"/>
      <c r="V748" s="48"/>
      <c r="W748" s="48"/>
      <c r="X748" s="48"/>
      <c r="Y748" s="48"/>
      <c r="Z748" s="48"/>
    </row>
    <row r="749" ht="15.75" customHeight="1">
      <c r="A749" s="49"/>
      <c r="B749" s="49"/>
      <c r="C749" s="49"/>
      <c r="D749" s="49"/>
      <c r="E749" s="49"/>
      <c r="F749" s="49"/>
      <c r="G749" s="49"/>
      <c r="H749" s="49"/>
      <c r="I749" s="49"/>
      <c r="J749" s="49"/>
      <c r="K749" s="49"/>
      <c r="L749" s="48"/>
      <c r="M749" s="48"/>
      <c r="N749" s="48"/>
      <c r="O749" s="48"/>
      <c r="P749" s="48"/>
      <c r="Q749" s="48"/>
      <c r="R749" s="48"/>
      <c r="S749" s="48"/>
      <c r="T749" s="48"/>
      <c r="U749" s="48"/>
      <c r="V749" s="48"/>
      <c r="W749" s="48"/>
      <c r="X749" s="48"/>
      <c r="Y749" s="48"/>
      <c r="Z749" s="48"/>
    </row>
    <row r="750" ht="15.75" customHeight="1">
      <c r="A750" s="49"/>
      <c r="B750" s="49"/>
      <c r="C750" s="49"/>
      <c r="D750" s="49"/>
      <c r="E750" s="49"/>
      <c r="F750" s="49"/>
      <c r="G750" s="49"/>
      <c r="H750" s="49"/>
      <c r="I750" s="49"/>
      <c r="J750" s="49"/>
      <c r="K750" s="49"/>
      <c r="L750" s="48"/>
      <c r="M750" s="48"/>
      <c r="N750" s="48"/>
      <c r="O750" s="48"/>
      <c r="P750" s="48"/>
      <c r="Q750" s="48"/>
      <c r="R750" s="48"/>
      <c r="S750" s="48"/>
      <c r="T750" s="48"/>
      <c r="U750" s="48"/>
      <c r="V750" s="48"/>
      <c r="W750" s="48"/>
      <c r="X750" s="48"/>
      <c r="Y750" s="48"/>
      <c r="Z750" s="48"/>
    </row>
    <row r="751" ht="15.75" customHeight="1">
      <c r="A751" s="49"/>
      <c r="B751" s="49"/>
      <c r="C751" s="49"/>
      <c r="D751" s="49"/>
      <c r="E751" s="49"/>
      <c r="F751" s="49"/>
      <c r="G751" s="49"/>
      <c r="H751" s="49"/>
      <c r="I751" s="49"/>
      <c r="J751" s="49"/>
      <c r="K751" s="49"/>
      <c r="L751" s="48"/>
      <c r="M751" s="48"/>
      <c r="N751" s="48"/>
      <c r="O751" s="48"/>
      <c r="P751" s="48"/>
      <c r="Q751" s="48"/>
      <c r="R751" s="48"/>
      <c r="S751" s="48"/>
      <c r="T751" s="48"/>
      <c r="U751" s="48"/>
      <c r="V751" s="48"/>
      <c r="W751" s="48"/>
      <c r="X751" s="48"/>
      <c r="Y751" s="48"/>
      <c r="Z751" s="48"/>
    </row>
    <row r="752" ht="15.75" customHeight="1">
      <c r="A752" s="49"/>
      <c r="B752" s="49"/>
      <c r="C752" s="49"/>
      <c r="D752" s="49"/>
      <c r="E752" s="49"/>
      <c r="F752" s="49"/>
      <c r="G752" s="49"/>
      <c r="H752" s="49"/>
      <c r="I752" s="49"/>
      <c r="J752" s="49"/>
      <c r="K752" s="49"/>
      <c r="L752" s="48"/>
      <c r="M752" s="48"/>
      <c r="N752" s="48"/>
      <c r="O752" s="48"/>
      <c r="P752" s="48"/>
      <c r="Q752" s="48"/>
      <c r="R752" s="48"/>
      <c r="S752" s="48"/>
      <c r="T752" s="48"/>
      <c r="U752" s="48"/>
      <c r="V752" s="48"/>
      <c r="W752" s="48"/>
      <c r="X752" s="48"/>
      <c r="Y752" s="48"/>
      <c r="Z752" s="48"/>
    </row>
    <row r="753" ht="15.75" customHeight="1">
      <c r="A753" s="49"/>
      <c r="B753" s="49"/>
      <c r="C753" s="49"/>
      <c r="D753" s="49"/>
      <c r="E753" s="49"/>
      <c r="F753" s="49"/>
      <c r="G753" s="49"/>
      <c r="H753" s="49"/>
      <c r="I753" s="49"/>
      <c r="J753" s="49"/>
      <c r="K753" s="49"/>
      <c r="L753" s="48"/>
      <c r="M753" s="48"/>
      <c r="N753" s="48"/>
      <c r="O753" s="48"/>
      <c r="P753" s="48"/>
      <c r="Q753" s="48"/>
      <c r="R753" s="48"/>
      <c r="S753" s="48"/>
      <c r="T753" s="48"/>
      <c r="U753" s="48"/>
      <c r="V753" s="48"/>
      <c r="W753" s="48"/>
      <c r="X753" s="48"/>
      <c r="Y753" s="48"/>
      <c r="Z753" s="48"/>
    </row>
    <row r="754" ht="15.75" customHeight="1">
      <c r="A754" s="49"/>
      <c r="B754" s="49"/>
      <c r="C754" s="49"/>
      <c r="D754" s="49"/>
      <c r="E754" s="49"/>
      <c r="F754" s="49"/>
      <c r="G754" s="49"/>
      <c r="H754" s="49"/>
      <c r="I754" s="49"/>
      <c r="J754" s="49"/>
      <c r="K754" s="49"/>
      <c r="L754" s="48"/>
      <c r="M754" s="48"/>
      <c r="N754" s="48"/>
      <c r="O754" s="48"/>
      <c r="P754" s="48"/>
      <c r="Q754" s="48"/>
      <c r="R754" s="48"/>
      <c r="S754" s="48"/>
      <c r="T754" s="48"/>
      <c r="U754" s="48"/>
      <c r="V754" s="48"/>
      <c r="W754" s="48"/>
      <c r="X754" s="48"/>
      <c r="Y754" s="48"/>
      <c r="Z754" s="48"/>
    </row>
    <row r="755" ht="15.75" customHeight="1">
      <c r="A755" s="49"/>
      <c r="B755" s="49"/>
      <c r="C755" s="49"/>
      <c r="D755" s="49"/>
      <c r="E755" s="49"/>
      <c r="F755" s="49"/>
      <c r="G755" s="49"/>
      <c r="H755" s="49"/>
      <c r="I755" s="49"/>
      <c r="J755" s="49"/>
      <c r="K755" s="49"/>
      <c r="L755" s="48"/>
      <c r="M755" s="48"/>
      <c r="N755" s="48"/>
      <c r="O755" s="48"/>
      <c r="P755" s="48"/>
      <c r="Q755" s="48"/>
      <c r="R755" s="48"/>
      <c r="S755" s="48"/>
      <c r="T755" s="48"/>
      <c r="U755" s="48"/>
      <c r="V755" s="48"/>
      <c r="W755" s="48"/>
      <c r="X755" s="48"/>
      <c r="Y755" s="48"/>
      <c r="Z755" s="48"/>
    </row>
    <row r="756" ht="15.75" customHeight="1">
      <c r="A756" s="49"/>
      <c r="B756" s="49"/>
      <c r="C756" s="49"/>
      <c r="D756" s="49"/>
      <c r="E756" s="49"/>
      <c r="F756" s="49"/>
      <c r="G756" s="49"/>
      <c r="H756" s="49"/>
      <c r="I756" s="49"/>
      <c r="J756" s="49"/>
      <c r="K756" s="49"/>
      <c r="L756" s="48"/>
      <c r="M756" s="48"/>
      <c r="N756" s="48"/>
      <c r="O756" s="48"/>
      <c r="P756" s="48"/>
      <c r="Q756" s="48"/>
      <c r="R756" s="48"/>
      <c r="S756" s="48"/>
      <c r="T756" s="48"/>
      <c r="U756" s="48"/>
      <c r="V756" s="48"/>
      <c r="W756" s="48"/>
      <c r="X756" s="48"/>
      <c r="Y756" s="48"/>
      <c r="Z756" s="48"/>
    </row>
    <row r="757" ht="15.75" customHeight="1">
      <c r="A757" s="49"/>
      <c r="B757" s="49"/>
      <c r="C757" s="49"/>
      <c r="D757" s="49"/>
      <c r="E757" s="49"/>
      <c r="F757" s="49"/>
      <c r="G757" s="49"/>
      <c r="H757" s="49"/>
      <c r="I757" s="49"/>
      <c r="J757" s="49"/>
      <c r="K757" s="49"/>
      <c r="L757" s="48"/>
      <c r="M757" s="48"/>
      <c r="N757" s="48"/>
      <c r="O757" s="48"/>
      <c r="P757" s="48"/>
      <c r="Q757" s="48"/>
      <c r="R757" s="48"/>
      <c r="S757" s="48"/>
      <c r="T757" s="48"/>
      <c r="U757" s="48"/>
      <c r="V757" s="48"/>
      <c r="W757" s="48"/>
      <c r="X757" s="48"/>
      <c r="Y757" s="48"/>
      <c r="Z757" s="48"/>
    </row>
    <row r="758" ht="15.75" customHeight="1">
      <c r="A758" s="49"/>
      <c r="B758" s="49"/>
      <c r="C758" s="49"/>
      <c r="D758" s="49"/>
      <c r="E758" s="49"/>
      <c r="F758" s="49"/>
      <c r="G758" s="49"/>
      <c r="H758" s="49"/>
      <c r="I758" s="49"/>
      <c r="J758" s="49"/>
      <c r="K758" s="49"/>
      <c r="L758" s="48"/>
      <c r="M758" s="48"/>
      <c r="N758" s="48"/>
      <c r="O758" s="48"/>
      <c r="P758" s="48"/>
      <c r="Q758" s="48"/>
      <c r="R758" s="48"/>
      <c r="S758" s="48"/>
      <c r="T758" s="48"/>
      <c r="U758" s="48"/>
      <c r="V758" s="48"/>
      <c r="W758" s="48"/>
      <c r="X758" s="48"/>
      <c r="Y758" s="48"/>
      <c r="Z758" s="48"/>
    </row>
    <row r="759" ht="15.75" customHeight="1">
      <c r="A759" s="49"/>
      <c r="B759" s="49"/>
      <c r="C759" s="49"/>
      <c r="D759" s="49"/>
      <c r="E759" s="49"/>
      <c r="F759" s="49"/>
      <c r="G759" s="49"/>
      <c r="H759" s="49"/>
      <c r="I759" s="49"/>
      <c r="J759" s="49"/>
      <c r="K759" s="49"/>
      <c r="L759" s="48"/>
      <c r="M759" s="48"/>
      <c r="N759" s="48"/>
      <c r="O759" s="48"/>
      <c r="P759" s="48"/>
      <c r="Q759" s="48"/>
      <c r="R759" s="48"/>
      <c r="S759" s="48"/>
      <c r="T759" s="48"/>
      <c r="U759" s="48"/>
      <c r="V759" s="48"/>
      <c r="W759" s="48"/>
      <c r="X759" s="48"/>
      <c r="Y759" s="48"/>
      <c r="Z759" s="48"/>
    </row>
    <row r="760" ht="15.75" customHeight="1">
      <c r="A760" s="49"/>
      <c r="B760" s="49"/>
      <c r="C760" s="49"/>
      <c r="D760" s="49"/>
      <c r="E760" s="49"/>
      <c r="F760" s="49"/>
      <c r="G760" s="49"/>
      <c r="H760" s="49"/>
      <c r="I760" s="49"/>
      <c r="J760" s="49"/>
      <c r="K760" s="49"/>
      <c r="L760" s="48"/>
      <c r="M760" s="48"/>
      <c r="N760" s="48"/>
      <c r="O760" s="48"/>
      <c r="P760" s="48"/>
      <c r="Q760" s="48"/>
      <c r="R760" s="48"/>
      <c r="S760" s="48"/>
      <c r="T760" s="48"/>
      <c r="U760" s="48"/>
      <c r="V760" s="48"/>
      <c r="W760" s="48"/>
      <c r="X760" s="48"/>
      <c r="Y760" s="48"/>
      <c r="Z760" s="48"/>
    </row>
    <row r="761" ht="15.75" customHeight="1">
      <c r="A761" s="49"/>
      <c r="B761" s="49"/>
      <c r="C761" s="49"/>
      <c r="D761" s="49"/>
      <c r="E761" s="49"/>
      <c r="F761" s="49"/>
      <c r="G761" s="49"/>
      <c r="H761" s="49"/>
      <c r="I761" s="49"/>
      <c r="J761" s="49"/>
      <c r="K761" s="49"/>
      <c r="L761" s="48"/>
      <c r="M761" s="48"/>
      <c r="N761" s="48"/>
      <c r="O761" s="48"/>
      <c r="P761" s="48"/>
      <c r="Q761" s="48"/>
      <c r="R761" s="48"/>
      <c r="S761" s="48"/>
      <c r="T761" s="48"/>
      <c r="U761" s="48"/>
      <c r="V761" s="48"/>
      <c r="W761" s="48"/>
      <c r="X761" s="48"/>
      <c r="Y761" s="48"/>
      <c r="Z761" s="48"/>
    </row>
    <row r="762" ht="15.75" customHeight="1">
      <c r="A762" s="49"/>
      <c r="B762" s="49"/>
      <c r="C762" s="49"/>
      <c r="D762" s="49"/>
      <c r="E762" s="49"/>
      <c r="F762" s="49"/>
      <c r="G762" s="49"/>
      <c r="H762" s="49"/>
      <c r="I762" s="49"/>
      <c r="J762" s="49"/>
      <c r="K762" s="49"/>
      <c r="L762" s="48"/>
      <c r="M762" s="48"/>
      <c r="N762" s="48"/>
      <c r="O762" s="48"/>
      <c r="P762" s="48"/>
      <c r="Q762" s="48"/>
      <c r="R762" s="48"/>
      <c r="S762" s="48"/>
      <c r="T762" s="48"/>
      <c r="U762" s="48"/>
      <c r="V762" s="48"/>
      <c r="W762" s="48"/>
      <c r="X762" s="48"/>
      <c r="Y762" s="48"/>
      <c r="Z762" s="48"/>
    </row>
    <row r="763" ht="15.75" customHeight="1">
      <c r="A763" s="49"/>
      <c r="B763" s="49"/>
      <c r="C763" s="49"/>
      <c r="D763" s="49"/>
      <c r="E763" s="49"/>
      <c r="F763" s="49"/>
      <c r="G763" s="49"/>
      <c r="H763" s="49"/>
      <c r="I763" s="49"/>
      <c r="J763" s="49"/>
      <c r="K763" s="49"/>
      <c r="L763" s="48"/>
      <c r="M763" s="48"/>
      <c r="N763" s="48"/>
      <c r="O763" s="48"/>
      <c r="P763" s="48"/>
      <c r="Q763" s="48"/>
      <c r="R763" s="48"/>
      <c r="S763" s="48"/>
      <c r="T763" s="48"/>
      <c r="U763" s="48"/>
      <c r="V763" s="48"/>
      <c r="W763" s="48"/>
      <c r="X763" s="48"/>
      <c r="Y763" s="48"/>
      <c r="Z763" s="48"/>
    </row>
    <row r="764" ht="15.75" customHeight="1">
      <c r="A764" s="49"/>
      <c r="B764" s="49"/>
      <c r="C764" s="49"/>
      <c r="D764" s="49"/>
      <c r="E764" s="49"/>
      <c r="F764" s="49"/>
      <c r="G764" s="49"/>
      <c r="H764" s="49"/>
      <c r="I764" s="49"/>
      <c r="J764" s="49"/>
      <c r="K764" s="49"/>
      <c r="L764" s="48"/>
      <c r="M764" s="48"/>
      <c r="N764" s="48"/>
      <c r="O764" s="48"/>
      <c r="P764" s="48"/>
      <c r="Q764" s="48"/>
      <c r="R764" s="48"/>
      <c r="S764" s="48"/>
      <c r="T764" s="48"/>
      <c r="U764" s="48"/>
      <c r="V764" s="48"/>
      <c r="W764" s="48"/>
      <c r="X764" s="48"/>
      <c r="Y764" s="48"/>
      <c r="Z764" s="48"/>
    </row>
    <row r="765" ht="15.75" customHeight="1">
      <c r="A765" s="49"/>
      <c r="B765" s="49"/>
      <c r="C765" s="49"/>
      <c r="D765" s="49"/>
      <c r="E765" s="49"/>
      <c r="F765" s="49"/>
      <c r="G765" s="49"/>
      <c r="H765" s="49"/>
      <c r="I765" s="49"/>
      <c r="J765" s="49"/>
      <c r="K765" s="49"/>
      <c r="L765" s="48"/>
      <c r="M765" s="48"/>
      <c r="N765" s="48"/>
      <c r="O765" s="48"/>
      <c r="P765" s="48"/>
      <c r="Q765" s="48"/>
      <c r="R765" s="48"/>
      <c r="S765" s="48"/>
      <c r="T765" s="48"/>
      <c r="U765" s="48"/>
      <c r="V765" s="48"/>
      <c r="W765" s="48"/>
      <c r="X765" s="48"/>
      <c r="Y765" s="48"/>
      <c r="Z765" s="48"/>
    </row>
    <row r="766" ht="15.75" customHeight="1">
      <c r="A766" s="49"/>
      <c r="B766" s="49"/>
      <c r="C766" s="49"/>
      <c r="D766" s="49"/>
      <c r="E766" s="49"/>
      <c r="F766" s="49"/>
      <c r="G766" s="49"/>
      <c r="H766" s="49"/>
      <c r="I766" s="49"/>
      <c r="J766" s="49"/>
      <c r="K766" s="49"/>
      <c r="L766" s="48"/>
      <c r="M766" s="48"/>
      <c r="N766" s="48"/>
      <c r="O766" s="48"/>
      <c r="P766" s="48"/>
      <c r="Q766" s="48"/>
      <c r="R766" s="48"/>
      <c r="S766" s="48"/>
      <c r="T766" s="48"/>
      <c r="U766" s="48"/>
      <c r="V766" s="48"/>
      <c r="W766" s="48"/>
      <c r="X766" s="48"/>
      <c r="Y766" s="48"/>
      <c r="Z766" s="48"/>
    </row>
    <row r="767" ht="15.75" customHeight="1">
      <c r="A767" s="49"/>
      <c r="B767" s="49"/>
      <c r="C767" s="49"/>
      <c r="D767" s="49"/>
      <c r="E767" s="49"/>
      <c r="F767" s="49"/>
      <c r="G767" s="49"/>
      <c r="H767" s="49"/>
      <c r="I767" s="49"/>
      <c r="J767" s="49"/>
      <c r="K767" s="49"/>
      <c r="L767" s="48"/>
      <c r="M767" s="48"/>
      <c r="N767" s="48"/>
      <c r="O767" s="48"/>
      <c r="P767" s="48"/>
      <c r="Q767" s="48"/>
      <c r="R767" s="48"/>
      <c r="S767" s="48"/>
      <c r="T767" s="48"/>
      <c r="U767" s="48"/>
      <c r="V767" s="48"/>
      <c r="W767" s="48"/>
      <c r="X767" s="48"/>
      <c r="Y767" s="48"/>
      <c r="Z767" s="48"/>
    </row>
    <row r="768" ht="15.75" customHeight="1">
      <c r="A768" s="49"/>
      <c r="B768" s="49"/>
      <c r="C768" s="49"/>
      <c r="D768" s="49"/>
      <c r="E768" s="49"/>
      <c r="F768" s="49"/>
      <c r="G768" s="49"/>
      <c r="H768" s="49"/>
      <c r="I768" s="49"/>
      <c r="J768" s="49"/>
      <c r="K768" s="49"/>
      <c r="L768" s="48"/>
      <c r="M768" s="48"/>
      <c r="N768" s="48"/>
      <c r="O768" s="48"/>
      <c r="P768" s="48"/>
      <c r="Q768" s="48"/>
      <c r="R768" s="48"/>
      <c r="S768" s="48"/>
      <c r="T768" s="48"/>
      <c r="U768" s="48"/>
      <c r="V768" s="48"/>
      <c r="W768" s="48"/>
      <c r="X768" s="48"/>
      <c r="Y768" s="48"/>
      <c r="Z768" s="48"/>
    </row>
    <row r="769" ht="15.75" customHeight="1">
      <c r="A769" s="49"/>
      <c r="B769" s="49"/>
      <c r="C769" s="49"/>
      <c r="D769" s="49"/>
      <c r="E769" s="49"/>
      <c r="F769" s="49"/>
      <c r="G769" s="49"/>
      <c r="H769" s="49"/>
      <c r="I769" s="49"/>
      <c r="J769" s="49"/>
      <c r="K769" s="49"/>
      <c r="L769" s="48"/>
      <c r="M769" s="48"/>
      <c r="N769" s="48"/>
      <c r="O769" s="48"/>
      <c r="P769" s="48"/>
      <c r="Q769" s="48"/>
      <c r="R769" s="48"/>
      <c r="S769" s="48"/>
      <c r="T769" s="48"/>
      <c r="U769" s="48"/>
      <c r="V769" s="48"/>
      <c r="W769" s="48"/>
      <c r="X769" s="48"/>
      <c r="Y769" s="48"/>
      <c r="Z769" s="48"/>
    </row>
    <row r="770" ht="15.75" customHeight="1">
      <c r="A770" s="49"/>
      <c r="B770" s="49"/>
      <c r="C770" s="49"/>
      <c r="D770" s="49"/>
      <c r="E770" s="49"/>
      <c r="F770" s="49"/>
      <c r="G770" s="49"/>
      <c r="H770" s="49"/>
      <c r="I770" s="49"/>
      <c r="J770" s="49"/>
      <c r="K770" s="49"/>
      <c r="L770" s="48"/>
      <c r="M770" s="48"/>
      <c r="N770" s="48"/>
      <c r="O770" s="48"/>
      <c r="P770" s="48"/>
      <c r="Q770" s="48"/>
      <c r="R770" s="48"/>
      <c r="S770" s="48"/>
      <c r="T770" s="48"/>
      <c r="U770" s="48"/>
      <c r="V770" s="48"/>
      <c r="W770" s="48"/>
      <c r="X770" s="48"/>
      <c r="Y770" s="48"/>
      <c r="Z770" s="48"/>
    </row>
    <row r="771" ht="15.75" customHeight="1">
      <c r="A771" s="49"/>
      <c r="B771" s="49"/>
      <c r="C771" s="49"/>
      <c r="D771" s="49"/>
      <c r="E771" s="49"/>
      <c r="F771" s="49"/>
      <c r="G771" s="49"/>
      <c r="H771" s="49"/>
      <c r="I771" s="49"/>
      <c r="J771" s="49"/>
      <c r="K771" s="49"/>
      <c r="L771" s="48"/>
      <c r="M771" s="48"/>
      <c r="N771" s="48"/>
      <c r="O771" s="48"/>
      <c r="P771" s="48"/>
      <c r="Q771" s="48"/>
      <c r="R771" s="48"/>
      <c r="S771" s="48"/>
      <c r="T771" s="48"/>
      <c r="U771" s="48"/>
      <c r="V771" s="48"/>
      <c r="W771" s="48"/>
      <c r="X771" s="48"/>
      <c r="Y771" s="48"/>
      <c r="Z771" s="48"/>
    </row>
    <row r="772" ht="15.75" customHeight="1">
      <c r="A772" s="49"/>
      <c r="B772" s="49"/>
      <c r="C772" s="49"/>
      <c r="D772" s="49"/>
      <c r="E772" s="49"/>
      <c r="F772" s="49"/>
      <c r="G772" s="49"/>
      <c r="H772" s="49"/>
      <c r="I772" s="49"/>
      <c r="J772" s="49"/>
      <c r="K772" s="49"/>
      <c r="L772" s="48"/>
      <c r="M772" s="48"/>
      <c r="N772" s="48"/>
      <c r="O772" s="48"/>
      <c r="P772" s="48"/>
      <c r="Q772" s="48"/>
      <c r="R772" s="48"/>
      <c r="S772" s="48"/>
      <c r="T772" s="48"/>
      <c r="U772" s="48"/>
      <c r="V772" s="48"/>
      <c r="W772" s="48"/>
      <c r="X772" s="48"/>
      <c r="Y772" s="48"/>
      <c r="Z772" s="48"/>
    </row>
    <row r="773" ht="15.75" customHeight="1">
      <c r="A773" s="49"/>
      <c r="B773" s="49"/>
      <c r="C773" s="49"/>
      <c r="D773" s="49"/>
      <c r="E773" s="49"/>
      <c r="F773" s="49"/>
      <c r="G773" s="49"/>
      <c r="H773" s="49"/>
      <c r="I773" s="49"/>
      <c r="J773" s="49"/>
      <c r="K773" s="49"/>
      <c r="L773" s="48"/>
      <c r="M773" s="48"/>
      <c r="N773" s="48"/>
      <c r="O773" s="48"/>
      <c r="P773" s="48"/>
      <c r="Q773" s="48"/>
      <c r="R773" s="48"/>
      <c r="S773" s="48"/>
      <c r="T773" s="48"/>
      <c r="U773" s="48"/>
      <c r="V773" s="48"/>
      <c r="W773" s="48"/>
      <c r="X773" s="48"/>
      <c r="Y773" s="48"/>
      <c r="Z773" s="48"/>
    </row>
    <row r="774" ht="15.75" customHeight="1">
      <c r="A774" s="49"/>
      <c r="B774" s="49"/>
      <c r="C774" s="49"/>
      <c r="D774" s="49"/>
      <c r="E774" s="49"/>
      <c r="F774" s="49"/>
      <c r="G774" s="49"/>
      <c r="H774" s="49"/>
      <c r="I774" s="49"/>
      <c r="J774" s="49"/>
      <c r="K774" s="49"/>
      <c r="L774" s="48"/>
      <c r="M774" s="48"/>
      <c r="N774" s="48"/>
      <c r="O774" s="48"/>
      <c r="P774" s="48"/>
      <c r="Q774" s="48"/>
      <c r="R774" s="48"/>
      <c r="S774" s="48"/>
      <c r="T774" s="48"/>
      <c r="U774" s="48"/>
      <c r="V774" s="48"/>
      <c r="W774" s="48"/>
      <c r="X774" s="48"/>
      <c r="Y774" s="48"/>
      <c r="Z774" s="48"/>
    </row>
    <row r="775" ht="15.75" customHeight="1">
      <c r="A775" s="49"/>
      <c r="B775" s="49"/>
      <c r="C775" s="49"/>
      <c r="D775" s="49"/>
      <c r="E775" s="49"/>
      <c r="F775" s="49"/>
      <c r="G775" s="49"/>
      <c r="H775" s="49"/>
      <c r="I775" s="49"/>
      <c r="J775" s="49"/>
      <c r="K775" s="49"/>
      <c r="L775" s="48"/>
      <c r="M775" s="48"/>
      <c r="N775" s="48"/>
      <c r="O775" s="48"/>
      <c r="P775" s="48"/>
      <c r="Q775" s="48"/>
      <c r="R775" s="48"/>
      <c r="S775" s="48"/>
      <c r="T775" s="48"/>
      <c r="U775" s="48"/>
      <c r="V775" s="48"/>
      <c r="W775" s="48"/>
      <c r="X775" s="48"/>
      <c r="Y775" s="48"/>
      <c r="Z775" s="48"/>
    </row>
    <row r="776" ht="15.75" customHeight="1">
      <c r="A776" s="49"/>
      <c r="B776" s="49"/>
      <c r="C776" s="49"/>
      <c r="D776" s="49"/>
      <c r="E776" s="49"/>
      <c r="F776" s="49"/>
      <c r="G776" s="49"/>
      <c r="H776" s="49"/>
      <c r="I776" s="49"/>
      <c r="J776" s="49"/>
      <c r="K776" s="49"/>
      <c r="L776" s="48"/>
      <c r="M776" s="48"/>
      <c r="N776" s="48"/>
      <c r="O776" s="48"/>
      <c r="P776" s="48"/>
      <c r="Q776" s="48"/>
      <c r="R776" s="48"/>
      <c r="S776" s="48"/>
      <c r="T776" s="48"/>
      <c r="U776" s="48"/>
      <c r="V776" s="48"/>
      <c r="W776" s="48"/>
      <c r="X776" s="48"/>
      <c r="Y776" s="48"/>
      <c r="Z776" s="48"/>
    </row>
    <row r="777" ht="15.75" customHeight="1">
      <c r="A777" s="49"/>
      <c r="B777" s="49"/>
      <c r="C777" s="49"/>
      <c r="D777" s="49"/>
      <c r="E777" s="49"/>
      <c r="F777" s="49"/>
      <c r="G777" s="49"/>
      <c r="H777" s="49"/>
      <c r="I777" s="49"/>
      <c r="J777" s="49"/>
      <c r="K777" s="49"/>
      <c r="L777" s="48"/>
      <c r="M777" s="48"/>
      <c r="N777" s="48"/>
      <c r="O777" s="48"/>
      <c r="P777" s="48"/>
      <c r="Q777" s="48"/>
      <c r="R777" s="48"/>
      <c r="S777" s="48"/>
      <c r="T777" s="48"/>
      <c r="U777" s="48"/>
      <c r="V777" s="48"/>
      <c r="W777" s="48"/>
      <c r="X777" s="48"/>
      <c r="Y777" s="48"/>
      <c r="Z777" s="48"/>
    </row>
    <row r="778" ht="15.75" customHeight="1">
      <c r="A778" s="49"/>
      <c r="B778" s="49"/>
      <c r="C778" s="49"/>
      <c r="D778" s="49"/>
      <c r="E778" s="49"/>
      <c r="F778" s="49"/>
      <c r="G778" s="49"/>
      <c r="H778" s="49"/>
      <c r="I778" s="49"/>
      <c r="J778" s="49"/>
      <c r="K778" s="49"/>
      <c r="L778" s="48"/>
      <c r="M778" s="48"/>
      <c r="N778" s="48"/>
      <c r="O778" s="48"/>
      <c r="P778" s="48"/>
      <c r="Q778" s="48"/>
      <c r="R778" s="48"/>
      <c r="S778" s="48"/>
      <c r="T778" s="48"/>
      <c r="U778" s="48"/>
      <c r="V778" s="48"/>
      <c r="W778" s="48"/>
      <c r="X778" s="48"/>
      <c r="Y778" s="48"/>
      <c r="Z778" s="48"/>
    </row>
    <row r="779" ht="15.75" customHeight="1">
      <c r="A779" s="49"/>
      <c r="B779" s="49"/>
      <c r="C779" s="49"/>
      <c r="D779" s="49"/>
      <c r="E779" s="49"/>
      <c r="F779" s="49"/>
      <c r="G779" s="49"/>
      <c r="H779" s="49"/>
      <c r="I779" s="49"/>
      <c r="J779" s="49"/>
      <c r="K779" s="49"/>
      <c r="L779" s="48"/>
      <c r="M779" s="48"/>
      <c r="N779" s="48"/>
      <c r="O779" s="48"/>
      <c r="P779" s="48"/>
      <c r="Q779" s="48"/>
      <c r="R779" s="48"/>
      <c r="S779" s="48"/>
      <c r="T779" s="48"/>
      <c r="U779" s="48"/>
      <c r="V779" s="48"/>
      <c r="W779" s="48"/>
      <c r="X779" s="48"/>
      <c r="Y779" s="48"/>
      <c r="Z779" s="48"/>
    </row>
    <row r="780" ht="15.75" customHeight="1">
      <c r="A780" s="49"/>
      <c r="B780" s="49"/>
      <c r="C780" s="49"/>
      <c r="D780" s="49"/>
      <c r="E780" s="49"/>
      <c r="F780" s="49"/>
      <c r="G780" s="49"/>
      <c r="H780" s="49"/>
      <c r="I780" s="49"/>
      <c r="J780" s="49"/>
      <c r="K780" s="49"/>
      <c r="L780" s="48"/>
      <c r="M780" s="48"/>
      <c r="N780" s="48"/>
      <c r="O780" s="48"/>
      <c r="P780" s="48"/>
      <c r="Q780" s="48"/>
      <c r="R780" s="48"/>
      <c r="S780" s="48"/>
      <c r="T780" s="48"/>
      <c r="U780" s="48"/>
      <c r="V780" s="48"/>
      <c r="W780" s="48"/>
      <c r="X780" s="48"/>
      <c r="Y780" s="48"/>
      <c r="Z780" s="48"/>
    </row>
    <row r="781" ht="15.75" customHeight="1">
      <c r="A781" s="49"/>
      <c r="B781" s="49"/>
      <c r="C781" s="49"/>
      <c r="D781" s="49"/>
      <c r="E781" s="49"/>
      <c r="F781" s="49"/>
      <c r="G781" s="49"/>
      <c r="H781" s="49"/>
      <c r="I781" s="49"/>
      <c r="J781" s="49"/>
      <c r="K781" s="49"/>
      <c r="L781" s="48"/>
      <c r="M781" s="48"/>
      <c r="N781" s="48"/>
      <c r="O781" s="48"/>
      <c r="P781" s="48"/>
      <c r="Q781" s="48"/>
      <c r="R781" s="48"/>
      <c r="S781" s="48"/>
      <c r="T781" s="48"/>
      <c r="U781" s="48"/>
      <c r="V781" s="48"/>
      <c r="W781" s="48"/>
      <c r="X781" s="48"/>
      <c r="Y781" s="48"/>
      <c r="Z781" s="48"/>
    </row>
    <row r="782" ht="15.75" customHeight="1">
      <c r="A782" s="49"/>
      <c r="B782" s="49"/>
      <c r="C782" s="49"/>
      <c r="D782" s="49"/>
      <c r="E782" s="49"/>
      <c r="F782" s="49"/>
      <c r="G782" s="49"/>
      <c r="H782" s="49"/>
      <c r="I782" s="49"/>
      <c r="J782" s="49"/>
      <c r="K782" s="49"/>
      <c r="L782" s="48"/>
      <c r="M782" s="48"/>
      <c r="N782" s="48"/>
      <c r="O782" s="48"/>
      <c r="P782" s="48"/>
      <c r="Q782" s="48"/>
      <c r="R782" s="48"/>
      <c r="S782" s="48"/>
      <c r="T782" s="48"/>
      <c r="U782" s="48"/>
      <c r="V782" s="48"/>
      <c r="W782" s="48"/>
      <c r="X782" s="48"/>
      <c r="Y782" s="48"/>
      <c r="Z782" s="48"/>
    </row>
    <row r="783" ht="15.75" customHeight="1">
      <c r="A783" s="49"/>
      <c r="B783" s="49"/>
      <c r="C783" s="49"/>
      <c r="D783" s="49"/>
      <c r="E783" s="49"/>
      <c r="F783" s="49"/>
      <c r="G783" s="49"/>
      <c r="H783" s="49"/>
      <c r="I783" s="49"/>
      <c r="J783" s="49"/>
      <c r="K783" s="49"/>
      <c r="L783" s="48"/>
      <c r="M783" s="48"/>
      <c r="N783" s="48"/>
      <c r="O783" s="48"/>
      <c r="P783" s="48"/>
      <c r="Q783" s="48"/>
      <c r="R783" s="48"/>
      <c r="S783" s="48"/>
      <c r="T783" s="48"/>
      <c r="U783" s="48"/>
      <c r="V783" s="48"/>
      <c r="W783" s="48"/>
      <c r="X783" s="48"/>
      <c r="Y783" s="48"/>
      <c r="Z783" s="48"/>
    </row>
    <row r="784" ht="15.75" customHeight="1">
      <c r="A784" s="49"/>
      <c r="B784" s="49"/>
      <c r="C784" s="49"/>
      <c r="D784" s="49"/>
      <c r="E784" s="49"/>
      <c r="F784" s="49"/>
      <c r="G784" s="49"/>
      <c r="H784" s="49"/>
      <c r="I784" s="49"/>
      <c r="J784" s="49"/>
      <c r="K784" s="49"/>
      <c r="L784" s="48"/>
      <c r="M784" s="48"/>
      <c r="N784" s="48"/>
      <c r="O784" s="48"/>
      <c r="P784" s="48"/>
      <c r="Q784" s="48"/>
      <c r="R784" s="48"/>
      <c r="S784" s="48"/>
      <c r="T784" s="48"/>
      <c r="U784" s="48"/>
      <c r="V784" s="48"/>
      <c r="W784" s="48"/>
      <c r="X784" s="48"/>
      <c r="Y784" s="48"/>
      <c r="Z784" s="48"/>
    </row>
    <row r="785" ht="15.75" customHeight="1">
      <c r="A785" s="49"/>
      <c r="B785" s="49"/>
      <c r="C785" s="49"/>
      <c r="D785" s="49"/>
      <c r="E785" s="49"/>
      <c r="F785" s="49"/>
      <c r="G785" s="49"/>
      <c r="H785" s="49"/>
      <c r="I785" s="49"/>
      <c r="J785" s="49"/>
      <c r="K785" s="49"/>
      <c r="L785" s="48"/>
      <c r="M785" s="48"/>
      <c r="N785" s="48"/>
      <c r="O785" s="48"/>
      <c r="P785" s="48"/>
      <c r="Q785" s="48"/>
      <c r="R785" s="48"/>
      <c r="S785" s="48"/>
      <c r="T785" s="48"/>
      <c r="U785" s="48"/>
      <c r="V785" s="48"/>
      <c r="W785" s="48"/>
      <c r="X785" s="48"/>
      <c r="Y785" s="48"/>
      <c r="Z785" s="48"/>
    </row>
    <row r="786" ht="15.75" customHeight="1">
      <c r="A786" s="49"/>
      <c r="B786" s="49"/>
      <c r="C786" s="49"/>
      <c r="D786" s="49"/>
      <c r="E786" s="49"/>
      <c r="F786" s="49"/>
      <c r="G786" s="49"/>
      <c r="H786" s="49"/>
      <c r="I786" s="49"/>
      <c r="J786" s="49"/>
      <c r="K786" s="49"/>
      <c r="L786" s="48"/>
      <c r="M786" s="48"/>
      <c r="N786" s="48"/>
      <c r="O786" s="48"/>
      <c r="P786" s="48"/>
      <c r="Q786" s="48"/>
      <c r="R786" s="48"/>
      <c r="S786" s="48"/>
      <c r="T786" s="48"/>
      <c r="U786" s="48"/>
      <c r="V786" s="48"/>
      <c r="W786" s="48"/>
      <c r="X786" s="48"/>
      <c r="Y786" s="48"/>
      <c r="Z786" s="48"/>
    </row>
    <row r="787" ht="15.75" customHeight="1">
      <c r="A787" s="49"/>
      <c r="B787" s="49"/>
      <c r="C787" s="49"/>
      <c r="D787" s="49"/>
      <c r="E787" s="49"/>
      <c r="F787" s="49"/>
      <c r="G787" s="49"/>
      <c r="H787" s="49"/>
      <c r="I787" s="49"/>
      <c r="J787" s="49"/>
      <c r="K787" s="49"/>
      <c r="L787" s="48"/>
      <c r="M787" s="48"/>
      <c r="N787" s="48"/>
      <c r="O787" s="48"/>
      <c r="P787" s="48"/>
      <c r="Q787" s="48"/>
      <c r="R787" s="48"/>
      <c r="S787" s="48"/>
      <c r="T787" s="48"/>
      <c r="U787" s="48"/>
      <c r="V787" s="48"/>
      <c r="W787" s="48"/>
      <c r="X787" s="48"/>
      <c r="Y787" s="48"/>
      <c r="Z787" s="48"/>
    </row>
    <row r="788" ht="15.75" customHeight="1">
      <c r="A788" s="49"/>
      <c r="B788" s="49"/>
      <c r="C788" s="49"/>
      <c r="D788" s="49"/>
      <c r="E788" s="49"/>
      <c r="F788" s="49"/>
      <c r="G788" s="49"/>
      <c r="H788" s="49"/>
      <c r="I788" s="49"/>
      <c r="J788" s="49"/>
      <c r="K788" s="49"/>
      <c r="L788" s="48"/>
      <c r="M788" s="48"/>
      <c r="N788" s="48"/>
      <c r="O788" s="48"/>
      <c r="P788" s="48"/>
      <c r="Q788" s="48"/>
      <c r="R788" s="48"/>
      <c r="S788" s="48"/>
      <c r="T788" s="48"/>
      <c r="U788" s="48"/>
      <c r="V788" s="48"/>
      <c r="W788" s="48"/>
      <c r="X788" s="48"/>
      <c r="Y788" s="48"/>
      <c r="Z788" s="48"/>
    </row>
    <row r="789" ht="15.75" customHeight="1">
      <c r="A789" s="49"/>
      <c r="B789" s="49"/>
      <c r="C789" s="49"/>
      <c r="D789" s="49"/>
      <c r="E789" s="49"/>
      <c r="F789" s="49"/>
      <c r="G789" s="49"/>
      <c r="H789" s="49"/>
      <c r="I789" s="49"/>
      <c r="J789" s="49"/>
      <c r="K789" s="49"/>
      <c r="L789" s="48"/>
      <c r="M789" s="48"/>
      <c r="N789" s="48"/>
      <c r="O789" s="48"/>
      <c r="P789" s="48"/>
      <c r="Q789" s="48"/>
      <c r="R789" s="48"/>
      <c r="S789" s="48"/>
      <c r="T789" s="48"/>
      <c r="U789" s="48"/>
      <c r="V789" s="48"/>
      <c r="W789" s="48"/>
      <c r="X789" s="48"/>
      <c r="Y789" s="48"/>
      <c r="Z789" s="48"/>
    </row>
    <row r="790" ht="15.75" customHeight="1">
      <c r="A790" s="49"/>
      <c r="B790" s="49"/>
      <c r="C790" s="49"/>
      <c r="D790" s="49"/>
      <c r="E790" s="49"/>
      <c r="F790" s="49"/>
      <c r="G790" s="49"/>
      <c r="H790" s="49"/>
      <c r="I790" s="49"/>
      <c r="J790" s="49"/>
      <c r="K790" s="49"/>
      <c r="L790" s="48"/>
      <c r="M790" s="48"/>
      <c r="N790" s="48"/>
      <c r="O790" s="48"/>
      <c r="P790" s="48"/>
      <c r="Q790" s="48"/>
      <c r="R790" s="48"/>
      <c r="S790" s="48"/>
      <c r="T790" s="48"/>
      <c r="U790" s="48"/>
      <c r="V790" s="48"/>
      <c r="W790" s="48"/>
      <c r="X790" s="48"/>
      <c r="Y790" s="48"/>
      <c r="Z790" s="48"/>
    </row>
    <row r="791" ht="15.75" customHeight="1">
      <c r="A791" s="49"/>
      <c r="B791" s="49"/>
      <c r="C791" s="49"/>
      <c r="D791" s="49"/>
      <c r="E791" s="49"/>
      <c r="F791" s="49"/>
      <c r="G791" s="49"/>
      <c r="H791" s="49"/>
      <c r="I791" s="49"/>
      <c r="J791" s="49"/>
      <c r="K791" s="49"/>
      <c r="L791" s="48"/>
      <c r="M791" s="48"/>
      <c r="N791" s="48"/>
      <c r="O791" s="48"/>
      <c r="P791" s="48"/>
      <c r="Q791" s="48"/>
      <c r="R791" s="48"/>
      <c r="S791" s="48"/>
      <c r="T791" s="48"/>
      <c r="U791" s="48"/>
      <c r="V791" s="48"/>
      <c r="W791" s="48"/>
      <c r="X791" s="48"/>
      <c r="Y791" s="48"/>
      <c r="Z791" s="48"/>
    </row>
    <row r="792" ht="15.75" customHeight="1">
      <c r="A792" s="49"/>
      <c r="B792" s="49"/>
      <c r="C792" s="49"/>
      <c r="D792" s="49"/>
      <c r="E792" s="49"/>
      <c r="F792" s="49"/>
      <c r="G792" s="49"/>
      <c r="H792" s="49"/>
      <c r="I792" s="49"/>
      <c r="J792" s="49"/>
      <c r="K792" s="49"/>
      <c r="L792" s="48"/>
      <c r="M792" s="48"/>
      <c r="N792" s="48"/>
      <c r="O792" s="48"/>
      <c r="P792" s="48"/>
      <c r="Q792" s="48"/>
      <c r="R792" s="48"/>
      <c r="S792" s="48"/>
      <c r="T792" s="48"/>
      <c r="U792" s="48"/>
      <c r="V792" s="48"/>
      <c r="W792" s="48"/>
      <c r="X792" s="48"/>
      <c r="Y792" s="48"/>
      <c r="Z792" s="48"/>
    </row>
    <row r="793" ht="15.75" customHeight="1">
      <c r="A793" s="49"/>
      <c r="B793" s="49"/>
      <c r="C793" s="49"/>
      <c r="D793" s="49"/>
      <c r="E793" s="49"/>
      <c r="F793" s="49"/>
      <c r="G793" s="49"/>
      <c r="H793" s="49"/>
      <c r="I793" s="49"/>
      <c r="J793" s="49"/>
      <c r="K793" s="49"/>
      <c r="L793" s="48"/>
      <c r="M793" s="48"/>
      <c r="N793" s="48"/>
      <c r="O793" s="48"/>
      <c r="P793" s="48"/>
      <c r="Q793" s="48"/>
      <c r="R793" s="48"/>
      <c r="S793" s="48"/>
      <c r="T793" s="48"/>
      <c r="U793" s="48"/>
      <c r="V793" s="48"/>
      <c r="W793" s="48"/>
      <c r="X793" s="48"/>
      <c r="Y793" s="48"/>
      <c r="Z793" s="48"/>
    </row>
    <row r="794" ht="15.75" customHeight="1">
      <c r="A794" s="49"/>
      <c r="B794" s="49"/>
      <c r="C794" s="49"/>
      <c r="D794" s="49"/>
      <c r="E794" s="49"/>
      <c r="F794" s="49"/>
      <c r="G794" s="49"/>
      <c r="H794" s="49"/>
      <c r="I794" s="49"/>
      <c r="J794" s="49"/>
      <c r="K794" s="49"/>
      <c r="L794" s="48"/>
      <c r="M794" s="48"/>
      <c r="N794" s="48"/>
      <c r="O794" s="48"/>
      <c r="P794" s="48"/>
      <c r="Q794" s="48"/>
      <c r="R794" s="48"/>
      <c r="S794" s="48"/>
      <c r="T794" s="48"/>
      <c r="U794" s="48"/>
      <c r="V794" s="48"/>
      <c r="W794" s="48"/>
      <c r="X794" s="48"/>
      <c r="Y794" s="48"/>
      <c r="Z794" s="48"/>
    </row>
    <row r="795" ht="15.75" customHeight="1">
      <c r="A795" s="49"/>
      <c r="B795" s="49"/>
      <c r="C795" s="49"/>
      <c r="D795" s="49"/>
      <c r="E795" s="49"/>
      <c r="F795" s="49"/>
      <c r="G795" s="49"/>
      <c r="H795" s="49"/>
      <c r="I795" s="49"/>
      <c r="J795" s="49"/>
      <c r="K795" s="49"/>
      <c r="L795" s="48"/>
      <c r="M795" s="48"/>
      <c r="N795" s="48"/>
      <c r="O795" s="48"/>
      <c r="P795" s="48"/>
      <c r="Q795" s="48"/>
      <c r="R795" s="48"/>
      <c r="S795" s="48"/>
      <c r="T795" s="48"/>
      <c r="U795" s="48"/>
      <c r="V795" s="48"/>
      <c r="W795" s="48"/>
      <c r="X795" s="48"/>
      <c r="Y795" s="48"/>
      <c r="Z795" s="48"/>
    </row>
    <row r="796" ht="15.75" customHeight="1">
      <c r="A796" s="49"/>
      <c r="B796" s="49"/>
      <c r="C796" s="49"/>
      <c r="D796" s="49"/>
      <c r="E796" s="49"/>
      <c r="F796" s="49"/>
      <c r="G796" s="49"/>
      <c r="H796" s="49"/>
      <c r="I796" s="49"/>
      <c r="J796" s="49"/>
      <c r="K796" s="49"/>
      <c r="L796" s="48"/>
      <c r="M796" s="48"/>
      <c r="N796" s="48"/>
      <c r="O796" s="48"/>
      <c r="P796" s="48"/>
      <c r="Q796" s="48"/>
      <c r="R796" s="48"/>
      <c r="S796" s="48"/>
      <c r="T796" s="48"/>
      <c r="U796" s="48"/>
      <c r="V796" s="48"/>
      <c r="W796" s="48"/>
      <c r="X796" s="48"/>
      <c r="Y796" s="48"/>
      <c r="Z796" s="48"/>
    </row>
    <row r="797" ht="15.75" customHeight="1">
      <c r="A797" s="49"/>
      <c r="B797" s="49"/>
      <c r="C797" s="49"/>
      <c r="D797" s="49"/>
      <c r="E797" s="49"/>
      <c r="F797" s="49"/>
      <c r="G797" s="49"/>
      <c r="H797" s="49"/>
      <c r="I797" s="49"/>
      <c r="J797" s="49"/>
      <c r="K797" s="49"/>
      <c r="L797" s="48"/>
      <c r="M797" s="48"/>
      <c r="N797" s="48"/>
      <c r="O797" s="48"/>
      <c r="P797" s="48"/>
      <c r="Q797" s="48"/>
      <c r="R797" s="48"/>
      <c r="S797" s="48"/>
      <c r="T797" s="48"/>
      <c r="U797" s="48"/>
      <c r="V797" s="48"/>
      <c r="W797" s="48"/>
      <c r="X797" s="48"/>
      <c r="Y797" s="48"/>
      <c r="Z797" s="48"/>
    </row>
    <row r="798" ht="15.75" customHeight="1">
      <c r="A798" s="49"/>
      <c r="B798" s="49"/>
      <c r="C798" s="49"/>
      <c r="D798" s="49"/>
      <c r="E798" s="49"/>
      <c r="F798" s="49"/>
      <c r="G798" s="49"/>
      <c r="H798" s="49"/>
      <c r="I798" s="49"/>
      <c r="J798" s="49"/>
      <c r="K798" s="49"/>
      <c r="L798" s="48"/>
      <c r="M798" s="48"/>
      <c r="N798" s="48"/>
      <c r="O798" s="48"/>
      <c r="P798" s="48"/>
      <c r="Q798" s="48"/>
      <c r="R798" s="48"/>
      <c r="S798" s="48"/>
      <c r="T798" s="48"/>
      <c r="U798" s="48"/>
      <c r="V798" s="48"/>
      <c r="W798" s="48"/>
      <c r="X798" s="48"/>
      <c r="Y798" s="48"/>
      <c r="Z798" s="48"/>
    </row>
    <row r="799" ht="15.75" customHeight="1">
      <c r="A799" s="49"/>
      <c r="B799" s="49"/>
      <c r="C799" s="49"/>
      <c r="D799" s="49"/>
      <c r="E799" s="49"/>
      <c r="F799" s="49"/>
      <c r="G799" s="49"/>
      <c r="H799" s="49"/>
      <c r="I799" s="49"/>
      <c r="J799" s="49"/>
      <c r="K799" s="49"/>
      <c r="L799" s="48"/>
      <c r="M799" s="48"/>
      <c r="N799" s="48"/>
      <c r="O799" s="48"/>
      <c r="P799" s="48"/>
      <c r="Q799" s="48"/>
      <c r="R799" s="48"/>
      <c r="S799" s="48"/>
      <c r="T799" s="48"/>
      <c r="U799" s="48"/>
      <c r="V799" s="48"/>
      <c r="W799" s="48"/>
      <c r="X799" s="48"/>
      <c r="Y799" s="48"/>
      <c r="Z799" s="48"/>
    </row>
    <row r="800" ht="15.75" customHeight="1">
      <c r="A800" s="49"/>
      <c r="B800" s="49"/>
      <c r="C800" s="49"/>
      <c r="D800" s="49"/>
      <c r="E800" s="49"/>
      <c r="F800" s="49"/>
      <c r="G800" s="49"/>
      <c r="H800" s="49"/>
      <c r="I800" s="49"/>
      <c r="J800" s="49"/>
      <c r="K800" s="49"/>
      <c r="L800" s="48"/>
      <c r="M800" s="48"/>
      <c r="N800" s="48"/>
      <c r="O800" s="48"/>
      <c r="P800" s="48"/>
      <c r="Q800" s="48"/>
      <c r="R800" s="48"/>
      <c r="S800" s="48"/>
      <c r="T800" s="48"/>
      <c r="U800" s="48"/>
      <c r="V800" s="48"/>
      <c r="W800" s="48"/>
      <c r="X800" s="48"/>
      <c r="Y800" s="48"/>
      <c r="Z800" s="48"/>
    </row>
    <row r="801" ht="15.75" customHeight="1">
      <c r="A801" s="49"/>
      <c r="B801" s="49"/>
      <c r="C801" s="49"/>
      <c r="D801" s="49"/>
      <c r="E801" s="49"/>
      <c r="F801" s="49"/>
      <c r="G801" s="49"/>
      <c r="H801" s="49"/>
      <c r="I801" s="49"/>
      <c r="J801" s="49"/>
      <c r="K801" s="49"/>
      <c r="L801" s="48"/>
      <c r="M801" s="48"/>
      <c r="N801" s="48"/>
      <c r="O801" s="48"/>
      <c r="P801" s="48"/>
      <c r="Q801" s="48"/>
      <c r="R801" s="48"/>
      <c r="S801" s="48"/>
      <c r="T801" s="48"/>
      <c r="U801" s="48"/>
      <c r="V801" s="48"/>
      <c r="W801" s="48"/>
      <c r="X801" s="48"/>
      <c r="Y801" s="48"/>
      <c r="Z801" s="48"/>
    </row>
    <row r="802" ht="15.75" customHeight="1">
      <c r="A802" s="49"/>
      <c r="B802" s="49"/>
      <c r="C802" s="49"/>
      <c r="D802" s="49"/>
      <c r="E802" s="49"/>
      <c r="F802" s="49"/>
      <c r="G802" s="49"/>
      <c r="H802" s="49"/>
      <c r="I802" s="49"/>
      <c r="J802" s="49"/>
      <c r="K802" s="49"/>
      <c r="L802" s="48"/>
      <c r="M802" s="48"/>
      <c r="N802" s="48"/>
      <c r="O802" s="48"/>
      <c r="P802" s="48"/>
      <c r="Q802" s="48"/>
      <c r="R802" s="48"/>
      <c r="S802" s="48"/>
      <c r="T802" s="48"/>
      <c r="U802" s="48"/>
      <c r="V802" s="48"/>
      <c r="W802" s="48"/>
      <c r="X802" s="48"/>
      <c r="Y802" s="48"/>
      <c r="Z802" s="48"/>
    </row>
    <row r="803" ht="15.75" customHeight="1">
      <c r="A803" s="49"/>
      <c r="B803" s="49"/>
      <c r="C803" s="49"/>
      <c r="D803" s="49"/>
      <c r="E803" s="49"/>
      <c r="F803" s="49"/>
      <c r="G803" s="49"/>
      <c r="H803" s="49"/>
      <c r="I803" s="49"/>
      <c r="J803" s="49"/>
      <c r="K803" s="49"/>
      <c r="L803" s="48"/>
      <c r="M803" s="48"/>
      <c r="N803" s="48"/>
      <c r="O803" s="48"/>
      <c r="P803" s="48"/>
      <c r="Q803" s="48"/>
      <c r="R803" s="48"/>
      <c r="S803" s="48"/>
      <c r="T803" s="48"/>
      <c r="U803" s="48"/>
      <c r="V803" s="48"/>
      <c r="W803" s="48"/>
      <c r="X803" s="48"/>
      <c r="Y803" s="48"/>
      <c r="Z803" s="48"/>
    </row>
    <row r="804" ht="15.75" customHeight="1">
      <c r="A804" s="49"/>
      <c r="B804" s="49"/>
      <c r="C804" s="49"/>
      <c r="D804" s="49"/>
      <c r="E804" s="49"/>
      <c r="F804" s="49"/>
      <c r="G804" s="49"/>
      <c r="H804" s="49"/>
      <c r="I804" s="49"/>
      <c r="J804" s="49"/>
      <c r="K804" s="49"/>
      <c r="L804" s="48"/>
      <c r="M804" s="48"/>
      <c r="N804" s="48"/>
      <c r="O804" s="48"/>
      <c r="P804" s="48"/>
      <c r="Q804" s="48"/>
      <c r="R804" s="48"/>
      <c r="S804" s="48"/>
      <c r="T804" s="48"/>
      <c r="U804" s="48"/>
      <c r="V804" s="48"/>
      <c r="W804" s="48"/>
      <c r="X804" s="48"/>
      <c r="Y804" s="48"/>
      <c r="Z804" s="48"/>
    </row>
    <row r="805" ht="15.75" customHeight="1">
      <c r="A805" s="49"/>
      <c r="B805" s="49"/>
      <c r="C805" s="49"/>
      <c r="D805" s="49"/>
      <c r="E805" s="49"/>
      <c r="F805" s="49"/>
      <c r="G805" s="49"/>
      <c r="H805" s="49"/>
      <c r="I805" s="49"/>
      <c r="J805" s="49"/>
      <c r="K805" s="49"/>
      <c r="L805" s="48"/>
      <c r="M805" s="48"/>
      <c r="N805" s="48"/>
      <c r="O805" s="48"/>
      <c r="P805" s="48"/>
      <c r="Q805" s="48"/>
      <c r="R805" s="48"/>
      <c r="S805" s="48"/>
      <c r="T805" s="48"/>
      <c r="U805" s="48"/>
      <c r="V805" s="48"/>
      <c r="W805" s="48"/>
      <c r="X805" s="48"/>
      <c r="Y805" s="48"/>
      <c r="Z805" s="48"/>
    </row>
    <row r="806" ht="15.75" customHeight="1">
      <c r="A806" s="49"/>
      <c r="B806" s="49"/>
      <c r="C806" s="49"/>
      <c r="D806" s="49"/>
      <c r="E806" s="49"/>
      <c r="F806" s="49"/>
      <c r="G806" s="49"/>
      <c r="H806" s="49"/>
      <c r="I806" s="49"/>
      <c r="J806" s="49"/>
      <c r="K806" s="49"/>
      <c r="L806" s="48"/>
      <c r="M806" s="48"/>
      <c r="N806" s="48"/>
      <c r="O806" s="48"/>
      <c r="P806" s="48"/>
      <c r="Q806" s="48"/>
      <c r="R806" s="48"/>
      <c r="S806" s="48"/>
      <c r="T806" s="48"/>
      <c r="U806" s="48"/>
      <c r="V806" s="48"/>
      <c r="W806" s="48"/>
      <c r="X806" s="48"/>
      <c r="Y806" s="48"/>
      <c r="Z806" s="48"/>
    </row>
    <row r="807" ht="15.75" customHeight="1">
      <c r="A807" s="49"/>
      <c r="B807" s="49"/>
      <c r="C807" s="49"/>
      <c r="D807" s="49"/>
      <c r="E807" s="49"/>
      <c r="F807" s="49"/>
      <c r="G807" s="49"/>
      <c r="H807" s="49"/>
      <c r="I807" s="49"/>
      <c r="J807" s="49"/>
      <c r="K807" s="49"/>
      <c r="L807" s="48"/>
      <c r="M807" s="48"/>
      <c r="N807" s="48"/>
      <c r="O807" s="48"/>
      <c r="P807" s="48"/>
      <c r="Q807" s="48"/>
      <c r="R807" s="48"/>
      <c r="S807" s="48"/>
      <c r="T807" s="48"/>
      <c r="U807" s="48"/>
      <c r="V807" s="48"/>
      <c r="W807" s="48"/>
      <c r="X807" s="48"/>
      <c r="Y807" s="48"/>
      <c r="Z807" s="48"/>
    </row>
    <row r="808" ht="15.75" customHeight="1">
      <c r="A808" s="49"/>
      <c r="B808" s="49"/>
      <c r="C808" s="49"/>
      <c r="D808" s="49"/>
      <c r="E808" s="49"/>
      <c r="F808" s="49"/>
      <c r="G808" s="49"/>
      <c r="H808" s="49"/>
      <c r="I808" s="49"/>
      <c r="J808" s="49"/>
      <c r="K808" s="49"/>
      <c r="L808" s="48"/>
      <c r="M808" s="48"/>
      <c r="N808" s="48"/>
      <c r="O808" s="48"/>
      <c r="P808" s="48"/>
      <c r="Q808" s="48"/>
      <c r="R808" s="48"/>
      <c r="S808" s="48"/>
      <c r="T808" s="48"/>
      <c r="U808" s="48"/>
      <c r="V808" s="48"/>
      <c r="W808" s="48"/>
      <c r="X808" s="48"/>
      <c r="Y808" s="48"/>
      <c r="Z808" s="48"/>
    </row>
    <row r="809" ht="15.75" customHeight="1">
      <c r="A809" s="49"/>
      <c r="B809" s="49"/>
      <c r="C809" s="49"/>
      <c r="D809" s="49"/>
      <c r="E809" s="49"/>
      <c r="F809" s="49"/>
      <c r="G809" s="49"/>
      <c r="H809" s="49"/>
      <c r="I809" s="49"/>
      <c r="J809" s="49"/>
      <c r="K809" s="49"/>
      <c r="L809" s="48"/>
      <c r="M809" s="48"/>
      <c r="N809" s="48"/>
      <c r="O809" s="48"/>
      <c r="P809" s="48"/>
      <c r="Q809" s="48"/>
      <c r="R809" s="48"/>
      <c r="S809" s="48"/>
      <c r="T809" s="48"/>
      <c r="U809" s="48"/>
      <c r="V809" s="48"/>
      <c r="W809" s="48"/>
      <c r="X809" s="48"/>
      <c r="Y809" s="48"/>
      <c r="Z809" s="48"/>
    </row>
    <row r="810" ht="15.75" customHeight="1">
      <c r="A810" s="49"/>
      <c r="B810" s="49"/>
      <c r="C810" s="49"/>
      <c r="D810" s="49"/>
      <c r="E810" s="49"/>
      <c r="F810" s="49"/>
      <c r="G810" s="49"/>
      <c r="H810" s="49"/>
      <c r="I810" s="49"/>
      <c r="J810" s="49"/>
      <c r="K810" s="49"/>
      <c r="L810" s="48"/>
      <c r="M810" s="48"/>
      <c r="N810" s="48"/>
      <c r="O810" s="48"/>
      <c r="P810" s="48"/>
      <c r="Q810" s="48"/>
      <c r="R810" s="48"/>
      <c r="S810" s="48"/>
      <c r="T810" s="48"/>
      <c r="U810" s="48"/>
      <c r="V810" s="48"/>
      <c r="W810" s="48"/>
      <c r="X810" s="48"/>
      <c r="Y810" s="48"/>
      <c r="Z810" s="48"/>
    </row>
    <row r="811" ht="15.75" customHeight="1">
      <c r="A811" s="49"/>
      <c r="B811" s="49"/>
      <c r="C811" s="49"/>
      <c r="D811" s="49"/>
      <c r="E811" s="49"/>
      <c r="F811" s="49"/>
      <c r="G811" s="49"/>
      <c r="H811" s="49"/>
      <c r="I811" s="49"/>
      <c r="J811" s="49"/>
      <c r="K811" s="49"/>
      <c r="L811" s="48"/>
      <c r="M811" s="48"/>
      <c r="N811" s="48"/>
      <c r="O811" s="48"/>
      <c r="P811" s="48"/>
      <c r="Q811" s="48"/>
      <c r="R811" s="48"/>
      <c r="S811" s="48"/>
      <c r="T811" s="48"/>
      <c r="U811" s="48"/>
      <c r="V811" s="48"/>
      <c r="W811" s="48"/>
      <c r="X811" s="48"/>
      <c r="Y811" s="48"/>
      <c r="Z811" s="48"/>
    </row>
    <row r="812" ht="15.75" customHeight="1">
      <c r="A812" s="49"/>
      <c r="B812" s="49"/>
      <c r="C812" s="49"/>
      <c r="D812" s="49"/>
      <c r="E812" s="49"/>
      <c r="F812" s="49"/>
      <c r="G812" s="49"/>
      <c r="H812" s="49"/>
      <c r="I812" s="49"/>
      <c r="J812" s="49"/>
      <c r="K812" s="49"/>
      <c r="L812" s="48"/>
      <c r="M812" s="48"/>
      <c r="N812" s="48"/>
      <c r="O812" s="48"/>
      <c r="P812" s="48"/>
      <c r="Q812" s="48"/>
      <c r="R812" s="48"/>
      <c r="S812" s="48"/>
      <c r="T812" s="48"/>
      <c r="U812" s="48"/>
      <c r="V812" s="48"/>
      <c r="W812" s="48"/>
      <c r="X812" s="48"/>
      <c r="Y812" s="48"/>
      <c r="Z812" s="48"/>
    </row>
    <row r="813" ht="15.75" customHeight="1">
      <c r="A813" s="49"/>
      <c r="B813" s="49"/>
      <c r="C813" s="49"/>
      <c r="D813" s="49"/>
      <c r="E813" s="49"/>
      <c r="F813" s="49"/>
      <c r="G813" s="49"/>
      <c r="H813" s="49"/>
      <c r="I813" s="49"/>
      <c r="J813" s="49"/>
      <c r="K813" s="49"/>
      <c r="L813" s="48"/>
      <c r="M813" s="48"/>
      <c r="N813" s="48"/>
      <c r="O813" s="48"/>
      <c r="P813" s="48"/>
      <c r="Q813" s="48"/>
      <c r="R813" s="48"/>
      <c r="S813" s="48"/>
      <c r="T813" s="48"/>
      <c r="U813" s="48"/>
      <c r="V813" s="48"/>
      <c r="W813" s="48"/>
      <c r="X813" s="48"/>
      <c r="Y813" s="48"/>
      <c r="Z813" s="48"/>
    </row>
    <row r="814" ht="15.75" customHeight="1">
      <c r="A814" s="49"/>
      <c r="B814" s="49"/>
      <c r="C814" s="49"/>
      <c r="D814" s="49"/>
      <c r="E814" s="49"/>
      <c r="F814" s="49"/>
      <c r="G814" s="49"/>
      <c r="H814" s="49"/>
      <c r="I814" s="49"/>
      <c r="J814" s="49"/>
      <c r="K814" s="49"/>
      <c r="L814" s="48"/>
      <c r="M814" s="48"/>
      <c r="N814" s="48"/>
      <c r="O814" s="48"/>
      <c r="P814" s="48"/>
      <c r="Q814" s="48"/>
      <c r="R814" s="48"/>
      <c r="S814" s="48"/>
      <c r="T814" s="48"/>
      <c r="U814" s="48"/>
      <c r="V814" s="48"/>
      <c r="W814" s="48"/>
      <c r="X814" s="48"/>
      <c r="Y814" s="48"/>
      <c r="Z814" s="48"/>
    </row>
    <row r="815" ht="15.75" customHeight="1">
      <c r="A815" s="49"/>
      <c r="B815" s="49"/>
      <c r="C815" s="49"/>
      <c r="D815" s="49"/>
      <c r="E815" s="49"/>
      <c r="F815" s="49"/>
      <c r="G815" s="49"/>
      <c r="H815" s="49"/>
      <c r="I815" s="49"/>
      <c r="J815" s="49"/>
      <c r="K815" s="49"/>
      <c r="L815" s="48"/>
      <c r="M815" s="48"/>
      <c r="N815" s="48"/>
      <c r="O815" s="48"/>
      <c r="P815" s="48"/>
      <c r="Q815" s="48"/>
      <c r="R815" s="48"/>
      <c r="S815" s="48"/>
      <c r="T815" s="48"/>
      <c r="U815" s="48"/>
      <c r="V815" s="48"/>
      <c r="W815" s="48"/>
      <c r="X815" s="48"/>
      <c r="Y815" s="48"/>
      <c r="Z815" s="48"/>
    </row>
    <row r="816" ht="15.75" customHeight="1">
      <c r="A816" s="49"/>
      <c r="B816" s="49"/>
      <c r="C816" s="49"/>
      <c r="D816" s="49"/>
      <c r="E816" s="49"/>
      <c r="F816" s="49"/>
      <c r="G816" s="49"/>
      <c r="H816" s="49"/>
      <c r="I816" s="49"/>
      <c r="J816" s="49"/>
      <c r="K816" s="49"/>
      <c r="L816" s="48"/>
      <c r="M816" s="48"/>
      <c r="N816" s="48"/>
      <c r="O816" s="48"/>
      <c r="P816" s="48"/>
      <c r="Q816" s="48"/>
      <c r="R816" s="48"/>
      <c r="S816" s="48"/>
      <c r="T816" s="48"/>
      <c r="U816" s="48"/>
      <c r="V816" s="48"/>
      <c r="W816" s="48"/>
      <c r="X816" s="48"/>
      <c r="Y816" s="48"/>
      <c r="Z816" s="48"/>
    </row>
    <row r="817" ht="15.75" customHeight="1">
      <c r="A817" s="49"/>
      <c r="B817" s="49"/>
      <c r="C817" s="49"/>
      <c r="D817" s="49"/>
      <c r="E817" s="49"/>
      <c r="F817" s="49"/>
      <c r="G817" s="49"/>
      <c r="H817" s="49"/>
      <c r="I817" s="49"/>
      <c r="J817" s="49"/>
      <c r="K817" s="49"/>
      <c r="L817" s="48"/>
      <c r="M817" s="48"/>
      <c r="N817" s="48"/>
      <c r="O817" s="48"/>
      <c r="P817" s="48"/>
      <c r="Q817" s="48"/>
      <c r="R817" s="48"/>
      <c r="S817" s="48"/>
      <c r="T817" s="48"/>
      <c r="U817" s="48"/>
      <c r="V817" s="48"/>
      <c r="W817" s="48"/>
      <c r="X817" s="48"/>
      <c r="Y817" s="48"/>
      <c r="Z817" s="48"/>
    </row>
    <row r="818" ht="15.75" customHeight="1">
      <c r="A818" s="49"/>
      <c r="B818" s="49"/>
      <c r="C818" s="49"/>
      <c r="D818" s="49"/>
      <c r="E818" s="49"/>
      <c r="F818" s="49"/>
      <c r="G818" s="49"/>
      <c r="H818" s="49"/>
      <c r="I818" s="49"/>
      <c r="J818" s="49"/>
      <c r="K818" s="49"/>
      <c r="L818" s="48"/>
      <c r="M818" s="48"/>
      <c r="N818" s="48"/>
      <c r="O818" s="48"/>
      <c r="P818" s="48"/>
      <c r="Q818" s="48"/>
      <c r="R818" s="48"/>
      <c r="S818" s="48"/>
      <c r="T818" s="48"/>
      <c r="U818" s="48"/>
      <c r="V818" s="48"/>
      <c r="W818" s="48"/>
      <c r="X818" s="48"/>
      <c r="Y818" s="48"/>
      <c r="Z818" s="48"/>
    </row>
    <row r="819" ht="15.75" customHeight="1">
      <c r="A819" s="49"/>
      <c r="B819" s="49"/>
      <c r="C819" s="49"/>
      <c r="D819" s="49"/>
      <c r="E819" s="49"/>
      <c r="F819" s="49"/>
      <c r="G819" s="49"/>
      <c r="H819" s="49"/>
      <c r="I819" s="49"/>
      <c r="J819" s="49"/>
      <c r="K819" s="49"/>
      <c r="L819" s="48"/>
      <c r="M819" s="48"/>
      <c r="N819" s="48"/>
      <c r="O819" s="48"/>
      <c r="P819" s="48"/>
      <c r="Q819" s="48"/>
      <c r="R819" s="48"/>
      <c r="S819" s="48"/>
      <c r="T819" s="48"/>
      <c r="U819" s="48"/>
      <c r="V819" s="48"/>
      <c r="W819" s="48"/>
      <c r="X819" s="48"/>
      <c r="Y819" s="48"/>
      <c r="Z819" s="48"/>
    </row>
    <row r="820" ht="15.75" customHeight="1">
      <c r="A820" s="49"/>
      <c r="B820" s="49"/>
      <c r="C820" s="49"/>
      <c r="D820" s="49"/>
      <c r="E820" s="49"/>
      <c r="F820" s="49"/>
      <c r="G820" s="49"/>
      <c r="H820" s="49"/>
      <c r="I820" s="49"/>
      <c r="J820" s="49"/>
      <c r="K820" s="49"/>
      <c r="L820" s="48"/>
      <c r="M820" s="48"/>
      <c r="N820" s="48"/>
      <c r="O820" s="48"/>
      <c r="P820" s="48"/>
      <c r="Q820" s="48"/>
      <c r="R820" s="48"/>
      <c r="S820" s="48"/>
      <c r="T820" s="48"/>
      <c r="U820" s="48"/>
      <c r="V820" s="48"/>
      <c r="W820" s="48"/>
      <c r="X820" s="48"/>
      <c r="Y820" s="48"/>
      <c r="Z820" s="48"/>
    </row>
    <row r="821" ht="15.75" customHeight="1">
      <c r="A821" s="49"/>
      <c r="B821" s="49"/>
      <c r="C821" s="49"/>
      <c r="D821" s="49"/>
      <c r="E821" s="49"/>
      <c r="F821" s="49"/>
      <c r="G821" s="49"/>
      <c r="H821" s="49"/>
      <c r="I821" s="49"/>
      <c r="J821" s="49"/>
      <c r="K821" s="49"/>
      <c r="L821" s="48"/>
      <c r="M821" s="48"/>
      <c r="N821" s="48"/>
      <c r="O821" s="48"/>
      <c r="P821" s="48"/>
      <c r="Q821" s="48"/>
      <c r="R821" s="48"/>
      <c r="S821" s="48"/>
      <c r="T821" s="48"/>
      <c r="U821" s="48"/>
      <c r="V821" s="48"/>
      <c r="W821" s="48"/>
      <c r="X821" s="48"/>
      <c r="Y821" s="48"/>
      <c r="Z821" s="48"/>
    </row>
    <row r="822" ht="15.75" customHeight="1">
      <c r="A822" s="49"/>
      <c r="B822" s="49"/>
      <c r="C822" s="49"/>
      <c r="D822" s="49"/>
      <c r="E822" s="49"/>
      <c r="F822" s="49"/>
      <c r="G822" s="49"/>
      <c r="H822" s="49"/>
      <c r="I822" s="49"/>
      <c r="J822" s="49"/>
      <c r="K822" s="49"/>
      <c r="L822" s="48"/>
      <c r="M822" s="48"/>
      <c r="N822" s="48"/>
      <c r="O822" s="48"/>
      <c r="P822" s="48"/>
      <c r="Q822" s="48"/>
      <c r="R822" s="48"/>
      <c r="S822" s="48"/>
      <c r="T822" s="48"/>
      <c r="U822" s="48"/>
      <c r="V822" s="48"/>
      <c r="W822" s="48"/>
      <c r="X822" s="48"/>
      <c r="Y822" s="48"/>
      <c r="Z822" s="48"/>
    </row>
    <row r="823" ht="15.75" customHeight="1">
      <c r="A823" s="49"/>
      <c r="B823" s="49"/>
      <c r="C823" s="49"/>
      <c r="D823" s="49"/>
      <c r="E823" s="49"/>
      <c r="F823" s="49"/>
      <c r="G823" s="49"/>
      <c r="H823" s="49"/>
      <c r="I823" s="49"/>
      <c r="J823" s="49"/>
      <c r="K823" s="49"/>
      <c r="L823" s="48"/>
      <c r="M823" s="48"/>
      <c r="N823" s="48"/>
      <c r="O823" s="48"/>
      <c r="P823" s="48"/>
      <c r="Q823" s="48"/>
      <c r="R823" s="48"/>
      <c r="S823" s="48"/>
      <c r="T823" s="48"/>
      <c r="U823" s="48"/>
      <c r="V823" s="48"/>
      <c r="W823" s="48"/>
      <c r="X823" s="48"/>
      <c r="Y823" s="48"/>
      <c r="Z823" s="48"/>
    </row>
    <row r="824" ht="15.75" customHeight="1">
      <c r="A824" s="49"/>
      <c r="B824" s="49"/>
      <c r="C824" s="49"/>
      <c r="D824" s="49"/>
      <c r="E824" s="49"/>
      <c r="F824" s="49"/>
      <c r="G824" s="49"/>
      <c r="H824" s="49"/>
      <c r="I824" s="49"/>
      <c r="J824" s="49"/>
      <c r="K824" s="49"/>
      <c r="L824" s="48"/>
      <c r="M824" s="48"/>
      <c r="N824" s="48"/>
      <c r="O824" s="48"/>
      <c r="P824" s="48"/>
      <c r="Q824" s="48"/>
      <c r="R824" s="48"/>
      <c r="S824" s="48"/>
      <c r="T824" s="48"/>
      <c r="U824" s="48"/>
      <c r="V824" s="48"/>
      <c r="W824" s="48"/>
      <c r="X824" s="48"/>
      <c r="Y824" s="48"/>
      <c r="Z824" s="48"/>
    </row>
    <row r="825" ht="15.75" customHeight="1">
      <c r="A825" s="49"/>
      <c r="B825" s="49"/>
      <c r="C825" s="49"/>
      <c r="D825" s="49"/>
      <c r="E825" s="49"/>
      <c r="F825" s="49"/>
      <c r="G825" s="49"/>
      <c r="H825" s="49"/>
      <c r="I825" s="49"/>
      <c r="J825" s="49"/>
      <c r="K825" s="49"/>
      <c r="L825" s="48"/>
      <c r="M825" s="48"/>
      <c r="N825" s="48"/>
      <c r="O825" s="48"/>
      <c r="P825" s="48"/>
      <c r="Q825" s="48"/>
      <c r="R825" s="48"/>
      <c r="S825" s="48"/>
      <c r="T825" s="48"/>
      <c r="U825" s="48"/>
      <c r="V825" s="48"/>
      <c r="W825" s="48"/>
      <c r="X825" s="48"/>
      <c r="Y825" s="48"/>
      <c r="Z825" s="48"/>
    </row>
    <row r="826" ht="15.75" customHeight="1">
      <c r="A826" s="49"/>
      <c r="B826" s="49"/>
      <c r="C826" s="49"/>
      <c r="D826" s="49"/>
      <c r="E826" s="49"/>
      <c r="F826" s="49"/>
      <c r="G826" s="49"/>
      <c r="H826" s="49"/>
      <c r="I826" s="49"/>
      <c r="J826" s="49"/>
      <c r="K826" s="49"/>
      <c r="L826" s="48"/>
      <c r="M826" s="48"/>
      <c r="N826" s="48"/>
      <c r="O826" s="48"/>
      <c r="P826" s="48"/>
      <c r="Q826" s="48"/>
      <c r="R826" s="48"/>
      <c r="S826" s="48"/>
      <c r="T826" s="48"/>
      <c r="U826" s="48"/>
      <c r="V826" s="48"/>
      <c r="W826" s="48"/>
      <c r="X826" s="48"/>
      <c r="Y826" s="48"/>
      <c r="Z826" s="48"/>
    </row>
    <row r="827" ht="15.75" customHeight="1">
      <c r="A827" s="49"/>
      <c r="B827" s="49"/>
      <c r="C827" s="49"/>
      <c r="D827" s="49"/>
      <c r="E827" s="49"/>
      <c r="F827" s="49"/>
      <c r="G827" s="49"/>
      <c r="H827" s="49"/>
      <c r="I827" s="49"/>
      <c r="J827" s="49"/>
      <c r="K827" s="49"/>
      <c r="L827" s="48"/>
      <c r="M827" s="48"/>
      <c r="N827" s="48"/>
      <c r="O827" s="48"/>
      <c r="P827" s="48"/>
      <c r="Q827" s="48"/>
      <c r="R827" s="48"/>
      <c r="S827" s="48"/>
      <c r="T827" s="48"/>
      <c r="U827" s="48"/>
      <c r="V827" s="48"/>
      <c r="W827" s="48"/>
      <c r="X827" s="48"/>
      <c r="Y827" s="48"/>
      <c r="Z827" s="48"/>
    </row>
    <row r="828" ht="15.75" customHeight="1">
      <c r="A828" s="49"/>
      <c r="B828" s="49"/>
      <c r="C828" s="49"/>
      <c r="D828" s="49"/>
      <c r="E828" s="49"/>
      <c r="F828" s="49"/>
      <c r="G828" s="49"/>
      <c r="H828" s="49"/>
      <c r="I828" s="49"/>
      <c r="J828" s="49"/>
      <c r="K828" s="49"/>
      <c r="L828" s="48"/>
      <c r="M828" s="48"/>
      <c r="N828" s="48"/>
      <c r="O828" s="48"/>
      <c r="P828" s="48"/>
      <c r="Q828" s="48"/>
      <c r="R828" s="48"/>
      <c r="S828" s="48"/>
      <c r="T828" s="48"/>
      <c r="U828" s="48"/>
      <c r="V828" s="48"/>
      <c r="W828" s="48"/>
      <c r="X828" s="48"/>
      <c r="Y828" s="48"/>
      <c r="Z828" s="48"/>
    </row>
    <row r="829" ht="15.75" customHeight="1">
      <c r="A829" s="49"/>
      <c r="B829" s="49"/>
      <c r="C829" s="49"/>
      <c r="D829" s="49"/>
      <c r="E829" s="49"/>
      <c r="F829" s="49"/>
      <c r="G829" s="49"/>
      <c r="H829" s="49"/>
      <c r="I829" s="49"/>
      <c r="J829" s="49"/>
      <c r="K829" s="49"/>
      <c r="L829" s="48"/>
      <c r="M829" s="48"/>
      <c r="N829" s="48"/>
      <c r="O829" s="48"/>
      <c r="P829" s="48"/>
      <c r="Q829" s="48"/>
      <c r="R829" s="48"/>
      <c r="S829" s="48"/>
      <c r="T829" s="48"/>
      <c r="U829" s="48"/>
      <c r="V829" s="48"/>
      <c r="W829" s="48"/>
      <c r="X829" s="48"/>
      <c r="Y829" s="48"/>
      <c r="Z829" s="48"/>
    </row>
    <row r="830" ht="15.75" customHeight="1">
      <c r="A830" s="49"/>
      <c r="B830" s="49"/>
      <c r="C830" s="49"/>
      <c r="D830" s="49"/>
      <c r="E830" s="49"/>
      <c r="F830" s="49"/>
      <c r="G830" s="49"/>
      <c r="H830" s="49"/>
      <c r="I830" s="49"/>
      <c r="J830" s="49"/>
      <c r="K830" s="49"/>
      <c r="L830" s="48"/>
      <c r="M830" s="48"/>
      <c r="N830" s="48"/>
      <c r="O830" s="48"/>
      <c r="P830" s="48"/>
      <c r="Q830" s="48"/>
      <c r="R830" s="48"/>
      <c r="S830" s="48"/>
      <c r="T830" s="48"/>
      <c r="U830" s="48"/>
      <c r="V830" s="48"/>
      <c r="W830" s="48"/>
      <c r="X830" s="48"/>
      <c r="Y830" s="48"/>
      <c r="Z830" s="48"/>
    </row>
    <row r="831" ht="15.75" customHeight="1">
      <c r="A831" s="49"/>
      <c r="B831" s="49"/>
      <c r="C831" s="49"/>
      <c r="D831" s="49"/>
      <c r="E831" s="49"/>
      <c r="F831" s="49"/>
      <c r="G831" s="49"/>
      <c r="H831" s="49"/>
      <c r="I831" s="49"/>
      <c r="J831" s="49"/>
      <c r="K831" s="49"/>
      <c r="L831" s="48"/>
      <c r="M831" s="48"/>
      <c r="N831" s="48"/>
      <c r="O831" s="48"/>
      <c r="P831" s="48"/>
      <c r="Q831" s="48"/>
      <c r="R831" s="48"/>
      <c r="S831" s="48"/>
      <c r="T831" s="48"/>
      <c r="U831" s="48"/>
      <c r="V831" s="48"/>
      <c r="W831" s="48"/>
      <c r="X831" s="48"/>
      <c r="Y831" s="48"/>
      <c r="Z831" s="48"/>
    </row>
    <row r="832" ht="15.75" customHeight="1">
      <c r="A832" s="49"/>
      <c r="B832" s="49"/>
      <c r="C832" s="49"/>
      <c r="D832" s="49"/>
      <c r="E832" s="49"/>
      <c r="F832" s="49"/>
      <c r="G832" s="49"/>
      <c r="H832" s="49"/>
      <c r="I832" s="49"/>
      <c r="J832" s="49"/>
      <c r="K832" s="49"/>
      <c r="L832" s="48"/>
      <c r="M832" s="48"/>
      <c r="N832" s="48"/>
      <c r="O832" s="48"/>
      <c r="P832" s="48"/>
      <c r="Q832" s="48"/>
      <c r="R832" s="48"/>
      <c r="S832" s="48"/>
      <c r="T832" s="48"/>
      <c r="U832" s="48"/>
      <c r="V832" s="48"/>
      <c r="W832" s="48"/>
      <c r="X832" s="48"/>
      <c r="Y832" s="48"/>
      <c r="Z832" s="48"/>
    </row>
    <row r="833" ht="15.75" customHeight="1">
      <c r="A833" s="49"/>
      <c r="B833" s="49"/>
      <c r="C833" s="49"/>
      <c r="D833" s="49"/>
      <c r="E833" s="49"/>
      <c r="F833" s="49"/>
      <c r="G833" s="49"/>
      <c r="H833" s="49"/>
      <c r="I833" s="49"/>
      <c r="J833" s="49"/>
      <c r="K833" s="49"/>
      <c r="L833" s="48"/>
      <c r="M833" s="48"/>
      <c r="N833" s="48"/>
      <c r="O833" s="48"/>
      <c r="P833" s="48"/>
      <c r="Q833" s="48"/>
      <c r="R833" s="48"/>
      <c r="S833" s="48"/>
      <c r="T833" s="48"/>
      <c r="U833" s="48"/>
      <c r="V833" s="48"/>
      <c r="W833" s="48"/>
      <c r="X833" s="48"/>
      <c r="Y833" s="48"/>
      <c r="Z833" s="48"/>
    </row>
    <row r="834" ht="15.75" customHeight="1">
      <c r="A834" s="49"/>
      <c r="B834" s="49"/>
      <c r="C834" s="49"/>
      <c r="D834" s="49"/>
      <c r="E834" s="49"/>
      <c r="F834" s="49"/>
      <c r="G834" s="49"/>
      <c r="H834" s="49"/>
      <c r="I834" s="49"/>
      <c r="J834" s="49"/>
      <c r="K834" s="49"/>
      <c r="L834" s="48"/>
      <c r="M834" s="48"/>
      <c r="N834" s="48"/>
      <c r="O834" s="48"/>
      <c r="P834" s="48"/>
      <c r="Q834" s="48"/>
      <c r="R834" s="48"/>
      <c r="S834" s="48"/>
      <c r="T834" s="48"/>
      <c r="U834" s="48"/>
      <c r="V834" s="48"/>
      <c r="W834" s="48"/>
      <c r="X834" s="48"/>
      <c r="Y834" s="48"/>
      <c r="Z834" s="48"/>
    </row>
    <row r="835" ht="15.75" customHeight="1">
      <c r="A835" s="49"/>
      <c r="B835" s="49"/>
      <c r="C835" s="49"/>
      <c r="D835" s="49"/>
      <c r="E835" s="49"/>
      <c r="F835" s="49"/>
      <c r="G835" s="49"/>
      <c r="H835" s="49"/>
      <c r="I835" s="49"/>
      <c r="J835" s="49"/>
      <c r="K835" s="49"/>
      <c r="L835" s="48"/>
      <c r="M835" s="48"/>
      <c r="N835" s="48"/>
      <c r="O835" s="48"/>
      <c r="P835" s="48"/>
      <c r="Q835" s="48"/>
      <c r="R835" s="48"/>
      <c r="S835" s="48"/>
      <c r="T835" s="48"/>
      <c r="U835" s="48"/>
      <c r="V835" s="48"/>
      <c r="W835" s="48"/>
      <c r="X835" s="48"/>
      <c r="Y835" s="48"/>
      <c r="Z835" s="48"/>
    </row>
    <row r="836" ht="15.75" customHeight="1">
      <c r="A836" s="49"/>
      <c r="B836" s="49"/>
      <c r="C836" s="49"/>
      <c r="D836" s="49"/>
      <c r="E836" s="49"/>
      <c r="F836" s="49"/>
      <c r="G836" s="49"/>
      <c r="H836" s="49"/>
      <c r="I836" s="49"/>
      <c r="J836" s="49"/>
      <c r="K836" s="49"/>
      <c r="L836" s="48"/>
      <c r="M836" s="48"/>
      <c r="N836" s="48"/>
      <c r="O836" s="48"/>
      <c r="P836" s="48"/>
      <c r="Q836" s="48"/>
      <c r="R836" s="48"/>
      <c r="S836" s="48"/>
      <c r="T836" s="48"/>
      <c r="U836" s="48"/>
      <c r="V836" s="48"/>
      <c r="W836" s="48"/>
      <c r="X836" s="48"/>
      <c r="Y836" s="48"/>
      <c r="Z836" s="48"/>
    </row>
    <row r="837" ht="15.75" customHeight="1">
      <c r="A837" s="49"/>
      <c r="B837" s="49"/>
      <c r="C837" s="49"/>
      <c r="D837" s="49"/>
      <c r="E837" s="49"/>
      <c r="F837" s="49"/>
      <c r="G837" s="49"/>
      <c r="H837" s="49"/>
      <c r="I837" s="49"/>
      <c r="J837" s="49"/>
      <c r="K837" s="49"/>
      <c r="L837" s="48"/>
      <c r="M837" s="48"/>
      <c r="N837" s="48"/>
      <c r="O837" s="48"/>
      <c r="P837" s="48"/>
      <c r="Q837" s="48"/>
      <c r="R837" s="48"/>
      <c r="S837" s="48"/>
      <c r="T837" s="48"/>
      <c r="U837" s="48"/>
      <c r="V837" s="48"/>
      <c r="W837" s="48"/>
      <c r="X837" s="48"/>
      <c r="Y837" s="48"/>
      <c r="Z837" s="48"/>
    </row>
    <row r="838" ht="15.75" customHeight="1">
      <c r="A838" s="49"/>
      <c r="B838" s="49"/>
      <c r="C838" s="49"/>
      <c r="D838" s="49"/>
      <c r="E838" s="49"/>
      <c r="F838" s="49"/>
      <c r="G838" s="49"/>
      <c r="H838" s="49"/>
      <c r="I838" s="49"/>
      <c r="J838" s="49"/>
      <c r="K838" s="49"/>
      <c r="L838" s="48"/>
      <c r="M838" s="48"/>
      <c r="N838" s="48"/>
      <c r="O838" s="48"/>
      <c r="P838" s="48"/>
      <c r="Q838" s="48"/>
      <c r="R838" s="48"/>
      <c r="S838" s="48"/>
      <c r="T838" s="48"/>
      <c r="U838" s="48"/>
      <c r="V838" s="48"/>
      <c r="W838" s="48"/>
      <c r="X838" s="48"/>
      <c r="Y838" s="48"/>
      <c r="Z838" s="48"/>
    </row>
    <row r="839" ht="15.75" customHeight="1">
      <c r="A839" s="49"/>
      <c r="B839" s="49"/>
      <c r="C839" s="49"/>
      <c r="D839" s="49"/>
      <c r="E839" s="49"/>
      <c r="F839" s="49"/>
      <c r="G839" s="49"/>
      <c r="H839" s="49"/>
      <c r="I839" s="49"/>
      <c r="J839" s="49"/>
      <c r="K839" s="49"/>
      <c r="L839" s="48"/>
      <c r="M839" s="48"/>
      <c r="N839" s="48"/>
      <c r="O839" s="48"/>
      <c r="P839" s="48"/>
      <c r="Q839" s="48"/>
      <c r="R839" s="48"/>
      <c r="S839" s="48"/>
      <c r="T839" s="48"/>
      <c r="U839" s="48"/>
      <c r="V839" s="48"/>
      <c r="W839" s="48"/>
      <c r="X839" s="48"/>
      <c r="Y839" s="48"/>
      <c r="Z839" s="48"/>
    </row>
    <row r="840" ht="15.75" customHeight="1">
      <c r="A840" s="49"/>
      <c r="B840" s="49"/>
      <c r="C840" s="49"/>
      <c r="D840" s="49"/>
      <c r="E840" s="49"/>
      <c r="F840" s="49"/>
      <c r="G840" s="49"/>
      <c r="H840" s="49"/>
      <c r="I840" s="49"/>
      <c r="J840" s="49"/>
      <c r="K840" s="49"/>
      <c r="L840" s="48"/>
      <c r="M840" s="48"/>
      <c r="N840" s="48"/>
      <c r="O840" s="48"/>
      <c r="P840" s="48"/>
      <c r="Q840" s="48"/>
      <c r="R840" s="48"/>
      <c r="S840" s="48"/>
      <c r="T840" s="48"/>
      <c r="U840" s="48"/>
      <c r="V840" s="48"/>
      <c r="W840" s="48"/>
      <c r="X840" s="48"/>
      <c r="Y840" s="48"/>
      <c r="Z840" s="48"/>
    </row>
    <row r="841" ht="15.75" customHeight="1">
      <c r="A841" s="49"/>
      <c r="B841" s="49"/>
      <c r="C841" s="49"/>
      <c r="D841" s="49"/>
      <c r="E841" s="49"/>
      <c r="F841" s="49"/>
      <c r="G841" s="49"/>
      <c r="H841" s="49"/>
      <c r="I841" s="49"/>
      <c r="J841" s="49"/>
      <c r="K841" s="49"/>
      <c r="L841" s="48"/>
      <c r="M841" s="48"/>
      <c r="N841" s="48"/>
      <c r="O841" s="48"/>
      <c r="P841" s="48"/>
      <c r="Q841" s="48"/>
      <c r="R841" s="48"/>
      <c r="S841" s="48"/>
      <c r="T841" s="48"/>
      <c r="U841" s="48"/>
      <c r="V841" s="48"/>
      <c r="W841" s="48"/>
      <c r="X841" s="48"/>
      <c r="Y841" s="48"/>
      <c r="Z841" s="48"/>
    </row>
    <row r="842" ht="15.75" customHeight="1">
      <c r="A842" s="49"/>
      <c r="B842" s="49"/>
      <c r="C842" s="49"/>
      <c r="D842" s="49"/>
      <c r="E842" s="49"/>
      <c r="F842" s="49"/>
      <c r="G842" s="49"/>
      <c r="H842" s="49"/>
      <c r="I842" s="49"/>
      <c r="J842" s="49"/>
      <c r="K842" s="49"/>
      <c r="L842" s="48"/>
      <c r="M842" s="48"/>
      <c r="N842" s="48"/>
      <c r="O842" s="48"/>
      <c r="P842" s="48"/>
      <c r="Q842" s="48"/>
      <c r="R842" s="48"/>
      <c r="S842" s="48"/>
      <c r="T842" s="48"/>
      <c r="U842" s="48"/>
      <c r="V842" s="48"/>
      <c r="W842" s="48"/>
      <c r="X842" s="48"/>
      <c r="Y842" s="48"/>
      <c r="Z842" s="48"/>
    </row>
    <row r="843" ht="15.75" customHeight="1">
      <c r="A843" s="49"/>
      <c r="B843" s="49"/>
      <c r="C843" s="49"/>
      <c r="D843" s="49"/>
      <c r="E843" s="49"/>
      <c r="F843" s="49"/>
      <c r="G843" s="49"/>
      <c r="H843" s="49"/>
      <c r="I843" s="49"/>
      <c r="J843" s="49"/>
      <c r="K843" s="49"/>
      <c r="L843" s="48"/>
      <c r="M843" s="48"/>
      <c r="N843" s="48"/>
      <c r="O843" s="48"/>
      <c r="P843" s="48"/>
      <c r="Q843" s="48"/>
      <c r="R843" s="48"/>
      <c r="S843" s="48"/>
      <c r="T843" s="48"/>
      <c r="U843" s="48"/>
      <c r="V843" s="48"/>
      <c r="W843" s="48"/>
      <c r="X843" s="48"/>
      <c r="Y843" s="48"/>
      <c r="Z843" s="48"/>
    </row>
    <row r="844" ht="15.75" customHeight="1">
      <c r="A844" s="49"/>
      <c r="B844" s="49"/>
      <c r="C844" s="49"/>
      <c r="D844" s="49"/>
      <c r="E844" s="49"/>
      <c r="F844" s="49"/>
      <c r="G844" s="49"/>
      <c r="H844" s="49"/>
      <c r="I844" s="49"/>
      <c r="J844" s="49"/>
      <c r="K844" s="49"/>
      <c r="L844" s="48"/>
      <c r="M844" s="48"/>
      <c r="N844" s="48"/>
      <c r="O844" s="48"/>
      <c r="P844" s="48"/>
      <c r="Q844" s="48"/>
      <c r="R844" s="48"/>
      <c r="S844" s="48"/>
      <c r="T844" s="48"/>
      <c r="U844" s="48"/>
      <c r="V844" s="48"/>
      <c r="W844" s="48"/>
      <c r="X844" s="48"/>
      <c r="Y844" s="48"/>
      <c r="Z844" s="48"/>
    </row>
    <row r="845" ht="15.75" customHeight="1">
      <c r="A845" s="49"/>
      <c r="B845" s="49"/>
      <c r="C845" s="49"/>
      <c r="D845" s="49"/>
      <c r="E845" s="49"/>
      <c r="F845" s="49"/>
      <c r="G845" s="49"/>
      <c r="H845" s="49"/>
      <c r="I845" s="49"/>
      <c r="J845" s="49"/>
      <c r="K845" s="49"/>
      <c r="L845" s="48"/>
      <c r="M845" s="48"/>
      <c r="N845" s="48"/>
      <c r="O845" s="48"/>
      <c r="P845" s="48"/>
      <c r="Q845" s="48"/>
      <c r="R845" s="48"/>
      <c r="S845" s="48"/>
      <c r="T845" s="48"/>
      <c r="U845" s="48"/>
      <c r="V845" s="48"/>
      <c r="W845" s="48"/>
      <c r="X845" s="48"/>
      <c r="Y845" s="48"/>
      <c r="Z845" s="48"/>
    </row>
    <row r="846" ht="15.75" customHeight="1">
      <c r="A846" s="49"/>
      <c r="B846" s="49"/>
      <c r="C846" s="49"/>
      <c r="D846" s="49"/>
      <c r="E846" s="49"/>
      <c r="F846" s="49"/>
      <c r="G846" s="49"/>
      <c r="H846" s="49"/>
      <c r="I846" s="49"/>
      <c r="J846" s="49"/>
      <c r="K846" s="49"/>
      <c r="L846" s="48"/>
      <c r="M846" s="48"/>
      <c r="N846" s="48"/>
      <c r="O846" s="48"/>
      <c r="P846" s="48"/>
      <c r="Q846" s="48"/>
      <c r="R846" s="48"/>
      <c r="S846" s="48"/>
      <c r="T846" s="48"/>
      <c r="U846" s="48"/>
      <c r="V846" s="48"/>
      <c r="W846" s="48"/>
      <c r="X846" s="48"/>
      <c r="Y846" s="48"/>
      <c r="Z846" s="48"/>
    </row>
    <row r="847" ht="15.75" customHeight="1">
      <c r="A847" s="49"/>
      <c r="B847" s="49"/>
      <c r="C847" s="49"/>
      <c r="D847" s="49"/>
      <c r="E847" s="49"/>
      <c r="F847" s="49"/>
      <c r="G847" s="49"/>
      <c r="H847" s="49"/>
      <c r="I847" s="49"/>
      <c r="J847" s="49"/>
      <c r="K847" s="49"/>
      <c r="L847" s="48"/>
      <c r="M847" s="48"/>
      <c r="N847" s="48"/>
      <c r="O847" s="48"/>
      <c r="P847" s="48"/>
      <c r="Q847" s="48"/>
      <c r="R847" s="48"/>
      <c r="S847" s="48"/>
      <c r="T847" s="48"/>
      <c r="U847" s="48"/>
      <c r="V847" s="48"/>
      <c r="W847" s="48"/>
      <c r="X847" s="48"/>
      <c r="Y847" s="48"/>
      <c r="Z847" s="48"/>
    </row>
    <row r="848" ht="15.75" customHeight="1">
      <c r="A848" s="49"/>
      <c r="B848" s="49"/>
      <c r="C848" s="49"/>
      <c r="D848" s="49"/>
      <c r="E848" s="49"/>
      <c r="F848" s="49"/>
      <c r="G848" s="49"/>
      <c r="H848" s="49"/>
      <c r="I848" s="49"/>
      <c r="J848" s="49"/>
      <c r="K848" s="49"/>
      <c r="L848" s="48"/>
      <c r="M848" s="48"/>
      <c r="N848" s="48"/>
      <c r="O848" s="48"/>
      <c r="P848" s="48"/>
      <c r="Q848" s="48"/>
      <c r="R848" s="48"/>
      <c r="S848" s="48"/>
      <c r="T848" s="48"/>
      <c r="U848" s="48"/>
      <c r="V848" s="48"/>
      <c r="W848" s="48"/>
      <c r="X848" s="48"/>
      <c r="Y848" s="48"/>
      <c r="Z848" s="48"/>
    </row>
    <row r="849" ht="15.75" customHeight="1">
      <c r="A849" s="49"/>
      <c r="B849" s="49"/>
      <c r="C849" s="49"/>
      <c r="D849" s="49"/>
      <c r="E849" s="49"/>
      <c r="F849" s="49"/>
      <c r="G849" s="49"/>
      <c r="H849" s="49"/>
      <c r="I849" s="49"/>
      <c r="J849" s="49"/>
      <c r="K849" s="49"/>
      <c r="L849" s="48"/>
      <c r="M849" s="48"/>
      <c r="N849" s="48"/>
      <c r="O849" s="48"/>
      <c r="P849" s="48"/>
      <c r="Q849" s="48"/>
      <c r="R849" s="48"/>
      <c r="S849" s="48"/>
      <c r="T849" s="48"/>
      <c r="U849" s="48"/>
      <c r="V849" s="48"/>
      <c r="W849" s="48"/>
      <c r="X849" s="48"/>
      <c r="Y849" s="48"/>
      <c r="Z849" s="48"/>
    </row>
    <row r="850" ht="15.75" customHeight="1">
      <c r="A850" s="49"/>
      <c r="B850" s="49"/>
      <c r="C850" s="49"/>
      <c r="D850" s="49"/>
      <c r="E850" s="49"/>
      <c r="F850" s="49"/>
      <c r="G850" s="49"/>
      <c r="H850" s="49"/>
      <c r="I850" s="49"/>
      <c r="J850" s="49"/>
      <c r="K850" s="49"/>
      <c r="L850" s="48"/>
      <c r="M850" s="48"/>
      <c r="N850" s="48"/>
      <c r="O850" s="48"/>
      <c r="P850" s="48"/>
      <c r="Q850" s="48"/>
      <c r="R850" s="48"/>
      <c r="S850" s="48"/>
      <c r="T850" s="48"/>
      <c r="U850" s="48"/>
      <c r="V850" s="48"/>
      <c r="W850" s="48"/>
      <c r="X850" s="48"/>
      <c r="Y850" s="48"/>
      <c r="Z850" s="48"/>
    </row>
    <row r="851" ht="15.75" customHeight="1">
      <c r="A851" s="49"/>
      <c r="B851" s="49"/>
      <c r="C851" s="49"/>
      <c r="D851" s="49"/>
      <c r="E851" s="49"/>
      <c r="F851" s="49"/>
      <c r="G851" s="49"/>
      <c r="H851" s="49"/>
      <c r="I851" s="49"/>
      <c r="J851" s="49"/>
      <c r="K851" s="49"/>
      <c r="L851" s="48"/>
      <c r="M851" s="48"/>
      <c r="N851" s="48"/>
      <c r="O851" s="48"/>
      <c r="P851" s="48"/>
      <c r="Q851" s="48"/>
      <c r="R851" s="48"/>
      <c r="S851" s="48"/>
      <c r="T851" s="48"/>
      <c r="U851" s="48"/>
      <c r="V851" s="48"/>
      <c r="W851" s="48"/>
      <c r="X851" s="48"/>
      <c r="Y851" s="48"/>
      <c r="Z851" s="48"/>
    </row>
    <row r="852" ht="15.75" customHeight="1">
      <c r="A852" s="49"/>
      <c r="B852" s="49"/>
      <c r="C852" s="49"/>
      <c r="D852" s="49"/>
      <c r="E852" s="49"/>
      <c r="F852" s="49"/>
      <c r="G852" s="49"/>
      <c r="H852" s="49"/>
      <c r="I852" s="49"/>
      <c r="J852" s="49"/>
      <c r="K852" s="49"/>
      <c r="L852" s="48"/>
      <c r="M852" s="48"/>
      <c r="N852" s="48"/>
      <c r="O852" s="48"/>
      <c r="P852" s="48"/>
      <c r="Q852" s="48"/>
      <c r="R852" s="48"/>
      <c r="S852" s="48"/>
      <c r="T852" s="48"/>
      <c r="U852" s="48"/>
      <c r="V852" s="48"/>
      <c r="W852" s="48"/>
      <c r="X852" s="48"/>
      <c r="Y852" s="48"/>
      <c r="Z852" s="48"/>
    </row>
    <row r="853" ht="15.75" customHeight="1">
      <c r="A853" s="49"/>
      <c r="B853" s="49"/>
      <c r="C853" s="49"/>
      <c r="D853" s="49"/>
      <c r="E853" s="49"/>
      <c r="F853" s="49"/>
      <c r="G853" s="49"/>
      <c r="H853" s="49"/>
      <c r="I853" s="49"/>
      <c r="J853" s="49"/>
      <c r="K853" s="49"/>
      <c r="L853" s="48"/>
      <c r="M853" s="48"/>
      <c r="N853" s="48"/>
      <c r="O853" s="48"/>
      <c r="P853" s="48"/>
      <c r="Q853" s="48"/>
      <c r="R853" s="48"/>
      <c r="S853" s="48"/>
      <c r="T853" s="48"/>
      <c r="U853" s="48"/>
      <c r="V853" s="48"/>
      <c r="W853" s="48"/>
      <c r="X853" s="48"/>
      <c r="Y853" s="48"/>
      <c r="Z853" s="48"/>
    </row>
    <row r="854" ht="15.75" customHeight="1">
      <c r="A854" s="49"/>
      <c r="B854" s="49"/>
      <c r="C854" s="49"/>
      <c r="D854" s="49"/>
      <c r="E854" s="49"/>
      <c r="F854" s="49"/>
      <c r="G854" s="49"/>
      <c r="H854" s="49"/>
      <c r="I854" s="49"/>
      <c r="J854" s="49"/>
      <c r="K854" s="49"/>
      <c r="L854" s="48"/>
      <c r="M854" s="48"/>
      <c r="N854" s="48"/>
      <c r="O854" s="48"/>
      <c r="P854" s="48"/>
      <c r="Q854" s="48"/>
      <c r="R854" s="48"/>
      <c r="S854" s="48"/>
      <c r="T854" s="48"/>
      <c r="U854" s="48"/>
      <c r="V854" s="48"/>
      <c r="W854" s="48"/>
      <c r="X854" s="48"/>
      <c r="Y854" s="48"/>
      <c r="Z854" s="48"/>
    </row>
    <row r="855" ht="15.75" customHeight="1">
      <c r="A855" s="49"/>
      <c r="B855" s="49"/>
      <c r="C855" s="49"/>
      <c r="D855" s="49"/>
      <c r="E855" s="49"/>
      <c r="F855" s="49"/>
      <c r="G855" s="49"/>
      <c r="H855" s="49"/>
      <c r="I855" s="49"/>
      <c r="J855" s="49"/>
      <c r="K855" s="49"/>
      <c r="L855" s="48"/>
      <c r="M855" s="48"/>
      <c r="N855" s="48"/>
      <c r="O855" s="48"/>
      <c r="P855" s="48"/>
      <c r="Q855" s="48"/>
      <c r="R855" s="48"/>
      <c r="S855" s="48"/>
      <c r="T855" s="48"/>
      <c r="U855" s="48"/>
      <c r="V855" s="48"/>
      <c r="W855" s="48"/>
      <c r="X855" s="48"/>
      <c r="Y855" s="48"/>
      <c r="Z855" s="48"/>
    </row>
    <row r="856" ht="15.75" customHeight="1">
      <c r="A856" s="49"/>
      <c r="B856" s="49"/>
      <c r="C856" s="49"/>
      <c r="D856" s="49"/>
      <c r="E856" s="49"/>
      <c r="F856" s="49"/>
      <c r="G856" s="49"/>
      <c r="H856" s="49"/>
      <c r="I856" s="49"/>
      <c r="J856" s="49"/>
      <c r="K856" s="49"/>
      <c r="L856" s="48"/>
      <c r="M856" s="48"/>
      <c r="N856" s="48"/>
      <c r="O856" s="48"/>
      <c r="P856" s="48"/>
      <c r="Q856" s="48"/>
      <c r="R856" s="48"/>
      <c r="S856" s="48"/>
      <c r="T856" s="48"/>
      <c r="U856" s="48"/>
      <c r="V856" s="48"/>
      <c r="W856" s="48"/>
      <c r="X856" s="48"/>
      <c r="Y856" s="48"/>
      <c r="Z856" s="48"/>
    </row>
    <row r="857" ht="15.75" customHeight="1">
      <c r="A857" s="49"/>
      <c r="B857" s="49"/>
      <c r="C857" s="49"/>
      <c r="D857" s="49"/>
      <c r="E857" s="49"/>
      <c r="F857" s="49"/>
      <c r="G857" s="49"/>
      <c r="H857" s="49"/>
      <c r="I857" s="49"/>
      <c r="J857" s="49"/>
      <c r="K857" s="49"/>
      <c r="L857" s="48"/>
      <c r="M857" s="48"/>
      <c r="N857" s="48"/>
      <c r="O857" s="48"/>
      <c r="P857" s="48"/>
      <c r="Q857" s="48"/>
      <c r="R857" s="48"/>
      <c r="S857" s="48"/>
      <c r="T857" s="48"/>
      <c r="U857" s="48"/>
      <c r="V857" s="48"/>
      <c r="W857" s="48"/>
      <c r="X857" s="48"/>
      <c r="Y857" s="48"/>
      <c r="Z857" s="48"/>
    </row>
    <row r="858" ht="15.75" customHeight="1">
      <c r="A858" s="49"/>
      <c r="B858" s="49"/>
      <c r="C858" s="49"/>
      <c r="D858" s="49"/>
      <c r="E858" s="49"/>
      <c r="F858" s="49"/>
      <c r="G858" s="49"/>
      <c r="H858" s="49"/>
      <c r="I858" s="49"/>
      <c r="J858" s="49"/>
      <c r="K858" s="49"/>
      <c r="L858" s="48"/>
      <c r="M858" s="48"/>
      <c r="N858" s="48"/>
      <c r="O858" s="48"/>
      <c r="P858" s="48"/>
      <c r="Q858" s="48"/>
      <c r="R858" s="48"/>
      <c r="S858" s="48"/>
      <c r="T858" s="48"/>
      <c r="U858" s="48"/>
      <c r="V858" s="48"/>
      <c r="W858" s="48"/>
      <c r="X858" s="48"/>
      <c r="Y858" s="48"/>
      <c r="Z858" s="48"/>
    </row>
    <row r="859" ht="15.75" customHeight="1">
      <c r="A859" s="49"/>
      <c r="B859" s="49"/>
      <c r="C859" s="49"/>
      <c r="D859" s="49"/>
      <c r="E859" s="49"/>
      <c r="F859" s="49"/>
      <c r="G859" s="49"/>
      <c r="H859" s="49"/>
      <c r="I859" s="49"/>
      <c r="J859" s="49"/>
      <c r="K859" s="49"/>
      <c r="L859" s="48"/>
      <c r="M859" s="48"/>
      <c r="N859" s="48"/>
      <c r="O859" s="48"/>
      <c r="P859" s="48"/>
      <c r="Q859" s="48"/>
      <c r="R859" s="48"/>
      <c r="S859" s="48"/>
      <c r="T859" s="48"/>
      <c r="U859" s="48"/>
      <c r="V859" s="48"/>
      <c r="W859" s="48"/>
      <c r="X859" s="48"/>
      <c r="Y859" s="48"/>
      <c r="Z859" s="48"/>
    </row>
    <row r="860" ht="15.75" customHeight="1">
      <c r="A860" s="49"/>
      <c r="B860" s="49"/>
      <c r="C860" s="49"/>
      <c r="D860" s="49"/>
      <c r="E860" s="49"/>
      <c r="F860" s="49"/>
      <c r="G860" s="49"/>
      <c r="H860" s="49"/>
      <c r="I860" s="49"/>
      <c r="J860" s="49"/>
      <c r="K860" s="49"/>
      <c r="L860" s="48"/>
      <c r="M860" s="48"/>
      <c r="N860" s="48"/>
      <c r="O860" s="48"/>
      <c r="P860" s="48"/>
      <c r="Q860" s="48"/>
      <c r="R860" s="48"/>
      <c r="S860" s="48"/>
      <c r="T860" s="48"/>
      <c r="U860" s="48"/>
      <c r="V860" s="48"/>
      <c r="W860" s="48"/>
      <c r="X860" s="48"/>
      <c r="Y860" s="48"/>
      <c r="Z860" s="48"/>
    </row>
    <row r="861" ht="15.75" customHeight="1">
      <c r="A861" s="49"/>
      <c r="B861" s="49"/>
      <c r="C861" s="49"/>
      <c r="D861" s="49"/>
      <c r="E861" s="49"/>
      <c r="F861" s="49"/>
      <c r="G861" s="49"/>
      <c r="H861" s="49"/>
      <c r="I861" s="49"/>
      <c r="J861" s="49"/>
      <c r="K861" s="49"/>
      <c r="L861" s="48"/>
      <c r="M861" s="48"/>
      <c r="N861" s="48"/>
      <c r="O861" s="48"/>
      <c r="P861" s="48"/>
      <c r="Q861" s="48"/>
      <c r="R861" s="48"/>
      <c r="S861" s="48"/>
      <c r="T861" s="48"/>
      <c r="U861" s="48"/>
      <c r="V861" s="48"/>
      <c r="W861" s="48"/>
      <c r="X861" s="48"/>
      <c r="Y861" s="48"/>
      <c r="Z861" s="48"/>
    </row>
    <row r="862" ht="15.75" customHeight="1">
      <c r="A862" s="49"/>
      <c r="B862" s="49"/>
      <c r="C862" s="49"/>
      <c r="D862" s="49"/>
      <c r="E862" s="49"/>
      <c r="F862" s="49"/>
      <c r="G862" s="49"/>
      <c r="H862" s="49"/>
      <c r="I862" s="49"/>
      <c r="J862" s="49"/>
      <c r="K862" s="49"/>
      <c r="L862" s="48"/>
      <c r="M862" s="48"/>
      <c r="N862" s="48"/>
      <c r="O862" s="48"/>
      <c r="P862" s="48"/>
      <c r="Q862" s="48"/>
      <c r="R862" s="48"/>
      <c r="S862" s="48"/>
      <c r="T862" s="48"/>
      <c r="U862" s="48"/>
      <c r="V862" s="48"/>
      <c r="W862" s="48"/>
      <c r="X862" s="48"/>
      <c r="Y862" s="48"/>
      <c r="Z862" s="48"/>
    </row>
    <row r="863" ht="15.75" customHeight="1">
      <c r="A863" s="49"/>
      <c r="B863" s="49"/>
      <c r="C863" s="49"/>
      <c r="D863" s="49"/>
      <c r="E863" s="49"/>
      <c r="F863" s="49"/>
      <c r="G863" s="49"/>
      <c r="H863" s="49"/>
      <c r="I863" s="49"/>
      <c r="J863" s="49"/>
      <c r="K863" s="49"/>
      <c r="L863" s="48"/>
      <c r="M863" s="48"/>
      <c r="N863" s="48"/>
      <c r="O863" s="48"/>
      <c r="P863" s="48"/>
      <c r="Q863" s="48"/>
      <c r="R863" s="48"/>
      <c r="S863" s="48"/>
      <c r="T863" s="48"/>
      <c r="U863" s="48"/>
      <c r="V863" s="48"/>
      <c r="W863" s="48"/>
      <c r="X863" s="48"/>
      <c r="Y863" s="48"/>
      <c r="Z863" s="48"/>
    </row>
    <row r="864" ht="15.75" customHeight="1">
      <c r="A864" s="49"/>
      <c r="B864" s="49"/>
      <c r="C864" s="49"/>
      <c r="D864" s="49"/>
      <c r="E864" s="49"/>
      <c r="F864" s="49"/>
      <c r="G864" s="49"/>
      <c r="H864" s="49"/>
      <c r="I864" s="49"/>
      <c r="J864" s="49"/>
      <c r="K864" s="49"/>
      <c r="L864" s="48"/>
      <c r="M864" s="48"/>
      <c r="N864" s="48"/>
      <c r="O864" s="48"/>
      <c r="P864" s="48"/>
      <c r="Q864" s="48"/>
      <c r="R864" s="48"/>
      <c r="S864" s="48"/>
      <c r="T864" s="48"/>
      <c r="U864" s="48"/>
      <c r="V864" s="48"/>
      <c r="W864" s="48"/>
      <c r="X864" s="48"/>
      <c r="Y864" s="48"/>
      <c r="Z864" s="48"/>
    </row>
    <row r="865" ht="15.75" customHeight="1">
      <c r="A865" s="49"/>
      <c r="B865" s="49"/>
      <c r="C865" s="49"/>
      <c r="D865" s="49"/>
      <c r="E865" s="49"/>
      <c r="F865" s="49"/>
      <c r="G865" s="49"/>
      <c r="H865" s="49"/>
      <c r="I865" s="49"/>
      <c r="J865" s="49"/>
      <c r="K865" s="49"/>
      <c r="L865" s="48"/>
      <c r="M865" s="48"/>
      <c r="N865" s="48"/>
      <c r="O865" s="48"/>
      <c r="P865" s="48"/>
      <c r="Q865" s="48"/>
      <c r="R865" s="48"/>
      <c r="S865" s="48"/>
      <c r="T865" s="48"/>
      <c r="U865" s="48"/>
      <c r="V865" s="48"/>
      <c r="W865" s="48"/>
      <c r="X865" s="48"/>
      <c r="Y865" s="48"/>
      <c r="Z865" s="48"/>
    </row>
    <row r="866" ht="15.75" customHeight="1">
      <c r="A866" s="49"/>
      <c r="B866" s="49"/>
      <c r="C866" s="49"/>
      <c r="D866" s="49"/>
      <c r="E866" s="49"/>
      <c r="F866" s="49"/>
      <c r="G866" s="49"/>
      <c r="H866" s="49"/>
      <c r="I866" s="49"/>
      <c r="J866" s="49"/>
      <c r="K866" s="49"/>
      <c r="L866" s="48"/>
      <c r="M866" s="48"/>
      <c r="N866" s="48"/>
      <c r="O866" s="48"/>
      <c r="P866" s="48"/>
      <c r="Q866" s="48"/>
      <c r="R866" s="48"/>
      <c r="S866" s="48"/>
      <c r="T866" s="48"/>
      <c r="U866" s="48"/>
      <c r="V866" s="48"/>
      <c r="W866" s="48"/>
      <c r="X866" s="48"/>
      <c r="Y866" s="48"/>
      <c r="Z866" s="48"/>
    </row>
    <row r="867" ht="15.75" customHeight="1">
      <c r="A867" s="49"/>
      <c r="B867" s="49"/>
      <c r="C867" s="49"/>
      <c r="D867" s="49"/>
      <c r="E867" s="49"/>
      <c r="F867" s="49"/>
      <c r="G867" s="49"/>
      <c r="H867" s="49"/>
      <c r="I867" s="49"/>
      <c r="J867" s="49"/>
      <c r="K867" s="49"/>
      <c r="L867" s="48"/>
      <c r="M867" s="48"/>
      <c r="N867" s="48"/>
      <c r="O867" s="48"/>
      <c r="P867" s="48"/>
      <c r="Q867" s="48"/>
      <c r="R867" s="48"/>
      <c r="S867" s="48"/>
      <c r="T867" s="48"/>
      <c r="U867" s="48"/>
      <c r="V867" s="48"/>
      <c r="W867" s="48"/>
      <c r="X867" s="48"/>
      <c r="Y867" s="48"/>
      <c r="Z867" s="48"/>
    </row>
    <row r="868" ht="15.75" customHeight="1">
      <c r="A868" s="49"/>
      <c r="B868" s="49"/>
      <c r="C868" s="49"/>
      <c r="D868" s="49"/>
      <c r="E868" s="49"/>
      <c r="F868" s="49"/>
      <c r="G868" s="49"/>
      <c r="H868" s="49"/>
      <c r="I868" s="49"/>
      <c r="J868" s="49"/>
      <c r="K868" s="49"/>
      <c r="L868" s="48"/>
      <c r="M868" s="48"/>
      <c r="N868" s="48"/>
      <c r="O868" s="48"/>
      <c r="P868" s="48"/>
      <c r="Q868" s="48"/>
      <c r="R868" s="48"/>
      <c r="S868" s="48"/>
      <c r="T868" s="48"/>
      <c r="U868" s="48"/>
      <c r="V868" s="48"/>
      <c r="W868" s="48"/>
      <c r="X868" s="48"/>
      <c r="Y868" s="48"/>
      <c r="Z868" s="48"/>
    </row>
    <row r="869" ht="15.75" customHeight="1">
      <c r="A869" s="49"/>
      <c r="B869" s="49"/>
      <c r="C869" s="49"/>
      <c r="D869" s="49"/>
      <c r="E869" s="49"/>
      <c r="F869" s="49"/>
      <c r="G869" s="49"/>
      <c r="H869" s="49"/>
      <c r="I869" s="49"/>
      <c r="J869" s="49"/>
      <c r="K869" s="49"/>
      <c r="L869" s="48"/>
      <c r="M869" s="48"/>
      <c r="N869" s="48"/>
      <c r="O869" s="48"/>
      <c r="P869" s="48"/>
      <c r="Q869" s="48"/>
      <c r="R869" s="48"/>
      <c r="S869" s="48"/>
      <c r="T869" s="48"/>
      <c r="U869" s="48"/>
      <c r="V869" s="48"/>
      <c r="W869" s="48"/>
      <c r="X869" s="48"/>
      <c r="Y869" s="48"/>
      <c r="Z869" s="48"/>
    </row>
    <row r="870" ht="15.75" customHeight="1">
      <c r="A870" s="49"/>
      <c r="B870" s="49"/>
      <c r="C870" s="49"/>
      <c r="D870" s="49"/>
      <c r="E870" s="49"/>
      <c r="F870" s="49"/>
      <c r="G870" s="49"/>
      <c r="H870" s="49"/>
      <c r="I870" s="49"/>
      <c r="J870" s="49"/>
      <c r="K870" s="49"/>
      <c r="L870" s="48"/>
      <c r="M870" s="48"/>
      <c r="N870" s="48"/>
      <c r="O870" s="48"/>
      <c r="P870" s="48"/>
      <c r="Q870" s="48"/>
      <c r="R870" s="48"/>
      <c r="S870" s="48"/>
      <c r="T870" s="48"/>
      <c r="U870" s="48"/>
      <c r="V870" s="48"/>
      <c r="W870" s="48"/>
      <c r="X870" s="48"/>
      <c r="Y870" s="48"/>
      <c r="Z870" s="48"/>
    </row>
    <row r="871" ht="15.75" customHeight="1">
      <c r="A871" s="49"/>
      <c r="B871" s="49"/>
      <c r="C871" s="49"/>
      <c r="D871" s="49"/>
      <c r="E871" s="49"/>
      <c r="F871" s="49"/>
      <c r="G871" s="49"/>
      <c r="H871" s="49"/>
      <c r="I871" s="49"/>
      <c r="J871" s="49"/>
      <c r="K871" s="49"/>
      <c r="L871" s="48"/>
      <c r="M871" s="48"/>
      <c r="N871" s="48"/>
      <c r="O871" s="48"/>
      <c r="P871" s="48"/>
      <c r="Q871" s="48"/>
      <c r="R871" s="48"/>
      <c r="S871" s="48"/>
      <c r="T871" s="48"/>
      <c r="U871" s="48"/>
      <c r="V871" s="48"/>
      <c r="W871" s="48"/>
      <c r="X871" s="48"/>
      <c r="Y871" s="48"/>
      <c r="Z871" s="48"/>
    </row>
    <row r="872" ht="15.75" customHeight="1">
      <c r="A872" s="49"/>
      <c r="B872" s="49"/>
      <c r="C872" s="49"/>
      <c r="D872" s="49"/>
      <c r="E872" s="49"/>
      <c r="F872" s="49"/>
      <c r="G872" s="49"/>
      <c r="H872" s="49"/>
      <c r="I872" s="49"/>
      <c r="J872" s="49"/>
      <c r="K872" s="49"/>
      <c r="L872" s="48"/>
      <c r="M872" s="48"/>
      <c r="N872" s="48"/>
      <c r="O872" s="48"/>
      <c r="P872" s="48"/>
      <c r="Q872" s="48"/>
      <c r="R872" s="48"/>
      <c r="S872" s="48"/>
      <c r="T872" s="48"/>
      <c r="U872" s="48"/>
      <c r="V872" s="48"/>
      <c r="W872" s="48"/>
      <c r="X872" s="48"/>
      <c r="Y872" s="48"/>
      <c r="Z872" s="48"/>
    </row>
    <row r="873" ht="15.75" customHeight="1">
      <c r="A873" s="49"/>
      <c r="B873" s="49"/>
      <c r="C873" s="49"/>
      <c r="D873" s="49"/>
      <c r="E873" s="49"/>
      <c r="F873" s="49"/>
      <c r="G873" s="49"/>
      <c r="H873" s="49"/>
      <c r="I873" s="49"/>
      <c r="J873" s="49"/>
      <c r="K873" s="49"/>
      <c r="L873" s="48"/>
      <c r="M873" s="48"/>
      <c r="N873" s="48"/>
      <c r="O873" s="48"/>
      <c r="P873" s="48"/>
      <c r="Q873" s="48"/>
      <c r="R873" s="48"/>
      <c r="S873" s="48"/>
      <c r="T873" s="48"/>
      <c r="U873" s="48"/>
      <c r="V873" s="48"/>
      <c r="W873" s="48"/>
      <c r="X873" s="48"/>
      <c r="Y873" s="48"/>
      <c r="Z873" s="48"/>
    </row>
    <row r="874" ht="15.75" customHeight="1">
      <c r="A874" s="49"/>
      <c r="B874" s="49"/>
      <c r="C874" s="49"/>
      <c r="D874" s="49"/>
      <c r="E874" s="49"/>
      <c r="F874" s="49"/>
      <c r="G874" s="49"/>
      <c r="H874" s="49"/>
      <c r="I874" s="49"/>
      <c r="J874" s="49"/>
      <c r="K874" s="49"/>
      <c r="L874" s="48"/>
      <c r="M874" s="48"/>
      <c r="N874" s="48"/>
      <c r="O874" s="48"/>
      <c r="P874" s="48"/>
      <c r="Q874" s="48"/>
      <c r="R874" s="48"/>
      <c r="S874" s="48"/>
      <c r="T874" s="48"/>
      <c r="U874" s="48"/>
      <c r="V874" s="48"/>
      <c r="W874" s="48"/>
      <c r="X874" s="48"/>
      <c r="Y874" s="48"/>
      <c r="Z874" s="48"/>
    </row>
    <row r="875" ht="15.75" customHeight="1">
      <c r="A875" s="49"/>
      <c r="B875" s="49"/>
      <c r="C875" s="49"/>
      <c r="D875" s="49"/>
      <c r="E875" s="49"/>
      <c r="F875" s="49"/>
      <c r="G875" s="49"/>
      <c r="H875" s="49"/>
      <c r="I875" s="49"/>
      <c r="J875" s="49"/>
      <c r="K875" s="49"/>
      <c r="L875" s="48"/>
      <c r="M875" s="48"/>
      <c r="N875" s="48"/>
      <c r="O875" s="48"/>
      <c r="P875" s="48"/>
      <c r="Q875" s="48"/>
      <c r="R875" s="48"/>
      <c r="S875" s="48"/>
      <c r="T875" s="48"/>
      <c r="U875" s="48"/>
      <c r="V875" s="48"/>
      <c r="W875" s="48"/>
      <c r="X875" s="48"/>
      <c r="Y875" s="48"/>
      <c r="Z875" s="48"/>
    </row>
    <row r="876" ht="15.75" customHeight="1">
      <c r="A876" s="49"/>
      <c r="B876" s="49"/>
      <c r="C876" s="49"/>
      <c r="D876" s="49"/>
      <c r="E876" s="49"/>
      <c r="F876" s="49"/>
      <c r="G876" s="49"/>
      <c r="H876" s="49"/>
      <c r="I876" s="49"/>
      <c r="J876" s="49"/>
      <c r="K876" s="49"/>
      <c r="L876" s="48"/>
      <c r="M876" s="48"/>
      <c r="N876" s="48"/>
      <c r="O876" s="48"/>
      <c r="P876" s="48"/>
      <c r="Q876" s="48"/>
      <c r="R876" s="48"/>
      <c r="S876" s="48"/>
      <c r="T876" s="48"/>
      <c r="U876" s="48"/>
      <c r="V876" s="48"/>
      <c r="W876" s="48"/>
      <c r="X876" s="48"/>
      <c r="Y876" s="48"/>
      <c r="Z876" s="48"/>
    </row>
    <row r="877" ht="15.75" customHeight="1">
      <c r="A877" s="49"/>
      <c r="B877" s="49"/>
      <c r="C877" s="49"/>
      <c r="D877" s="49"/>
      <c r="E877" s="49"/>
      <c r="F877" s="49"/>
      <c r="G877" s="49"/>
      <c r="H877" s="49"/>
      <c r="I877" s="49"/>
      <c r="J877" s="49"/>
      <c r="K877" s="49"/>
      <c r="L877" s="48"/>
      <c r="M877" s="48"/>
      <c r="N877" s="48"/>
      <c r="O877" s="48"/>
      <c r="P877" s="48"/>
      <c r="Q877" s="48"/>
      <c r="R877" s="48"/>
      <c r="S877" s="48"/>
      <c r="T877" s="48"/>
      <c r="U877" s="48"/>
      <c r="V877" s="48"/>
      <c r="W877" s="48"/>
      <c r="X877" s="48"/>
      <c r="Y877" s="48"/>
      <c r="Z877" s="48"/>
    </row>
    <row r="878" ht="15.75" customHeight="1">
      <c r="A878" s="49"/>
      <c r="B878" s="49"/>
      <c r="C878" s="49"/>
      <c r="D878" s="49"/>
      <c r="E878" s="49"/>
      <c r="F878" s="49"/>
      <c r="G878" s="49"/>
      <c r="H878" s="49"/>
      <c r="I878" s="49"/>
      <c r="J878" s="49"/>
      <c r="K878" s="49"/>
      <c r="L878" s="48"/>
      <c r="M878" s="48"/>
      <c r="N878" s="48"/>
      <c r="O878" s="48"/>
      <c r="P878" s="48"/>
      <c r="Q878" s="48"/>
      <c r="R878" s="48"/>
      <c r="S878" s="48"/>
      <c r="T878" s="48"/>
      <c r="U878" s="48"/>
      <c r="V878" s="48"/>
      <c r="W878" s="48"/>
      <c r="X878" s="48"/>
      <c r="Y878" s="48"/>
      <c r="Z878" s="48"/>
    </row>
    <row r="879" ht="15.75" customHeight="1">
      <c r="A879" s="49"/>
      <c r="B879" s="49"/>
      <c r="C879" s="49"/>
      <c r="D879" s="49"/>
      <c r="E879" s="49"/>
      <c r="F879" s="49"/>
      <c r="G879" s="49"/>
      <c r="H879" s="49"/>
      <c r="I879" s="49"/>
      <c r="J879" s="49"/>
      <c r="K879" s="49"/>
      <c r="L879" s="48"/>
      <c r="M879" s="48"/>
      <c r="N879" s="48"/>
      <c r="O879" s="48"/>
      <c r="P879" s="48"/>
      <c r="Q879" s="48"/>
      <c r="R879" s="48"/>
      <c r="S879" s="48"/>
      <c r="T879" s="48"/>
      <c r="U879" s="48"/>
      <c r="V879" s="48"/>
      <c r="W879" s="48"/>
      <c r="X879" s="48"/>
      <c r="Y879" s="48"/>
      <c r="Z879" s="48"/>
    </row>
    <row r="880" ht="15.75" customHeight="1">
      <c r="A880" s="49"/>
      <c r="B880" s="49"/>
      <c r="C880" s="49"/>
      <c r="D880" s="49"/>
      <c r="E880" s="49"/>
      <c r="F880" s="49"/>
      <c r="G880" s="49"/>
      <c r="H880" s="49"/>
      <c r="I880" s="49"/>
      <c r="J880" s="49"/>
      <c r="K880" s="49"/>
      <c r="L880" s="48"/>
      <c r="M880" s="48"/>
      <c r="N880" s="48"/>
      <c r="O880" s="48"/>
      <c r="P880" s="48"/>
      <c r="Q880" s="48"/>
      <c r="R880" s="48"/>
      <c r="S880" s="48"/>
      <c r="T880" s="48"/>
      <c r="U880" s="48"/>
      <c r="V880" s="48"/>
      <c r="W880" s="48"/>
      <c r="X880" s="48"/>
      <c r="Y880" s="48"/>
      <c r="Z880" s="48"/>
    </row>
    <row r="881" ht="15.75" customHeight="1">
      <c r="A881" s="49"/>
      <c r="B881" s="49"/>
      <c r="C881" s="49"/>
      <c r="D881" s="49"/>
      <c r="E881" s="49"/>
      <c r="F881" s="49"/>
      <c r="G881" s="49"/>
      <c r="H881" s="49"/>
      <c r="I881" s="49"/>
      <c r="J881" s="49"/>
      <c r="K881" s="49"/>
      <c r="L881" s="48"/>
      <c r="M881" s="48"/>
      <c r="N881" s="48"/>
      <c r="O881" s="48"/>
      <c r="P881" s="48"/>
      <c r="Q881" s="48"/>
      <c r="R881" s="48"/>
      <c r="S881" s="48"/>
      <c r="T881" s="48"/>
      <c r="U881" s="48"/>
      <c r="V881" s="48"/>
      <c r="W881" s="48"/>
      <c r="X881" s="48"/>
      <c r="Y881" s="48"/>
      <c r="Z881" s="48"/>
    </row>
    <row r="882" ht="15.75" customHeight="1">
      <c r="A882" s="49"/>
      <c r="B882" s="49"/>
      <c r="C882" s="49"/>
      <c r="D882" s="49"/>
      <c r="E882" s="49"/>
      <c r="F882" s="49"/>
      <c r="G882" s="49"/>
      <c r="H882" s="49"/>
      <c r="I882" s="49"/>
      <c r="J882" s="49"/>
      <c r="K882" s="49"/>
      <c r="L882" s="48"/>
      <c r="M882" s="48"/>
      <c r="N882" s="48"/>
      <c r="O882" s="48"/>
      <c r="P882" s="48"/>
      <c r="Q882" s="48"/>
      <c r="R882" s="48"/>
      <c r="S882" s="48"/>
      <c r="T882" s="48"/>
      <c r="U882" s="48"/>
      <c r="V882" s="48"/>
      <c r="W882" s="48"/>
      <c r="X882" s="48"/>
      <c r="Y882" s="48"/>
      <c r="Z882" s="48"/>
    </row>
    <row r="883" ht="15.75" customHeight="1">
      <c r="A883" s="49"/>
      <c r="B883" s="49"/>
      <c r="C883" s="49"/>
      <c r="D883" s="49"/>
      <c r="E883" s="49"/>
      <c r="F883" s="49"/>
      <c r="G883" s="49"/>
      <c r="H883" s="49"/>
      <c r="I883" s="49"/>
      <c r="J883" s="49"/>
      <c r="K883" s="49"/>
      <c r="L883" s="48"/>
      <c r="M883" s="48"/>
      <c r="N883" s="48"/>
      <c r="O883" s="48"/>
      <c r="P883" s="48"/>
      <c r="Q883" s="48"/>
      <c r="R883" s="48"/>
      <c r="S883" s="48"/>
      <c r="T883" s="48"/>
      <c r="U883" s="48"/>
      <c r="V883" s="48"/>
      <c r="W883" s="48"/>
      <c r="X883" s="48"/>
      <c r="Y883" s="48"/>
      <c r="Z883" s="48"/>
    </row>
    <row r="884" ht="15.75" customHeight="1">
      <c r="A884" s="49"/>
      <c r="B884" s="49"/>
      <c r="C884" s="49"/>
      <c r="D884" s="49"/>
      <c r="E884" s="49"/>
      <c r="F884" s="49"/>
      <c r="G884" s="49"/>
      <c r="H884" s="49"/>
      <c r="I884" s="49"/>
      <c r="J884" s="49"/>
      <c r="K884" s="49"/>
      <c r="L884" s="48"/>
      <c r="M884" s="48"/>
      <c r="N884" s="48"/>
      <c r="O884" s="48"/>
      <c r="P884" s="48"/>
      <c r="Q884" s="48"/>
      <c r="R884" s="48"/>
      <c r="S884" s="48"/>
      <c r="T884" s="48"/>
      <c r="U884" s="48"/>
      <c r="V884" s="48"/>
      <c r="W884" s="48"/>
      <c r="X884" s="48"/>
      <c r="Y884" s="48"/>
      <c r="Z884" s="48"/>
    </row>
    <row r="885" ht="15.75" customHeight="1">
      <c r="A885" s="49"/>
      <c r="B885" s="49"/>
      <c r="C885" s="49"/>
      <c r="D885" s="49"/>
      <c r="E885" s="49"/>
      <c r="F885" s="49"/>
      <c r="G885" s="49"/>
      <c r="H885" s="49"/>
      <c r="I885" s="49"/>
      <c r="J885" s="49"/>
      <c r="K885" s="49"/>
      <c r="L885" s="48"/>
      <c r="M885" s="48"/>
      <c r="N885" s="48"/>
      <c r="O885" s="48"/>
      <c r="P885" s="48"/>
      <c r="Q885" s="48"/>
      <c r="R885" s="48"/>
      <c r="S885" s="48"/>
      <c r="T885" s="48"/>
      <c r="U885" s="48"/>
      <c r="V885" s="48"/>
      <c r="W885" s="48"/>
      <c r="X885" s="48"/>
      <c r="Y885" s="48"/>
      <c r="Z885" s="48"/>
    </row>
    <row r="886" ht="15.75" customHeight="1">
      <c r="A886" s="49"/>
      <c r="B886" s="49"/>
      <c r="C886" s="49"/>
      <c r="D886" s="49"/>
      <c r="E886" s="49"/>
      <c r="F886" s="49"/>
      <c r="G886" s="49"/>
      <c r="H886" s="49"/>
      <c r="I886" s="49"/>
      <c r="J886" s="49"/>
      <c r="K886" s="49"/>
      <c r="L886" s="48"/>
      <c r="M886" s="48"/>
      <c r="N886" s="48"/>
      <c r="O886" s="48"/>
      <c r="P886" s="48"/>
      <c r="Q886" s="48"/>
      <c r="R886" s="48"/>
      <c r="S886" s="48"/>
      <c r="T886" s="48"/>
      <c r="U886" s="48"/>
      <c r="V886" s="48"/>
      <c r="W886" s="48"/>
      <c r="X886" s="48"/>
      <c r="Y886" s="48"/>
      <c r="Z886" s="48"/>
    </row>
    <row r="887" ht="15.75" customHeight="1">
      <c r="A887" s="49"/>
      <c r="B887" s="49"/>
      <c r="C887" s="49"/>
      <c r="D887" s="49"/>
      <c r="E887" s="49"/>
      <c r="F887" s="49"/>
      <c r="G887" s="49"/>
      <c r="H887" s="49"/>
      <c r="I887" s="49"/>
      <c r="J887" s="49"/>
      <c r="K887" s="49"/>
      <c r="L887" s="48"/>
      <c r="M887" s="48"/>
      <c r="N887" s="48"/>
      <c r="O887" s="48"/>
      <c r="P887" s="48"/>
      <c r="Q887" s="48"/>
      <c r="R887" s="48"/>
      <c r="S887" s="48"/>
      <c r="T887" s="48"/>
      <c r="U887" s="48"/>
      <c r="V887" s="48"/>
      <c r="W887" s="48"/>
      <c r="X887" s="48"/>
      <c r="Y887" s="48"/>
      <c r="Z887" s="48"/>
    </row>
    <row r="888" ht="15.75" customHeight="1">
      <c r="A888" s="49"/>
      <c r="B888" s="49"/>
      <c r="C888" s="49"/>
      <c r="D888" s="49"/>
      <c r="E888" s="49"/>
      <c r="F888" s="49"/>
      <c r="G888" s="49"/>
      <c r="H888" s="49"/>
      <c r="I888" s="49"/>
      <c r="J888" s="49"/>
      <c r="K888" s="49"/>
      <c r="L888" s="48"/>
      <c r="M888" s="48"/>
      <c r="N888" s="48"/>
      <c r="O888" s="48"/>
      <c r="P888" s="48"/>
      <c r="Q888" s="48"/>
      <c r="R888" s="48"/>
      <c r="S888" s="48"/>
      <c r="T888" s="48"/>
      <c r="U888" s="48"/>
      <c r="V888" s="48"/>
      <c r="W888" s="48"/>
      <c r="X888" s="48"/>
      <c r="Y888" s="48"/>
      <c r="Z888" s="48"/>
    </row>
    <row r="889" ht="15.75" customHeight="1">
      <c r="A889" s="49"/>
      <c r="B889" s="49"/>
      <c r="C889" s="49"/>
      <c r="D889" s="49"/>
      <c r="E889" s="49"/>
      <c r="F889" s="49"/>
      <c r="G889" s="49"/>
      <c r="H889" s="49"/>
      <c r="I889" s="49"/>
      <c r="J889" s="49"/>
      <c r="K889" s="49"/>
      <c r="L889" s="48"/>
      <c r="M889" s="48"/>
      <c r="N889" s="48"/>
      <c r="O889" s="48"/>
      <c r="P889" s="48"/>
      <c r="Q889" s="48"/>
      <c r="R889" s="48"/>
      <c r="S889" s="48"/>
      <c r="T889" s="48"/>
      <c r="U889" s="48"/>
      <c r="V889" s="48"/>
      <c r="W889" s="48"/>
      <c r="X889" s="48"/>
      <c r="Y889" s="48"/>
      <c r="Z889" s="48"/>
    </row>
    <row r="890" ht="15.75" customHeight="1">
      <c r="A890" s="49"/>
      <c r="B890" s="49"/>
      <c r="C890" s="49"/>
      <c r="D890" s="49"/>
      <c r="E890" s="49"/>
      <c r="F890" s="49"/>
      <c r="G890" s="49"/>
      <c r="H890" s="49"/>
      <c r="I890" s="49"/>
      <c r="J890" s="49"/>
      <c r="K890" s="49"/>
      <c r="L890" s="48"/>
      <c r="M890" s="48"/>
      <c r="N890" s="48"/>
      <c r="O890" s="48"/>
      <c r="P890" s="48"/>
      <c r="Q890" s="48"/>
      <c r="R890" s="48"/>
      <c r="S890" s="48"/>
      <c r="T890" s="48"/>
      <c r="U890" s="48"/>
      <c r="V890" s="48"/>
      <c r="W890" s="48"/>
      <c r="X890" s="48"/>
      <c r="Y890" s="48"/>
      <c r="Z890" s="48"/>
    </row>
    <row r="891" ht="15.75" customHeight="1">
      <c r="A891" s="49"/>
      <c r="B891" s="49"/>
      <c r="C891" s="49"/>
      <c r="D891" s="49"/>
      <c r="E891" s="49"/>
      <c r="F891" s="49"/>
      <c r="G891" s="49"/>
      <c r="H891" s="49"/>
      <c r="I891" s="49"/>
      <c r="J891" s="49"/>
      <c r="K891" s="49"/>
      <c r="L891" s="48"/>
      <c r="M891" s="48"/>
      <c r="N891" s="48"/>
      <c r="O891" s="48"/>
      <c r="P891" s="48"/>
      <c r="Q891" s="48"/>
      <c r="R891" s="48"/>
      <c r="S891" s="48"/>
      <c r="T891" s="48"/>
      <c r="U891" s="48"/>
      <c r="V891" s="48"/>
      <c r="W891" s="48"/>
      <c r="X891" s="48"/>
      <c r="Y891" s="48"/>
      <c r="Z891" s="48"/>
    </row>
    <row r="892" ht="15.75" customHeight="1">
      <c r="A892" s="49"/>
      <c r="B892" s="49"/>
      <c r="C892" s="49"/>
      <c r="D892" s="49"/>
      <c r="E892" s="49"/>
      <c r="F892" s="49"/>
      <c r="G892" s="49"/>
      <c r="H892" s="49"/>
      <c r="I892" s="49"/>
      <c r="J892" s="49"/>
      <c r="K892" s="49"/>
      <c r="L892" s="48"/>
      <c r="M892" s="48"/>
      <c r="N892" s="48"/>
      <c r="O892" s="48"/>
      <c r="P892" s="48"/>
      <c r="Q892" s="48"/>
      <c r="R892" s="48"/>
      <c r="S892" s="48"/>
      <c r="T892" s="48"/>
      <c r="U892" s="48"/>
      <c r="V892" s="48"/>
      <c r="W892" s="48"/>
      <c r="X892" s="48"/>
      <c r="Y892" s="48"/>
      <c r="Z892" s="48"/>
    </row>
    <row r="893" ht="15.75" customHeight="1">
      <c r="A893" s="49"/>
      <c r="B893" s="49"/>
      <c r="C893" s="49"/>
      <c r="D893" s="49"/>
      <c r="E893" s="49"/>
      <c r="F893" s="49"/>
      <c r="G893" s="49"/>
      <c r="H893" s="49"/>
      <c r="I893" s="49"/>
      <c r="J893" s="49"/>
      <c r="K893" s="49"/>
      <c r="L893" s="48"/>
      <c r="M893" s="48"/>
      <c r="N893" s="48"/>
      <c r="O893" s="48"/>
      <c r="P893" s="48"/>
      <c r="Q893" s="48"/>
      <c r="R893" s="48"/>
      <c r="S893" s="48"/>
      <c r="T893" s="48"/>
      <c r="U893" s="48"/>
      <c r="V893" s="48"/>
      <c r="W893" s="48"/>
      <c r="X893" s="48"/>
      <c r="Y893" s="48"/>
      <c r="Z893" s="48"/>
    </row>
    <row r="894" ht="15.75" customHeight="1">
      <c r="A894" s="49"/>
      <c r="B894" s="49"/>
      <c r="C894" s="49"/>
      <c r="D894" s="49"/>
      <c r="E894" s="49"/>
      <c r="F894" s="49"/>
      <c r="G894" s="49"/>
      <c r="H894" s="49"/>
      <c r="I894" s="49"/>
      <c r="J894" s="49"/>
      <c r="K894" s="49"/>
      <c r="L894" s="48"/>
      <c r="M894" s="48"/>
      <c r="N894" s="48"/>
      <c r="O894" s="48"/>
      <c r="P894" s="48"/>
      <c r="Q894" s="48"/>
      <c r="R894" s="48"/>
      <c r="S894" s="48"/>
      <c r="T894" s="48"/>
      <c r="U894" s="48"/>
      <c r="V894" s="48"/>
      <c r="W894" s="48"/>
      <c r="X894" s="48"/>
      <c r="Y894" s="48"/>
      <c r="Z894" s="48"/>
    </row>
    <row r="895" ht="15.75" customHeight="1">
      <c r="A895" s="49"/>
      <c r="B895" s="49"/>
      <c r="C895" s="49"/>
      <c r="D895" s="49"/>
      <c r="E895" s="49"/>
      <c r="F895" s="49"/>
      <c r="G895" s="49"/>
      <c r="H895" s="49"/>
      <c r="I895" s="49"/>
      <c r="J895" s="49"/>
      <c r="K895" s="49"/>
      <c r="L895" s="48"/>
      <c r="M895" s="48"/>
      <c r="N895" s="48"/>
      <c r="O895" s="48"/>
      <c r="P895" s="48"/>
      <c r="Q895" s="48"/>
      <c r="R895" s="48"/>
      <c r="S895" s="48"/>
      <c r="T895" s="48"/>
      <c r="U895" s="48"/>
      <c r="V895" s="48"/>
      <c r="W895" s="48"/>
      <c r="X895" s="48"/>
      <c r="Y895" s="48"/>
      <c r="Z895" s="48"/>
    </row>
    <row r="896" ht="15.75" customHeight="1">
      <c r="A896" s="49"/>
      <c r="B896" s="49"/>
      <c r="C896" s="49"/>
      <c r="D896" s="49"/>
      <c r="E896" s="49"/>
      <c r="F896" s="49"/>
      <c r="G896" s="49"/>
      <c r="H896" s="49"/>
      <c r="I896" s="49"/>
      <c r="J896" s="49"/>
      <c r="K896" s="49"/>
      <c r="L896" s="48"/>
      <c r="M896" s="48"/>
      <c r="N896" s="48"/>
      <c r="O896" s="48"/>
      <c r="P896" s="48"/>
      <c r="Q896" s="48"/>
      <c r="R896" s="48"/>
      <c r="S896" s="48"/>
      <c r="T896" s="48"/>
      <c r="U896" s="48"/>
      <c r="V896" s="48"/>
      <c r="W896" s="48"/>
      <c r="X896" s="48"/>
      <c r="Y896" s="48"/>
      <c r="Z896" s="48"/>
    </row>
    <row r="897" ht="15.75" customHeight="1">
      <c r="A897" s="49"/>
      <c r="B897" s="49"/>
      <c r="C897" s="49"/>
      <c r="D897" s="49"/>
      <c r="E897" s="49"/>
      <c r="F897" s="49"/>
      <c r="G897" s="49"/>
      <c r="H897" s="49"/>
      <c r="I897" s="49"/>
      <c r="J897" s="49"/>
      <c r="K897" s="49"/>
      <c r="L897" s="48"/>
      <c r="M897" s="48"/>
      <c r="N897" s="48"/>
      <c r="O897" s="48"/>
      <c r="P897" s="48"/>
      <c r="Q897" s="48"/>
      <c r="R897" s="48"/>
      <c r="S897" s="48"/>
      <c r="T897" s="48"/>
      <c r="U897" s="48"/>
      <c r="V897" s="48"/>
      <c r="W897" s="48"/>
      <c r="X897" s="48"/>
      <c r="Y897" s="48"/>
      <c r="Z897" s="48"/>
    </row>
    <row r="898" ht="15.75" customHeight="1">
      <c r="A898" s="49"/>
      <c r="B898" s="49"/>
      <c r="C898" s="49"/>
      <c r="D898" s="49"/>
      <c r="E898" s="49"/>
      <c r="F898" s="49"/>
      <c r="G898" s="49"/>
      <c r="H898" s="49"/>
      <c r="I898" s="49"/>
      <c r="J898" s="49"/>
      <c r="K898" s="49"/>
      <c r="L898" s="48"/>
      <c r="M898" s="48"/>
      <c r="N898" s="48"/>
      <c r="O898" s="48"/>
      <c r="P898" s="48"/>
      <c r="Q898" s="48"/>
      <c r="R898" s="48"/>
      <c r="S898" s="48"/>
      <c r="T898" s="48"/>
      <c r="U898" s="48"/>
      <c r="V898" s="48"/>
      <c r="W898" s="48"/>
      <c r="X898" s="48"/>
      <c r="Y898" s="48"/>
      <c r="Z898" s="48"/>
    </row>
    <row r="899" ht="15.75" customHeight="1">
      <c r="A899" s="49"/>
      <c r="B899" s="49"/>
      <c r="C899" s="49"/>
      <c r="D899" s="49"/>
      <c r="E899" s="49"/>
      <c r="F899" s="49"/>
      <c r="G899" s="49"/>
      <c r="H899" s="49"/>
      <c r="I899" s="49"/>
      <c r="J899" s="49"/>
      <c r="K899" s="49"/>
      <c r="L899" s="48"/>
      <c r="M899" s="48"/>
      <c r="N899" s="48"/>
      <c r="O899" s="48"/>
      <c r="P899" s="48"/>
      <c r="Q899" s="48"/>
      <c r="R899" s="48"/>
      <c r="S899" s="48"/>
      <c r="T899" s="48"/>
      <c r="U899" s="48"/>
      <c r="V899" s="48"/>
      <c r="W899" s="48"/>
      <c r="X899" s="48"/>
      <c r="Y899" s="48"/>
      <c r="Z899" s="48"/>
    </row>
    <row r="900" ht="15.75" customHeight="1">
      <c r="A900" s="49"/>
      <c r="B900" s="49"/>
      <c r="C900" s="49"/>
      <c r="D900" s="49"/>
      <c r="E900" s="49"/>
      <c r="F900" s="49"/>
      <c r="G900" s="49"/>
      <c r="H900" s="49"/>
      <c r="I900" s="49"/>
      <c r="J900" s="49"/>
      <c r="K900" s="49"/>
      <c r="L900" s="48"/>
      <c r="M900" s="48"/>
      <c r="N900" s="48"/>
      <c r="O900" s="48"/>
      <c r="P900" s="48"/>
      <c r="Q900" s="48"/>
      <c r="R900" s="48"/>
      <c r="S900" s="48"/>
      <c r="T900" s="48"/>
      <c r="U900" s="48"/>
      <c r="V900" s="48"/>
      <c r="W900" s="48"/>
      <c r="X900" s="48"/>
      <c r="Y900" s="48"/>
      <c r="Z900" s="48"/>
    </row>
    <row r="901" ht="15.75" customHeight="1">
      <c r="A901" s="49"/>
      <c r="B901" s="49"/>
      <c r="C901" s="49"/>
      <c r="D901" s="49"/>
      <c r="E901" s="49"/>
      <c r="F901" s="49"/>
      <c r="G901" s="49"/>
      <c r="H901" s="49"/>
      <c r="I901" s="49"/>
      <c r="J901" s="49"/>
      <c r="K901" s="49"/>
      <c r="L901" s="48"/>
      <c r="M901" s="48"/>
      <c r="N901" s="48"/>
      <c r="O901" s="48"/>
      <c r="P901" s="48"/>
      <c r="Q901" s="48"/>
      <c r="R901" s="48"/>
      <c r="S901" s="48"/>
      <c r="T901" s="48"/>
      <c r="U901" s="48"/>
      <c r="V901" s="48"/>
      <c r="W901" s="48"/>
      <c r="X901" s="48"/>
      <c r="Y901" s="48"/>
      <c r="Z901" s="48"/>
    </row>
    <row r="902" ht="15.75" customHeight="1">
      <c r="A902" s="49"/>
      <c r="B902" s="49"/>
      <c r="C902" s="49"/>
      <c r="D902" s="49"/>
      <c r="E902" s="49"/>
      <c r="F902" s="49"/>
      <c r="G902" s="49"/>
      <c r="H902" s="49"/>
      <c r="I902" s="49"/>
      <c r="J902" s="49"/>
      <c r="K902" s="49"/>
      <c r="L902" s="48"/>
      <c r="M902" s="48"/>
      <c r="N902" s="48"/>
      <c r="O902" s="48"/>
      <c r="P902" s="48"/>
      <c r="Q902" s="48"/>
      <c r="R902" s="48"/>
      <c r="S902" s="48"/>
      <c r="T902" s="48"/>
      <c r="U902" s="48"/>
      <c r="V902" s="48"/>
      <c r="W902" s="48"/>
      <c r="X902" s="48"/>
      <c r="Y902" s="48"/>
      <c r="Z902" s="48"/>
    </row>
    <row r="903" ht="15.75" customHeight="1">
      <c r="A903" s="49"/>
      <c r="B903" s="49"/>
      <c r="C903" s="49"/>
      <c r="D903" s="49"/>
      <c r="E903" s="49"/>
      <c r="F903" s="49"/>
      <c r="G903" s="49"/>
      <c r="H903" s="49"/>
      <c r="I903" s="49"/>
      <c r="J903" s="49"/>
      <c r="K903" s="49"/>
      <c r="L903" s="48"/>
      <c r="M903" s="48"/>
      <c r="N903" s="48"/>
      <c r="O903" s="48"/>
      <c r="P903" s="48"/>
      <c r="Q903" s="48"/>
      <c r="R903" s="48"/>
      <c r="S903" s="48"/>
      <c r="T903" s="48"/>
      <c r="U903" s="48"/>
      <c r="V903" s="48"/>
      <c r="W903" s="48"/>
      <c r="X903" s="48"/>
      <c r="Y903" s="48"/>
      <c r="Z903" s="48"/>
    </row>
    <row r="904" ht="15.75" customHeight="1">
      <c r="A904" s="49"/>
      <c r="B904" s="49"/>
      <c r="C904" s="49"/>
      <c r="D904" s="49"/>
      <c r="E904" s="49"/>
      <c r="F904" s="49"/>
      <c r="G904" s="49"/>
      <c r="H904" s="49"/>
      <c r="I904" s="49"/>
      <c r="J904" s="49"/>
      <c r="K904" s="49"/>
      <c r="L904" s="48"/>
      <c r="M904" s="48"/>
      <c r="N904" s="48"/>
      <c r="O904" s="48"/>
      <c r="P904" s="48"/>
      <c r="Q904" s="48"/>
      <c r="R904" s="48"/>
      <c r="S904" s="48"/>
      <c r="T904" s="48"/>
      <c r="U904" s="48"/>
      <c r="V904" s="48"/>
      <c r="W904" s="48"/>
      <c r="X904" s="48"/>
      <c r="Y904" s="48"/>
      <c r="Z904" s="48"/>
    </row>
    <row r="905" ht="15.75" customHeight="1">
      <c r="A905" s="49"/>
      <c r="B905" s="49"/>
      <c r="C905" s="49"/>
      <c r="D905" s="49"/>
      <c r="E905" s="49"/>
      <c r="F905" s="49"/>
      <c r="G905" s="49"/>
      <c r="H905" s="49"/>
      <c r="I905" s="49"/>
      <c r="J905" s="49"/>
      <c r="K905" s="49"/>
      <c r="L905" s="48"/>
      <c r="M905" s="48"/>
      <c r="N905" s="48"/>
      <c r="O905" s="48"/>
      <c r="P905" s="48"/>
      <c r="Q905" s="48"/>
      <c r="R905" s="48"/>
      <c r="S905" s="48"/>
      <c r="T905" s="48"/>
      <c r="U905" s="48"/>
      <c r="V905" s="48"/>
      <c r="W905" s="48"/>
      <c r="X905" s="48"/>
      <c r="Y905" s="48"/>
      <c r="Z905" s="48"/>
    </row>
    <row r="906" ht="15.75" customHeight="1">
      <c r="A906" s="49"/>
      <c r="B906" s="49"/>
      <c r="C906" s="49"/>
      <c r="D906" s="49"/>
      <c r="E906" s="49"/>
      <c r="F906" s="49"/>
      <c r="G906" s="49"/>
      <c r="H906" s="49"/>
      <c r="I906" s="49"/>
      <c r="J906" s="49"/>
      <c r="K906" s="49"/>
      <c r="L906" s="48"/>
      <c r="M906" s="48"/>
      <c r="N906" s="48"/>
      <c r="O906" s="48"/>
      <c r="P906" s="48"/>
      <c r="Q906" s="48"/>
      <c r="R906" s="48"/>
      <c r="S906" s="48"/>
      <c r="T906" s="48"/>
      <c r="U906" s="48"/>
      <c r="V906" s="48"/>
      <c r="W906" s="48"/>
      <c r="X906" s="48"/>
      <c r="Y906" s="48"/>
      <c r="Z906" s="48"/>
    </row>
    <row r="907" ht="15.75" customHeight="1">
      <c r="A907" s="49"/>
      <c r="B907" s="49"/>
      <c r="C907" s="49"/>
      <c r="D907" s="49"/>
      <c r="E907" s="49"/>
      <c r="F907" s="49"/>
      <c r="G907" s="49"/>
      <c r="H907" s="49"/>
      <c r="I907" s="49"/>
      <c r="J907" s="49"/>
      <c r="K907" s="49"/>
      <c r="L907" s="48"/>
      <c r="M907" s="48"/>
      <c r="N907" s="48"/>
      <c r="O907" s="48"/>
      <c r="P907" s="48"/>
      <c r="Q907" s="48"/>
      <c r="R907" s="48"/>
      <c r="S907" s="48"/>
      <c r="T907" s="48"/>
      <c r="U907" s="48"/>
      <c r="V907" s="48"/>
      <c r="W907" s="48"/>
      <c r="X907" s="48"/>
      <c r="Y907" s="48"/>
      <c r="Z907" s="48"/>
    </row>
    <row r="908" ht="15.75" customHeight="1">
      <c r="A908" s="49"/>
      <c r="B908" s="49"/>
      <c r="C908" s="49"/>
      <c r="D908" s="49"/>
      <c r="E908" s="49"/>
      <c r="F908" s="49"/>
      <c r="G908" s="49"/>
      <c r="H908" s="49"/>
      <c r="I908" s="49"/>
      <c r="J908" s="49"/>
      <c r="K908" s="49"/>
      <c r="L908" s="48"/>
      <c r="M908" s="48"/>
      <c r="N908" s="48"/>
      <c r="O908" s="48"/>
      <c r="P908" s="48"/>
      <c r="Q908" s="48"/>
      <c r="R908" s="48"/>
      <c r="S908" s="48"/>
      <c r="T908" s="48"/>
      <c r="U908" s="48"/>
      <c r="V908" s="48"/>
      <c r="W908" s="48"/>
      <c r="X908" s="48"/>
      <c r="Y908" s="48"/>
      <c r="Z908" s="48"/>
    </row>
    <row r="909" ht="15.75" customHeight="1">
      <c r="A909" s="49"/>
      <c r="B909" s="49"/>
      <c r="C909" s="49"/>
      <c r="D909" s="49"/>
      <c r="E909" s="49"/>
      <c r="F909" s="49"/>
      <c r="G909" s="49"/>
      <c r="H909" s="49"/>
      <c r="I909" s="49"/>
      <c r="J909" s="49"/>
      <c r="K909" s="49"/>
      <c r="L909" s="48"/>
      <c r="M909" s="48"/>
      <c r="N909" s="48"/>
      <c r="O909" s="48"/>
      <c r="P909" s="48"/>
      <c r="Q909" s="48"/>
      <c r="R909" s="48"/>
      <c r="S909" s="48"/>
      <c r="T909" s="48"/>
      <c r="U909" s="48"/>
      <c r="V909" s="48"/>
      <c r="W909" s="48"/>
      <c r="X909" s="48"/>
      <c r="Y909" s="48"/>
      <c r="Z909" s="48"/>
    </row>
    <row r="910" ht="15.75" customHeight="1">
      <c r="A910" s="49"/>
      <c r="B910" s="49"/>
      <c r="C910" s="49"/>
      <c r="D910" s="49"/>
      <c r="E910" s="49"/>
      <c r="F910" s="49"/>
      <c r="G910" s="49"/>
      <c r="H910" s="49"/>
      <c r="I910" s="49"/>
      <c r="J910" s="49"/>
      <c r="K910" s="49"/>
      <c r="L910" s="48"/>
      <c r="M910" s="48"/>
      <c r="N910" s="48"/>
      <c r="O910" s="48"/>
      <c r="P910" s="48"/>
      <c r="Q910" s="48"/>
      <c r="R910" s="48"/>
      <c r="S910" s="48"/>
      <c r="T910" s="48"/>
      <c r="U910" s="48"/>
      <c r="V910" s="48"/>
      <c r="W910" s="48"/>
      <c r="X910" s="48"/>
      <c r="Y910" s="48"/>
      <c r="Z910" s="48"/>
    </row>
    <row r="911" ht="15.75" customHeight="1">
      <c r="A911" s="49"/>
      <c r="B911" s="49"/>
      <c r="C911" s="49"/>
      <c r="D911" s="49"/>
      <c r="E911" s="49"/>
      <c r="F911" s="49"/>
      <c r="G911" s="49"/>
      <c r="H911" s="49"/>
      <c r="I911" s="49"/>
      <c r="J911" s="49"/>
      <c r="K911" s="49"/>
      <c r="L911" s="48"/>
      <c r="M911" s="48"/>
      <c r="N911" s="48"/>
      <c r="O911" s="48"/>
      <c r="P911" s="48"/>
      <c r="Q911" s="48"/>
      <c r="R911" s="48"/>
      <c r="S911" s="48"/>
      <c r="T911" s="48"/>
      <c r="U911" s="48"/>
      <c r="V911" s="48"/>
      <c r="W911" s="48"/>
      <c r="X911" s="48"/>
      <c r="Y911" s="48"/>
      <c r="Z911" s="48"/>
    </row>
    <row r="912" ht="15.75" customHeight="1">
      <c r="A912" s="49"/>
      <c r="B912" s="49"/>
      <c r="C912" s="49"/>
      <c r="D912" s="49"/>
      <c r="E912" s="49"/>
      <c r="F912" s="49"/>
      <c r="G912" s="49"/>
      <c r="H912" s="49"/>
      <c r="I912" s="49"/>
      <c r="J912" s="49"/>
      <c r="K912" s="49"/>
      <c r="L912" s="48"/>
      <c r="M912" s="48"/>
      <c r="N912" s="48"/>
      <c r="O912" s="48"/>
      <c r="P912" s="48"/>
      <c r="Q912" s="48"/>
      <c r="R912" s="48"/>
      <c r="S912" s="48"/>
      <c r="T912" s="48"/>
      <c r="U912" s="48"/>
      <c r="V912" s="48"/>
      <c r="W912" s="48"/>
      <c r="X912" s="48"/>
      <c r="Y912" s="48"/>
      <c r="Z912" s="48"/>
    </row>
    <row r="913" ht="15.75" customHeight="1">
      <c r="A913" s="49"/>
      <c r="B913" s="49"/>
      <c r="C913" s="49"/>
      <c r="D913" s="49"/>
      <c r="E913" s="49"/>
      <c r="F913" s="49"/>
      <c r="G913" s="49"/>
      <c r="H913" s="49"/>
      <c r="I913" s="49"/>
      <c r="J913" s="49"/>
      <c r="K913" s="49"/>
      <c r="L913" s="48"/>
      <c r="M913" s="48"/>
      <c r="N913" s="48"/>
      <c r="O913" s="48"/>
      <c r="P913" s="48"/>
      <c r="Q913" s="48"/>
      <c r="R913" s="48"/>
      <c r="S913" s="48"/>
      <c r="T913" s="48"/>
      <c r="U913" s="48"/>
      <c r="V913" s="48"/>
      <c r="W913" s="48"/>
      <c r="X913" s="48"/>
      <c r="Y913" s="48"/>
      <c r="Z913" s="48"/>
    </row>
    <row r="914" ht="15.75" customHeight="1">
      <c r="A914" s="49"/>
      <c r="B914" s="49"/>
      <c r="C914" s="49"/>
      <c r="D914" s="49"/>
      <c r="E914" s="49"/>
      <c r="F914" s="49"/>
      <c r="G914" s="49"/>
      <c r="H914" s="49"/>
      <c r="I914" s="49"/>
      <c r="J914" s="49"/>
      <c r="K914" s="49"/>
      <c r="L914" s="48"/>
      <c r="M914" s="48"/>
      <c r="N914" s="48"/>
      <c r="O914" s="48"/>
      <c r="P914" s="48"/>
      <c r="Q914" s="48"/>
      <c r="R914" s="48"/>
      <c r="S914" s="48"/>
      <c r="T914" s="48"/>
      <c r="U914" s="48"/>
      <c r="V914" s="48"/>
      <c r="W914" s="48"/>
      <c r="X914" s="48"/>
      <c r="Y914" s="48"/>
      <c r="Z914" s="48"/>
    </row>
    <row r="915" ht="15.75" customHeight="1">
      <c r="A915" s="49"/>
      <c r="B915" s="49"/>
      <c r="C915" s="49"/>
      <c r="D915" s="49"/>
      <c r="E915" s="49"/>
      <c r="F915" s="49"/>
      <c r="G915" s="49"/>
      <c r="H915" s="49"/>
      <c r="I915" s="49"/>
      <c r="J915" s="49"/>
      <c r="K915" s="49"/>
      <c r="L915" s="48"/>
      <c r="M915" s="48"/>
      <c r="N915" s="48"/>
      <c r="O915" s="48"/>
      <c r="P915" s="48"/>
      <c r="Q915" s="48"/>
      <c r="R915" s="48"/>
      <c r="S915" s="48"/>
      <c r="T915" s="48"/>
      <c r="U915" s="48"/>
      <c r="V915" s="48"/>
      <c r="W915" s="48"/>
      <c r="X915" s="48"/>
      <c r="Y915" s="48"/>
      <c r="Z915" s="48"/>
    </row>
    <row r="916" ht="15.75" customHeight="1">
      <c r="A916" s="49"/>
      <c r="B916" s="49"/>
      <c r="C916" s="49"/>
      <c r="D916" s="49"/>
      <c r="E916" s="49"/>
      <c r="F916" s="49"/>
      <c r="G916" s="49"/>
      <c r="H916" s="49"/>
      <c r="I916" s="49"/>
      <c r="J916" s="49"/>
      <c r="K916" s="49"/>
      <c r="L916" s="48"/>
      <c r="M916" s="48"/>
      <c r="N916" s="48"/>
      <c r="O916" s="48"/>
      <c r="P916" s="48"/>
      <c r="Q916" s="48"/>
      <c r="R916" s="48"/>
      <c r="S916" s="48"/>
      <c r="T916" s="48"/>
      <c r="U916" s="48"/>
      <c r="V916" s="48"/>
      <c r="W916" s="48"/>
      <c r="X916" s="48"/>
      <c r="Y916" s="48"/>
      <c r="Z916" s="48"/>
    </row>
    <row r="917" ht="15.75" customHeight="1">
      <c r="A917" s="49"/>
      <c r="B917" s="49"/>
      <c r="C917" s="49"/>
      <c r="D917" s="49"/>
      <c r="E917" s="49"/>
      <c r="F917" s="49"/>
      <c r="G917" s="49"/>
      <c r="H917" s="49"/>
      <c r="I917" s="49"/>
      <c r="J917" s="49"/>
      <c r="K917" s="49"/>
      <c r="L917" s="48"/>
      <c r="M917" s="48"/>
      <c r="N917" s="48"/>
      <c r="O917" s="48"/>
      <c r="P917" s="48"/>
      <c r="Q917" s="48"/>
      <c r="R917" s="48"/>
      <c r="S917" s="48"/>
      <c r="T917" s="48"/>
      <c r="U917" s="48"/>
      <c r="V917" s="48"/>
      <c r="W917" s="48"/>
      <c r="X917" s="48"/>
      <c r="Y917" s="48"/>
      <c r="Z917" s="48"/>
    </row>
    <row r="918" ht="15.75" customHeight="1">
      <c r="A918" s="49"/>
      <c r="B918" s="49"/>
      <c r="C918" s="49"/>
      <c r="D918" s="49"/>
      <c r="E918" s="49"/>
      <c r="F918" s="49"/>
      <c r="G918" s="49"/>
      <c r="H918" s="49"/>
      <c r="I918" s="49"/>
      <c r="J918" s="49"/>
      <c r="K918" s="49"/>
      <c r="L918" s="48"/>
      <c r="M918" s="48"/>
      <c r="N918" s="48"/>
      <c r="O918" s="48"/>
      <c r="P918" s="48"/>
      <c r="Q918" s="48"/>
      <c r="R918" s="48"/>
      <c r="S918" s="48"/>
      <c r="T918" s="48"/>
      <c r="U918" s="48"/>
      <c r="V918" s="48"/>
      <c r="W918" s="48"/>
      <c r="X918" s="48"/>
      <c r="Y918" s="48"/>
      <c r="Z918" s="48"/>
    </row>
    <row r="919" ht="15.75" customHeight="1">
      <c r="A919" s="49"/>
      <c r="B919" s="49"/>
      <c r="C919" s="49"/>
      <c r="D919" s="49"/>
      <c r="E919" s="49"/>
      <c r="F919" s="49"/>
      <c r="G919" s="49"/>
      <c r="H919" s="49"/>
      <c r="I919" s="49"/>
      <c r="J919" s="49"/>
      <c r="K919" s="49"/>
      <c r="L919" s="48"/>
      <c r="M919" s="48"/>
      <c r="N919" s="48"/>
      <c r="O919" s="48"/>
      <c r="P919" s="48"/>
      <c r="Q919" s="48"/>
      <c r="R919" s="48"/>
      <c r="S919" s="48"/>
      <c r="T919" s="48"/>
      <c r="U919" s="48"/>
      <c r="V919" s="48"/>
      <c r="W919" s="48"/>
      <c r="X919" s="48"/>
      <c r="Y919" s="48"/>
      <c r="Z919" s="48"/>
    </row>
    <row r="920" ht="15.75" customHeight="1">
      <c r="A920" s="49"/>
      <c r="B920" s="49"/>
      <c r="C920" s="49"/>
      <c r="D920" s="49"/>
      <c r="E920" s="49"/>
      <c r="F920" s="49"/>
      <c r="G920" s="49"/>
      <c r="H920" s="49"/>
      <c r="I920" s="49"/>
      <c r="J920" s="49"/>
      <c r="K920" s="49"/>
      <c r="L920" s="48"/>
      <c r="M920" s="48"/>
      <c r="N920" s="48"/>
      <c r="O920" s="48"/>
      <c r="P920" s="48"/>
      <c r="Q920" s="48"/>
      <c r="R920" s="48"/>
      <c r="S920" s="48"/>
      <c r="T920" s="48"/>
      <c r="U920" s="48"/>
      <c r="V920" s="48"/>
      <c r="W920" s="48"/>
      <c r="X920" s="48"/>
      <c r="Y920" s="48"/>
      <c r="Z920" s="48"/>
    </row>
    <row r="921" ht="15.75" customHeight="1">
      <c r="A921" s="49"/>
      <c r="B921" s="49"/>
      <c r="C921" s="49"/>
      <c r="D921" s="49"/>
      <c r="E921" s="49"/>
      <c r="F921" s="49"/>
      <c r="G921" s="49"/>
      <c r="H921" s="49"/>
      <c r="I921" s="49"/>
      <c r="J921" s="49"/>
      <c r="K921" s="49"/>
      <c r="L921" s="48"/>
      <c r="M921" s="48"/>
      <c r="N921" s="48"/>
      <c r="O921" s="48"/>
      <c r="P921" s="48"/>
      <c r="Q921" s="48"/>
      <c r="R921" s="48"/>
      <c r="S921" s="48"/>
      <c r="T921" s="48"/>
      <c r="U921" s="48"/>
      <c r="V921" s="48"/>
      <c r="W921" s="48"/>
      <c r="X921" s="48"/>
      <c r="Y921" s="48"/>
      <c r="Z921" s="48"/>
    </row>
    <row r="922" ht="15.75" customHeight="1">
      <c r="A922" s="49"/>
      <c r="B922" s="49"/>
      <c r="C922" s="49"/>
      <c r="D922" s="49"/>
      <c r="E922" s="49"/>
      <c r="F922" s="49"/>
      <c r="G922" s="49"/>
      <c r="H922" s="49"/>
      <c r="I922" s="49"/>
      <c r="J922" s="49"/>
      <c r="K922" s="49"/>
      <c r="L922" s="48"/>
      <c r="M922" s="48"/>
      <c r="N922" s="48"/>
      <c r="O922" s="48"/>
      <c r="P922" s="48"/>
      <c r="Q922" s="48"/>
      <c r="R922" s="48"/>
      <c r="S922" s="48"/>
      <c r="T922" s="48"/>
      <c r="U922" s="48"/>
      <c r="V922" s="48"/>
      <c r="W922" s="48"/>
      <c r="X922" s="48"/>
      <c r="Y922" s="48"/>
      <c r="Z922" s="48"/>
    </row>
    <row r="923" ht="15.75" customHeight="1">
      <c r="A923" s="49"/>
      <c r="B923" s="49"/>
      <c r="C923" s="49"/>
      <c r="D923" s="49"/>
      <c r="E923" s="49"/>
      <c r="F923" s="49"/>
      <c r="G923" s="49"/>
      <c r="H923" s="49"/>
      <c r="I923" s="49"/>
      <c r="J923" s="49"/>
      <c r="K923" s="49"/>
      <c r="L923" s="48"/>
      <c r="M923" s="48"/>
      <c r="N923" s="48"/>
      <c r="O923" s="48"/>
      <c r="P923" s="48"/>
      <c r="Q923" s="48"/>
      <c r="R923" s="48"/>
      <c r="S923" s="48"/>
      <c r="T923" s="48"/>
      <c r="U923" s="48"/>
      <c r="V923" s="48"/>
      <c r="W923" s="48"/>
      <c r="X923" s="48"/>
      <c r="Y923" s="48"/>
      <c r="Z923" s="48"/>
    </row>
    <row r="924" ht="15.75" customHeight="1">
      <c r="A924" s="49"/>
      <c r="B924" s="49"/>
      <c r="C924" s="49"/>
      <c r="D924" s="49"/>
      <c r="E924" s="49"/>
      <c r="F924" s="49"/>
      <c r="G924" s="49"/>
      <c r="H924" s="49"/>
      <c r="I924" s="49"/>
      <c r="J924" s="49"/>
      <c r="K924" s="49"/>
      <c r="L924" s="48"/>
      <c r="M924" s="48"/>
      <c r="N924" s="48"/>
      <c r="O924" s="48"/>
      <c r="P924" s="48"/>
      <c r="Q924" s="48"/>
      <c r="R924" s="48"/>
      <c r="S924" s="48"/>
      <c r="T924" s="48"/>
      <c r="U924" s="48"/>
      <c r="V924" s="48"/>
      <c r="W924" s="48"/>
      <c r="X924" s="48"/>
      <c r="Y924" s="48"/>
      <c r="Z924" s="48"/>
    </row>
    <row r="925" ht="15.75" customHeight="1">
      <c r="A925" s="49"/>
      <c r="B925" s="49"/>
      <c r="C925" s="49"/>
      <c r="D925" s="49"/>
      <c r="E925" s="49"/>
      <c r="F925" s="49"/>
      <c r="G925" s="49"/>
      <c r="H925" s="49"/>
      <c r="I925" s="49"/>
      <c r="J925" s="49"/>
      <c r="K925" s="49"/>
      <c r="L925" s="48"/>
      <c r="M925" s="48"/>
      <c r="N925" s="48"/>
      <c r="O925" s="48"/>
      <c r="P925" s="48"/>
      <c r="Q925" s="48"/>
      <c r="R925" s="48"/>
      <c r="S925" s="48"/>
      <c r="T925" s="48"/>
      <c r="U925" s="48"/>
      <c r="V925" s="48"/>
      <c r="W925" s="48"/>
      <c r="X925" s="48"/>
      <c r="Y925" s="48"/>
      <c r="Z925" s="48"/>
    </row>
    <row r="926" ht="15.75" customHeight="1">
      <c r="A926" s="49"/>
      <c r="B926" s="49"/>
      <c r="C926" s="49"/>
      <c r="D926" s="49"/>
      <c r="E926" s="49"/>
      <c r="F926" s="49"/>
      <c r="G926" s="49"/>
      <c r="H926" s="49"/>
      <c r="I926" s="49"/>
      <c r="J926" s="49"/>
      <c r="K926" s="49"/>
      <c r="L926" s="48"/>
      <c r="M926" s="48"/>
      <c r="N926" s="48"/>
      <c r="O926" s="48"/>
      <c r="P926" s="48"/>
      <c r="Q926" s="48"/>
      <c r="R926" s="48"/>
      <c r="S926" s="48"/>
      <c r="T926" s="48"/>
      <c r="U926" s="48"/>
      <c r="V926" s="48"/>
      <c r="W926" s="48"/>
      <c r="X926" s="48"/>
      <c r="Y926" s="48"/>
      <c r="Z926" s="48"/>
    </row>
    <row r="927" ht="15.75" customHeight="1">
      <c r="A927" s="49"/>
      <c r="B927" s="49"/>
      <c r="C927" s="49"/>
      <c r="D927" s="49"/>
      <c r="E927" s="49"/>
      <c r="F927" s="49"/>
      <c r="G927" s="49"/>
      <c r="H927" s="49"/>
      <c r="I927" s="49"/>
      <c r="J927" s="49"/>
      <c r="K927" s="49"/>
      <c r="L927" s="48"/>
      <c r="M927" s="48"/>
      <c r="N927" s="48"/>
      <c r="O927" s="48"/>
      <c r="P927" s="48"/>
      <c r="Q927" s="48"/>
      <c r="R927" s="48"/>
      <c r="S927" s="48"/>
      <c r="T927" s="48"/>
      <c r="U927" s="48"/>
      <c r="V927" s="48"/>
      <c r="W927" s="48"/>
      <c r="X927" s="48"/>
      <c r="Y927" s="48"/>
      <c r="Z927" s="48"/>
    </row>
    <row r="928" ht="15.75" customHeight="1">
      <c r="A928" s="49"/>
      <c r="B928" s="49"/>
      <c r="C928" s="49"/>
      <c r="D928" s="49"/>
      <c r="E928" s="49"/>
      <c r="F928" s="49"/>
      <c r="G928" s="49"/>
      <c r="H928" s="49"/>
      <c r="I928" s="49"/>
      <c r="J928" s="49"/>
      <c r="K928" s="49"/>
      <c r="L928" s="48"/>
      <c r="M928" s="48"/>
      <c r="N928" s="48"/>
      <c r="O928" s="48"/>
      <c r="P928" s="48"/>
      <c r="Q928" s="48"/>
      <c r="R928" s="48"/>
      <c r="S928" s="48"/>
      <c r="T928" s="48"/>
      <c r="U928" s="48"/>
      <c r="V928" s="48"/>
      <c r="W928" s="48"/>
      <c r="X928" s="48"/>
      <c r="Y928" s="48"/>
      <c r="Z928" s="48"/>
    </row>
    <row r="929" ht="15.75" customHeight="1">
      <c r="A929" s="49"/>
      <c r="B929" s="49"/>
      <c r="C929" s="49"/>
      <c r="D929" s="49"/>
      <c r="E929" s="49"/>
      <c r="F929" s="49"/>
      <c r="G929" s="49"/>
      <c r="H929" s="49"/>
      <c r="I929" s="49"/>
      <c r="J929" s="49"/>
      <c r="K929" s="49"/>
      <c r="L929" s="48"/>
      <c r="M929" s="48"/>
      <c r="N929" s="48"/>
      <c r="O929" s="48"/>
      <c r="P929" s="48"/>
      <c r="Q929" s="48"/>
      <c r="R929" s="48"/>
      <c r="S929" s="48"/>
      <c r="T929" s="48"/>
      <c r="U929" s="48"/>
      <c r="V929" s="48"/>
      <c r="W929" s="48"/>
      <c r="X929" s="48"/>
      <c r="Y929" s="48"/>
      <c r="Z929" s="48"/>
    </row>
    <row r="930" ht="15.75" customHeight="1">
      <c r="A930" s="49"/>
      <c r="B930" s="49"/>
      <c r="C930" s="49"/>
      <c r="D930" s="49"/>
      <c r="E930" s="49"/>
      <c r="F930" s="49"/>
      <c r="G930" s="49"/>
      <c r="H930" s="49"/>
      <c r="I930" s="49"/>
      <c r="J930" s="49"/>
      <c r="K930" s="49"/>
      <c r="L930" s="48"/>
      <c r="M930" s="48"/>
      <c r="N930" s="48"/>
      <c r="O930" s="48"/>
      <c r="P930" s="48"/>
      <c r="Q930" s="48"/>
      <c r="R930" s="48"/>
      <c r="S930" s="48"/>
      <c r="T930" s="48"/>
      <c r="U930" s="48"/>
      <c r="V930" s="48"/>
      <c r="W930" s="48"/>
      <c r="X930" s="48"/>
      <c r="Y930" s="48"/>
      <c r="Z930" s="48"/>
    </row>
    <row r="931" ht="15.75" customHeight="1">
      <c r="A931" s="49"/>
      <c r="B931" s="49"/>
      <c r="C931" s="49"/>
      <c r="D931" s="49"/>
      <c r="E931" s="49"/>
      <c r="F931" s="49"/>
      <c r="G931" s="49"/>
      <c r="H931" s="49"/>
      <c r="I931" s="49"/>
      <c r="J931" s="49"/>
      <c r="K931" s="49"/>
      <c r="L931" s="48"/>
      <c r="M931" s="48"/>
      <c r="N931" s="48"/>
      <c r="O931" s="48"/>
      <c r="P931" s="48"/>
      <c r="Q931" s="48"/>
      <c r="R931" s="48"/>
      <c r="S931" s="48"/>
      <c r="T931" s="48"/>
      <c r="U931" s="48"/>
      <c r="V931" s="48"/>
      <c r="W931" s="48"/>
      <c r="X931" s="48"/>
      <c r="Y931" s="48"/>
      <c r="Z931" s="48"/>
    </row>
    <row r="932" ht="15.75" customHeight="1">
      <c r="A932" s="49"/>
      <c r="B932" s="49"/>
      <c r="C932" s="49"/>
      <c r="D932" s="49"/>
      <c r="E932" s="49"/>
      <c r="F932" s="49"/>
      <c r="G932" s="49"/>
      <c r="H932" s="49"/>
      <c r="I932" s="49"/>
      <c r="J932" s="49"/>
      <c r="K932" s="49"/>
      <c r="L932" s="48"/>
      <c r="M932" s="48"/>
      <c r="N932" s="48"/>
      <c r="O932" s="48"/>
      <c r="P932" s="48"/>
      <c r="Q932" s="48"/>
      <c r="R932" s="48"/>
      <c r="S932" s="48"/>
      <c r="T932" s="48"/>
      <c r="U932" s="48"/>
      <c r="V932" s="48"/>
      <c r="W932" s="48"/>
      <c r="X932" s="48"/>
      <c r="Y932" s="48"/>
      <c r="Z932" s="48"/>
    </row>
    <row r="933" ht="15.75" customHeight="1">
      <c r="A933" s="49"/>
      <c r="B933" s="49"/>
      <c r="C933" s="49"/>
      <c r="D933" s="49"/>
      <c r="E933" s="49"/>
      <c r="F933" s="49"/>
      <c r="G933" s="49"/>
      <c r="H933" s="49"/>
      <c r="I933" s="49"/>
      <c r="J933" s="49"/>
      <c r="K933" s="49"/>
      <c r="L933" s="48"/>
      <c r="M933" s="48"/>
      <c r="N933" s="48"/>
      <c r="O933" s="48"/>
      <c r="P933" s="48"/>
      <c r="Q933" s="48"/>
      <c r="R933" s="48"/>
      <c r="S933" s="48"/>
      <c r="T933" s="48"/>
      <c r="U933" s="48"/>
      <c r="V933" s="48"/>
      <c r="W933" s="48"/>
      <c r="X933" s="48"/>
      <c r="Y933" s="48"/>
      <c r="Z933" s="48"/>
    </row>
    <row r="934" ht="15.75" customHeight="1">
      <c r="A934" s="49"/>
      <c r="B934" s="49"/>
      <c r="C934" s="49"/>
      <c r="D934" s="49"/>
      <c r="E934" s="49"/>
      <c r="F934" s="49"/>
      <c r="G934" s="49"/>
      <c r="H934" s="49"/>
      <c r="I934" s="49"/>
      <c r="J934" s="49"/>
      <c r="K934" s="49"/>
      <c r="L934" s="48"/>
      <c r="M934" s="48"/>
      <c r="N934" s="48"/>
      <c r="O934" s="48"/>
      <c r="P934" s="48"/>
      <c r="Q934" s="48"/>
      <c r="R934" s="48"/>
      <c r="S934" s="48"/>
      <c r="T934" s="48"/>
      <c r="U934" s="48"/>
      <c r="V934" s="48"/>
      <c r="W934" s="48"/>
      <c r="X934" s="48"/>
      <c r="Y934" s="48"/>
      <c r="Z934" s="48"/>
    </row>
    <row r="935" ht="15.75" customHeight="1">
      <c r="A935" s="49"/>
      <c r="B935" s="49"/>
      <c r="C935" s="49"/>
      <c r="D935" s="49"/>
      <c r="E935" s="49"/>
      <c r="F935" s="49"/>
      <c r="G935" s="49"/>
      <c r="H935" s="49"/>
      <c r="I935" s="49"/>
      <c r="J935" s="49"/>
      <c r="K935" s="49"/>
      <c r="L935" s="48"/>
      <c r="M935" s="48"/>
      <c r="N935" s="48"/>
      <c r="O935" s="48"/>
      <c r="P935" s="48"/>
      <c r="Q935" s="48"/>
      <c r="R935" s="48"/>
      <c r="S935" s="48"/>
      <c r="T935" s="48"/>
      <c r="U935" s="48"/>
      <c r="V935" s="48"/>
      <c r="W935" s="48"/>
      <c r="X935" s="48"/>
      <c r="Y935" s="48"/>
      <c r="Z935" s="48"/>
    </row>
    <row r="936" ht="15.75" customHeight="1">
      <c r="A936" s="49"/>
      <c r="B936" s="49"/>
      <c r="C936" s="49"/>
      <c r="D936" s="49"/>
      <c r="E936" s="49"/>
      <c r="F936" s="49"/>
      <c r="G936" s="49"/>
      <c r="H936" s="49"/>
      <c r="I936" s="49"/>
      <c r="J936" s="49"/>
      <c r="K936" s="49"/>
      <c r="L936" s="48"/>
      <c r="M936" s="48"/>
      <c r="N936" s="48"/>
      <c r="O936" s="48"/>
      <c r="P936" s="48"/>
      <c r="Q936" s="48"/>
      <c r="R936" s="48"/>
      <c r="S936" s="48"/>
      <c r="T936" s="48"/>
      <c r="U936" s="48"/>
      <c r="V936" s="48"/>
      <c r="W936" s="48"/>
      <c r="X936" s="48"/>
      <c r="Y936" s="48"/>
      <c r="Z936" s="48"/>
    </row>
    <row r="937" ht="15.75" customHeight="1">
      <c r="A937" s="49"/>
      <c r="B937" s="49"/>
      <c r="C937" s="49"/>
      <c r="D937" s="49"/>
      <c r="E937" s="49"/>
      <c r="F937" s="49"/>
      <c r="G937" s="49"/>
      <c r="H937" s="49"/>
      <c r="I937" s="49"/>
      <c r="J937" s="49"/>
      <c r="K937" s="49"/>
      <c r="L937" s="48"/>
      <c r="M937" s="48"/>
      <c r="N937" s="48"/>
      <c r="O937" s="48"/>
      <c r="P937" s="48"/>
      <c r="Q937" s="48"/>
      <c r="R937" s="48"/>
      <c r="S937" s="48"/>
      <c r="T937" s="48"/>
      <c r="U937" s="48"/>
      <c r="V937" s="48"/>
      <c r="W937" s="48"/>
      <c r="X937" s="48"/>
      <c r="Y937" s="48"/>
      <c r="Z937" s="48"/>
    </row>
    <row r="938" ht="15.75" customHeight="1">
      <c r="A938" s="49"/>
      <c r="B938" s="49"/>
      <c r="C938" s="49"/>
      <c r="D938" s="49"/>
      <c r="E938" s="49"/>
      <c r="F938" s="49"/>
      <c r="G938" s="49"/>
      <c r="H938" s="49"/>
      <c r="I938" s="49"/>
      <c r="J938" s="49"/>
      <c r="K938" s="49"/>
      <c r="L938" s="48"/>
      <c r="M938" s="48"/>
      <c r="N938" s="48"/>
      <c r="O938" s="48"/>
      <c r="P938" s="48"/>
      <c r="Q938" s="48"/>
      <c r="R938" s="48"/>
      <c r="S938" s="48"/>
      <c r="T938" s="48"/>
      <c r="U938" s="48"/>
      <c r="V938" s="48"/>
      <c r="W938" s="48"/>
      <c r="X938" s="48"/>
      <c r="Y938" s="48"/>
      <c r="Z938" s="48"/>
    </row>
    <row r="939" ht="15.75" customHeight="1">
      <c r="A939" s="49"/>
      <c r="B939" s="49"/>
      <c r="C939" s="49"/>
      <c r="D939" s="49"/>
      <c r="E939" s="49"/>
      <c r="F939" s="49"/>
      <c r="G939" s="49"/>
      <c r="H939" s="49"/>
      <c r="I939" s="49"/>
      <c r="J939" s="49"/>
      <c r="K939" s="49"/>
      <c r="L939" s="48"/>
      <c r="M939" s="48"/>
      <c r="N939" s="48"/>
      <c r="O939" s="48"/>
      <c r="P939" s="48"/>
      <c r="Q939" s="48"/>
      <c r="R939" s="48"/>
      <c r="S939" s="48"/>
      <c r="T939" s="48"/>
      <c r="U939" s="48"/>
      <c r="V939" s="48"/>
      <c r="W939" s="48"/>
      <c r="X939" s="48"/>
      <c r="Y939" s="48"/>
      <c r="Z939" s="48"/>
    </row>
    <row r="940" ht="15.75" customHeight="1">
      <c r="A940" s="49"/>
      <c r="B940" s="49"/>
      <c r="C940" s="49"/>
      <c r="D940" s="49"/>
      <c r="E940" s="49"/>
      <c r="F940" s="49"/>
      <c r="G940" s="49"/>
      <c r="H940" s="49"/>
      <c r="I940" s="49"/>
      <c r="J940" s="49"/>
      <c r="K940" s="49"/>
      <c r="L940" s="48"/>
      <c r="M940" s="48"/>
      <c r="N940" s="48"/>
      <c r="O940" s="48"/>
      <c r="P940" s="48"/>
      <c r="Q940" s="48"/>
      <c r="R940" s="48"/>
      <c r="S940" s="48"/>
      <c r="T940" s="48"/>
      <c r="U940" s="48"/>
      <c r="V940" s="48"/>
      <c r="W940" s="48"/>
      <c r="X940" s="48"/>
      <c r="Y940" s="48"/>
      <c r="Z940" s="48"/>
    </row>
    <row r="941" ht="15.75" customHeight="1">
      <c r="A941" s="49"/>
      <c r="B941" s="49"/>
      <c r="C941" s="49"/>
      <c r="D941" s="49"/>
      <c r="E941" s="49"/>
      <c r="F941" s="49"/>
      <c r="G941" s="49"/>
      <c r="H941" s="49"/>
      <c r="I941" s="49"/>
      <c r="J941" s="49"/>
      <c r="K941" s="49"/>
      <c r="L941" s="48"/>
      <c r="M941" s="48"/>
      <c r="N941" s="48"/>
      <c r="O941" s="48"/>
      <c r="P941" s="48"/>
      <c r="Q941" s="48"/>
      <c r="R941" s="48"/>
      <c r="S941" s="48"/>
      <c r="T941" s="48"/>
      <c r="U941" s="48"/>
      <c r="V941" s="48"/>
      <c r="W941" s="48"/>
      <c r="X941" s="48"/>
      <c r="Y941" s="48"/>
      <c r="Z941" s="48"/>
    </row>
    <row r="942" ht="15.75" customHeight="1">
      <c r="A942" s="49"/>
      <c r="B942" s="49"/>
      <c r="C942" s="49"/>
      <c r="D942" s="49"/>
      <c r="E942" s="49"/>
      <c r="F942" s="49"/>
      <c r="G942" s="49"/>
      <c r="H942" s="49"/>
      <c r="I942" s="49"/>
      <c r="J942" s="49"/>
      <c r="K942" s="49"/>
      <c r="L942" s="48"/>
      <c r="M942" s="48"/>
      <c r="N942" s="48"/>
      <c r="O942" s="48"/>
      <c r="P942" s="48"/>
      <c r="Q942" s="48"/>
      <c r="R942" s="48"/>
      <c r="S942" s="48"/>
      <c r="T942" s="48"/>
      <c r="U942" s="48"/>
      <c r="V942" s="48"/>
      <c r="W942" s="48"/>
      <c r="X942" s="48"/>
      <c r="Y942" s="48"/>
      <c r="Z942" s="48"/>
    </row>
    <row r="943" ht="15.75" customHeight="1">
      <c r="A943" s="49"/>
      <c r="B943" s="49"/>
      <c r="C943" s="49"/>
      <c r="D943" s="49"/>
      <c r="E943" s="49"/>
      <c r="F943" s="49"/>
      <c r="G943" s="49"/>
      <c r="H943" s="49"/>
      <c r="I943" s="49"/>
      <c r="J943" s="49"/>
      <c r="K943" s="49"/>
      <c r="L943" s="48"/>
      <c r="M943" s="48"/>
      <c r="N943" s="48"/>
      <c r="O943" s="48"/>
      <c r="P943" s="48"/>
      <c r="Q943" s="48"/>
      <c r="R943" s="48"/>
      <c r="S943" s="48"/>
      <c r="T943" s="48"/>
      <c r="U943" s="48"/>
      <c r="V943" s="48"/>
      <c r="W943" s="48"/>
      <c r="X943" s="48"/>
      <c r="Y943" s="48"/>
      <c r="Z943" s="48"/>
    </row>
    <row r="944" ht="15.75" customHeight="1">
      <c r="A944" s="49"/>
      <c r="B944" s="49"/>
      <c r="C944" s="49"/>
      <c r="D944" s="49"/>
      <c r="E944" s="49"/>
      <c r="F944" s="49"/>
      <c r="G944" s="49"/>
      <c r="H944" s="49"/>
      <c r="I944" s="49"/>
      <c r="J944" s="49"/>
      <c r="K944" s="49"/>
      <c r="L944" s="48"/>
      <c r="M944" s="48"/>
      <c r="N944" s="48"/>
      <c r="O944" s="48"/>
      <c r="P944" s="48"/>
      <c r="Q944" s="48"/>
      <c r="R944" s="48"/>
      <c r="S944" s="48"/>
      <c r="T944" s="48"/>
      <c r="U944" s="48"/>
      <c r="V944" s="48"/>
      <c r="W944" s="48"/>
      <c r="X944" s="48"/>
      <c r="Y944" s="48"/>
      <c r="Z944" s="48"/>
    </row>
    <row r="945" ht="15.75" customHeight="1">
      <c r="A945" s="49"/>
      <c r="B945" s="49"/>
      <c r="C945" s="49"/>
      <c r="D945" s="49"/>
      <c r="E945" s="49"/>
      <c r="F945" s="49"/>
      <c r="G945" s="49"/>
      <c r="H945" s="49"/>
      <c r="I945" s="49"/>
      <c r="J945" s="49"/>
      <c r="K945" s="49"/>
      <c r="L945" s="48"/>
      <c r="M945" s="48"/>
      <c r="N945" s="48"/>
      <c r="O945" s="48"/>
      <c r="P945" s="48"/>
      <c r="Q945" s="48"/>
      <c r="R945" s="48"/>
      <c r="S945" s="48"/>
      <c r="T945" s="48"/>
      <c r="U945" s="48"/>
      <c r="V945" s="48"/>
      <c r="W945" s="48"/>
      <c r="X945" s="48"/>
      <c r="Y945" s="48"/>
      <c r="Z945" s="48"/>
    </row>
    <row r="946" ht="15.75" customHeight="1">
      <c r="A946" s="49"/>
      <c r="B946" s="49"/>
      <c r="C946" s="49"/>
      <c r="D946" s="49"/>
      <c r="E946" s="49"/>
      <c r="F946" s="49"/>
      <c r="G946" s="49"/>
      <c r="H946" s="49"/>
      <c r="I946" s="49"/>
      <c r="J946" s="49"/>
      <c r="K946" s="49"/>
      <c r="L946" s="48"/>
      <c r="M946" s="48"/>
      <c r="N946" s="48"/>
      <c r="O946" s="48"/>
      <c r="P946" s="48"/>
      <c r="Q946" s="48"/>
      <c r="R946" s="48"/>
      <c r="S946" s="48"/>
      <c r="T946" s="48"/>
      <c r="U946" s="48"/>
      <c r="V946" s="48"/>
      <c r="W946" s="48"/>
      <c r="X946" s="48"/>
      <c r="Y946" s="48"/>
      <c r="Z946" s="48"/>
    </row>
    <row r="947" ht="15.75" customHeight="1">
      <c r="A947" s="49"/>
      <c r="B947" s="49"/>
      <c r="C947" s="49"/>
      <c r="D947" s="49"/>
      <c r="E947" s="49"/>
      <c r="F947" s="49"/>
      <c r="G947" s="49"/>
      <c r="H947" s="49"/>
      <c r="I947" s="49"/>
      <c r="J947" s="49"/>
      <c r="K947" s="49"/>
      <c r="L947" s="48"/>
      <c r="M947" s="48"/>
      <c r="N947" s="48"/>
      <c r="O947" s="48"/>
      <c r="P947" s="48"/>
      <c r="Q947" s="48"/>
      <c r="R947" s="48"/>
      <c r="S947" s="48"/>
      <c r="T947" s="48"/>
      <c r="U947" s="48"/>
      <c r="V947" s="48"/>
      <c r="W947" s="48"/>
      <c r="X947" s="48"/>
      <c r="Y947" s="48"/>
      <c r="Z947" s="48"/>
    </row>
    <row r="948" ht="15.75" customHeight="1">
      <c r="A948" s="49"/>
      <c r="B948" s="49"/>
      <c r="C948" s="49"/>
      <c r="D948" s="49"/>
      <c r="E948" s="49"/>
      <c r="F948" s="49"/>
      <c r="G948" s="49"/>
      <c r="H948" s="49"/>
      <c r="I948" s="49"/>
      <c r="J948" s="49"/>
      <c r="K948" s="49"/>
      <c r="L948" s="48"/>
      <c r="M948" s="48"/>
      <c r="N948" s="48"/>
      <c r="O948" s="48"/>
      <c r="P948" s="48"/>
      <c r="Q948" s="48"/>
      <c r="R948" s="48"/>
      <c r="S948" s="48"/>
      <c r="T948" s="48"/>
      <c r="U948" s="48"/>
      <c r="V948" s="48"/>
      <c r="W948" s="48"/>
      <c r="X948" s="48"/>
      <c r="Y948" s="48"/>
      <c r="Z948" s="48"/>
    </row>
    <row r="949" ht="15.75" customHeight="1">
      <c r="A949" s="49"/>
      <c r="B949" s="49"/>
      <c r="C949" s="49"/>
      <c r="D949" s="49"/>
      <c r="E949" s="49"/>
      <c r="F949" s="49"/>
      <c r="G949" s="49"/>
      <c r="H949" s="49"/>
      <c r="I949" s="49"/>
      <c r="J949" s="49"/>
      <c r="K949" s="49"/>
      <c r="L949" s="48"/>
      <c r="M949" s="48"/>
      <c r="N949" s="48"/>
      <c r="O949" s="48"/>
      <c r="P949" s="48"/>
      <c r="Q949" s="48"/>
      <c r="R949" s="48"/>
      <c r="S949" s="48"/>
      <c r="T949" s="48"/>
      <c r="U949" s="48"/>
      <c r="V949" s="48"/>
      <c r="W949" s="48"/>
      <c r="X949" s="48"/>
      <c r="Y949" s="48"/>
      <c r="Z949" s="48"/>
    </row>
    <row r="950" ht="15.75" customHeight="1">
      <c r="A950" s="49"/>
      <c r="B950" s="49"/>
      <c r="C950" s="49"/>
      <c r="D950" s="49"/>
      <c r="E950" s="49"/>
      <c r="F950" s="49"/>
      <c r="G950" s="49"/>
      <c r="H950" s="49"/>
      <c r="I950" s="49"/>
      <c r="J950" s="49"/>
      <c r="K950" s="49"/>
      <c r="L950" s="48"/>
      <c r="M950" s="48"/>
      <c r="N950" s="48"/>
      <c r="O950" s="48"/>
      <c r="P950" s="48"/>
      <c r="Q950" s="48"/>
      <c r="R950" s="48"/>
      <c r="S950" s="48"/>
      <c r="T950" s="48"/>
      <c r="U950" s="48"/>
      <c r="V950" s="48"/>
      <c r="W950" s="48"/>
      <c r="X950" s="48"/>
      <c r="Y950" s="48"/>
      <c r="Z950" s="48"/>
    </row>
    <row r="951" ht="15.75" customHeight="1">
      <c r="A951" s="49"/>
      <c r="B951" s="49"/>
      <c r="C951" s="49"/>
      <c r="D951" s="49"/>
      <c r="E951" s="49"/>
      <c r="F951" s="49"/>
      <c r="G951" s="49"/>
      <c r="H951" s="49"/>
      <c r="I951" s="49"/>
      <c r="J951" s="49"/>
      <c r="K951" s="49"/>
      <c r="L951" s="48"/>
      <c r="M951" s="48"/>
      <c r="N951" s="48"/>
      <c r="O951" s="48"/>
      <c r="P951" s="48"/>
      <c r="Q951" s="48"/>
      <c r="R951" s="48"/>
      <c r="S951" s="48"/>
      <c r="T951" s="48"/>
      <c r="U951" s="48"/>
      <c r="V951" s="48"/>
      <c r="W951" s="48"/>
      <c r="X951" s="48"/>
      <c r="Y951" s="48"/>
      <c r="Z951" s="48"/>
    </row>
    <row r="952" ht="15.75" customHeight="1">
      <c r="A952" s="49"/>
      <c r="B952" s="49"/>
      <c r="C952" s="49"/>
      <c r="D952" s="49"/>
      <c r="E952" s="49"/>
      <c r="F952" s="49"/>
      <c r="G952" s="49"/>
      <c r="H952" s="49"/>
      <c r="I952" s="49"/>
      <c r="J952" s="49"/>
      <c r="K952" s="49"/>
      <c r="L952" s="48"/>
      <c r="M952" s="48"/>
      <c r="N952" s="48"/>
      <c r="O952" s="48"/>
      <c r="P952" s="48"/>
      <c r="Q952" s="48"/>
      <c r="R952" s="48"/>
      <c r="S952" s="48"/>
      <c r="T952" s="48"/>
      <c r="U952" s="48"/>
      <c r="V952" s="48"/>
      <c r="W952" s="48"/>
      <c r="X952" s="48"/>
      <c r="Y952" s="48"/>
      <c r="Z952" s="48"/>
    </row>
    <row r="953" ht="15.75" customHeight="1">
      <c r="A953" s="49"/>
      <c r="B953" s="49"/>
      <c r="C953" s="49"/>
      <c r="D953" s="49"/>
      <c r="E953" s="49"/>
      <c r="F953" s="49"/>
      <c r="G953" s="49"/>
      <c r="H953" s="49"/>
      <c r="I953" s="49"/>
      <c r="J953" s="49"/>
      <c r="K953" s="49"/>
      <c r="L953" s="48"/>
      <c r="M953" s="48"/>
      <c r="N953" s="48"/>
      <c r="O953" s="48"/>
      <c r="P953" s="48"/>
      <c r="Q953" s="48"/>
      <c r="R953" s="48"/>
      <c r="S953" s="48"/>
      <c r="T953" s="48"/>
      <c r="U953" s="48"/>
      <c r="V953" s="48"/>
      <c r="W953" s="48"/>
      <c r="X953" s="48"/>
      <c r="Y953" s="48"/>
      <c r="Z953" s="48"/>
    </row>
    <row r="954" ht="15.75" customHeight="1">
      <c r="A954" s="49"/>
      <c r="B954" s="49"/>
      <c r="C954" s="49"/>
      <c r="D954" s="49"/>
      <c r="E954" s="49"/>
      <c r="F954" s="49"/>
      <c r="G954" s="49"/>
      <c r="H954" s="49"/>
      <c r="I954" s="49"/>
      <c r="J954" s="49"/>
      <c r="K954" s="49"/>
      <c r="L954" s="48"/>
      <c r="M954" s="48"/>
      <c r="N954" s="48"/>
      <c r="O954" s="48"/>
      <c r="P954" s="48"/>
      <c r="Q954" s="48"/>
      <c r="R954" s="48"/>
      <c r="S954" s="48"/>
      <c r="T954" s="48"/>
      <c r="U954" s="48"/>
      <c r="V954" s="48"/>
      <c r="W954" s="48"/>
      <c r="X954" s="48"/>
      <c r="Y954" s="48"/>
      <c r="Z954" s="48"/>
    </row>
    <row r="955" ht="15.75" customHeight="1">
      <c r="A955" s="49"/>
      <c r="B955" s="49"/>
      <c r="C955" s="49"/>
      <c r="D955" s="49"/>
      <c r="E955" s="49"/>
      <c r="F955" s="49"/>
      <c r="G955" s="49"/>
      <c r="H955" s="49"/>
      <c r="I955" s="49"/>
      <c r="J955" s="49"/>
      <c r="K955" s="49"/>
      <c r="L955" s="48"/>
      <c r="M955" s="48"/>
      <c r="N955" s="48"/>
      <c r="O955" s="48"/>
      <c r="P955" s="48"/>
      <c r="Q955" s="48"/>
      <c r="R955" s="48"/>
      <c r="S955" s="48"/>
      <c r="T955" s="48"/>
      <c r="U955" s="48"/>
      <c r="V955" s="48"/>
      <c r="W955" s="48"/>
      <c r="X955" s="48"/>
      <c r="Y955" s="48"/>
      <c r="Z955" s="48"/>
    </row>
    <row r="956" ht="15.75" customHeight="1">
      <c r="A956" s="49"/>
      <c r="B956" s="49"/>
      <c r="C956" s="49"/>
      <c r="D956" s="49"/>
      <c r="E956" s="49"/>
      <c r="F956" s="49"/>
      <c r="G956" s="49"/>
      <c r="H956" s="49"/>
      <c r="I956" s="49"/>
      <c r="J956" s="49"/>
      <c r="K956" s="49"/>
      <c r="L956" s="48"/>
      <c r="M956" s="48"/>
      <c r="N956" s="48"/>
      <c r="O956" s="48"/>
      <c r="P956" s="48"/>
      <c r="Q956" s="48"/>
      <c r="R956" s="48"/>
      <c r="S956" s="48"/>
      <c r="T956" s="48"/>
      <c r="U956" s="48"/>
      <c r="V956" s="48"/>
      <c r="W956" s="48"/>
      <c r="X956" s="48"/>
      <c r="Y956" s="48"/>
      <c r="Z956" s="48"/>
    </row>
    <row r="957" ht="15.75" customHeight="1">
      <c r="A957" s="49"/>
      <c r="B957" s="49"/>
      <c r="C957" s="49"/>
      <c r="D957" s="49"/>
      <c r="E957" s="49"/>
      <c r="F957" s="49"/>
      <c r="G957" s="49"/>
      <c r="H957" s="49"/>
      <c r="I957" s="49"/>
      <c r="J957" s="49"/>
      <c r="K957" s="49"/>
      <c r="L957" s="48"/>
      <c r="M957" s="48"/>
      <c r="N957" s="48"/>
      <c r="O957" s="48"/>
      <c r="P957" s="48"/>
      <c r="Q957" s="48"/>
      <c r="R957" s="48"/>
      <c r="S957" s="48"/>
      <c r="T957" s="48"/>
      <c r="U957" s="48"/>
      <c r="V957" s="48"/>
      <c r="W957" s="48"/>
      <c r="X957" s="48"/>
      <c r="Y957" s="48"/>
      <c r="Z957" s="48"/>
    </row>
    <row r="958" ht="15.75" customHeight="1">
      <c r="A958" s="49"/>
      <c r="B958" s="49"/>
      <c r="C958" s="49"/>
      <c r="D958" s="49"/>
      <c r="E958" s="49"/>
      <c r="F958" s="49"/>
      <c r="G958" s="49"/>
      <c r="H958" s="49"/>
      <c r="I958" s="49"/>
      <c r="J958" s="49"/>
      <c r="K958" s="49"/>
      <c r="L958" s="48"/>
      <c r="M958" s="48"/>
      <c r="N958" s="48"/>
      <c r="O958" s="48"/>
      <c r="P958" s="48"/>
      <c r="Q958" s="48"/>
      <c r="R958" s="48"/>
      <c r="S958" s="48"/>
      <c r="T958" s="48"/>
      <c r="U958" s="48"/>
      <c r="V958" s="48"/>
      <c r="W958" s="48"/>
      <c r="X958" s="48"/>
      <c r="Y958" s="48"/>
      <c r="Z958" s="48"/>
    </row>
    <row r="959" ht="15.75" customHeight="1">
      <c r="A959" s="49"/>
      <c r="B959" s="49"/>
      <c r="C959" s="49"/>
      <c r="D959" s="49"/>
      <c r="E959" s="49"/>
      <c r="F959" s="49"/>
      <c r="G959" s="49"/>
      <c r="H959" s="49"/>
      <c r="I959" s="49"/>
      <c r="J959" s="49"/>
      <c r="K959" s="49"/>
      <c r="L959" s="48"/>
      <c r="M959" s="48"/>
      <c r="N959" s="48"/>
      <c r="O959" s="48"/>
      <c r="P959" s="48"/>
      <c r="Q959" s="48"/>
      <c r="R959" s="48"/>
      <c r="S959" s="48"/>
      <c r="T959" s="48"/>
      <c r="U959" s="48"/>
      <c r="V959" s="48"/>
      <c r="W959" s="48"/>
      <c r="X959" s="48"/>
      <c r="Y959" s="48"/>
      <c r="Z959" s="48"/>
    </row>
    <row r="960" ht="15.75" customHeight="1">
      <c r="A960" s="49"/>
      <c r="B960" s="49"/>
      <c r="C960" s="49"/>
      <c r="D960" s="49"/>
      <c r="E960" s="49"/>
      <c r="F960" s="49"/>
      <c r="G960" s="49"/>
      <c r="H960" s="49"/>
      <c r="I960" s="49"/>
      <c r="J960" s="49"/>
      <c r="K960" s="49"/>
      <c r="L960" s="48"/>
      <c r="M960" s="48"/>
      <c r="N960" s="48"/>
      <c r="O960" s="48"/>
      <c r="P960" s="48"/>
      <c r="Q960" s="48"/>
      <c r="R960" s="48"/>
      <c r="S960" s="48"/>
      <c r="T960" s="48"/>
      <c r="U960" s="48"/>
      <c r="V960" s="48"/>
      <c r="W960" s="48"/>
      <c r="X960" s="48"/>
      <c r="Y960" s="48"/>
      <c r="Z960" s="48"/>
    </row>
    <row r="961" ht="15.75" customHeight="1">
      <c r="A961" s="49"/>
      <c r="B961" s="49"/>
      <c r="C961" s="49"/>
      <c r="D961" s="49"/>
      <c r="E961" s="49"/>
      <c r="F961" s="49"/>
      <c r="G961" s="49"/>
      <c r="H961" s="49"/>
      <c r="I961" s="49"/>
      <c r="J961" s="49"/>
      <c r="K961" s="49"/>
      <c r="L961" s="48"/>
      <c r="M961" s="48"/>
      <c r="N961" s="48"/>
      <c r="O961" s="48"/>
      <c r="P961" s="48"/>
      <c r="Q961" s="48"/>
      <c r="R961" s="48"/>
      <c r="S961" s="48"/>
      <c r="T961" s="48"/>
      <c r="U961" s="48"/>
      <c r="V961" s="48"/>
      <c r="W961" s="48"/>
      <c r="X961" s="48"/>
      <c r="Y961" s="48"/>
      <c r="Z961" s="48"/>
    </row>
    <row r="962" ht="15.75" customHeight="1">
      <c r="A962" s="49"/>
      <c r="B962" s="49"/>
      <c r="C962" s="49"/>
      <c r="D962" s="49"/>
      <c r="E962" s="49"/>
      <c r="F962" s="49"/>
      <c r="G962" s="49"/>
      <c r="H962" s="49"/>
      <c r="I962" s="49"/>
      <c r="J962" s="49"/>
      <c r="K962" s="49"/>
      <c r="L962" s="48"/>
      <c r="M962" s="48"/>
      <c r="N962" s="48"/>
      <c r="O962" s="48"/>
      <c r="P962" s="48"/>
      <c r="Q962" s="48"/>
      <c r="R962" s="48"/>
      <c r="S962" s="48"/>
      <c r="T962" s="48"/>
      <c r="U962" s="48"/>
      <c r="V962" s="48"/>
      <c r="W962" s="48"/>
      <c r="X962" s="48"/>
      <c r="Y962" s="48"/>
      <c r="Z962" s="48"/>
    </row>
    <row r="963" ht="15.75" customHeight="1">
      <c r="A963" s="49"/>
      <c r="B963" s="49"/>
      <c r="C963" s="49"/>
      <c r="D963" s="49"/>
      <c r="E963" s="49"/>
      <c r="F963" s="49"/>
      <c r="G963" s="49"/>
      <c r="H963" s="49"/>
      <c r="I963" s="49"/>
      <c r="J963" s="49"/>
      <c r="K963" s="49"/>
      <c r="L963" s="48"/>
      <c r="M963" s="48"/>
      <c r="N963" s="48"/>
      <c r="O963" s="48"/>
      <c r="P963" s="48"/>
      <c r="Q963" s="48"/>
      <c r="R963" s="48"/>
      <c r="S963" s="48"/>
      <c r="T963" s="48"/>
      <c r="U963" s="48"/>
      <c r="V963" s="48"/>
      <c r="W963" s="48"/>
      <c r="X963" s="48"/>
      <c r="Y963" s="48"/>
      <c r="Z963" s="48"/>
    </row>
    <row r="964" ht="15.75" customHeight="1">
      <c r="A964" s="49"/>
      <c r="B964" s="49"/>
      <c r="C964" s="49"/>
      <c r="D964" s="49"/>
      <c r="E964" s="49"/>
      <c r="F964" s="49"/>
      <c r="G964" s="49"/>
      <c r="H964" s="49"/>
      <c r="I964" s="49"/>
      <c r="J964" s="49"/>
      <c r="K964" s="49"/>
      <c r="L964" s="48"/>
      <c r="M964" s="48"/>
      <c r="N964" s="48"/>
      <c r="O964" s="48"/>
      <c r="P964" s="48"/>
      <c r="Q964" s="48"/>
      <c r="R964" s="48"/>
      <c r="S964" s="48"/>
      <c r="T964" s="48"/>
      <c r="U964" s="48"/>
      <c r="V964" s="48"/>
      <c r="W964" s="48"/>
      <c r="X964" s="48"/>
      <c r="Y964" s="48"/>
      <c r="Z964" s="48"/>
    </row>
    <row r="965" ht="15.75" customHeight="1">
      <c r="A965" s="49"/>
      <c r="B965" s="49"/>
      <c r="C965" s="49"/>
      <c r="D965" s="49"/>
      <c r="E965" s="49"/>
      <c r="F965" s="49"/>
      <c r="G965" s="49"/>
      <c r="H965" s="49"/>
      <c r="I965" s="49"/>
      <c r="J965" s="49"/>
      <c r="K965" s="49"/>
      <c r="L965" s="48"/>
      <c r="M965" s="48"/>
      <c r="N965" s="48"/>
      <c r="O965" s="48"/>
      <c r="P965" s="48"/>
      <c r="Q965" s="48"/>
      <c r="R965" s="48"/>
      <c r="S965" s="48"/>
      <c r="T965" s="48"/>
      <c r="U965" s="48"/>
      <c r="V965" s="48"/>
      <c r="W965" s="48"/>
      <c r="X965" s="48"/>
      <c r="Y965" s="48"/>
      <c r="Z965" s="48"/>
    </row>
    <row r="966" ht="15.75" customHeight="1">
      <c r="A966" s="49"/>
      <c r="B966" s="49"/>
      <c r="C966" s="49"/>
      <c r="D966" s="49"/>
      <c r="E966" s="49"/>
      <c r="F966" s="49"/>
      <c r="G966" s="49"/>
      <c r="H966" s="49"/>
      <c r="I966" s="49"/>
      <c r="J966" s="49"/>
      <c r="K966" s="49"/>
      <c r="L966" s="48"/>
      <c r="M966" s="48"/>
      <c r="N966" s="48"/>
      <c r="O966" s="48"/>
      <c r="P966" s="48"/>
      <c r="Q966" s="48"/>
      <c r="R966" s="48"/>
      <c r="S966" s="48"/>
      <c r="T966" s="48"/>
      <c r="U966" s="48"/>
      <c r="V966" s="48"/>
      <c r="W966" s="48"/>
      <c r="X966" s="48"/>
      <c r="Y966" s="48"/>
      <c r="Z966" s="48"/>
    </row>
    <row r="967" ht="15.75" customHeight="1">
      <c r="A967" s="49"/>
      <c r="B967" s="49"/>
      <c r="C967" s="49"/>
      <c r="D967" s="49"/>
      <c r="E967" s="49"/>
      <c r="F967" s="49"/>
      <c r="G967" s="49"/>
      <c r="H967" s="49"/>
      <c r="I967" s="49"/>
      <c r="J967" s="49"/>
      <c r="K967" s="49"/>
      <c r="L967" s="48"/>
      <c r="M967" s="48"/>
      <c r="N967" s="48"/>
      <c r="O967" s="48"/>
      <c r="P967" s="48"/>
      <c r="Q967" s="48"/>
      <c r="R967" s="48"/>
      <c r="S967" s="48"/>
      <c r="T967" s="48"/>
      <c r="U967" s="48"/>
      <c r="V967" s="48"/>
      <c r="W967" s="48"/>
      <c r="X967" s="48"/>
      <c r="Y967" s="48"/>
      <c r="Z967" s="48"/>
    </row>
    <row r="968" ht="15.75" customHeight="1">
      <c r="A968" s="49"/>
      <c r="B968" s="49"/>
      <c r="C968" s="49"/>
      <c r="D968" s="49"/>
      <c r="E968" s="49"/>
      <c r="F968" s="49"/>
      <c r="G968" s="49"/>
      <c r="H968" s="49"/>
      <c r="I968" s="49"/>
      <c r="J968" s="49"/>
      <c r="K968" s="49"/>
      <c r="L968" s="48"/>
      <c r="M968" s="48"/>
      <c r="N968" s="48"/>
      <c r="O968" s="48"/>
      <c r="P968" s="48"/>
      <c r="Q968" s="48"/>
      <c r="R968" s="48"/>
      <c r="S968" s="48"/>
      <c r="T968" s="48"/>
      <c r="U968" s="48"/>
      <c r="V968" s="48"/>
      <c r="W968" s="48"/>
      <c r="X968" s="48"/>
      <c r="Y968" s="48"/>
      <c r="Z968" s="48"/>
    </row>
    <row r="969" ht="15.75" customHeight="1">
      <c r="A969" s="49"/>
      <c r="B969" s="49"/>
      <c r="C969" s="49"/>
      <c r="D969" s="49"/>
      <c r="E969" s="49"/>
      <c r="F969" s="49"/>
      <c r="G969" s="49"/>
      <c r="H969" s="49"/>
      <c r="I969" s="49"/>
      <c r="J969" s="49"/>
      <c r="K969" s="49"/>
      <c r="L969" s="48"/>
      <c r="M969" s="48"/>
      <c r="N969" s="48"/>
      <c r="O969" s="48"/>
      <c r="P969" s="48"/>
      <c r="Q969" s="48"/>
      <c r="R969" s="48"/>
      <c r="S969" s="48"/>
      <c r="T969" s="48"/>
      <c r="U969" s="48"/>
      <c r="V969" s="48"/>
      <c r="W969" s="48"/>
      <c r="X969" s="48"/>
      <c r="Y969" s="48"/>
      <c r="Z969" s="48"/>
    </row>
    <row r="970" ht="15.75" customHeight="1">
      <c r="A970" s="49"/>
      <c r="B970" s="49"/>
      <c r="C970" s="49"/>
      <c r="D970" s="49"/>
      <c r="E970" s="49"/>
      <c r="F970" s="49"/>
      <c r="G970" s="49"/>
      <c r="H970" s="49"/>
      <c r="I970" s="49"/>
      <c r="J970" s="49"/>
      <c r="K970" s="49"/>
      <c r="L970" s="48"/>
      <c r="M970" s="48"/>
      <c r="N970" s="48"/>
      <c r="O970" s="48"/>
      <c r="P970" s="48"/>
      <c r="Q970" s="48"/>
      <c r="R970" s="48"/>
      <c r="S970" s="48"/>
      <c r="T970" s="48"/>
      <c r="U970" s="48"/>
      <c r="V970" s="48"/>
      <c r="W970" s="48"/>
      <c r="X970" s="48"/>
      <c r="Y970" s="48"/>
      <c r="Z970" s="48"/>
    </row>
    <row r="971" ht="15.75" customHeight="1">
      <c r="A971" s="49"/>
      <c r="B971" s="49"/>
      <c r="C971" s="49"/>
      <c r="D971" s="49"/>
      <c r="E971" s="49"/>
      <c r="F971" s="49"/>
      <c r="G971" s="49"/>
      <c r="H971" s="49"/>
      <c r="I971" s="49"/>
      <c r="J971" s="49"/>
      <c r="K971" s="49"/>
      <c r="L971" s="48"/>
      <c r="M971" s="48"/>
      <c r="N971" s="48"/>
      <c r="O971" s="48"/>
      <c r="P971" s="48"/>
      <c r="Q971" s="48"/>
      <c r="R971" s="48"/>
      <c r="S971" s="48"/>
      <c r="T971" s="48"/>
      <c r="U971" s="48"/>
      <c r="V971" s="48"/>
      <c r="W971" s="48"/>
      <c r="X971" s="48"/>
      <c r="Y971" s="48"/>
      <c r="Z971" s="48"/>
    </row>
    <row r="972" ht="15.75" customHeight="1">
      <c r="A972" s="49"/>
      <c r="B972" s="49"/>
      <c r="C972" s="49"/>
      <c r="D972" s="49"/>
      <c r="E972" s="49"/>
      <c r="F972" s="49"/>
      <c r="G972" s="49"/>
      <c r="H972" s="49"/>
      <c r="I972" s="49"/>
      <c r="J972" s="49"/>
      <c r="K972" s="49"/>
      <c r="L972" s="48"/>
      <c r="M972" s="48"/>
      <c r="N972" s="48"/>
      <c r="O972" s="48"/>
      <c r="P972" s="48"/>
      <c r="Q972" s="48"/>
      <c r="R972" s="48"/>
      <c r="S972" s="48"/>
      <c r="T972" s="48"/>
      <c r="U972" s="48"/>
      <c r="V972" s="48"/>
      <c r="W972" s="48"/>
      <c r="X972" s="48"/>
      <c r="Y972" s="48"/>
      <c r="Z972" s="48"/>
    </row>
    <row r="973" ht="15.75" customHeight="1">
      <c r="A973" s="49"/>
      <c r="B973" s="49"/>
      <c r="C973" s="49"/>
      <c r="D973" s="49"/>
      <c r="E973" s="49"/>
      <c r="F973" s="49"/>
      <c r="G973" s="49"/>
      <c r="H973" s="49"/>
      <c r="I973" s="49"/>
      <c r="J973" s="49"/>
      <c r="K973" s="49"/>
      <c r="L973" s="48"/>
      <c r="M973" s="48"/>
      <c r="N973" s="48"/>
      <c r="O973" s="48"/>
      <c r="P973" s="48"/>
      <c r="Q973" s="48"/>
      <c r="R973" s="48"/>
      <c r="S973" s="48"/>
      <c r="T973" s="48"/>
      <c r="U973" s="48"/>
      <c r="V973" s="48"/>
      <c r="W973" s="48"/>
      <c r="X973" s="48"/>
      <c r="Y973" s="48"/>
      <c r="Z973" s="48"/>
    </row>
    <row r="974" ht="15.75" customHeight="1">
      <c r="A974" s="49"/>
      <c r="B974" s="49"/>
      <c r="C974" s="49"/>
      <c r="D974" s="49"/>
      <c r="E974" s="49"/>
      <c r="F974" s="49"/>
      <c r="G974" s="49"/>
      <c r="H974" s="49"/>
      <c r="I974" s="49"/>
      <c r="J974" s="49"/>
      <c r="K974" s="49"/>
      <c r="L974" s="48"/>
      <c r="M974" s="48"/>
      <c r="N974" s="48"/>
      <c r="O974" s="48"/>
      <c r="P974" s="48"/>
      <c r="Q974" s="48"/>
      <c r="R974" s="48"/>
      <c r="S974" s="48"/>
      <c r="T974" s="48"/>
      <c r="U974" s="48"/>
      <c r="V974" s="48"/>
      <c r="W974" s="48"/>
      <c r="X974" s="48"/>
      <c r="Y974" s="48"/>
      <c r="Z974" s="48"/>
    </row>
    <row r="975" ht="15.75" customHeight="1">
      <c r="A975" s="49"/>
      <c r="B975" s="49"/>
      <c r="C975" s="49"/>
      <c r="D975" s="49"/>
      <c r="E975" s="49"/>
      <c r="F975" s="49"/>
      <c r="G975" s="49"/>
      <c r="H975" s="49"/>
      <c r="I975" s="49"/>
      <c r="J975" s="49"/>
      <c r="K975" s="49"/>
      <c r="L975" s="48"/>
      <c r="M975" s="48"/>
      <c r="N975" s="48"/>
      <c r="O975" s="48"/>
      <c r="P975" s="48"/>
      <c r="Q975" s="48"/>
      <c r="R975" s="48"/>
      <c r="S975" s="48"/>
      <c r="T975" s="48"/>
      <c r="U975" s="48"/>
      <c r="V975" s="48"/>
      <c r="W975" s="48"/>
      <c r="X975" s="48"/>
      <c r="Y975" s="48"/>
      <c r="Z975" s="48"/>
    </row>
    <row r="976" ht="15.75" customHeight="1">
      <c r="A976" s="49"/>
      <c r="B976" s="49"/>
      <c r="C976" s="49"/>
      <c r="D976" s="49"/>
      <c r="E976" s="49"/>
      <c r="F976" s="49"/>
      <c r="G976" s="49"/>
      <c r="H976" s="49"/>
      <c r="I976" s="49"/>
      <c r="J976" s="49"/>
      <c r="K976" s="49"/>
      <c r="L976" s="48"/>
      <c r="M976" s="48"/>
      <c r="N976" s="48"/>
      <c r="O976" s="48"/>
      <c r="P976" s="48"/>
      <c r="Q976" s="48"/>
      <c r="R976" s="48"/>
      <c r="S976" s="48"/>
      <c r="T976" s="48"/>
      <c r="U976" s="48"/>
      <c r="V976" s="48"/>
      <c r="W976" s="48"/>
      <c r="X976" s="48"/>
      <c r="Y976" s="48"/>
      <c r="Z976" s="48"/>
    </row>
    <row r="977" ht="15.75" customHeight="1">
      <c r="A977" s="49"/>
      <c r="B977" s="49"/>
      <c r="C977" s="49"/>
      <c r="D977" s="49"/>
      <c r="E977" s="49"/>
      <c r="F977" s="49"/>
      <c r="G977" s="49"/>
      <c r="H977" s="49"/>
      <c r="I977" s="49"/>
      <c r="J977" s="49"/>
      <c r="K977" s="49"/>
      <c r="L977" s="48"/>
      <c r="M977" s="48"/>
      <c r="N977" s="48"/>
      <c r="O977" s="48"/>
      <c r="P977" s="48"/>
      <c r="Q977" s="48"/>
      <c r="R977" s="48"/>
      <c r="S977" s="48"/>
      <c r="T977" s="48"/>
      <c r="U977" s="48"/>
      <c r="V977" s="48"/>
      <c r="W977" s="48"/>
      <c r="X977" s="48"/>
      <c r="Y977" s="48"/>
      <c r="Z977" s="48"/>
    </row>
    <row r="978" ht="15.75" customHeight="1">
      <c r="A978" s="49"/>
      <c r="B978" s="49"/>
      <c r="C978" s="49"/>
      <c r="D978" s="49"/>
      <c r="E978" s="49"/>
      <c r="F978" s="49"/>
      <c r="G978" s="49"/>
      <c r="H978" s="49"/>
      <c r="I978" s="49"/>
      <c r="J978" s="49"/>
      <c r="K978" s="49"/>
      <c r="L978" s="48"/>
      <c r="M978" s="48"/>
      <c r="N978" s="48"/>
      <c r="O978" s="48"/>
      <c r="P978" s="48"/>
      <c r="Q978" s="48"/>
      <c r="R978" s="48"/>
      <c r="S978" s="48"/>
      <c r="T978" s="48"/>
      <c r="U978" s="48"/>
      <c r="V978" s="48"/>
      <c r="W978" s="48"/>
      <c r="X978" s="48"/>
      <c r="Y978" s="48"/>
      <c r="Z978" s="48"/>
    </row>
    <row r="979" ht="15.75" customHeight="1">
      <c r="A979" s="49"/>
      <c r="B979" s="49"/>
      <c r="C979" s="49"/>
      <c r="D979" s="49"/>
      <c r="E979" s="49"/>
      <c r="F979" s="49"/>
      <c r="G979" s="49"/>
      <c r="H979" s="49"/>
      <c r="I979" s="49"/>
      <c r="J979" s="49"/>
      <c r="K979" s="49"/>
      <c r="L979" s="48"/>
      <c r="M979" s="48"/>
      <c r="N979" s="48"/>
      <c r="O979" s="48"/>
      <c r="P979" s="48"/>
      <c r="Q979" s="48"/>
      <c r="R979" s="48"/>
      <c r="S979" s="48"/>
      <c r="T979" s="48"/>
      <c r="U979" s="48"/>
      <c r="V979" s="48"/>
      <c r="W979" s="48"/>
      <c r="X979" s="48"/>
      <c r="Y979" s="48"/>
      <c r="Z979" s="48"/>
    </row>
    <row r="980" ht="15.75" customHeight="1">
      <c r="A980" s="49"/>
      <c r="B980" s="49"/>
      <c r="C980" s="49"/>
      <c r="D980" s="49"/>
      <c r="E980" s="49"/>
      <c r="F980" s="49"/>
      <c r="G980" s="49"/>
      <c r="H980" s="49"/>
      <c r="I980" s="49"/>
      <c r="J980" s="49"/>
      <c r="K980" s="49"/>
      <c r="L980" s="48"/>
      <c r="M980" s="48"/>
      <c r="N980" s="48"/>
      <c r="O980" s="48"/>
      <c r="P980" s="48"/>
      <c r="Q980" s="48"/>
      <c r="R980" s="48"/>
      <c r="S980" s="48"/>
      <c r="T980" s="48"/>
      <c r="U980" s="48"/>
      <c r="V980" s="48"/>
      <c r="W980" s="48"/>
      <c r="X980" s="48"/>
      <c r="Y980" s="48"/>
      <c r="Z980" s="48"/>
    </row>
    <row r="981" ht="15.75" customHeight="1">
      <c r="A981" s="49"/>
      <c r="B981" s="49"/>
      <c r="C981" s="49"/>
      <c r="D981" s="49"/>
      <c r="E981" s="49"/>
      <c r="F981" s="49"/>
      <c r="G981" s="49"/>
      <c r="H981" s="49"/>
      <c r="I981" s="49"/>
      <c r="J981" s="49"/>
      <c r="K981" s="49"/>
      <c r="L981" s="48"/>
      <c r="M981" s="48"/>
      <c r="N981" s="48"/>
      <c r="O981" s="48"/>
      <c r="P981" s="48"/>
      <c r="Q981" s="48"/>
      <c r="R981" s="48"/>
      <c r="S981" s="48"/>
      <c r="T981" s="48"/>
      <c r="U981" s="48"/>
      <c r="V981" s="48"/>
      <c r="W981" s="48"/>
      <c r="X981" s="48"/>
      <c r="Y981" s="48"/>
      <c r="Z981" s="48"/>
    </row>
    <row r="982" ht="15.75" customHeight="1">
      <c r="A982" s="49"/>
      <c r="B982" s="49"/>
      <c r="C982" s="49"/>
      <c r="D982" s="49"/>
      <c r="E982" s="49"/>
      <c r="F982" s="49"/>
      <c r="G982" s="49"/>
      <c r="H982" s="49"/>
      <c r="I982" s="49"/>
      <c r="J982" s="49"/>
      <c r="K982" s="49"/>
      <c r="L982" s="48"/>
      <c r="M982" s="48"/>
      <c r="N982" s="48"/>
      <c r="O982" s="48"/>
      <c r="P982" s="48"/>
      <c r="Q982" s="48"/>
      <c r="R982" s="48"/>
      <c r="S982" s="48"/>
      <c r="T982" s="48"/>
      <c r="U982" s="48"/>
      <c r="V982" s="48"/>
      <c r="W982" s="48"/>
      <c r="X982" s="48"/>
      <c r="Y982" s="48"/>
      <c r="Z982" s="48"/>
    </row>
    <row r="983" ht="15.75" customHeight="1">
      <c r="A983" s="49"/>
      <c r="B983" s="49"/>
      <c r="C983" s="49"/>
      <c r="D983" s="49"/>
      <c r="E983" s="49"/>
      <c r="F983" s="49"/>
      <c r="G983" s="49"/>
      <c r="H983" s="49"/>
      <c r="I983" s="49"/>
      <c r="J983" s="49"/>
      <c r="K983" s="49"/>
      <c r="L983" s="48"/>
      <c r="M983" s="48"/>
      <c r="N983" s="48"/>
      <c r="O983" s="48"/>
      <c r="P983" s="48"/>
      <c r="Q983" s="48"/>
      <c r="R983" s="48"/>
      <c r="S983" s="48"/>
      <c r="T983" s="48"/>
      <c r="U983" s="48"/>
      <c r="V983" s="48"/>
      <c r="W983" s="48"/>
      <c r="X983" s="48"/>
      <c r="Y983" s="48"/>
      <c r="Z983" s="48"/>
    </row>
    <row r="984" ht="15.75" customHeight="1">
      <c r="A984" s="49"/>
      <c r="B984" s="49"/>
      <c r="C984" s="49"/>
      <c r="D984" s="49"/>
      <c r="E984" s="49"/>
      <c r="F984" s="49"/>
      <c r="G984" s="49"/>
      <c r="H984" s="49"/>
      <c r="I984" s="49"/>
      <c r="J984" s="49"/>
      <c r="K984" s="49"/>
      <c r="L984" s="48"/>
      <c r="M984" s="48"/>
      <c r="N984" s="48"/>
      <c r="O984" s="48"/>
      <c r="P984" s="48"/>
      <c r="Q984" s="48"/>
      <c r="R984" s="48"/>
      <c r="S984" s="48"/>
      <c r="T984" s="48"/>
      <c r="U984" s="48"/>
      <c r="V984" s="48"/>
      <c r="W984" s="48"/>
      <c r="X984" s="48"/>
      <c r="Y984" s="48"/>
      <c r="Z984" s="48"/>
    </row>
    <row r="985" ht="15.75" customHeight="1">
      <c r="A985" s="49"/>
      <c r="B985" s="49"/>
      <c r="C985" s="49"/>
      <c r="D985" s="49"/>
      <c r="E985" s="49"/>
      <c r="F985" s="49"/>
      <c r="G985" s="49"/>
      <c r="H985" s="49"/>
      <c r="I985" s="49"/>
      <c r="J985" s="49"/>
      <c r="K985" s="49"/>
      <c r="L985" s="48"/>
      <c r="M985" s="48"/>
      <c r="N985" s="48"/>
      <c r="O985" s="48"/>
      <c r="P985" s="48"/>
      <c r="Q985" s="48"/>
      <c r="R985" s="48"/>
      <c r="S985" s="48"/>
      <c r="T985" s="48"/>
      <c r="U985" s="48"/>
      <c r="V985" s="48"/>
      <c r="W985" s="48"/>
      <c r="X985" s="48"/>
      <c r="Y985" s="48"/>
      <c r="Z985" s="48"/>
    </row>
    <row r="986" ht="15.75" customHeight="1">
      <c r="A986" s="49"/>
      <c r="B986" s="49"/>
      <c r="C986" s="49"/>
      <c r="D986" s="49"/>
      <c r="E986" s="49"/>
      <c r="F986" s="49"/>
      <c r="G986" s="49"/>
      <c r="H986" s="49"/>
      <c r="I986" s="49"/>
      <c r="J986" s="49"/>
      <c r="K986" s="49"/>
      <c r="L986" s="48"/>
      <c r="M986" s="48"/>
      <c r="N986" s="48"/>
      <c r="O986" s="48"/>
      <c r="P986" s="48"/>
      <c r="Q986" s="48"/>
      <c r="R986" s="48"/>
      <c r="S986" s="48"/>
      <c r="T986" s="48"/>
      <c r="U986" s="48"/>
      <c r="V986" s="48"/>
      <c r="W986" s="48"/>
      <c r="X986" s="48"/>
      <c r="Y986" s="48"/>
      <c r="Z986" s="48"/>
    </row>
    <row r="987" ht="15.75" customHeight="1">
      <c r="A987" s="49"/>
      <c r="B987" s="49"/>
      <c r="C987" s="49"/>
      <c r="D987" s="49"/>
      <c r="E987" s="49"/>
      <c r="F987" s="49"/>
      <c r="G987" s="49"/>
      <c r="H987" s="49"/>
      <c r="I987" s="49"/>
      <c r="J987" s="49"/>
      <c r="K987" s="49"/>
      <c r="L987" s="48"/>
      <c r="M987" s="48"/>
      <c r="N987" s="48"/>
      <c r="O987" s="48"/>
      <c r="P987" s="48"/>
      <c r="Q987" s="48"/>
      <c r="R987" s="48"/>
      <c r="S987" s="48"/>
      <c r="T987" s="48"/>
      <c r="U987" s="48"/>
      <c r="V987" s="48"/>
      <c r="W987" s="48"/>
      <c r="X987" s="48"/>
      <c r="Y987" s="48"/>
      <c r="Z987" s="48"/>
    </row>
    <row r="988" ht="15.75" customHeight="1">
      <c r="A988" s="49"/>
      <c r="B988" s="49"/>
      <c r="C988" s="49"/>
      <c r="D988" s="49"/>
      <c r="E988" s="49"/>
      <c r="F988" s="49"/>
      <c r="G988" s="49"/>
      <c r="H988" s="49"/>
      <c r="I988" s="49"/>
      <c r="J988" s="49"/>
      <c r="K988" s="49"/>
      <c r="L988" s="48"/>
      <c r="M988" s="48"/>
      <c r="N988" s="48"/>
      <c r="O988" s="48"/>
      <c r="P988" s="48"/>
      <c r="Q988" s="48"/>
      <c r="R988" s="48"/>
      <c r="S988" s="48"/>
      <c r="T988" s="48"/>
      <c r="U988" s="48"/>
      <c r="V988" s="48"/>
      <c r="W988" s="48"/>
      <c r="X988" s="48"/>
      <c r="Y988" s="48"/>
      <c r="Z988" s="48"/>
    </row>
    <row r="989" ht="15.75" customHeight="1">
      <c r="A989" s="49"/>
      <c r="B989" s="49"/>
      <c r="C989" s="49"/>
      <c r="D989" s="49"/>
      <c r="E989" s="49"/>
      <c r="F989" s="49"/>
      <c r="G989" s="49"/>
      <c r="H989" s="49"/>
      <c r="I989" s="49"/>
      <c r="J989" s="49"/>
      <c r="K989" s="49"/>
      <c r="L989" s="48"/>
      <c r="M989" s="48"/>
      <c r="N989" s="48"/>
      <c r="O989" s="48"/>
      <c r="P989" s="48"/>
      <c r="Q989" s="48"/>
      <c r="R989" s="48"/>
      <c r="S989" s="48"/>
      <c r="T989" s="48"/>
      <c r="U989" s="48"/>
      <c r="V989" s="48"/>
      <c r="W989" s="48"/>
      <c r="X989" s="48"/>
      <c r="Y989" s="48"/>
      <c r="Z989" s="48"/>
    </row>
    <row r="990" ht="15.75" customHeight="1">
      <c r="A990" s="49"/>
      <c r="B990" s="49"/>
      <c r="C990" s="49"/>
      <c r="D990" s="49"/>
      <c r="E990" s="49"/>
      <c r="F990" s="49"/>
      <c r="G990" s="49"/>
      <c r="H990" s="49"/>
      <c r="I990" s="49"/>
      <c r="J990" s="49"/>
      <c r="K990" s="49"/>
      <c r="L990" s="48"/>
      <c r="M990" s="48"/>
      <c r="N990" s="48"/>
      <c r="O990" s="48"/>
      <c r="P990" s="48"/>
      <c r="Q990" s="48"/>
      <c r="R990" s="48"/>
      <c r="S990" s="48"/>
      <c r="T990" s="48"/>
      <c r="U990" s="48"/>
      <c r="V990" s="48"/>
      <c r="W990" s="48"/>
      <c r="X990" s="48"/>
      <c r="Y990" s="48"/>
      <c r="Z990" s="48"/>
    </row>
    <row r="991" ht="15.75" customHeight="1">
      <c r="A991" s="49"/>
      <c r="B991" s="49"/>
      <c r="C991" s="49"/>
      <c r="D991" s="49"/>
      <c r="E991" s="49"/>
      <c r="F991" s="49"/>
      <c r="G991" s="49"/>
      <c r="H991" s="49"/>
      <c r="I991" s="49"/>
      <c r="J991" s="49"/>
      <c r="K991" s="49"/>
      <c r="L991" s="48"/>
      <c r="M991" s="48"/>
      <c r="N991" s="48"/>
      <c r="O991" s="48"/>
      <c r="P991" s="48"/>
      <c r="Q991" s="48"/>
      <c r="R991" s="48"/>
      <c r="S991" s="48"/>
      <c r="T991" s="48"/>
      <c r="U991" s="48"/>
      <c r="V991" s="48"/>
      <c r="W991" s="48"/>
      <c r="X991" s="48"/>
      <c r="Y991" s="48"/>
      <c r="Z991" s="48"/>
    </row>
    <row r="992" ht="15.75" customHeight="1">
      <c r="A992" s="49"/>
      <c r="B992" s="49"/>
      <c r="C992" s="49"/>
      <c r="D992" s="49"/>
      <c r="E992" s="49"/>
      <c r="F992" s="49"/>
      <c r="G992" s="49"/>
      <c r="H992" s="49"/>
      <c r="I992" s="49"/>
      <c r="J992" s="49"/>
      <c r="K992" s="49"/>
      <c r="L992" s="48"/>
      <c r="M992" s="48"/>
      <c r="N992" s="48"/>
      <c r="O992" s="48"/>
      <c r="P992" s="48"/>
      <c r="Q992" s="48"/>
      <c r="R992" s="48"/>
      <c r="S992" s="48"/>
      <c r="T992" s="48"/>
      <c r="U992" s="48"/>
      <c r="V992" s="48"/>
      <c r="W992" s="48"/>
      <c r="X992" s="48"/>
      <c r="Y992" s="48"/>
      <c r="Z992" s="48"/>
    </row>
    <row r="993" ht="15.75" customHeight="1">
      <c r="A993" s="49"/>
      <c r="B993" s="49"/>
      <c r="C993" s="49"/>
      <c r="D993" s="49"/>
      <c r="E993" s="49"/>
      <c r="F993" s="49"/>
      <c r="G993" s="49"/>
      <c r="H993" s="49"/>
      <c r="I993" s="49"/>
      <c r="J993" s="49"/>
      <c r="K993" s="49"/>
      <c r="L993" s="48"/>
      <c r="M993" s="48"/>
      <c r="N993" s="48"/>
      <c r="O993" s="48"/>
      <c r="P993" s="48"/>
      <c r="Q993" s="48"/>
      <c r="R993" s="48"/>
      <c r="S993" s="48"/>
      <c r="T993" s="48"/>
      <c r="U993" s="48"/>
      <c r="V993" s="48"/>
      <c r="W993" s="48"/>
      <c r="X993" s="48"/>
      <c r="Y993" s="48"/>
      <c r="Z993" s="48"/>
    </row>
    <row r="994" ht="15.75" customHeight="1">
      <c r="A994" s="49"/>
      <c r="B994" s="49"/>
      <c r="C994" s="49"/>
      <c r="D994" s="49"/>
      <c r="E994" s="49"/>
      <c r="F994" s="49"/>
      <c r="G994" s="49"/>
      <c r="H994" s="49"/>
      <c r="I994" s="49"/>
      <c r="J994" s="49"/>
      <c r="K994" s="49"/>
      <c r="L994" s="48"/>
      <c r="M994" s="48"/>
      <c r="N994" s="48"/>
      <c r="O994" s="48"/>
      <c r="P994" s="48"/>
      <c r="Q994" s="48"/>
      <c r="R994" s="48"/>
      <c r="S994" s="48"/>
      <c r="T994" s="48"/>
      <c r="U994" s="48"/>
      <c r="V994" s="48"/>
      <c r="W994" s="48"/>
      <c r="X994" s="48"/>
      <c r="Y994" s="48"/>
      <c r="Z994" s="48"/>
    </row>
    <row r="995" ht="15.75" customHeight="1">
      <c r="A995" s="49"/>
      <c r="B995" s="49"/>
      <c r="C995" s="49"/>
      <c r="D995" s="49"/>
      <c r="E995" s="49"/>
      <c r="F995" s="49"/>
      <c r="G995" s="49"/>
      <c r="H995" s="49"/>
      <c r="I995" s="49"/>
      <c r="J995" s="49"/>
      <c r="K995" s="49"/>
      <c r="L995" s="48"/>
      <c r="M995" s="48"/>
      <c r="N995" s="48"/>
      <c r="O995" s="48"/>
      <c r="P995" s="48"/>
      <c r="Q995" s="48"/>
      <c r="R995" s="48"/>
      <c r="S995" s="48"/>
      <c r="T995" s="48"/>
      <c r="U995" s="48"/>
      <c r="V995" s="48"/>
      <c r="W995" s="48"/>
      <c r="X995" s="48"/>
      <c r="Y995" s="48"/>
      <c r="Z995" s="48"/>
    </row>
    <row r="996" ht="15.75" customHeight="1">
      <c r="A996" s="49"/>
      <c r="B996" s="49"/>
      <c r="C996" s="49"/>
      <c r="D996" s="49"/>
      <c r="E996" s="49"/>
      <c r="F996" s="49"/>
      <c r="G996" s="49"/>
      <c r="H996" s="49"/>
      <c r="I996" s="49"/>
      <c r="J996" s="49"/>
      <c r="K996" s="49"/>
      <c r="L996" s="48"/>
      <c r="M996" s="48"/>
      <c r="N996" s="48"/>
      <c r="O996" s="48"/>
      <c r="P996" s="48"/>
      <c r="Q996" s="48"/>
      <c r="R996" s="48"/>
      <c r="S996" s="48"/>
      <c r="T996" s="48"/>
      <c r="U996" s="48"/>
      <c r="V996" s="48"/>
      <c r="W996" s="48"/>
      <c r="X996" s="48"/>
      <c r="Y996" s="48"/>
      <c r="Z996" s="48"/>
    </row>
    <row r="997" ht="15.75" customHeight="1">
      <c r="A997" s="49"/>
      <c r="B997" s="49"/>
      <c r="C997" s="49"/>
      <c r="D997" s="49"/>
      <c r="E997" s="49"/>
      <c r="F997" s="49"/>
      <c r="G997" s="49"/>
      <c r="H997" s="49"/>
      <c r="I997" s="49"/>
      <c r="J997" s="49"/>
      <c r="K997" s="49"/>
      <c r="L997" s="48"/>
      <c r="M997" s="48"/>
      <c r="N997" s="48"/>
      <c r="O997" s="48"/>
      <c r="P997" s="48"/>
      <c r="Q997" s="48"/>
      <c r="R997" s="48"/>
      <c r="S997" s="48"/>
      <c r="T997" s="48"/>
      <c r="U997" s="48"/>
      <c r="V997" s="48"/>
      <c r="W997" s="48"/>
      <c r="X997" s="48"/>
      <c r="Y997" s="48"/>
      <c r="Z997" s="48"/>
    </row>
    <row r="998" ht="15.75" customHeight="1">
      <c r="A998" s="49"/>
      <c r="B998" s="49"/>
      <c r="C998" s="49"/>
      <c r="D998" s="49"/>
      <c r="E998" s="49"/>
      <c r="F998" s="49"/>
      <c r="G998" s="49"/>
      <c r="H998" s="49"/>
      <c r="I998" s="49"/>
      <c r="J998" s="49"/>
      <c r="K998" s="49"/>
      <c r="L998" s="48"/>
      <c r="M998" s="48"/>
      <c r="N998" s="48"/>
      <c r="O998" s="48"/>
      <c r="P998" s="48"/>
      <c r="Q998" s="48"/>
      <c r="R998" s="48"/>
      <c r="S998" s="48"/>
      <c r="T998" s="48"/>
      <c r="U998" s="48"/>
      <c r="V998" s="48"/>
      <c r="W998" s="48"/>
      <c r="X998" s="48"/>
      <c r="Y998" s="48"/>
      <c r="Z998" s="48"/>
    </row>
    <row r="999" ht="15.75" customHeight="1">
      <c r="A999" s="49"/>
      <c r="B999" s="49"/>
      <c r="C999" s="49"/>
      <c r="D999" s="49"/>
      <c r="E999" s="49"/>
      <c r="F999" s="49"/>
      <c r="G999" s="49"/>
      <c r="H999" s="49"/>
      <c r="I999" s="49"/>
      <c r="J999" s="49"/>
      <c r="K999" s="49"/>
      <c r="L999" s="48"/>
      <c r="M999" s="48"/>
      <c r="N999" s="48"/>
      <c r="O999" s="48"/>
      <c r="P999" s="48"/>
      <c r="Q999" s="48"/>
      <c r="R999" s="48"/>
      <c r="S999" s="48"/>
      <c r="T999" s="48"/>
      <c r="U999" s="48"/>
      <c r="V999" s="48"/>
      <c r="W999" s="48"/>
      <c r="X999" s="48"/>
      <c r="Y999" s="48"/>
      <c r="Z999" s="48"/>
    </row>
    <row r="1000" ht="15.75" customHeight="1">
      <c r="A1000" s="49"/>
      <c r="B1000" s="49"/>
      <c r="C1000" s="49"/>
      <c r="D1000" s="49"/>
      <c r="E1000" s="49"/>
      <c r="F1000" s="49"/>
      <c r="G1000" s="49"/>
      <c r="H1000" s="49"/>
      <c r="I1000" s="49"/>
      <c r="J1000" s="49"/>
      <c r="K1000" s="49"/>
      <c r="L1000" s="48"/>
      <c r="M1000" s="48"/>
      <c r="N1000" s="48"/>
      <c r="O1000" s="48"/>
      <c r="P1000" s="48"/>
      <c r="Q1000" s="48"/>
      <c r="R1000" s="48"/>
      <c r="S1000" s="48"/>
      <c r="T1000" s="48"/>
      <c r="U1000" s="48"/>
      <c r="V1000" s="48"/>
      <c r="W1000" s="48"/>
      <c r="X1000" s="48"/>
      <c r="Y1000" s="48"/>
      <c r="Z1000" s="48"/>
    </row>
  </sheetData>
  <mergeCells count="4">
    <mergeCell ref="A1:K1"/>
    <mergeCell ref="A2:K2"/>
    <mergeCell ref="A3:K3"/>
    <mergeCell ref="A61:K61"/>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2.0"/>
    <col customWidth="1" min="3" max="3" width="12.57"/>
    <col customWidth="1" min="4" max="8" width="11.43"/>
    <col customWidth="1" min="9" max="9" width="11.86"/>
    <col customWidth="1" min="10" max="10" width="14.57"/>
    <col customWidth="1" min="11" max="11" width="12.0"/>
    <col customWidth="1" min="12" max="12" width="13.86"/>
    <col customWidth="1" min="13" max="13" width="14.0"/>
    <col customWidth="1" min="14" max="14" width="14.57"/>
    <col customWidth="1" min="15" max="26" width="8.71"/>
  </cols>
  <sheetData>
    <row r="1">
      <c r="A1" s="32"/>
      <c r="B1" s="32"/>
      <c r="C1" s="32"/>
      <c r="D1" s="32"/>
      <c r="E1" s="32"/>
      <c r="F1" s="32"/>
      <c r="G1" s="32"/>
      <c r="H1" s="32"/>
      <c r="I1" s="32"/>
      <c r="J1" s="32"/>
      <c r="K1" s="32"/>
      <c r="L1" s="32"/>
      <c r="M1" s="32"/>
      <c r="N1" s="32"/>
      <c r="O1" s="32"/>
      <c r="P1" s="32"/>
      <c r="Q1" s="32"/>
      <c r="R1" s="32"/>
      <c r="S1" s="32"/>
      <c r="T1" s="32"/>
      <c r="U1" s="32"/>
      <c r="V1" s="32"/>
      <c r="W1" s="32"/>
      <c r="X1" s="32"/>
      <c r="Y1" s="32"/>
      <c r="Z1" s="32"/>
    </row>
    <row r="2">
      <c r="A2" s="60" t="s">
        <v>226</v>
      </c>
      <c r="B2" s="61"/>
      <c r="C2" s="61"/>
      <c r="D2" s="61"/>
      <c r="E2" s="61"/>
      <c r="F2" s="61"/>
      <c r="G2" s="61"/>
      <c r="H2" s="61"/>
      <c r="I2" s="61"/>
      <c r="J2" s="61"/>
      <c r="K2" s="61"/>
      <c r="L2" s="61"/>
      <c r="M2" s="61"/>
      <c r="N2" s="61"/>
      <c r="O2" s="32"/>
      <c r="P2" s="32"/>
      <c r="Q2" s="32"/>
      <c r="R2" s="32"/>
      <c r="S2" s="32"/>
      <c r="T2" s="32"/>
      <c r="U2" s="32"/>
      <c r="V2" s="32"/>
      <c r="W2" s="32"/>
      <c r="X2" s="32"/>
      <c r="Y2" s="32"/>
      <c r="Z2" s="32"/>
    </row>
    <row r="3">
      <c r="A3" s="62" t="s">
        <v>129</v>
      </c>
      <c r="B3" s="63">
        <v>46023.0</v>
      </c>
      <c r="C3" s="63">
        <v>46054.0</v>
      </c>
      <c r="D3" s="63">
        <v>46082.0</v>
      </c>
      <c r="E3" s="63">
        <v>46113.0</v>
      </c>
      <c r="F3" s="63">
        <v>46143.0</v>
      </c>
      <c r="G3" s="63">
        <v>46174.0</v>
      </c>
      <c r="H3" s="63">
        <v>46204.0</v>
      </c>
      <c r="I3" s="63">
        <v>46235.0</v>
      </c>
      <c r="J3" s="63">
        <v>46266.0</v>
      </c>
      <c r="K3" s="63">
        <v>46296.0</v>
      </c>
      <c r="L3" s="63">
        <v>46327.0</v>
      </c>
      <c r="M3" s="63">
        <v>46357.0</v>
      </c>
      <c r="N3" s="64" t="s">
        <v>142</v>
      </c>
      <c r="O3" s="32"/>
      <c r="P3" s="32"/>
      <c r="Q3" s="32"/>
      <c r="R3" s="32"/>
      <c r="S3" s="32"/>
      <c r="T3" s="32"/>
      <c r="U3" s="32"/>
      <c r="V3" s="32"/>
      <c r="W3" s="32"/>
      <c r="X3" s="32"/>
      <c r="Y3" s="32"/>
      <c r="Z3" s="32"/>
    </row>
    <row r="4">
      <c r="A4" s="65" t="s">
        <v>143</v>
      </c>
      <c r="B4" s="32"/>
      <c r="C4" s="32"/>
      <c r="D4" s="32"/>
      <c r="E4" s="32"/>
      <c r="F4" s="32"/>
      <c r="G4" s="32"/>
      <c r="H4" s="32"/>
      <c r="I4" s="32"/>
      <c r="J4" s="32"/>
      <c r="K4" s="32"/>
      <c r="L4" s="32"/>
      <c r="M4" s="32"/>
      <c r="N4" s="32"/>
      <c r="O4" s="32"/>
      <c r="P4" s="32"/>
      <c r="Q4" s="32"/>
      <c r="R4" s="32"/>
      <c r="S4" s="32"/>
      <c r="T4" s="32"/>
      <c r="U4" s="32"/>
      <c r="V4" s="32"/>
      <c r="W4" s="32"/>
      <c r="X4" s="32"/>
      <c r="Y4" s="32"/>
      <c r="Z4" s="32"/>
    </row>
    <row r="5">
      <c r="A5" s="65" t="s">
        <v>195</v>
      </c>
      <c r="B5" s="66">
        <v>13575.9</v>
      </c>
      <c r="C5" s="66">
        <v>14161.3</v>
      </c>
      <c r="D5" s="66">
        <v>16279.6</v>
      </c>
      <c r="E5" s="66">
        <v>11816.7</v>
      </c>
      <c r="F5" s="66">
        <v>12651.6</v>
      </c>
      <c r="G5" s="66">
        <v>13008.0</v>
      </c>
      <c r="H5" s="66">
        <v>23490.5</v>
      </c>
      <c r="I5" s="66">
        <v>11091.1</v>
      </c>
      <c r="J5" s="66">
        <v>8654.4</v>
      </c>
      <c r="K5" s="66">
        <v>10333.8</v>
      </c>
      <c r="L5" s="66">
        <v>14941.2</v>
      </c>
      <c r="M5" s="66">
        <v>10005.0</v>
      </c>
      <c r="N5" s="20">
        <f t="shared" ref="N5:N9" si="1">SUM(B5:M5)</f>
        <v>160009.1</v>
      </c>
      <c r="O5" s="32"/>
      <c r="P5" s="32"/>
      <c r="Q5" s="32"/>
      <c r="R5" s="32"/>
      <c r="S5" s="32"/>
      <c r="T5" s="32"/>
      <c r="U5" s="32"/>
      <c r="V5" s="32"/>
      <c r="W5" s="32"/>
      <c r="X5" s="32"/>
      <c r="Y5" s="32"/>
      <c r="Z5" s="32"/>
    </row>
    <row r="6">
      <c r="A6" s="65" t="s">
        <v>144</v>
      </c>
      <c r="B6" s="66">
        <v>89997.77</v>
      </c>
      <c r="C6" s="66">
        <v>89941.4</v>
      </c>
      <c r="D6" s="66">
        <v>89539.3</v>
      </c>
      <c r="E6" s="66">
        <v>95505.4</v>
      </c>
      <c r="F6" s="66">
        <v>94595.2</v>
      </c>
      <c r="G6" s="66">
        <v>93247.4</v>
      </c>
      <c r="H6" s="66">
        <v>85112.8</v>
      </c>
      <c r="I6" s="66">
        <v>97195.4</v>
      </c>
      <c r="J6" s="66">
        <v>71397.7</v>
      </c>
      <c r="K6" s="66">
        <v>98936.0</v>
      </c>
      <c r="L6" s="66">
        <v>91400.3</v>
      </c>
      <c r="M6" s="66">
        <v>100050.0</v>
      </c>
      <c r="N6" s="20">
        <f t="shared" si="1"/>
        <v>1096918.67</v>
      </c>
      <c r="O6" s="32"/>
      <c r="P6" s="67"/>
      <c r="Q6" s="32"/>
      <c r="R6" s="32"/>
      <c r="S6" s="32"/>
      <c r="T6" s="32"/>
      <c r="U6" s="32"/>
      <c r="V6" s="32"/>
      <c r="W6" s="32"/>
      <c r="X6" s="32"/>
      <c r="Y6" s="32"/>
      <c r="Z6" s="32"/>
    </row>
    <row r="7">
      <c r="A7" s="65" t="s">
        <v>145</v>
      </c>
      <c r="B7" s="66">
        <v>10109.68</v>
      </c>
      <c r="C7" s="66">
        <v>9819.3</v>
      </c>
      <c r="D7" s="66">
        <v>7783.7</v>
      </c>
      <c r="E7" s="66">
        <v>7078.9</v>
      </c>
      <c r="F7" s="66">
        <v>7394.5</v>
      </c>
      <c r="G7" s="66">
        <v>8626.6</v>
      </c>
      <c r="H7" s="66">
        <v>6520.0</v>
      </c>
      <c r="I7" s="66">
        <v>5972.6</v>
      </c>
      <c r="J7" s="66">
        <v>6386.8</v>
      </c>
      <c r="K7" s="66">
        <v>6580.3</v>
      </c>
      <c r="L7" s="66">
        <v>9740.2</v>
      </c>
      <c r="M7" s="66">
        <v>6282.2</v>
      </c>
      <c r="N7" s="20">
        <f t="shared" si="1"/>
        <v>92294.78</v>
      </c>
      <c r="O7" s="32"/>
      <c r="P7" s="32"/>
      <c r="Q7" s="32"/>
      <c r="R7" s="32"/>
      <c r="S7" s="32"/>
      <c r="T7" s="32"/>
      <c r="U7" s="32"/>
      <c r="V7" s="32"/>
      <c r="W7" s="32"/>
      <c r="X7" s="32"/>
      <c r="Y7" s="32"/>
      <c r="Z7" s="32"/>
    </row>
    <row r="8">
      <c r="A8" s="65" t="s">
        <v>216</v>
      </c>
      <c r="B8" s="68" t="s">
        <v>227</v>
      </c>
      <c r="C8" s="68" t="s">
        <v>227</v>
      </c>
      <c r="D8" s="68" t="s">
        <v>227</v>
      </c>
      <c r="E8" s="68" t="s">
        <v>227</v>
      </c>
      <c r="F8" s="68" t="s">
        <v>227</v>
      </c>
      <c r="G8" s="68" t="s">
        <v>227</v>
      </c>
      <c r="H8" s="68" t="s">
        <v>227</v>
      </c>
      <c r="I8" s="68" t="s">
        <v>227</v>
      </c>
      <c r="J8" s="66">
        <v>29226.3</v>
      </c>
      <c r="K8" s="68" t="s">
        <v>227</v>
      </c>
      <c r="L8" s="68" t="s">
        <v>227</v>
      </c>
      <c r="M8" s="68" t="s">
        <v>227</v>
      </c>
      <c r="N8" s="20">
        <f t="shared" si="1"/>
        <v>29226.3</v>
      </c>
      <c r="O8" s="32"/>
      <c r="P8" s="32"/>
      <c r="Q8" s="32"/>
      <c r="R8" s="32"/>
      <c r="S8" s="32"/>
      <c r="T8" s="32"/>
      <c r="U8" s="32"/>
      <c r="V8" s="32"/>
      <c r="W8" s="32"/>
      <c r="X8" s="32"/>
      <c r="Y8" s="32"/>
      <c r="Z8" s="32"/>
    </row>
    <row r="9">
      <c r="A9" s="65" t="s">
        <v>146</v>
      </c>
      <c r="B9" s="68" t="s">
        <v>227</v>
      </c>
      <c r="C9" s="68" t="s">
        <v>227</v>
      </c>
      <c r="D9" s="66">
        <v>559.4</v>
      </c>
      <c r="E9" s="68" t="s">
        <v>227</v>
      </c>
      <c r="F9" s="68" t="s">
        <v>227</v>
      </c>
      <c r="G9" s="68" t="s">
        <v>227</v>
      </c>
      <c r="H9" s="68" t="s">
        <v>227</v>
      </c>
      <c r="I9" s="66">
        <v>1106.4</v>
      </c>
      <c r="J9" s="68" t="s">
        <v>227</v>
      </c>
      <c r="K9" s="68" t="s">
        <v>227</v>
      </c>
      <c r="L9" s="68" t="s">
        <v>227</v>
      </c>
      <c r="M9" s="68" t="s">
        <v>227</v>
      </c>
      <c r="N9" s="20">
        <f t="shared" si="1"/>
        <v>1665.8</v>
      </c>
      <c r="O9" s="32"/>
      <c r="P9" s="32"/>
      <c r="Q9" s="32"/>
      <c r="R9" s="32"/>
      <c r="S9" s="32"/>
      <c r="T9" s="32"/>
      <c r="U9" s="32"/>
      <c r="V9" s="32"/>
      <c r="W9" s="32"/>
      <c r="X9" s="32"/>
      <c r="Y9" s="32"/>
      <c r="Z9" s="32"/>
    </row>
    <row r="10">
      <c r="A10" s="65" t="s">
        <v>217</v>
      </c>
      <c r="B10" s="68" t="s">
        <v>227</v>
      </c>
      <c r="C10" s="68" t="s">
        <v>227</v>
      </c>
      <c r="D10" s="68" t="s">
        <v>227</v>
      </c>
      <c r="E10" s="68" t="s">
        <v>227</v>
      </c>
      <c r="F10" s="68" t="s">
        <v>227</v>
      </c>
      <c r="G10" s="68" t="s">
        <v>227</v>
      </c>
      <c r="H10" s="68" t="s">
        <v>227</v>
      </c>
      <c r="I10" s="68" t="s">
        <v>227</v>
      </c>
      <c r="J10" s="68" t="s">
        <v>227</v>
      </c>
      <c r="K10" s="68" t="s">
        <v>227</v>
      </c>
      <c r="L10" s="68" t="s">
        <v>227</v>
      </c>
      <c r="M10" s="68" t="s">
        <v>227</v>
      </c>
      <c r="N10" s="69" t="s">
        <v>227</v>
      </c>
      <c r="O10" s="32"/>
      <c r="P10" s="32"/>
      <c r="Q10" s="32"/>
      <c r="R10" s="32"/>
      <c r="S10" s="32"/>
      <c r="T10" s="32"/>
      <c r="U10" s="32"/>
      <c r="V10" s="32"/>
      <c r="W10" s="32"/>
      <c r="X10" s="32"/>
      <c r="Y10" s="32"/>
      <c r="Z10" s="32"/>
    </row>
    <row r="11">
      <c r="A11" s="70" t="s">
        <v>147</v>
      </c>
      <c r="B11" s="71">
        <f>Explaination!D63</f>
        <v>113683.3333</v>
      </c>
      <c r="C11" s="71">
        <f t="shared" ref="C11:M11" si="2">B11*100.21%</f>
        <v>113922.0683</v>
      </c>
      <c r="D11" s="71">
        <f t="shared" si="2"/>
        <v>114161.3047</v>
      </c>
      <c r="E11" s="71">
        <f t="shared" si="2"/>
        <v>114401.0434</v>
      </c>
      <c r="F11" s="71">
        <f t="shared" si="2"/>
        <v>114641.2856</v>
      </c>
      <c r="G11" s="71">
        <f t="shared" si="2"/>
        <v>114882.0323</v>
      </c>
      <c r="H11" s="71">
        <f t="shared" si="2"/>
        <v>115123.2846</v>
      </c>
      <c r="I11" s="71">
        <f t="shared" si="2"/>
        <v>115365.0435</v>
      </c>
      <c r="J11" s="71">
        <f t="shared" si="2"/>
        <v>115607.3101</v>
      </c>
      <c r="K11" s="71">
        <f t="shared" si="2"/>
        <v>115850.0854</v>
      </c>
      <c r="L11" s="71">
        <f t="shared" si="2"/>
        <v>116093.3706</v>
      </c>
      <c r="M11" s="71">
        <f t="shared" si="2"/>
        <v>116337.1667</v>
      </c>
      <c r="N11" s="72">
        <f>SUM(B11:M11)</f>
        <v>1380067.328</v>
      </c>
      <c r="O11" s="32"/>
      <c r="P11" s="32"/>
      <c r="Q11" s="32"/>
      <c r="R11" s="32"/>
      <c r="S11" s="32"/>
      <c r="T11" s="32"/>
      <c r="U11" s="32"/>
      <c r="V11" s="32"/>
      <c r="W11" s="32"/>
      <c r="X11" s="32"/>
      <c r="Y11" s="32"/>
      <c r="Z11" s="32"/>
    </row>
    <row r="12">
      <c r="A12" s="65" t="s">
        <v>148</v>
      </c>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65" t="s">
        <v>148</v>
      </c>
      <c r="B13" s="66">
        <v>38546.92</v>
      </c>
      <c r="C13" s="66">
        <v>20578.3</v>
      </c>
      <c r="D13" s="66">
        <v>31880.17</v>
      </c>
      <c r="E13" s="66">
        <v>10777.03</v>
      </c>
      <c r="F13" s="66">
        <v>17021.22</v>
      </c>
      <c r="G13" s="66">
        <v>23327.39</v>
      </c>
      <c r="H13" s="66">
        <v>21673.44</v>
      </c>
      <c r="I13" s="66">
        <v>25653.65</v>
      </c>
      <c r="J13" s="66">
        <v>17345.43</v>
      </c>
      <c r="K13" s="66">
        <v>7027.0</v>
      </c>
      <c r="L13" s="66">
        <v>10160.03</v>
      </c>
      <c r="M13" s="66">
        <v>6803.4</v>
      </c>
      <c r="N13" s="20">
        <f t="shared" ref="N13:N16" si="3">SUM(B13:M13)</f>
        <v>230793.98</v>
      </c>
      <c r="O13" s="32"/>
      <c r="P13" s="32"/>
      <c r="Q13" s="32"/>
      <c r="R13" s="32"/>
      <c r="S13" s="32"/>
      <c r="T13" s="32"/>
      <c r="U13" s="32"/>
      <c r="V13" s="32"/>
      <c r="W13" s="32"/>
      <c r="X13" s="32"/>
      <c r="Y13" s="32"/>
      <c r="Z13" s="32"/>
    </row>
    <row r="14">
      <c r="A14" s="65" t="s">
        <v>149</v>
      </c>
      <c r="B14" s="66">
        <v>15124.52</v>
      </c>
      <c r="C14" s="66">
        <v>29123.35</v>
      </c>
      <c r="D14" s="66">
        <v>21416.61</v>
      </c>
      <c r="E14" s="66">
        <v>35812.35</v>
      </c>
      <c r="F14" s="66">
        <v>36020.81</v>
      </c>
      <c r="G14" s="66">
        <v>29146.19</v>
      </c>
      <c r="H14" s="66">
        <v>30368.6</v>
      </c>
      <c r="I14" s="66">
        <v>29518.71</v>
      </c>
      <c r="J14" s="66">
        <v>40393.72</v>
      </c>
      <c r="K14" s="66">
        <v>67276.46</v>
      </c>
      <c r="L14" s="66">
        <v>62152.21</v>
      </c>
      <c r="M14" s="66">
        <v>68033.98</v>
      </c>
      <c r="N14" s="20">
        <f t="shared" si="3"/>
        <v>464387.51</v>
      </c>
      <c r="O14" s="32"/>
      <c r="P14" s="32"/>
      <c r="Q14" s="32"/>
      <c r="R14" s="32"/>
      <c r="S14" s="32"/>
      <c r="T14" s="32"/>
      <c r="U14" s="32"/>
      <c r="V14" s="32"/>
      <c r="W14" s="32"/>
      <c r="X14" s="32"/>
      <c r="Y14" s="32"/>
      <c r="Z14" s="32"/>
    </row>
    <row r="15">
      <c r="A15" s="65" t="s">
        <v>150</v>
      </c>
      <c r="B15" s="66">
        <v>23633.23</v>
      </c>
      <c r="C15" s="66">
        <v>27765.36</v>
      </c>
      <c r="D15" s="66">
        <v>24332.91</v>
      </c>
      <c r="E15" s="66">
        <v>31203.33</v>
      </c>
      <c r="F15" s="66">
        <v>24914.05</v>
      </c>
      <c r="G15" s="66">
        <v>25646.21</v>
      </c>
      <c r="H15" s="66">
        <v>26241.8</v>
      </c>
      <c r="I15" s="66">
        <v>23275.87</v>
      </c>
      <c r="J15" s="66">
        <v>20873.82</v>
      </c>
      <c r="K15" s="66">
        <v>4474.59</v>
      </c>
      <c r="L15" s="66">
        <v>6623.36</v>
      </c>
      <c r="M15" s="66">
        <v>4271.9</v>
      </c>
      <c r="N15" s="20">
        <f t="shared" si="3"/>
        <v>243256.43</v>
      </c>
      <c r="O15" s="32"/>
      <c r="P15" s="32"/>
      <c r="Q15" s="32"/>
      <c r="R15" s="32"/>
      <c r="S15" s="32"/>
      <c r="T15" s="32"/>
      <c r="U15" s="32"/>
      <c r="V15" s="32"/>
      <c r="W15" s="32"/>
      <c r="X15" s="32"/>
      <c r="Y15" s="32"/>
      <c r="Z15" s="32"/>
    </row>
    <row r="16">
      <c r="A16" s="70" t="s">
        <v>151</v>
      </c>
      <c r="B16" s="73">
        <f t="shared" ref="B16:M16" si="4">B11*68%</f>
        <v>77304.66667</v>
      </c>
      <c r="C16" s="73">
        <f t="shared" si="4"/>
        <v>77467.00647</v>
      </c>
      <c r="D16" s="73">
        <f t="shared" si="4"/>
        <v>77629.68718</v>
      </c>
      <c r="E16" s="73">
        <f t="shared" si="4"/>
        <v>77792.70952</v>
      </c>
      <c r="F16" s="73">
        <f t="shared" si="4"/>
        <v>77956.07421</v>
      </c>
      <c r="G16" s="73">
        <f t="shared" si="4"/>
        <v>78119.78197</v>
      </c>
      <c r="H16" s="73">
        <f t="shared" si="4"/>
        <v>78283.83351</v>
      </c>
      <c r="I16" s="73">
        <f t="shared" si="4"/>
        <v>78448.22956</v>
      </c>
      <c r="J16" s="73">
        <f t="shared" si="4"/>
        <v>78612.97084</v>
      </c>
      <c r="K16" s="73">
        <f t="shared" si="4"/>
        <v>78778.05808</v>
      </c>
      <c r="L16" s="73">
        <f t="shared" si="4"/>
        <v>78943.492</v>
      </c>
      <c r="M16" s="73">
        <f t="shared" si="4"/>
        <v>79109.27334</v>
      </c>
      <c r="N16" s="74">
        <f t="shared" si="3"/>
        <v>938445.7834</v>
      </c>
      <c r="O16" s="32"/>
      <c r="P16" s="32"/>
      <c r="Q16" s="32"/>
      <c r="R16" s="32"/>
      <c r="S16" s="32"/>
      <c r="T16" s="32"/>
      <c r="U16" s="32"/>
      <c r="V16" s="32"/>
      <c r="W16" s="32"/>
      <c r="X16" s="32"/>
      <c r="Y16" s="32"/>
      <c r="Z16" s="32"/>
    </row>
    <row r="17">
      <c r="A17" s="70" t="s">
        <v>152</v>
      </c>
      <c r="B17" s="75">
        <f t="shared" ref="B17:N17" si="5">B11-B16</f>
        <v>36378.66667</v>
      </c>
      <c r="C17" s="75">
        <f t="shared" si="5"/>
        <v>36455.06187</v>
      </c>
      <c r="D17" s="75">
        <f t="shared" si="5"/>
        <v>36531.6175</v>
      </c>
      <c r="E17" s="75">
        <f t="shared" si="5"/>
        <v>36608.33389</v>
      </c>
      <c r="F17" s="75">
        <f t="shared" si="5"/>
        <v>36685.21139</v>
      </c>
      <c r="G17" s="75">
        <f t="shared" si="5"/>
        <v>36762.25034</v>
      </c>
      <c r="H17" s="75">
        <f t="shared" si="5"/>
        <v>36839.45106</v>
      </c>
      <c r="I17" s="75">
        <f t="shared" si="5"/>
        <v>36916.81391</v>
      </c>
      <c r="J17" s="75">
        <f t="shared" si="5"/>
        <v>36994.33922</v>
      </c>
      <c r="K17" s="75">
        <f t="shared" si="5"/>
        <v>37072.02733</v>
      </c>
      <c r="L17" s="75">
        <f t="shared" si="5"/>
        <v>37149.87859</v>
      </c>
      <c r="M17" s="75">
        <f t="shared" si="5"/>
        <v>37227.89334</v>
      </c>
      <c r="N17" s="72">
        <f t="shared" si="5"/>
        <v>441621.5451</v>
      </c>
      <c r="O17" s="32"/>
      <c r="P17" s="32"/>
      <c r="Q17" s="32"/>
      <c r="R17" s="32"/>
      <c r="S17" s="32"/>
      <c r="T17" s="32"/>
      <c r="U17" s="32"/>
      <c r="V17" s="32"/>
      <c r="W17" s="32"/>
      <c r="X17" s="32"/>
      <c r="Y17" s="32"/>
      <c r="Z17" s="32"/>
    </row>
    <row r="18">
      <c r="A18" s="65" t="s">
        <v>153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ht="15.75" customHeight="1">
      <c r="A19" s="65" t="s">
        <v>154</v>
      </c>
      <c r="B19" s="66">
        <v>4596.65</v>
      </c>
      <c r="C19" s="66">
        <v>4691.63</v>
      </c>
      <c r="D19" s="66">
        <v>4344.96</v>
      </c>
      <c r="E19" s="66">
        <v>4272.29</v>
      </c>
      <c r="F19" s="66">
        <v>4030.35</v>
      </c>
      <c r="G19" s="66">
        <v>4545.76</v>
      </c>
      <c r="H19" s="66">
        <v>3392.88</v>
      </c>
      <c r="I19" s="66">
        <v>3372.29</v>
      </c>
      <c r="J19" s="66">
        <v>3155.95</v>
      </c>
      <c r="K19" s="66">
        <v>3372.29</v>
      </c>
      <c r="L19" s="66">
        <v>4272.29</v>
      </c>
      <c r="M19" s="66">
        <v>4545.76</v>
      </c>
      <c r="N19" s="20">
        <f t="shared" ref="N19:N52" si="6">SUM(B19:M19)</f>
        <v>48593.1</v>
      </c>
      <c r="O19" s="32"/>
      <c r="P19" s="32"/>
      <c r="Q19" s="32"/>
      <c r="R19" s="32"/>
      <c r="S19" s="32"/>
      <c r="T19" s="32"/>
      <c r="U19" s="32"/>
      <c r="V19" s="32"/>
      <c r="W19" s="32"/>
      <c r="X19" s="32"/>
      <c r="Y19" s="32"/>
      <c r="Z19" s="32"/>
    </row>
    <row r="20" ht="15.75" customHeight="1">
      <c r="A20" s="65" t="s">
        <v>155</v>
      </c>
      <c r="B20" s="67">
        <v>451.73</v>
      </c>
      <c r="C20" s="67">
        <v>423.75</v>
      </c>
      <c r="D20" s="67">
        <v>424.05</v>
      </c>
      <c r="E20" s="67">
        <v>269.17</v>
      </c>
      <c r="F20" s="66">
        <v>1126.87</v>
      </c>
      <c r="G20" s="66">
        <v>1127.68</v>
      </c>
      <c r="H20" s="67">
        <v>610.37</v>
      </c>
      <c r="I20" s="67">
        <v>96.7</v>
      </c>
      <c r="J20" s="67">
        <v>72.54</v>
      </c>
      <c r="K20" s="67">
        <v>310.31</v>
      </c>
      <c r="L20" s="67">
        <v>423.75</v>
      </c>
      <c r="M20" s="67">
        <v>195.82</v>
      </c>
      <c r="N20" s="20">
        <f t="shared" si="6"/>
        <v>5532.74</v>
      </c>
      <c r="O20" s="32"/>
      <c r="P20" s="32"/>
      <c r="Q20" s="32"/>
      <c r="R20" s="32"/>
      <c r="S20" s="32"/>
      <c r="T20" s="32"/>
      <c r="U20" s="32"/>
      <c r="V20" s="32"/>
      <c r="W20" s="32"/>
      <c r="X20" s="32"/>
      <c r="Y20" s="32"/>
      <c r="Z20" s="32"/>
    </row>
    <row r="21" ht="15.75" customHeight="1">
      <c r="A21" s="65" t="s">
        <v>156</v>
      </c>
      <c r="B21" s="67">
        <v>197.57</v>
      </c>
      <c r="C21" s="67">
        <v>310.31</v>
      </c>
      <c r="D21" s="67">
        <v>60.81</v>
      </c>
      <c r="E21" s="67">
        <v>64.6</v>
      </c>
      <c r="F21" s="67">
        <v>78.48</v>
      </c>
      <c r="G21" s="67">
        <v>122.47</v>
      </c>
      <c r="H21" s="67">
        <v>210.63</v>
      </c>
      <c r="I21" s="67">
        <v>160.48</v>
      </c>
      <c r="J21" s="67">
        <v>195.82</v>
      </c>
      <c r="K21" s="67">
        <v>60.81</v>
      </c>
      <c r="L21" s="67">
        <v>64.6</v>
      </c>
      <c r="M21" s="67">
        <v>78.48</v>
      </c>
      <c r="N21" s="20">
        <f t="shared" si="6"/>
        <v>1605.06</v>
      </c>
      <c r="O21" s="32"/>
      <c r="P21" s="32"/>
      <c r="Q21" s="32"/>
      <c r="R21" s="32"/>
      <c r="S21" s="32"/>
      <c r="T21" s="32"/>
      <c r="U21" s="32"/>
      <c r="V21" s="32"/>
      <c r="W21" s="32"/>
      <c r="X21" s="32"/>
      <c r="Y21" s="32"/>
      <c r="Z21" s="32"/>
    </row>
    <row r="22" ht="15.75" customHeight="1">
      <c r="A22" s="65" t="s">
        <v>157</v>
      </c>
      <c r="B22" s="67">
        <v>11.11</v>
      </c>
      <c r="C22" s="67">
        <v>15.4</v>
      </c>
      <c r="D22" s="67">
        <v>32.95</v>
      </c>
      <c r="E22" s="67">
        <v>18.56</v>
      </c>
      <c r="F22" s="67">
        <v>15.4</v>
      </c>
      <c r="G22" s="67">
        <v>5.55</v>
      </c>
      <c r="H22" s="67">
        <v>24.11</v>
      </c>
      <c r="I22" s="67">
        <v>5.55</v>
      </c>
      <c r="J22" s="67">
        <v>32.95</v>
      </c>
      <c r="K22" s="67">
        <v>15.4</v>
      </c>
      <c r="L22" s="67">
        <v>32.95</v>
      </c>
      <c r="M22" s="67">
        <v>24.11</v>
      </c>
      <c r="N22" s="20">
        <f t="shared" si="6"/>
        <v>234.04</v>
      </c>
      <c r="O22" s="32"/>
      <c r="P22" s="32"/>
      <c r="Q22" s="32"/>
      <c r="R22" s="32"/>
      <c r="S22" s="32"/>
      <c r="T22" s="32"/>
      <c r="U22" s="32"/>
      <c r="V22" s="32"/>
      <c r="W22" s="32"/>
      <c r="X22" s="32"/>
      <c r="Y22" s="32"/>
      <c r="Z22" s="32"/>
    </row>
    <row r="23" ht="15.75" customHeight="1">
      <c r="A23" s="70" t="s">
        <v>158</v>
      </c>
      <c r="B23" s="76">
        <f t="shared" ref="B23:M23" si="7">B20+B21+B22</f>
        <v>660.41</v>
      </c>
      <c r="C23" s="76">
        <f t="shared" si="7"/>
        <v>749.46</v>
      </c>
      <c r="D23" s="76">
        <f t="shared" si="7"/>
        <v>517.81</v>
      </c>
      <c r="E23" s="76">
        <f t="shared" si="7"/>
        <v>352.33</v>
      </c>
      <c r="F23" s="77">
        <f t="shared" si="7"/>
        <v>1220.75</v>
      </c>
      <c r="G23" s="77">
        <f t="shared" si="7"/>
        <v>1255.7</v>
      </c>
      <c r="H23" s="76">
        <f t="shared" si="7"/>
        <v>845.11</v>
      </c>
      <c r="I23" s="76">
        <f t="shared" si="7"/>
        <v>262.73</v>
      </c>
      <c r="J23" s="76">
        <f t="shared" si="7"/>
        <v>301.31</v>
      </c>
      <c r="K23" s="76">
        <f t="shared" si="7"/>
        <v>386.52</v>
      </c>
      <c r="L23" s="76">
        <f t="shared" si="7"/>
        <v>521.3</v>
      </c>
      <c r="M23" s="76">
        <f t="shared" si="7"/>
        <v>298.41</v>
      </c>
      <c r="N23" s="78">
        <f t="shared" si="6"/>
        <v>7371.84</v>
      </c>
      <c r="O23" s="32"/>
      <c r="P23" s="32"/>
      <c r="Q23" s="32"/>
      <c r="R23" s="32"/>
      <c r="S23" s="32"/>
      <c r="T23" s="32"/>
      <c r="U23" s="32"/>
      <c r="V23" s="32"/>
      <c r="W23" s="32"/>
      <c r="X23" s="32"/>
      <c r="Y23" s="32"/>
      <c r="Z23" s="32"/>
    </row>
    <row r="24" ht="15.75" customHeight="1">
      <c r="A24" s="65" t="s">
        <v>159</v>
      </c>
      <c r="B24" s="67">
        <v>475.1</v>
      </c>
      <c r="C24" s="67">
        <v>634.86</v>
      </c>
      <c r="D24" s="67">
        <v>61.61</v>
      </c>
      <c r="E24" s="67">
        <v>227.68</v>
      </c>
      <c r="F24" s="67">
        <v>180.11</v>
      </c>
      <c r="G24" s="67">
        <v>230.19</v>
      </c>
      <c r="H24" s="67">
        <v>168.12</v>
      </c>
      <c r="I24" s="67">
        <v>150.51</v>
      </c>
      <c r="J24" s="67">
        <v>224.65</v>
      </c>
      <c r="K24" s="67">
        <v>475.1</v>
      </c>
      <c r="L24" s="67">
        <v>61.61</v>
      </c>
      <c r="M24" s="67">
        <v>227.68</v>
      </c>
      <c r="N24" s="20">
        <f t="shared" si="6"/>
        <v>3117.22</v>
      </c>
      <c r="O24" s="32"/>
      <c r="P24" s="32"/>
      <c r="Q24" s="32"/>
      <c r="R24" s="32"/>
      <c r="S24" s="32"/>
      <c r="T24" s="32"/>
      <c r="U24" s="32"/>
      <c r="V24" s="32"/>
      <c r="W24" s="32"/>
      <c r="X24" s="32"/>
      <c r="Y24" s="32"/>
      <c r="Z24" s="32"/>
    </row>
    <row r="25" ht="15.75" customHeight="1">
      <c r="A25" s="65" t="s">
        <v>218</v>
      </c>
      <c r="B25" s="67">
        <v>89.94</v>
      </c>
      <c r="C25" s="67">
        <v>90.01</v>
      </c>
      <c r="D25" s="67">
        <v>168.14</v>
      </c>
      <c r="E25" s="67">
        <v>78.12</v>
      </c>
      <c r="F25" s="67">
        <v>90.2</v>
      </c>
      <c r="G25" s="67">
        <v>90.27</v>
      </c>
      <c r="H25" s="67">
        <v>90.33</v>
      </c>
      <c r="I25" s="67">
        <v>90.4</v>
      </c>
      <c r="J25" s="67">
        <v>90.46</v>
      </c>
      <c r="K25" s="67">
        <v>90.53</v>
      </c>
      <c r="L25" s="67">
        <v>90.6</v>
      </c>
      <c r="M25" s="67">
        <v>90.66</v>
      </c>
      <c r="N25" s="20">
        <f t="shared" si="6"/>
        <v>1149.66</v>
      </c>
      <c r="O25" s="32"/>
      <c r="P25" s="32"/>
      <c r="Q25" s="32"/>
      <c r="R25" s="32"/>
      <c r="S25" s="32"/>
      <c r="T25" s="32"/>
      <c r="U25" s="32"/>
      <c r="V25" s="32"/>
      <c r="W25" s="32"/>
      <c r="X25" s="32"/>
      <c r="Y25" s="32"/>
      <c r="Z25" s="32"/>
    </row>
    <row r="26" ht="15.75" customHeight="1">
      <c r="A26" s="65" t="s">
        <v>160</v>
      </c>
      <c r="B26" s="67">
        <v>479.7</v>
      </c>
      <c r="C26" s="67">
        <v>480.05</v>
      </c>
      <c r="D26" s="67">
        <v>480.39</v>
      </c>
      <c r="E26" s="67">
        <v>480.74</v>
      </c>
      <c r="F26" s="67">
        <v>481.08</v>
      </c>
      <c r="G26" s="67">
        <v>481.43</v>
      </c>
      <c r="H26" s="67">
        <v>481.78</v>
      </c>
      <c r="I26" s="67">
        <v>482.13</v>
      </c>
      <c r="J26" s="67">
        <v>482.47</v>
      </c>
      <c r="K26" s="67">
        <v>482.82</v>
      </c>
      <c r="L26" s="67">
        <v>483.17</v>
      </c>
      <c r="M26" s="67">
        <v>483.53</v>
      </c>
      <c r="N26" s="20">
        <f t="shared" si="6"/>
        <v>5779.29</v>
      </c>
      <c r="O26" s="32"/>
      <c r="P26" s="32"/>
      <c r="Q26" s="32"/>
      <c r="R26" s="32"/>
      <c r="S26" s="32"/>
      <c r="T26" s="32"/>
      <c r="U26" s="32"/>
      <c r="V26" s="32"/>
      <c r="W26" s="32"/>
      <c r="X26" s="32"/>
      <c r="Y26" s="32"/>
      <c r="Z26" s="32"/>
    </row>
    <row r="27" ht="15.75" customHeight="1">
      <c r="A27" s="65" t="s">
        <v>219</v>
      </c>
      <c r="B27" s="66">
        <v>1683.8</v>
      </c>
      <c r="C27" s="66">
        <v>1680.17</v>
      </c>
      <c r="D27" s="66">
        <v>1441.18</v>
      </c>
      <c r="E27" s="66">
        <v>1622.49</v>
      </c>
      <c r="F27" s="66">
        <v>1683.79</v>
      </c>
      <c r="G27" s="66">
        <v>1685.01</v>
      </c>
      <c r="H27" s="66">
        <v>1686.22</v>
      </c>
      <c r="I27" s="66">
        <v>1687.44</v>
      </c>
      <c r="J27" s="66">
        <v>1688.66</v>
      </c>
      <c r="K27" s="66">
        <v>1689.88</v>
      </c>
      <c r="L27" s="66">
        <v>1691.11</v>
      </c>
      <c r="M27" s="66">
        <v>1692.34</v>
      </c>
      <c r="N27" s="20">
        <f t="shared" si="6"/>
        <v>19932.09</v>
      </c>
      <c r="O27" s="32"/>
      <c r="P27" s="32"/>
      <c r="Q27" s="32"/>
      <c r="R27" s="32"/>
      <c r="S27" s="32"/>
      <c r="T27" s="32"/>
      <c r="U27" s="32"/>
      <c r="V27" s="32"/>
      <c r="W27" s="32"/>
      <c r="X27" s="32"/>
      <c r="Y27" s="32"/>
      <c r="Z27" s="32"/>
    </row>
    <row r="28" ht="15.75" customHeight="1">
      <c r="A28" s="65" t="s">
        <v>161</v>
      </c>
      <c r="B28" s="66">
        <v>1168.27</v>
      </c>
      <c r="C28" s="66">
        <v>1360.96</v>
      </c>
      <c r="D28" s="66">
        <v>1078.83</v>
      </c>
      <c r="E28" s="66">
        <v>2512.6</v>
      </c>
      <c r="F28" s="66">
        <v>1712.42</v>
      </c>
      <c r="G28" s="66">
        <v>1711.78</v>
      </c>
      <c r="H28" s="66">
        <v>2841.96</v>
      </c>
      <c r="I28" s="66">
        <v>1711.78</v>
      </c>
      <c r="J28" s="67">
        <v>786.23</v>
      </c>
      <c r="K28" s="66">
        <v>1711.78</v>
      </c>
      <c r="L28" s="66">
        <v>1360.96</v>
      </c>
      <c r="M28" s="66">
        <v>1078.83</v>
      </c>
      <c r="N28" s="20">
        <f t="shared" si="6"/>
        <v>19036.4</v>
      </c>
      <c r="O28" s="32"/>
      <c r="P28" s="32"/>
      <c r="Q28" s="32"/>
      <c r="R28" s="32"/>
      <c r="S28" s="32"/>
      <c r="T28" s="32"/>
      <c r="U28" s="32"/>
      <c r="V28" s="32"/>
      <c r="W28" s="32"/>
      <c r="X28" s="32"/>
      <c r="Y28" s="32"/>
      <c r="Z28" s="32"/>
    </row>
    <row r="29" ht="15.75" customHeight="1">
      <c r="A29" s="65" t="s">
        <v>162</v>
      </c>
      <c r="B29" s="67">
        <v>284.86</v>
      </c>
      <c r="C29" s="67">
        <v>285.07</v>
      </c>
      <c r="D29" s="67">
        <v>285.27</v>
      </c>
      <c r="E29" s="67">
        <v>285.47</v>
      </c>
      <c r="F29" s="67">
        <v>285.67</v>
      </c>
      <c r="G29" s="67">
        <v>306.36</v>
      </c>
      <c r="H29" s="67">
        <v>625.06</v>
      </c>
      <c r="I29" s="67">
        <v>286.3</v>
      </c>
      <c r="J29" s="67">
        <v>286.51</v>
      </c>
      <c r="K29" s="67">
        <v>285.07</v>
      </c>
      <c r="L29" s="67">
        <v>306.36</v>
      </c>
      <c r="M29" s="67">
        <v>285.07</v>
      </c>
      <c r="N29" s="20">
        <f t="shared" si="6"/>
        <v>3807.07</v>
      </c>
      <c r="O29" s="32"/>
      <c r="P29" s="32"/>
      <c r="Q29" s="32"/>
      <c r="R29" s="32"/>
      <c r="S29" s="32"/>
      <c r="T29" s="32"/>
      <c r="U29" s="32"/>
      <c r="V29" s="32"/>
      <c r="W29" s="32"/>
      <c r="X29" s="32"/>
      <c r="Y29" s="32"/>
      <c r="Z29" s="32"/>
    </row>
    <row r="30" ht="15.75" customHeight="1">
      <c r="A30" s="65" t="s">
        <v>197</v>
      </c>
      <c r="B30" s="67">
        <v>599.63</v>
      </c>
      <c r="C30" s="67">
        <v>600.06</v>
      </c>
      <c r="D30" s="67">
        <v>569.49</v>
      </c>
      <c r="E30" s="67">
        <v>600.92</v>
      </c>
      <c r="F30" s="67">
        <v>501.35</v>
      </c>
      <c r="G30" s="67">
        <v>601.79</v>
      </c>
      <c r="H30" s="67">
        <v>602.22</v>
      </c>
      <c r="I30" s="67">
        <v>602.66</v>
      </c>
      <c r="J30" s="67">
        <v>603.09</v>
      </c>
      <c r="K30" s="67">
        <v>603.53</v>
      </c>
      <c r="L30" s="67">
        <v>603.97</v>
      </c>
      <c r="M30" s="67">
        <v>604.41</v>
      </c>
      <c r="N30" s="20">
        <f t="shared" si="6"/>
        <v>7093.12</v>
      </c>
      <c r="O30" s="32"/>
      <c r="P30" s="32"/>
      <c r="Q30" s="32"/>
      <c r="R30" s="32"/>
      <c r="S30" s="32"/>
      <c r="T30" s="32"/>
      <c r="U30" s="32"/>
      <c r="V30" s="32"/>
      <c r="W30" s="32"/>
      <c r="X30" s="32"/>
      <c r="Y30" s="32"/>
      <c r="Z30" s="32"/>
    </row>
    <row r="31" ht="15.75" customHeight="1">
      <c r="A31" s="65" t="s">
        <v>163</v>
      </c>
      <c r="B31" s="67">
        <v>474.41</v>
      </c>
      <c r="C31" s="66">
        <v>3981.09</v>
      </c>
      <c r="D31" s="66">
        <v>2924.31</v>
      </c>
      <c r="E31" s="67">
        <v>475.43</v>
      </c>
      <c r="F31" s="66">
        <v>2344.87</v>
      </c>
      <c r="G31" s="67">
        <v>474.41</v>
      </c>
      <c r="H31" s="67">
        <v>975.43</v>
      </c>
      <c r="I31" s="66">
        <v>2023.0</v>
      </c>
      <c r="J31" s="66">
        <v>1884.73</v>
      </c>
      <c r="K31" s="66">
        <v>3981.09</v>
      </c>
      <c r="L31" s="67">
        <v>809.5</v>
      </c>
      <c r="M31" s="66">
        <v>2344.87</v>
      </c>
      <c r="N31" s="20">
        <f t="shared" si="6"/>
        <v>22693.14</v>
      </c>
      <c r="O31" s="32"/>
      <c r="P31" s="32"/>
      <c r="Q31" s="32"/>
      <c r="R31" s="32"/>
      <c r="S31" s="32"/>
      <c r="T31" s="32"/>
      <c r="U31" s="32"/>
      <c r="V31" s="32"/>
      <c r="W31" s="32"/>
      <c r="X31" s="32"/>
      <c r="Y31" s="32"/>
      <c r="Z31" s="32"/>
    </row>
    <row r="32" ht="15.75" customHeight="1">
      <c r="A32" s="65" t="s">
        <v>164</v>
      </c>
      <c r="B32" s="67">
        <v>809.5</v>
      </c>
      <c r="C32" s="67">
        <v>600.06</v>
      </c>
      <c r="D32" s="67">
        <v>600.49</v>
      </c>
      <c r="E32" s="67">
        <v>600.92</v>
      </c>
      <c r="F32" s="67">
        <v>601.35</v>
      </c>
      <c r="G32" s="67">
        <v>601.79</v>
      </c>
      <c r="H32" s="67">
        <v>602.22</v>
      </c>
      <c r="I32" s="67">
        <v>602.66</v>
      </c>
      <c r="J32" s="67">
        <v>603.09</v>
      </c>
      <c r="K32" s="67">
        <v>603.53</v>
      </c>
      <c r="L32" s="67">
        <v>603.97</v>
      </c>
      <c r="M32" s="67">
        <v>604.41</v>
      </c>
      <c r="N32" s="20">
        <f t="shared" si="6"/>
        <v>7433.99</v>
      </c>
      <c r="O32" s="32"/>
      <c r="P32" s="32"/>
      <c r="Q32" s="32"/>
      <c r="R32" s="32"/>
      <c r="S32" s="32"/>
      <c r="T32" s="32"/>
      <c r="U32" s="32"/>
      <c r="V32" s="32"/>
      <c r="W32" s="32"/>
      <c r="X32" s="32"/>
      <c r="Y32" s="32"/>
      <c r="Z32" s="32"/>
    </row>
    <row r="33" ht="15.75" customHeight="1">
      <c r="A33" s="65" t="s">
        <v>220</v>
      </c>
      <c r="B33" s="75">
        <f t="shared" ref="B33:M33" si="8">B11*18%</f>
        <v>20463</v>
      </c>
      <c r="C33" s="75">
        <f t="shared" si="8"/>
        <v>20505.9723</v>
      </c>
      <c r="D33" s="75">
        <f t="shared" si="8"/>
        <v>20549.03484</v>
      </c>
      <c r="E33" s="75">
        <f t="shared" si="8"/>
        <v>20592.18781</v>
      </c>
      <c r="F33" s="75">
        <f t="shared" si="8"/>
        <v>20635.43141</v>
      </c>
      <c r="G33" s="75">
        <f t="shared" si="8"/>
        <v>20678.76582</v>
      </c>
      <c r="H33" s="75">
        <f t="shared" si="8"/>
        <v>20722.19122</v>
      </c>
      <c r="I33" s="75">
        <f t="shared" si="8"/>
        <v>20765.70783</v>
      </c>
      <c r="J33" s="75">
        <f t="shared" si="8"/>
        <v>20809.31581</v>
      </c>
      <c r="K33" s="75">
        <f t="shared" si="8"/>
        <v>20853.01537</v>
      </c>
      <c r="L33" s="75">
        <f t="shared" si="8"/>
        <v>20896.80671</v>
      </c>
      <c r="M33" s="75">
        <f t="shared" si="8"/>
        <v>20940.69</v>
      </c>
      <c r="N33" s="72">
        <f t="shared" si="6"/>
        <v>248412.1191</v>
      </c>
      <c r="O33" s="32"/>
      <c r="P33" s="32"/>
      <c r="Q33" s="32"/>
      <c r="R33" s="32"/>
      <c r="S33" s="32"/>
      <c r="T33" s="32"/>
      <c r="U33" s="32"/>
      <c r="V33" s="32"/>
      <c r="W33" s="32"/>
      <c r="X33" s="32"/>
      <c r="Y33" s="32"/>
      <c r="Z33" s="32"/>
    </row>
    <row r="34" ht="15.75" customHeight="1">
      <c r="A34" s="65" t="s">
        <v>165</v>
      </c>
      <c r="B34" s="66">
        <v>2111.33</v>
      </c>
      <c r="C34" s="66">
        <v>2922.88</v>
      </c>
      <c r="D34" s="66">
        <v>2924.98</v>
      </c>
      <c r="E34" s="66">
        <v>4201.95</v>
      </c>
      <c r="F34" s="66">
        <v>4216.46</v>
      </c>
      <c r="G34" s="66">
        <v>3338.99</v>
      </c>
      <c r="H34" s="66">
        <v>2120.45</v>
      </c>
      <c r="I34" s="66">
        <v>4298.23</v>
      </c>
      <c r="J34" s="66">
        <v>2525.28</v>
      </c>
      <c r="K34" s="66">
        <v>2111.33</v>
      </c>
      <c r="L34" s="66">
        <v>4216.46</v>
      </c>
      <c r="M34" s="66">
        <v>2924.98</v>
      </c>
      <c r="N34" s="20">
        <f t="shared" si="6"/>
        <v>37913.32</v>
      </c>
      <c r="O34" s="32"/>
      <c r="P34" s="32"/>
      <c r="Q34" s="32"/>
      <c r="R34" s="32"/>
      <c r="S34" s="32"/>
      <c r="T34" s="32"/>
      <c r="U34" s="32"/>
      <c r="V34" s="32"/>
      <c r="W34" s="32"/>
      <c r="X34" s="32"/>
      <c r="Y34" s="32"/>
      <c r="Z34" s="32"/>
    </row>
    <row r="35" ht="15.75" customHeight="1">
      <c r="A35" s="65" t="s">
        <v>198</v>
      </c>
      <c r="B35" s="67">
        <v>312.0</v>
      </c>
      <c r="C35" s="67">
        <v>312.22</v>
      </c>
      <c r="D35" s="67">
        <v>271.68</v>
      </c>
      <c r="E35" s="67">
        <v>88.29</v>
      </c>
      <c r="F35" s="67">
        <v>74.06</v>
      </c>
      <c r="G35" s="67">
        <v>88.29</v>
      </c>
      <c r="H35" s="67">
        <v>74.06</v>
      </c>
      <c r="I35" s="67">
        <v>88.29</v>
      </c>
      <c r="J35" s="67">
        <v>312.0</v>
      </c>
      <c r="K35" s="67">
        <v>271.68</v>
      </c>
      <c r="L35" s="67">
        <v>312.0</v>
      </c>
      <c r="M35" s="67">
        <v>271.68</v>
      </c>
      <c r="N35" s="20">
        <f t="shared" si="6"/>
        <v>2476.25</v>
      </c>
      <c r="O35" s="32"/>
      <c r="P35" s="32"/>
      <c r="Q35" s="32"/>
      <c r="R35" s="32"/>
      <c r="S35" s="32"/>
      <c r="T35" s="32"/>
      <c r="U35" s="32"/>
      <c r="V35" s="32"/>
      <c r="W35" s="32"/>
      <c r="X35" s="32"/>
      <c r="Y35" s="32"/>
      <c r="Z35" s="32"/>
    </row>
    <row r="36" ht="15.75" customHeight="1">
      <c r="A36" s="65" t="s">
        <v>166</v>
      </c>
      <c r="B36" s="67">
        <v>328.97</v>
      </c>
      <c r="C36" s="67">
        <v>159.41</v>
      </c>
      <c r="D36" s="67">
        <v>922.54</v>
      </c>
      <c r="E36" s="66">
        <v>1703.39</v>
      </c>
      <c r="F36" s="67">
        <v>336.78</v>
      </c>
      <c r="G36" s="67">
        <v>480.92</v>
      </c>
      <c r="H36" s="67">
        <v>337.26</v>
      </c>
      <c r="I36" s="67">
        <v>865.05</v>
      </c>
      <c r="J36" s="67">
        <v>351.37</v>
      </c>
      <c r="K36" s="67">
        <v>336.78</v>
      </c>
      <c r="L36" s="67">
        <v>337.26</v>
      </c>
      <c r="M36" s="67">
        <v>336.78</v>
      </c>
      <c r="N36" s="20">
        <f t="shared" si="6"/>
        <v>6496.51</v>
      </c>
      <c r="O36" s="32"/>
      <c r="P36" s="32"/>
      <c r="Q36" s="32"/>
      <c r="R36" s="32"/>
      <c r="S36" s="32"/>
      <c r="T36" s="32"/>
      <c r="U36" s="32"/>
      <c r="V36" s="32"/>
      <c r="W36" s="32"/>
      <c r="X36" s="32"/>
      <c r="Y36" s="32"/>
      <c r="Z36" s="32"/>
    </row>
    <row r="37" ht="15.75" customHeight="1">
      <c r="A37" s="65" t="s">
        <v>167</v>
      </c>
      <c r="B37" s="67">
        <v>256.72</v>
      </c>
      <c r="C37" s="67">
        <v>243.52</v>
      </c>
      <c r="D37" s="67">
        <v>251.02</v>
      </c>
      <c r="E37" s="67">
        <v>362.86</v>
      </c>
      <c r="F37" s="67">
        <v>240.81</v>
      </c>
      <c r="G37" s="67">
        <v>185.55</v>
      </c>
      <c r="H37" s="67">
        <v>260.1</v>
      </c>
      <c r="I37" s="67">
        <v>258.02</v>
      </c>
      <c r="J37" s="67">
        <v>258.2</v>
      </c>
      <c r="K37" s="67">
        <v>258.39</v>
      </c>
      <c r="L37" s="67">
        <v>258.58</v>
      </c>
      <c r="M37" s="67">
        <v>258.77</v>
      </c>
      <c r="N37" s="20">
        <f t="shared" si="6"/>
        <v>3092.54</v>
      </c>
      <c r="O37" s="32"/>
      <c r="P37" s="32"/>
      <c r="Q37" s="32"/>
      <c r="R37" s="32"/>
      <c r="S37" s="32"/>
      <c r="T37" s="32"/>
      <c r="U37" s="32"/>
      <c r="V37" s="32"/>
      <c r="W37" s="32"/>
      <c r="X37" s="32"/>
      <c r="Y37" s="32"/>
      <c r="Z37" s="32"/>
    </row>
    <row r="38" ht="15.75" customHeight="1">
      <c r="A38" s="65" t="s">
        <v>221</v>
      </c>
      <c r="B38" s="67">
        <v>98.53</v>
      </c>
      <c r="C38" s="67">
        <v>98.6</v>
      </c>
      <c r="D38" s="67">
        <v>98.67</v>
      </c>
      <c r="E38" s="67">
        <v>98.74</v>
      </c>
      <c r="F38" s="67">
        <v>98.81</v>
      </c>
      <c r="G38" s="67">
        <v>98.88</v>
      </c>
      <c r="H38" s="67">
        <v>98.95</v>
      </c>
      <c r="I38" s="67">
        <v>103.03</v>
      </c>
      <c r="J38" s="67">
        <v>99.1</v>
      </c>
      <c r="K38" s="67">
        <v>99.17</v>
      </c>
      <c r="L38" s="67">
        <v>99.24</v>
      </c>
      <c r="M38" s="67">
        <v>99.31</v>
      </c>
      <c r="N38" s="20">
        <f t="shared" si="6"/>
        <v>1191.03</v>
      </c>
      <c r="O38" s="32"/>
      <c r="P38" s="32"/>
      <c r="Q38" s="32"/>
      <c r="R38" s="32"/>
      <c r="S38" s="32"/>
      <c r="T38" s="32"/>
      <c r="U38" s="32"/>
      <c r="V38" s="32"/>
      <c r="W38" s="32"/>
      <c r="X38" s="32"/>
      <c r="Y38" s="32"/>
      <c r="Z38" s="32"/>
    </row>
    <row r="39" ht="15.75" customHeight="1">
      <c r="A39" s="70" t="s">
        <v>222</v>
      </c>
      <c r="B39" s="76">
        <f t="shared" ref="B39:M39" si="9">B37+B38</f>
        <v>355.25</v>
      </c>
      <c r="C39" s="76">
        <f t="shared" si="9"/>
        <v>342.12</v>
      </c>
      <c r="D39" s="76">
        <f t="shared" si="9"/>
        <v>349.69</v>
      </c>
      <c r="E39" s="76">
        <f t="shared" si="9"/>
        <v>461.6</v>
      </c>
      <c r="F39" s="76">
        <f t="shared" si="9"/>
        <v>339.62</v>
      </c>
      <c r="G39" s="76">
        <f t="shared" si="9"/>
        <v>284.43</v>
      </c>
      <c r="H39" s="76">
        <f t="shared" si="9"/>
        <v>359.05</v>
      </c>
      <c r="I39" s="76">
        <f t="shared" si="9"/>
        <v>361.05</v>
      </c>
      <c r="J39" s="76">
        <f t="shared" si="9"/>
        <v>357.3</v>
      </c>
      <c r="K39" s="76">
        <f t="shared" si="9"/>
        <v>357.56</v>
      </c>
      <c r="L39" s="76">
        <f t="shared" si="9"/>
        <v>357.82</v>
      </c>
      <c r="M39" s="76">
        <f t="shared" si="9"/>
        <v>358.08</v>
      </c>
      <c r="N39" s="78">
        <f t="shared" si="6"/>
        <v>4283.57</v>
      </c>
      <c r="O39" s="32"/>
      <c r="P39" s="32"/>
      <c r="Q39" s="32"/>
      <c r="R39" s="32"/>
      <c r="S39" s="32"/>
      <c r="T39" s="32"/>
      <c r="U39" s="32"/>
      <c r="V39" s="32"/>
      <c r="W39" s="32"/>
      <c r="X39" s="32"/>
      <c r="Y39" s="32"/>
      <c r="Z39" s="32"/>
    </row>
    <row r="40" ht="15.75" customHeight="1">
      <c r="A40" s="65" t="s">
        <v>168</v>
      </c>
      <c r="B40" s="67">
        <v>75.91</v>
      </c>
      <c r="C40" s="67">
        <v>401.28</v>
      </c>
      <c r="D40" s="67">
        <v>401.57</v>
      </c>
      <c r="E40" s="67">
        <v>385.86</v>
      </c>
      <c r="F40" s="67">
        <v>834.26</v>
      </c>
      <c r="G40" s="67">
        <v>569.21</v>
      </c>
      <c r="H40" s="67">
        <v>569.63</v>
      </c>
      <c r="I40" s="66">
        <v>1553.86</v>
      </c>
      <c r="J40" s="67">
        <v>157.19</v>
      </c>
      <c r="K40" s="67">
        <v>157.3</v>
      </c>
      <c r="L40" s="67">
        <v>157.41</v>
      </c>
      <c r="M40" s="67">
        <v>571.69</v>
      </c>
      <c r="N40" s="20">
        <f t="shared" si="6"/>
        <v>5835.17</v>
      </c>
      <c r="O40" s="32"/>
      <c r="P40" s="32"/>
      <c r="Q40" s="32"/>
      <c r="R40" s="32"/>
      <c r="S40" s="32"/>
      <c r="T40" s="32"/>
      <c r="U40" s="32"/>
      <c r="V40" s="32"/>
      <c r="W40" s="32"/>
      <c r="X40" s="32"/>
      <c r="Y40" s="32"/>
      <c r="Z40" s="32"/>
    </row>
    <row r="41" ht="15.75" customHeight="1">
      <c r="A41" s="65" t="s">
        <v>169</v>
      </c>
      <c r="B41" s="66">
        <v>4775.42</v>
      </c>
      <c r="C41" s="66">
        <v>3307.59</v>
      </c>
      <c r="D41" s="66">
        <v>3309.96</v>
      </c>
      <c r="E41" s="66">
        <v>3302.34</v>
      </c>
      <c r="F41" s="66">
        <v>4580.6</v>
      </c>
      <c r="G41" s="66">
        <v>6447.72</v>
      </c>
      <c r="H41" s="66">
        <v>4580.6</v>
      </c>
      <c r="I41" s="66">
        <v>4290.42</v>
      </c>
      <c r="J41" s="66">
        <v>5431.48</v>
      </c>
      <c r="K41" s="66">
        <v>3302.34</v>
      </c>
      <c r="L41" s="66">
        <v>3243.59</v>
      </c>
      <c r="M41" s="66">
        <v>3272.34</v>
      </c>
      <c r="N41" s="20">
        <f t="shared" si="6"/>
        <v>49844.4</v>
      </c>
      <c r="O41" s="32"/>
      <c r="P41" s="32"/>
      <c r="Q41" s="32"/>
      <c r="R41" s="32"/>
      <c r="S41" s="32"/>
      <c r="T41" s="32"/>
      <c r="U41" s="32"/>
      <c r="V41" s="32"/>
      <c r="W41" s="32"/>
      <c r="X41" s="32"/>
      <c r="Y41" s="32"/>
      <c r="Z41" s="32"/>
    </row>
    <row r="42" ht="15.75" customHeight="1">
      <c r="A42" s="65" t="s">
        <v>170</v>
      </c>
      <c r="B42" s="67">
        <v>628.93</v>
      </c>
      <c r="C42" s="67">
        <v>629.38</v>
      </c>
      <c r="D42" s="67">
        <v>629.83</v>
      </c>
      <c r="E42" s="67">
        <v>680.5</v>
      </c>
      <c r="F42" s="67">
        <v>409.96</v>
      </c>
      <c r="G42" s="66">
        <v>1313.11</v>
      </c>
      <c r="H42" s="66">
        <v>3533.29</v>
      </c>
      <c r="I42" s="66">
        <v>2068.28</v>
      </c>
      <c r="J42" s="67">
        <v>924.98</v>
      </c>
      <c r="K42" s="66">
        <v>1313.11</v>
      </c>
      <c r="L42" s="66">
        <v>2068.28</v>
      </c>
      <c r="M42" s="66">
        <v>1313.11</v>
      </c>
      <c r="N42" s="20">
        <f t="shared" si="6"/>
        <v>15512.76</v>
      </c>
      <c r="O42" s="32"/>
      <c r="P42" s="32"/>
      <c r="Q42" s="32"/>
      <c r="R42" s="32"/>
      <c r="S42" s="32"/>
      <c r="T42" s="32"/>
      <c r="U42" s="32"/>
      <c r="V42" s="32"/>
      <c r="W42" s="32"/>
      <c r="X42" s="32"/>
      <c r="Y42" s="32"/>
      <c r="Z42" s="32"/>
    </row>
    <row r="43" ht="15.75" customHeight="1">
      <c r="A43" s="65" t="s">
        <v>171</v>
      </c>
      <c r="B43" s="66">
        <v>14391.12</v>
      </c>
      <c r="C43" s="66">
        <v>10801.08</v>
      </c>
      <c r="D43" s="66">
        <v>12610.3</v>
      </c>
      <c r="E43" s="66">
        <v>10215.67</v>
      </c>
      <c r="F43" s="66">
        <v>8418.96</v>
      </c>
      <c r="G43" s="66">
        <v>7823.24</v>
      </c>
      <c r="H43" s="66">
        <v>8431.11</v>
      </c>
      <c r="I43" s="66">
        <v>8376.93</v>
      </c>
      <c r="J43" s="66">
        <v>13871.14</v>
      </c>
      <c r="K43" s="66">
        <v>12361.13</v>
      </c>
      <c r="L43" s="66">
        <v>11475.39</v>
      </c>
      <c r="M43" s="66">
        <v>12269.46</v>
      </c>
      <c r="N43" s="20">
        <f t="shared" si="6"/>
        <v>131045.53</v>
      </c>
      <c r="O43" s="32"/>
      <c r="P43" s="32"/>
      <c r="Q43" s="32"/>
      <c r="R43" s="32"/>
      <c r="S43" s="32"/>
      <c r="T43" s="32"/>
      <c r="U43" s="32"/>
      <c r="V43" s="32"/>
      <c r="W43" s="32"/>
      <c r="X43" s="32"/>
      <c r="Y43" s="32"/>
      <c r="Z43" s="32"/>
    </row>
    <row r="44" ht="15.75" customHeight="1">
      <c r="A44" s="65" t="s">
        <v>223</v>
      </c>
      <c r="B44" s="67">
        <v>338.36</v>
      </c>
      <c r="C44" s="67">
        <v>338.6</v>
      </c>
      <c r="D44" s="67">
        <v>338.85</v>
      </c>
      <c r="E44" s="67">
        <v>339.09</v>
      </c>
      <c r="F44" s="67">
        <v>339.33</v>
      </c>
      <c r="G44" s="67">
        <v>339.58</v>
      </c>
      <c r="H44" s="67">
        <v>339.82</v>
      </c>
      <c r="I44" s="67">
        <v>340.07</v>
      </c>
      <c r="J44" s="67">
        <v>340.31</v>
      </c>
      <c r="K44" s="67">
        <v>340.56</v>
      </c>
      <c r="L44" s="67">
        <v>340.81</v>
      </c>
      <c r="M44" s="67">
        <v>341.06</v>
      </c>
      <c r="N44" s="20">
        <f t="shared" si="6"/>
        <v>4076.44</v>
      </c>
      <c r="O44" s="32"/>
      <c r="P44" s="32"/>
      <c r="Q44" s="32"/>
      <c r="R44" s="32"/>
      <c r="S44" s="32"/>
      <c r="T44" s="32"/>
      <c r="U44" s="32"/>
      <c r="V44" s="32"/>
      <c r="W44" s="32"/>
      <c r="X44" s="32"/>
      <c r="Y44" s="32"/>
      <c r="Z44" s="32"/>
    </row>
    <row r="45" ht="15.75" customHeight="1">
      <c r="A45" s="65" t="s">
        <v>172</v>
      </c>
      <c r="B45" s="67">
        <v>20.05</v>
      </c>
      <c r="C45" s="67">
        <v>20.06</v>
      </c>
      <c r="D45" s="67">
        <v>20.07</v>
      </c>
      <c r="E45" s="67">
        <v>20.09</v>
      </c>
      <c r="F45" s="67">
        <v>20.1</v>
      </c>
      <c r="G45" s="67">
        <v>20.1</v>
      </c>
      <c r="H45" s="67">
        <v>20.1</v>
      </c>
      <c r="I45" s="67">
        <v>20.1</v>
      </c>
      <c r="J45" s="67">
        <v>20.1</v>
      </c>
      <c r="K45" s="67">
        <v>20.1</v>
      </c>
      <c r="L45" s="67">
        <v>20.1</v>
      </c>
      <c r="M45" s="67">
        <v>20.1</v>
      </c>
      <c r="N45" s="20">
        <f t="shared" si="6"/>
        <v>241.07</v>
      </c>
      <c r="O45" s="32"/>
      <c r="P45" s="32"/>
      <c r="Q45" s="32"/>
      <c r="R45" s="32"/>
      <c r="S45" s="32"/>
      <c r="T45" s="32"/>
      <c r="U45" s="32"/>
      <c r="V45" s="32"/>
      <c r="W45" s="32"/>
      <c r="X45" s="32"/>
      <c r="Y45" s="32"/>
      <c r="Z45" s="32"/>
    </row>
    <row r="46" ht="15.75" customHeight="1">
      <c r="A46" s="65" t="s">
        <v>199</v>
      </c>
      <c r="B46" s="67">
        <v>39.54</v>
      </c>
      <c r="C46" s="67">
        <v>39.57</v>
      </c>
      <c r="D46" s="67">
        <v>39.59</v>
      </c>
      <c r="E46" s="67">
        <v>39.62</v>
      </c>
      <c r="F46" s="67">
        <v>29.65</v>
      </c>
      <c r="G46" s="67">
        <v>39.68</v>
      </c>
      <c r="H46" s="67">
        <v>39.71</v>
      </c>
      <c r="I46" s="67">
        <v>39.74</v>
      </c>
      <c r="J46" s="67">
        <v>39.77</v>
      </c>
      <c r="K46" s="67">
        <v>39.8</v>
      </c>
      <c r="L46" s="67">
        <v>39.82</v>
      </c>
      <c r="M46" s="67">
        <v>39.85</v>
      </c>
      <c r="N46" s="20">
        <f t="shared" si="6"/>
        <v>466.34</v>
      </c>
      <c r="O46" s="32"/>
      <c r="P46" s="32"/>
      <c r="Q46" s="32"/>
      <c r="R46" s="32"/>
      <c r="S46" s="32"/>
      <c r="T46" s="32"/>
      <c r="U46" s="32"/>
      <c r="V46" s="32"/>
      <c r="W46" s="32"/>
      <c r="X46" s="32"/>
      <c r="Y46" s="32"/>
      <c r="Z46" s="32"/>
    </row>
    <row r="47" ht="15.75" customHeight="1">
      <c r="A47" s="65" t="s">
        <v>224</v>
      </c>
      <c r="B47" s="67">
        <v>179.89</v>
      </c>
      <c r="C47" s="67">
        <v>300.03</v>
      </c>
      <c r="D47" s="67">
        <v>300.25</v>
      </c>
      <c r="E47" s="66">
        <v>1642.27</v>
      </c>
      <c r="F47" s="66">
        <v>1869.1</v>
      </c>
      <c r="G47" s="66">
        <v>1870.45</v>
      </c>
      <c r="H47" s="66">
        <v>1871.8</v>
      </c>
      <c r="I47" s="66">
        <v>1044.84</v>
      </c>
      <c r="J47" s="67">
        <v>177.16</v>
      </c>
      <c r="K47" s="67">
        <v>300.25</v>
      </c>
      <c r="L47" s="66">
        <v>1207.94</v>
      </c>
      <c r="M47" s="67">
        <v>604.41</v>
      </c>
      <c r="N47" s="20">
        <f t="shared" si="6"/>
        <v>11368.39</v>
      </c>
      <c r="O47" s="32"/>
      <c r="P47" s="32"/>
      <c r="Q47" s="32"/>
      <c r="R47" s="32"/>
      <c r="S47" s="32"/>
      <c r="T47" s="32"/>
      <c r="U47" s="32"/>
      <c r="V47" s="32"/>
      <c r="W47" s="32"/>
      <c r="X47" s="32"/>
      <c r="Y47" s="32"/>
      <c r="Z47" s="32"/>
    </row>
    <row r="48" ht="15.75" customHeight="1">
      <c r="A48" s="65" t="s">
        <v>174</v>
      </c>
      <c r="B48" s="66">
        <v>1798.89</v>
      </c>
      <c r="C48" s="66">
        <v>1660.18</v>
      </c>
      <c r="D48" s="66">
        <v>1801.47</v>
      </c>
      <c r="E48" s="66">
        <v>1802.77</v>
      </c>
      <c r="F48" s="66">
        <v>1804.06</v>
      </c>
      <c r="G48" s="66">
        <v>1805.36</v>
      </c>
      <c r="H48" s="66">
        <v>1806.67</v>
      </c>
      <c r="I48" s="66">
        <v>1807.97</v>
      </c>
      <c r="J48" s="66">
        <v>1809.28</v>
      </c>
      <c r="K48" s="66">
        <v>1810.59</v>
      </c>
      <c r="L48" s="66">
        <v>1811.9</v>
      </c>
      <c r="M48" s="66">
        <v>1813.22</v>
      </c>
      <c r="N48" s="20">
        <f t="shared" si="6"/>
        <v>21532.36</v>
      </c>
      <c r="O48" s="32"/>
      <c r="P48" s="32"/>
      <c r="Q48" s="32"/>
      <c r="R48" s="32"/>
      <c r="S48" s="32"/>
      <c r="T48" s="32"/>
      <c r="U48" s="32"/>
      <c r="V48" s="32"/>
      <c r="W48" s="32"/>
      <c r="X48" s="32"/>
      <c r="Y48" s="32"/>
      <c r="Z48" s="32"/>
    </row>
    <row r="49" ht="15.75" customHeight="1">
      <c r="A49" s="65" t="s">
        <v>200</v>
      </c>
      <c r="B49" s="67">
        <v>224.54</v>
      </c>
      <c r="C49" s="67">
        <v>505.28</v>
      </c>
      <c r="D49" s="67">
        <v>505.64</v>
      </c>
      <c r="E49" s="67">
        <v>505.64</v>
      </c>
      <c r="F49" s="67">
        <v>505.64</v>
      </c>
      <c r="G49" s="67">
        <v>505.64</v>
      </c>
      <c r="H49" s="67">
        <v>505.64</v>
      </c>
      <c r="I49" s="67">
        <v>505.64</v>
      </c>
      <c r="J49" s="67">
        <v>505.64</v>
      </c>
      <c r="K49" s="67">
        <v>505.64</v>
      </c>
      <c r="L49" s="67">
        <v>505.64</v>
      </c>
      <c r="M49" s="67">
        <v>505.64</v>
      </c>
      <c r="N49" s="20">
        <f t="shared" si="6"/>
        <v>5786.22</v>
      </c>
      <c r="O49" s="32"/>
      <c r="P49" s="32"/>
      <c r="Q49" s="32"/>
      <c r="R49" s="32"/>
      <c r="S49" s="32"/>
      <c r="T49" s="32"/>
      <c r="U49" s="32"/>
      <c r="V49" s="32"/>
      <c r="W49" s="32"/>
      <c r="X49" s="32"/>
      <c r="Y49" s="32"/>
      <c r="Z49" s="32"/>
    </row>
    <row r="50" ht="15.75" customHeight="1">
      <c r="A50" s="65" t="s">
        <v>175</v>
      </c>
      <c r="B50" s="66">
        <v>2452.22</v>
      </c>
      <c r="C50" s="66">
        <v>2452.22</v>
      </c>
      <c r="D50" s="66">
        <v>2452.22</v>
      </c>
      <c r="E50" s="66">
        <v>2452.22</v>
      </c>
      <c r="F50" s="66">
        <v>2452.22</v>
      </c>
      <c r="G50" s="66">
        <v>2436.22</v>
      </c>
      <c r="H50" s="66">
        <v>2452.22</v>
      </c>
      <c r="I50" s="66">
        <v>2452.22</v>
      </c>
      <c r="J50" s="66">
        <v>2452.22</v>
      </c>
      <c r="K50" s="66">
        <v>2452.22</v>
      </c>
      <c r="L50" s="66">
        <v>2452.22</v>
      </c>
      <c r="M50" s="66">
        <v>2452.22</v>
      </c>
      <c r="N50" s="20">
        <f t="shared" si="6"/>
        <v>29410.64</v>
      </c>
      <c r="O50" s="32"/>
      <c r="P50" s="32"/>
      <c r="Q50" s="32"/>
      <c r="R50" s="32"/>
      <c r="S50" s="32"/>
      <c r="T50" s="32"/>
      <c r="U50" s="32"/>
      <c r="V50" s="32"/>
      <c r="W50" s="32"/>
      <c r="X50" s="32"/>
      <c r="Y50" s="32"/>
      <c r="Z50" s="32"/>
    </row>
    <row r="51" ht="15.75" customHeight="1">
      <c r="A51" s="65" t="s">
        <v>176</v>
      </c>
      <c r="B51" s="67">
        <v>149.91</v>
      </c>
      <c r="C51" s="67">
        <v>150.01</v>
      </c>
      <c r="D51" s="67">
        <v>150.12</v>
      </c>
      <c r="E51" s="67">
        <v>150.23</v>
      </c>
      <c r="F51" s="67">
        <v>150.34</v>
      </c>
      <c r="G51" s="67">
        <v>150.45</v>
      </c>
      <c r="H51" s="67">
        <v>150.56</v>
      </c>
      <c r="I51" s="67">
        <v>150.66</v>
      </c>
      <c r="J51" s="67">
        <v>150.77</v>
      </c>
      <c r="K51" s="67">
        <v>150.88</v>
      </c>
      <c r="L51" s="67">
        <v>150.99</v>
      </c>
      <c r="M51" s="67">
        <v>151.1</v>
      </c>
      <c r="N51" s="20">
        <f t="shared" si="6"/>
        <v>1806.02</v>
      </c>
      <c r="O51" s="32"/>
      <c r="P51" s="32"/>
      <c r="Q51" s="32"/>
      <c r="R51" s="32"/>
      <c r="S51" s="32"/>
      <c r="T51" s="32"/>
      <c r="U51" s="32"/>
      <c r="V51" s="32"/>
      <c r="W51" s="32"/>
      <c r="X51" s="32"/>
      <c r="Y51" s="32"/>
      <c r="Z51" s="32"/>
    </row>
    <row r="52" ht="15.75" customHeight="1">
      <c r="A52" s="70" t="s">
        <v>177</v>
      </c>
      <c r="B52" s="75">
        <f>B33+Explaination!L70</f>
        <v>59963</v>
      </c>
      <c r="C52" s="75">
        <f t="shared" ref="C52:M52" si="10">39500+C33</f>
        <v>60005.9723</v>
      </c>
      <c r="D52" s="75">
        <f t="shared" si="10"/>
        <v>60049.03484</v>
      </c>
      <c r="E52" s="75">
        <f t="shared" si="10"/>
        <v>60092.18781</v>
      </c>
      <c r="F52" s="75">
        <f t="shared" si="10"/>
        <v>60135.43141</v>
      </c>
      <c r="G52" s="75">
        <f t="shared" si="10"/>
        <v>60178.76582</v>
      </c>
      <c r="H52" s="75">
        <f t="shared" si="10"/>
        <v>60222.19122</v>
      </c>
      <c r="I52" s="75">
        <f t="shared" si="10"/>
        <v>60265.70783</v>
      </c>
      <c r="J52" s="75">
        <f t="shared" si="10"/>
        <v>60309.31581</v>
      </c>
      <c r="K52" s="75">
        <f t="shared" si="10"/>
        <v>60353.01537</v>
      </c>
      <c r="L52" s="75">
        <f t="shared" si="10"/>
        <v>60396.80671</v>
      </c>
      <c r="M52" s="75">
        <f t="shared" si="10"/>
        <v>60440.69</v>
      </c>
      <c r="N52" s="72">
        <f t="shared" si="6"/>
        <v>722412.1191</v>
      </c>
      <c r="O52" s="32"/>
      <c r="P52" s="32"/>
      <c r="Q52" s="32"/>
      <c r="R52" s="32"/>
      <c r="S52" s="32"/>
      <c r="T52" s="32"/>
      <c r="U52" s="32"/>
      <c r="V52" s="32"/>
      <c r="W52" s="32"/>
      <c r="X52" s="32"/>
      <c r="Y52" s="32"/>
      <c r="Z52" s="32"/>
    </row>
    <row r="53" ht="15.75" customHeight="1">
      <c r="A53" s="70" t="s">
        <v>178</v>
      </c>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5.75" customHeight="1">
      <c r="A54" s="70" t="s">
        <v>179</v>
      </c>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5.75" customHeight="1">
      <c r="A55" s="70" t="s">
        <v>180</v>
      </c>
      <c r="B55" s="75">
        <f t="shared" ref="B55:N55" si="11">B17-B52</f>
        <v>-23584.33333</v>
      </c>
      <c r="C55" s="75">
        <f t="shared" si="11"/>
        <v>-23550.91043</v>
      </c>
      <c r="D55" s="75">
        <f t="shared" si="11"/>
        <v>-23517.41735</v>
      </c>
      <c r="E55" s="75">
        <f t="shared" si="11"/>
        <v>-23483.85392</v>
      </c>
      <c r="F55" s="75">
        <f t="shared" si="11"/>
        <v>-23450.22001</v>
      </c>
      <c r="G55" s="75">
        <f t="shared" si="11"/>
        <v>-23416.51548</v>
      </c>
      <c r="H55" s="75">
        <f t="shared" si="11"/>
        <v>-23382.74016</v>
      </c>
      <c r="I55" s="75">
        <f t="shared" si="11"/>
        <v>-23348.89391</v>
      </c>
      <c r="J55" s="75">
        <f t="shared" si="11"/>
        <v>-23314.97659</v>
      </c>
      <c r="K55" s="75">
        <f t="shared" si="11"/>
        <v>-23280.98804</v>
      </c>
      <c r="L55" s="75">
        <f t="shared" si="11"/>
        <v>-23246.92812</v>
      </c>
      <c r="M55" s="75">
        <f t="shared" si="11"/>
        <v>-23212.79667</v>
      </c>
      <c r="N55" s="72">
        <f t="shared" si="11"/>
        <v>-280790.574</v>
      </c>
      <c r="O55" s="32"/>
      <c r="P55" s="32"/>
      <c r="Q55" s="32"/>
      <c r="R55" s="32"/>
      <c r="S55" s="32"/>
      <c r="T55" s="32"/>
      <c r="U55" s="32"/>
      <c r="V55" s="32"/>
      <c r="W55" s="32"/>
      <c r="X55" s="32"/>
      <c r="Y55" s="32"/>
      <c r="Z55" s="32"/>
    </row>
    <row r="56"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sheetData>
  <mergeCells count="1">
    <mergeCell ref="A2:N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2.0"/>
    <col customWidth="1" min="3" max="3" width="12.57"/>
    <col customWidth="1" min="4" max="8" width="11.43"/>
    <col customWidth="1" min="9" max="9" width="11.14"/>
    <col customWidth="1" min="10" max="10" width="12.43"/>
    <col customWidth="1" min="11" max="11" width="12.0"/>
    <col customWidth="1" min="12" max="12" width="13.86"/>
    <col customWidth="1" min="13" max="13" width="14.0"/>
    <col customWidth="1" min="14" max="14" width="14.57"/>
    <col customWidth="1" min="15" max="26" width="8.71"/>
  </cols>
  <sheetData>
    <row r="1">
      <c r="A1" s="32"/>
      <c r="B1" s="32"/>
      <c r="C1" s="32"/>
      <c r="D1" s="32"/>
      <c r="E1" s="32"/>
      <c r="F1" s="32"/>
      <c r="G1" s="32"/>
      <c r="H1" s="32"/>
      <c r="I1" s="32"/>
      <c r="J1" s="32"/>
      <c r="K1" s="32"/>
      <c r="L1" s="32"/>
      <c r="M1" s="32"/>
      <c r="N1" s="32"/>
      <c r="O1" s="32"/>
      <c r="P1" s="32"/>
      <c r="Q1" s="32"/>
      <c r="R1" s="32"/>
      <c r="S1" s="32"/>
      <c r="T1" s="32"/>
      <c r="U1" s="32"/>
      <c r="V1" s="32"/>
      <c r="W1" s="32"/>
      <c r="X1" s="32"/>
      <c r="Y1" s="32"/>
      <c r="Z1" s="32"/>
    </row>
    <row r="2">
      <c r="A2" s="60" t="s">
        <v>228</v>
      </c>
      <c r="B2" s="61"/>
      <c r="C2" s="61"/>
      <c r="D2" s="61"/>
      <c r="E2" s="61"/>
      <c r="F2" s="61"/>
      <c r="G2" s="61"/>
      <c r="H2" s="61"/>
      <c r="I2" s="61"/>
      <c r="J2" s="61"/>
      <c r="K2" s="61"/>
      <c r="L2" s="61"/>
      <c r="M2" s="61"/>
      <c r="N2" s="61"/>
      <c r="O2" s="32"/>
      <c r="P2" s="32"/>
      <c r="Q2" s="32"/>
      <c r="R2" s="32"/>
      <c r="S2" s="32"/>
      <c r="T2" s="32"/>
      <c r="U2" s="32"/>
      <c r="V2" s="32"/>
      <c r="W2" s="32"/>
      <c r="X2" s="32"/>
      <c r="Y2" s="32"/>
      <c r="Z2" s="32"/>
    </row>
    <row r="3">
      <c r="A3" s="62" t="s">
        <v>129</v>
      </c>
      <c r="B3" s="79">
        <v>46023.0</v>
      </c>
      <c r="C3" s="79">
        <v>46054.0</v>
      </c>
      <c r="D3" s="79">
        <v>46082.0</v>
      </c>
      <c r="E3" s="79">
        <v>46113.0</v>
      </c>
      <c r="F3" s="79">
        <v>46143.0</v>
      </c>
      <c r="G3" s="79">
        <v>46174.0</v>
      </c>
      <c r="H3" s="79">
        <v>46204.0</v>
      </c>
      <c r="I3" s="79">
        <v>46235.0</v>
      </c>
      <c r="J3" s="79">
        <v>46266.0</v>
      </c>
      <c r="K3" s="79">
        <v>46296.0</v>
      </c>
      <c r="L3" s="79">
        <v>46327.0</v>
      </c>
      <c r="M3" s="79">
        <v>46357.0</v>
      </c>
      <c r="N3" s="80" t="s">
        <v>142</v>
      </c>
      <c r="O3" s="32"/>
      <c r="P3" s="32"/>
      <c r="Q3" s="32"/>
      <c r="R3" s="32"/>
      <c r="S3" s="32"/>
      <c r="T3" s="32"/>
      <c r="U3" s="32"/>
      <c r="V3" s="32"/>
      <c r="W3" s="32"/>
      <c r="X3" s="32"/>
      <c r="Y3" s="32"/>
      <c r="Z3" s="32"/>
    </row>
    <row r="4">
      <c r="A4" s="65" t="s">
        <v>143</v>
      </c>
      <c r="B4" s="32"/>
      <c r="C4" s="32"/>
      <c r="D4" s="32"/>
      <c r="E4" s="32"/>
      <c r="F4" s="32"/>
      <c r="G4" s="32"/>
      <c r="H4" s="32"/>
      <c r="I4" s="32"/>
      <c r="J4" s="32"/>
      <c r="K4" s="32"/>
      <c r="L4" s="32"/>
      <c r="M4" s="32"/>
      <c r="N4" s="32"/>
      <c r="O4" s="32"/>
      <c r="P4" s="32"/>
      <c r="Q4" s="32"/>
      <c r="R4" s="32"/>
      <c r="S4" s="32"/>
      <c r="T4" s="32"/>
      <c r="U4" s="32"/>
      <c r="V4" s="32"/>
      <c r="W4" s="32"/>
      <c r="X4" s="32"/>
      <c r="Y4" s="32"/>
      <c r="Z4" s="32"/>
    </row>
    <row r="5">
      <c r="A5" s="65" t="s">
        <v>195</v>
      </c>
      <c r="B5" s="20">
        <v>14944.22</v>
      </c>
      <c r="C5" s="20">
        <v>15613.53</v>
      </c>
      <c r="D5" s="20">
        <v>17977.74</v>
      </c>
      <c r="E5" s="20">
        <v>13070.12</v>
      </c>
      <c r="F5" s="20">
        <v>14015.92</v>
      </c>
      <c r="G5" s="20">
        <v>14433.79</v>
      </c>
      <c r="H5" s="20">
        <v>26106.86</v>
      </c>
      <c r="I5" s="20">
        <v>12346.07</v>
      </c>
      <c r="J5" s="20">
        <v>9649.06</v>
      </c>
      <c r="K5" s="20">
        <v>11539.9</v>
      </c>
      <c r="L5" s="20">
        <v>16711.67</v>
      </c>
      <c r="M5" s="20">
        <v>11208.4</v>
      </c>
      <c r="N5" s="20">
        <f t="shared" ref="N5:N9" si="1">SUM(B5:M5)</f>
        <v>177617.28</v>
      </c>
      <c r="O5" s="32"/>
      <c r="P5" s="32"/>
      <c r="Q5" s="32"/>
      <c r="R5" s="32"/>
      <c r="S5" s="32"/>
      <c r="T5" s="32"/>
      <c r="U5" s="32"/>
      <c r="V5" s="32"/>
      <c r="W5" s="32"/>
      <c r="X5" s="32"/>
      <c r="Y5" s="32"/>
      <c r="Z5" s="32"/>
    </row>
    <row r="6">
      <c r="A6" s="65" t="s">
        <v>144</v>
      </c>
      <c r="B6" s="20">
        <v>99068.8</v>
      </c>
      <c r="C6" s="20">
        <v>99164.87</v>
      </c>
      <c r="D6" s="20">
        <v>98879.11</v>
      </c>
      <c r="E6" s="20">
        <v>105635.96</v>
      </c>
      <c r="F6" s="20">
        <v>104796.24</v>
      </c>
      <c r="G6" s="20">
        <v>103468.0</v>
      </c>
      <c r="H6" s="20">
        <v>94592.61</v>
      </c>
      <c r="I6" s="20">
        <v>108193.41</v>
      </c>
      <c r="J6" s="20">
        <v>79603.47</v>
      </c>
      <c r="K6" s="20">
        <v>110482.91</v>
      </c>
      <c r="L6" s="20">
        <v>102230.72</v>
      </c>
      <c r="M6" s="20">
        <v>112083.98</v>
      </c>
      <c r="N6" s="20">
        <f t="shared" si="1"/>
        <v>1218200.08</v>
      </c>
      <c r="O6" s="32"/>
      <c r="P6" s="32"/>
      <c r="Q6" s="32"/>
      <c r="R6" s="32"/>
      <c r="S6" s="32"/>
      <c r="T6" s="32"/>
      <c r="U6" s="32"/>
      <c r="V6" s="32"/>
      <c r="W6" s="32"/>
      <c r="X6" s="32"/>
      <c r="Y6" s="32"/>
      <c r="Z6" s="32"/>
    </row>
    <row r="7">
      <c r="A7" s="65" t="s">
        <v>145</v>
      </c>
      <c r="B7" s="20">
        <v>11128.65</v>
      </c>
      <c r="C7" s="20">
        <v>10826.29</v>
      </c>
      <c r="D7" s="20">
        <v>8595.6</v>
      </c>
      <c r="E7" s="20">
        <v>7829.81</v>
      </c>
      <c r="F7" s="20">
        <v>8191.91</v>
      </c>
      <c r="G7" s="20">
        <v>9572.2</v>
      </c>
      <c r="H7" s="20">
        <v>7246.17</v>
      </c>
      <c r="I7" s="20">
        <v>6648.42</v>
      </c>
      <c r="J7" s="20">
        <v>7120.88</v>
      </c>
      <c r="K7" s="20">
        <v>7348.28</v>
      </c>
      <c r="L7" s="20">
        <v>10894.4</v>
      </c>
      <c r="M7" s="20">
        <v>7037.83</v>
      </c>
      <c r="N7" s="20">
        <f t="shared" si="1"/>
        <v>102440.44</v>
      </c>
      <c r="O7" s="32"/>
      <c r="P7" s="32"/>
      <c r="Q7" s="32"/>
      <c r="R7" s="32"/>
      <c r="S7" s="32"/>
      <c r="T7" s="32"/>
      <c r="U7" s="32"/>
      <c r="V7" s="32"/>
      <c r="W7" s="32"/>
      <c r="X7" s="32"/>
      <c r="Y7" s="32"/>
      <c r="Z7" s="32"/>
    </row>
    <row r="8">
      <c r="A8" s="65" t="s">
        <v>216</v>
      </c>
      <c r="B8" s="69" t="s">
        <v>227</v>
      </c>
      <c r="C8" s="69" t="s">
        <v>227</v>
      </c>
      <c r="D8" s="69" t="s">
        <v>227</v>
      </c>
      <c r="E8" s="69" t="s">
        <v>227</v>
      </c>
      <c r="F8" s="69" t="s">
        <v>227</v>
      </c>
      <c r="G8" s="69" t="s">
        <v>227</v>
      </c>
      <c r="H8" s="69" t="s">
        <v>227</v>
      </c>
      <c r="I8" s="69" t="s">
        <v>227</v>
      </c>
      <c r="J8" s="20">
        <v>32585.34</v>
      </c>
      <c r="K8" s="69" t="s">
        <v>227</v>
      </c>
      <c r="L8" s="69" t="s">
        <v>227</v>
      </c>
      <c r="M8" s="69" t="s">
        <v>227</v>
      </c>
      <c r="N8" s="20">
        <f t="shared" si="1"/>
        <v>32585.34</v>
      </c>
      <c r="O8" s="32"/>
      <c r="P8" s="32"/>
      <c r="Q8" s="32"/>
      <c r="R8" s="32"/>
      <c r="S8" s="32"/>
      <c r="T8" s="32"/>
      <c r="U8" s="32"/>
      <c r="V8" s="32"/>
      <c r="W8" s="32"/>
      <c r="X8" s="32"/>
      <c r="Y8" s="32"/>
      <c r="Z8" s="32"/>
    </row>
    <row r="9">
      <c r="A9" s="65" t="s">
        <v>146</v>
      </c>
      <c r="B9" s="69" t="s">
        <v>227</v>
      </c>
      <c r="C9" s="69" t="s">
        <v>227</v>
      </c>
      <c r="D9" s="20">
        <v>617.74</v>
      </c>
      <c r="E9" s="69" t="s">
        <v>227</v>
      </c>
      <c r="F9" s="69" t="s">
        <v>227</v>
      </c>
      <c r="G9" s="69" t="s">
        <v>227</v>
      </c>
      <c r="H9" s="69" t="s">
        <v>227</v>
      </c>
      <c r="I9" s="20">
        <v>1231.54</v>
      </c>
      <c r="J9" s="69" t="s">
        <v>227</v>
      </c>
      <c r="K9" s="69" t="s">
        <v>227</v>
      </c>
      <c r="L9" s="69" t="s">
        <v>227</v>
      </c>
      <c r="M9" s="69" t="s">
        <v>227</v>
      </c>
      <c r="N9" s="20">
        <f t="shared" si="1"/>
        <v>1849.28</v>
      </c>
      <c r="O9" s="32"/>
      <c r="P9" s="32"/>
      <c r="Q9" s="32"/>
      <c r="R9" s="32"/>
      <c r="S9" s="32"/>
      <c r="T9" s="32"/>
      <c r="U9" s="32"/>
      <c r="V9" s="32"/>
      <c r="W9" s="32"/>
      <c r="X9" s="32"/>
      <c r="Y9" s="32"/>
      <c r="Z9" s="32"/>
    </row>
    <row r="10">
      <c r="A10" s="65" t="s">
        <v>217</v>
      </c>
      <c r="B10" s="69" t="s">
        <v>227</v>
      </c>
      <c r="C10" s="69" t="s">
        <v>227</v>
      </c>
      <c r="D10" s="69" t="s">
        <v>227</v>
      </c>
      <c r="E10" s="69" t="s">
        <v>227</v>
      </c>
      <c r="F10" s="69" t="s">
        <v>227</v>
      </c>
      <c r="G10" s="69" t="s">
        <v>227</v>
      </c>
      <c r="H10" s="69" t="s">
        <v>227</v>
      </c>
      <c r="I10" s="69" t="s">
        <v>227</v>
      </c>
      <c r="J10" s="69" t="s">
        <v>227</v>
      </c>
      <c r="K10" s="69" t="s">
        <v>227</v>
      </c>
      <c r="L10" s="69" t="s">
        <v>227</v>
      </c>
      <c r="M10" s="69" t="s">
        <v>227</v>
      </c>
      <c r="N10" s="69" t="s">
        <v>227</v>
      </c>
      <c r="O10" s="32"/>
      <c r="P10" s="32"/>
      <c r="Q10" s="32"/>
      <c r="R10" s="32"/>
      <c r="S10" s="32"/>
      <c r="T10" s="32"/>
      <c r="U10" s="32"/>
      <c r="V10" s="32"/>
      <c r="W10" s="32"/>
      <c r="X10" s="32"/>
      <c r="Y10" s="32"/>
      <c r="Z10" s="32"/>
    </row>
    <row r="11">
      <c r="A11" s="70" t="s">
        <v>147</v>
      </c>
      <c r="B11" s="75">
        <f>Explaination!E63</f>
        <v>125141.6667</v>
      </c>
      <c r="C11" s="75">
        <f t="shared" ref="C11:M11" si="2">B11*100.37%</f>
        <v>125604.6908</v>
      </c>
      <c r="D11" s="75">
        <f t="shared" si="2"/>
        <v>126069.4282</v>
      </c>
      <c r="E11" s="75">
        <f t="shared" si="2"/>
        <v>126535.8851</v>
      </c>
      <c r="F11" s="75">
        <f t="shared" si="2"/>
        <v>127004.0678</v>
      </c>
      <c r="G11" s="75">
        <f t="shared" si="2"/>
        <v>127473.9829</v>
      </c>
      <c r="H11" s="75">
        <f t="shared" si="2"/>
        <v>127945.6366</v>
      </c>
      <c r="I11" s="75">
        <f t="shared" si="2"/>
        <v>128419.0355</v>
      </c>
      <c r="J11" s="75">
        <f t="shared" si="2"/>
        <v>128894.1859</v>
      </c>
      <c r="K11" s="75">
        <f t="shared" si="2"/>
        <v>129371.0944</v>
      </c>
      <c r="L11" s="75">
        <f t="shared" si="2"/>
        <v>129849.7675</v>
      </c>
      <c r="M11" s="75">
        <f t="shared" si="2"/>
        <v>130330.2116</v>
      </c>
      <c r="N11" s="72">
        <f>SUM(B11:M11)</f>
        <v>1532639.653</v>
      </c>
      <c r="O11" s="32"/>
      <c r="P11" s="32"/>
      <c r="Q11" s="32"/>
      <c r="R11" s="32"/>
      <c r="S11" s="32"/>
      <c r="T11" s="32"/>
      <c r="U11" s="32"/>
      <c r="V11" s="32"/>
      <c r="W11" s="32"/>
      <c r="X11" s="32"/>
      <c r="Y11" s="32"/>
      <c r="Z11" s="32"/>
    </row>
    <row r="12">
      <c r="A12" s="65" t="s">
        <v>148</v>
      </c>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65" t="s">
        <v>148</v>
      </c>
      <c r="B13" s="66">
        <v>42432.13</v>
      </c>
      <c r="C13" s="66">
        <v>22688.59</v>
      </c>
      <c r="D13" s="66">
        <v>35205.57</v>
      </c>
      <c r="E13" s="66">
        <v>11920.18</v>
      </c>
      <c r="F13" s="66">
        <v>18856.77</v>
      </c>
      <c r="G13" s="66">
        <v>25884.25</v>
      </c>
      <c r="H13" s="66">
        <v>24087.41</v>
      </c>
      <c r="I13" s="66">
        <v>28556.46</v>
      </c>
      <c r="J13" s="66">
        <v>19338.96</v>
      </c>
      <c r="K13" s="66">
        <v>7847.13</v>
      </c>
      <c r="L13" s="66">
        <v>11363.93</v>
      </c>
      <c r="M13" s="66">
        <v>7621.71</v>
      </c>
      <c r="N13" s="20">
        <f t="shared" ref="N13:N16" si="3">SUM(B13:M13)</f>
        <v>255803.09</v>
      </c>
      <c r="O13" s="32"/>
      <c r="P13" s="32"/>
      <c r="Q13" s="32"/>
      <c r="R13" s="32"/>
      <c r="S13" s="32"/>
      <c r="T13" s="32"/>
      <c r="U13" s="32"/>
      <c r="V13" s="32"/>
      <c r="W13" s="32"/>
      <c r="X13" s="32"/>
      <c r="Y13" s="32"/>
      <c r="Z13" s="32"/>
    </row>
    <row r="14">
      <c r="A14" s="65" t="s">
        <v>149</v>
      </c>
      <c r="B14" s="66">
        <v>16648.94</v>
      </c>
      <c r="C14" s="66">
        <v>32109.93</v>
      </c>
      <c r="D14" s="66">
        <v>23650.57</v>
      </c>
      <c r="E14" s="66">
        <v>39611.07</v>
      </c>
      <c r="F14" s="66">
        <v>39905.25</v>
      </c>
      <c r="G14" s="66">
        <v>32340.83</v>
      </c>
      <c r="H14" s="66">
        <v>33751.03</v>
      </c>
      <c r="I14" s="66">
        <v>32858.87</v>
      </c>
      <c r="J14" s="66">
        <v>45036.21</v>
      </c>
      <c r="K14" s="66">
        <v>75128.38</v>
      </c>
      <c r="L14" s="66">
        <v>69516.89</v>
      </c>
      <c r="M14" s="66">
        <v>76217.11</v>
      </c>
      <c r="N14" s="20">
        <f t="shared" si="3"/>
        <v>516775.08</v>
      </c>
      <c r="O14" s="32"/>
      <c r="P14" s="32"/>
      <c r="Q14" s="32"/>
      <c r="R14" s="32"/>
      <c r="S14" s="32"/>
      <c r="T14" s="32"/>
      <c r="U14" s="32"/>
      <c r="V14" s="32"/>
      <c r="W14" s="32"/>
      <c r="X14" s="32"/>
      <c r="Y14" s="32"/>
      <c r="Z14" s="32"/>
    </row>
    <row r="15">
      <c r="A15" s="65" t="s">
        <v>150</v>
      </c>
      <c r="B15" s="66">
        <v>26015.26</v>
      </c>
      <c r="C15" s="66">
        <v>30612.67</v>
      </c>
      <c r="D15" s="66">
        <v>26871.07</v>
      </c>
      <c r="E15" s="66">
        <v>34513.15</v>
      </c>
      <c r="F15" s="66">
        <v>27600.75</v>
      </c>
      <c r="G15" s="66">
        <v>28457.23</v>
      </c>
      <c r="H15" s="66">
        <v>29164.59</v>
      </c>
      <c r="I15" s="66">
        <v>25909.62</v>
      </c>
      <c r="J15" s="66">
        <v>23272.88</v>
      </c>
      <c r="K15" s="66">
        <v>4996.83</v>
      </c>
      <c r="L15" s="66">
        <v>7408.19</v>
      </c>
      <c r="M15" s="66">
        <v>4785.73</v>
      </c>
      <c r="N15" s="20">
        <f t="shared" si="3"/>
        <v>269607.97</v>
      </c>
      <c r="O15" s="32"/>
      <c r="P15" s="32"/>
      <c r="Q15" s="32"/>
      <c r="R15" s="32"/>
      <c r="S15" s="32"/>
      <c r="T15" s="32"/>
      <c r="U15" s="32"/>
      <c r="V15" s="32"/>
      <c r="W15" s="32"/>
      <c r="X15" s="32"/>
      <c r="Y15" s="32"/>
      <c r="Z15" s="32"/>
    </row>
    <row r="16">
      <c r="A16" s="70" t="s">
        <v>151</v>
      </c>
      <c r="B16" s="81">
        <f t="shared" ref="B16:M16" si="4">B11*68%</f>
        <v>85096.33333</v>
      </c>
      <c r="C16" s="81">
        <f t="shared" si="4"/>
        <v>85411.18977</v>
      </c>
      <c r="D16" s="81">
        <f t="shared" si="4"/>
        <v>85727.21117</v>
      </c>
      <c r="E16" s="81">
        <f t="shared" si="4"/>
        <v>86044.40185</v>
      </c>
      <c r="F16" s="81">
        <f t="shared" si="4"/>
        <v>86362.76614</v>
      </c>
      <c r="G16" s="81">
        <f t="shared" si="4"/>
        <v>86682.30837</v>
      </c>
      <c r="H16" s="81">
        <f t="shared" si="4"/>
        <v>87003.03291</v>
      </c>
      <c r="I16" s="81">
        <f t="shared" si="4"/>
        <v>87324.94413</v>
      </c>
      <c r="J16" s="81">
        <f t="shared" si="4"/>
        <v>87648.04643</v>
      </c>
      <c r="K16" s="81">
        <f t="shared" si="4"/>
        <v>87972.3442</v>
      </c>
      <c r="L16" s="81">
        <f t="shared" si="4"/>
        <v>88297.84187</v>
      </c>
      <c r="M16" s="81">
        <f t="shared" si="4"/>
        <v>88624.54389</v>
      </c>
      <c r="N16" s="82">
        <f t="shared" si="3"/>
        <v>1042194.964</v>
      </c>
      <c r="O16" s="32"/>
      <c r="P16" s="32"/>
      <c r="Q16" s="32"/>
      <c r="R16" s="32"/>
      <c r="S16" s="32"/>
      <c r="T16" s="32"/>
      <c r="U16" s="32"/>
      <c r="V16" s="32"/>
      <c r="W16" s="32"/>
      <c r="X16" s="32"/>
      <c r="Y16" s="32"/>
      <c r="Z16" s="32"/>
    </row>
    <row r="17">
      <c r="A17" s="70" t="s">
        <v>152</v>
      </c>
      <c r="B17" s="83">
        <f t="shared" ref="B17:N17" si="5">B11-B16</f>
        <v>40045.33333</v>
      </c>
      <c r="C17" s="83">
        <f t="shared" si="5"/>
        <v>40193.50107</v>
      </c>
      <c r="D17" s="83">
        <f t="shared" si="5"/>
        <v>40342.21702</v>
      </c>
      <c r="E17" s="83">
        <f t="shared" si="5"/>
        <v>40491.48322</v>
      </c>
      <c r="F17" s="83">
        <f t="shared" si="5"/>
        <v>40641.30171</v>
      </c>
      <c r="G17" s="83">
        <f t="shared" si="5"/>
        <v>40791.67453</v>
      </c>
      <c r="H17" s="83">
        <f t="shared" si="5"/>
        <v>40942.60372</v>
      </c>
      <c r="I17" s="83">
        <f t="shared" si="5"/>
        <v>41094.09136</v>
      </c>
      <c r="J17" s="83">
        <f t="shared" si="5"/>
        <v>41246.1395</v>
      </c>
      <c r="K17" s="83">
        <f t="shared" si="5"/>
        <v>41398.75021</v>
      </c>
      <c r="L17" s="83">
        <f t="shared" si="5"/>
        <v>41551.92559</v>
      </c>
      <c r="M17" s="83">
        <f t="shared" si="5"/>
        <v>41705.66771</v>
      </c>
      <c r="N17" s="84">
        <f t="shared" si="5"/>
        <v>490444.689</v>
      </c>
      <c r="O17" s="32"/>
      <c r="P17" s="32"/>
      <c r="Q17" s="32"/>
      <c r="R17" s="32"/>
      <c r="S17" s="32"/>
      <c r="T17" s="32"/>
      <c r="U17" s="32"/>
      <c r="V17" s="32"/>
      <c r="W17" s="32"/>
      <c r="X17" s="32"/>
      <c r="Y17" s="32"/>
      <c r="Z17" s="32"/>
    </row>
    <row r="18">
      <c r="A18" s="65" t="s">
        <v>153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ht="15.75" customHeight="1">
      <c r="A19" s="65" t="s">
        <v>154</v>
      </c>
      <c r="B19" s="66">
        <v>4754.76</v>
      </c>
      <c r="C19" s="66">
        <v>4282.91</v>
      </c>
      <c r="D19" s="66">
        <v>4754.76</v>
      </c>
      <c r="E19" s="66">
        <v>4545.76</v>
      </c>
      <c r="F19" s="66">
        <v>4272.29</v>
      </c>
      <c r="G19" s="66">
        <v>3155.95</v>
      </c>
      <c r="H19" s="66">
        <v>4282.91</v>
      </c>
      <c r="I19" s="66">
        <v>4030.35</v>
      </c>
      <c r="J19" s="66">
        <v>3155.95</v>
      </c>
      <c r="K19" s="66">
        <v>4307.62</v>
      </c>
      <c r="L19" s="66">
        <v>4754.76</v>
      </c>
      <c r="M19" s="66">
        <v>4272.29</v>
      </c>
      <c r="N19" s="20">
        <f t="shared" ref="N19:N52" si="6">SUM(B19:M19)</f>
        <v>50570.31</v>
      </c>
      <c r="O19" s="32"/>
      <c r="P19" s="32"/>
      <c r="Q19" s="32"/>
      <c r="R19" s="32"/>
      <c r="S19" s="32"/>
      <c r="T19" s="32"/>
      <c r="U19" s="32"/>
      <c r="V19" s="32"/>
      <c r="W19" s="32"/>
      <c r="X19" s="32"/>
      <c r="Y19" s="32"/>
      <c r="Z19" s="32"/>
    </row>
    <row r="20" ht="15.75" customHeight="1">
      <c r="A20" s="65" t="s">
        <v>155</v>
      </c>
      <c r="B20" s="67">
        <v>424.05</v>
      </c>
      <c r="C20" s="67">
        <v>807.41</v>
      </c>
      <c r="D20" s="67">
        <v>610.37</v>
      </c>
      <c r="E20" s="66">
        <v>1127.68</v>
      </c>
      <c r="F20" s="67">
        <v>423.75</v>
      </c>
      <c r="G20" s="67">
        <v>72.54</v>
      </c>
      <c r="H20" s="67">
        <v>812.89</v>
      </c>
      <c r="I20" s="66">
        <v>1126.87</v>
      </c>
      <c r="J20" s="67">
        <v>72.54</v>
      </c>
      <c r="K20" s="67">
        <v>816.23</v>
      </c>
      <c r="L20" s="67">
        <v>424.05</v>
      </c>
      <c r="M20" s="67">
        <v>423.75</v>
      </c>
      <c r="N20" s="32">
        <f t="shared" si="6"/>
        <v>7142.13</v>
      </c>
      <c r="O20" s="32"/>
      <c r="P20" s="32"/>
      <c r="Q20" s="32"/>
      <c r="R20" s="32"/>
      <c r="S20" s="32"/>
      <c r="T20" s="32"/>
      <c r="U20" s="32"/>
      <c r="V20" s="32"/>
      <c r="W20" s="32"/>
      <c r="X20" s="32"/>
      <c r="Y20" s="32"/>
      <c r="Z20" s="32"/>
    </row>
    <row r="21" ht="15.75" customHeight="1">
      <c r="A21" s="65" t="s">
        <v>156</v>
      </c>
      <c r="B21" s="67">
        <v>60.81</v>
      </c>
      <c r="C21" s="67">
        <v>621.09</v>
      </c>
      <c r="D21" s="67">
        <v>210.63</v>
      </c>
      <c r="E21" s="67">
        <v>122.47</v>
      </c>
      <c r="F21" s="67">
        <v>64.6</v>
      </c>
      <c r="G21" s="67">
        <v>195.82</v>
      </c>
      <c r="H21" s="67">
        <v>625.3</v>
      </c>
      <c r="I21" s="67">
        <v>78.48</v>
      </c>
      <c r="J21" s="67">
        <v>195.82</v>
      </c>
      <c r="K21" s="67">
        <v>627.87</v>
      </c>
      <c r="L21" s="67">
        <v>60.81</v>
      </c>
      <c r="M21" s="67">
        <v>64.6</v>
      </c>
      <c r="N21" s="32">
        <f t="shared" si="6"/>
        <v>2928.3</v>
      </c>
      <c r="O21" s="32"/>
      <c r="P21" s="32"/>
      <c r="Q21" s="32"/>
      <c r="R21" s="32"/>
      <c r="S21" s="32"/>
      <c r="T21" s="32"/>
      <c r="U21" s="32"/>
      <c r="V21" s="32"/>
      <c r="W21" s="32"/>
      <c r="X21" s="32"/>
      <c r="Y21" s="32"/>
      <c r="Z21" s="32"/>
    </row>
    <row r="22" ht="15.75" customHeight="1">
      <c r="A22" s="65" t="s">
        <v>157</v>
      </c>
      <c r="B22" s="67">
        <v>32.95</v>
      </c>
      <c r="C22" s="67">
        <v>62.11</v>
      </c>
      <c r="D22" s="67">
        <v>24.11</v>
      </c>
      <c r="E22" s="67">
        <v>5.55</v>
      </c>
      <c r="F22" s="67">
        <v>32.95</v>
      </c>
      <c r="G22" s="67">
        <v>32.95</v>
      </c>
      <c r="H22" s="67">
        <v>62.53</v>
      </c>
      <c r="I22" s="67">
        <v>15.4</v>
      </c>
      <c r="J22" s="67">
        <v>32.95</v>
      </c>
      <c r="K22" s="67">
        <v>62.79</v>
      </c>
      <c r="L22" s="67">
        <v>32.95</v>
      </c>
      <c r="M22" s="67">
        <v>32.95</v>
      </c>
      <c r="N22" s="32">
        <f t="shared" si="6"/>
        <v>430.19</v>
      </c>
      <c r="O22" s="32"/>
      <c r="P22" s="32"/>
      <c r="Q22" s="32"/>
      <c r="R22" s="32"/>
      <c r="S22" s="32"/>
      <c r="T22" s="32"/>
      <c r="U22" s="32"/>
      <c r="V22" s="32"/>
      <c r="W22" s="32"/>
      <c r="X22" s="32"/>
      <c r="Y22" s="32"/>
      <c r="Z22" s="32"/>
    </row>
    <row r="23" ht="15.75" customHeight="1">
      <c r="A23" s="70" t="s">
        <v>158</v>
      </c>
      <c r="B23" s="76">
        <f t="shared" ref="B23:M23" si="7">B20+B21+B22</f>
        <v>517.81</v>
      </c>
      <c r="C23" s="76">
        <f t="shared" si="7"/>
        <v>1490.61</v>
      </c>
      <c r="D23" s="76">
        <f t="shared" si="7"/>
        <v>845.11</v>
      </c>
      <c r="E23" s="77">
        <f t="shared" si="7"/>
        <v>1255.7</v>
      </c>
      <c r="F23" s="76">
        <f t="shared" si="7"/>
        <v>521.3</v>
      </c>
      <c r="G23" s="76">
        <f t="shared" si="7"/>
        <v>301.31</v>
      </c>
      <c r="H23" s="76">
        <f t="shared" si="7"/>
        <v>1500.72</v>
      </c>
      <c r="I23" s="77">
        <f t="shared" si="7"/>
        <v>1220.75</v>
      </c>
      <c r="J23" s="76">
        <f t="shared" si="7"/>
        <v>301.31</v>
      </c>
      <c r="K23" s="76">
        <f t="shared" si="7"/>
        <v>1506.89</v>
      </c>
      <c r="L23" s="76">
        <f t="shared" si="7"/>
        <v>517.81</v>
      </c>
      <c r="M23" s="76">
        <f t="shared" si="7"/>
        <v>521.3</v>
      </c>
      <c r="N23" s="85">
        <f t="shared" si="6"/>
        <v>10500.62</v>
      </c>
      <c r="O23" s="32"/>
      <c r="P23" s="32"/>
      <c r="Q23" s="32"/>
      <c r="R23" s="32"/>
      <c r="S23" s="32"/>
      <c r="T23" s="32"/>
      <c r="U23" s="32"/>
      <c r="V23" s="32"/>
      <c r="W23" s="32"/>
      <c r="X23" s="32"/>
      <c r="Y23" s="32"/>
      <c r="Z23" s="32"/>
    </row>
    <row r="24" ht="15.75" customHeight="1">
      <c r="A24" s="65" t="s">
        <v>159</v>
      </c>
      <c r="B24" s="67">
        <v>475.1</v>
      </c>
      <c r="C24" s="67">
        <v>227.68</v>
      </c>
      <c r="D24" s="67">
        <v>168.12</v>
      </c>
      <c r="E24" s="67">
        <v>230.19</v>
      </c>
      <c r="F24" s="67">
        <v>61.61</v>
      </c>
      <c r="G24" s="67">
        <v>224.65</v>
      </c>
      <c r="H24" s="67">
        <v>250.12</v>
      </c>
      <c r="I24" s="67">
        <v>180.11</v>
      </c>
      <c r="J24" s="67">
        <v>224.65</v>
      </c>
      <c r="K24" s="67">
        <v>251.15</v>
      </c>
      <c r="L24" s="67">
        <v>475.1</v>
      </c>
      <c r="M24" s="67">
        <v>61.61</v>
      </c>
      <c r="N24" s="32">
        <f t="shared" si="6"/>
        <v>2830.09</v>
      </c>
      <c r="O24" s="32"/>
      <c r="P24" s="32"/>
      <c r="Q24" s="32"/>
      <c r="R24" s="32"/>
      <c r="S24" s="32"/>
      <c r="T24" s="32"/>
      <c r="U24" s="32"/>
      <c r="V24" s="32"/>
      <c r="W24" s="32"/>
      <c r="X24" s="32"/>
      <c r="Y24" s="32"/>
      <c r="Z24" s="32"/>
    </row>
    <row r="25" ht="15.75" customHeight="1">
      <c r="A25" s="65" t="s">
        <v>218</v>
      </c>
      <c r="B25" s="67">
        <v>89.94</v>
      </c>
      <c r="C25" s="67">
        <v>90.66</v>
      </c>
      <c r="D25" s="67">
        <v>90.33</v>
      </c>
      <c r="E25" s="67">
        <v>90.27</v>
      </c>
      <c r="F25" s="67">
        <v>90.6</v>
      </c>
      <c r="G25" s="67">
        <v>90.46</v>
      </c>
      <c r="H25" s="67">
        <v>90.27</v>
      </c>
      <c r="I25" s="67">
        <v>90.2</v>
      </c>
      <c r="J25" s="67">
        <v>90.46</v>
      </c>
      <c r="K25" s="67">
        <v>816.23</v>
      </c>
      <c r="L25" s="67">
        <v>89.94</v>
      </c>
      <c r="M25" s="67">
        <v>90.6</v>
      </c>
      <c r="N25" s="32">
        <f t="shared" si="6"/>
        <v>1809.96</v>
      </c>
      <c r="O25" s="32"/>
      <c r="P25" s="32"/>
      <c r="Q25" s="32"/>
      <c r="R25" s="32"/>
      <c r="S25" s="32"/>
      <c r="T25" s="32"/>
      <c r="U25" s="32"/>
      <c r="V25" s="32"/>
      <c r="W25" s="32"/>
      <c r="X25" s="32"/>
      <c r="Y25" s="32"/>
      <c r="Z25" s="32"/>
    </row>
    <row r="26" ht="15.75" customHeight="1">
      <c r="A26" s="65" t="s">
        <v>160</v>
      </c>
      <c r="B26" s="67">
        <v>479.7</v>
      </c>
      <c r="C26" s="67">
        <v>483.53</v>
      </c>
      <c r="D26" s="67">
        <v>481.78</v>
      </c>
      <c r="E26" s="67">
        <v>481.43</v>
      </c>
      <c r="F26" s="67">
        <v>483.17</v>
      </c>
      <c r="G26" s="67">
        <v>482.47</v>
      </c>
      <c r="H26" s="67">
        <v>781.63</v>
      </c>
      <c r="I26" s="67">
        <v>481.08</v>
      </c>
      <c r="J26" s="67">
        <v>482.47</v>
      </c>
      <c r="K26" s="67">
        <v>816.23</v>
      </c>
      <c r="L26" s="67">
        <v>479.7</v>
      </c>
      <c r="M26" s="67">
        <v>483.17</v>
      </c>
      <c r="N26" s="32">
        <f t="shared" si="6"/>
        <v>6416.36</v>
      </c>
      <c r="O26" s="32"/>
      <c r="P26" s="32"/>
      <c r="Q26" s="32"/>
      <c r="R26" s="32"/>
      <c r="S26" s="32"/>
      <c r="T26" s="32"/>
      <c r="U26" s="32"/>
      <c r="V26" s="32"/>
      <c r="W26" s="32"/>
      <c r="X26" s="32"/>
      <c r="Y26" s="32"/>
      <c r="Z26" s="32"/>
    </row>
    <row r="27" ht="15.75" customHeight="1">
      <c r="A27" s="65" t="s">
        <v>219</v>
      </c>
      <c r="B27" s="66">
        <v>1683.8</v>
      </c>
      <c r="C27" s="66">
        <v>1522.34</v>
      </c>
      <c r="D27" s="66">
        <v>1686.22</v>
      </c>
      <c r="E27" s="66">
        <v>1685.01</v>
      </c>
      <c r="F27" s="66">
        <v>1691.11</v>
      </c>
      <c r="G27" s="66">
        <v>1688.66</v>
      </c>
      <c r="H27" s="67">
        <v>781.63</v>
      </c>
      <c r="I27" s="66">
        <v>1683.79</v>
      </c>
      <c r="J27" s="66">
        <v>1688.66</v>
      </c>
      <c r="K27" s="67">
        <v>816.23</v>
      </c>
      <c r="L27" s="66">
        <v>1683.8</v>
      </c>
      <c r="M27" s="66">
        <v>1691.11</v>
      </c>
      <c r="N27" s="20">
        <f t="shared" si="6"/>
        <v>18302.36</v>
      </c>
      <c r="O27" s="32"/>
      <c r="P27" s="32"/>
      <c r="Q27" s="32"/>
      <c r="R27" s="32"/>
      <c r="S27" s="32"/>
      <c r="T27" s="32"/>
      <c r="U27" s="32"/>
      <c r="V27" s="32"/>
      <c r="W27" s="32"/>
      <c r="X27" s="32"/>
      <c r="Y27" s="32"/>
      <c r="Z27" s="32"/>
    </row>
    <row r="28" ht="15.75" customHeight="1">
      <c r="A28" s="65" t="s">
        <v>161</v>
      </c>
      <c r="B28" s="66">
        <v>1168.27</v>
      </c>
      <c r="C28" s="66">
        <v>1078.83</v>
      </c>
      <c r="D28" s="66">
        <v>2841.96</v>
      </c>
      <c r="E28" s="66">
        <v>1711.78</v>
      </c>
      <c r="F28" s="66">
        <v>1360.96</v>
      </c>
      <c r="G28" s="67">
        <v>786.23</v>
      </c>
      <c r="H28" s="67">
        <v>781.63</v>
      </c>
      <c r="I28" s="66">
        <v>1712.42</v>
      </c>
      <c r="J28" s="67">
        <v>786.23</v>
      </c>
      <c r="K28" s="67">
        <v>816.23</v>
      </c>
      <c r="L28" s="66">
        <v>1168.27</v>
      </c>
      <c r="M28" s="66">
        <v>1360.96</v>
      </c>
      <c r="N28" s="20">
        <f t="shared" si="6"/>
        <v>15573.77</v>
      </c>
      <c r="O28" s="32"/>
      <c r="P28" s="32"/>
      <c r="Q28" s="32"/>
      <c r="R28" s="32"/>
      <c r="S28" s="32"/>
      <c r="T28" s="32"/>
      <c r="U28" s="32"/>
      <c r="V28" s="32"/>
      <c r="W28" s="32"/>
      <c r="X28" s="32"/>
      <c r="Y28" s="32"/>
      <c r="Z28" s="32"/>
    </row>
    <row r="29" ht="15.75" customHeight="1">
      <c r="A29" s="65" t="s">
        <v>162</v>
      </c>
      <c r="B29" s="67">
        <v>284.86</v>
      </c>
      <c r="C29" s="67">
        <v>285.07</v>
      </c>
      <c r="D29" s="67">
        <v>625.06</v>
      </c>
      <c r="E29" s="67">
        <v>306.36</v>
      </c>
      <c r="F29" s="67">
        <v>306.36</v>
      </c>
      <c r="G29" s="67">
        <v>286.51</v>
      </c>
      <c r="H29" s="67">
        <v>286.51</v>
      </c>
      <c r="I29" s="67">
        <v>285.67</v>
      </c>
      <c r="J29" s="67">
        <v>286.51</v>
      </c>
      <c r="K29" s="67">
        <v>816.23</v>
      </c>
      <c r="L29" s="67">
        <v>284.86</v>
      </c>
      <c r="M29" s="67">
        <v>306.36</v>
      </c>
      <c r="N29" s="32">
        <f t="shared" si="6"/>
        <v>4360.36</v>
      </c>
      <c r="O29" s="32"/>
      <c r="P29" s="32"/>
      <c r="Q29" s="32"/>
      <c r="R29" s="32"/>
      <c r="S29" s="32"/>
      <c r="T29" s="32"/>
      <c r="U29" s="32"/>
      <c r="V29" s="32"/>
      <c r="W29" s="32"/>
      <c r="X29" s="32"/>
      <c r="Y29" s="32"/>
      <c r="Z29" s="32"/>
    </row>
    <row r="30" ht="15.75" customHeight="1">
      <c r="A30" s="65" t="s">
        <v>197</v>
      </c>
      <c r="B30" s="67">
        <v>599.63</v>
      </c>
      <c r="C30" s="67">
        <v>604.41</v>
      </c>
      <c r="D30" s="67">
        <v>602.22</v>
      </c>
      <c r="E30" s="67">
        <v>601.79</v>
      </c>
      <c r="F30" s="67">
        <v>603.97</v>
      </c>
      <c r="G30" s="67">
        <v>603.09</v>
      </c>
      <c r="H30" s="67">
        <v>781.63</v>
      </c>
      <c r="I30" s="67">
        <v>501.35</v>
      </c>
      <c r="J30" s="67">
        <v>603.09</v>
      </c>
      <c r="K30" s="67">
        <v>816.23</v>
      </c>
      <c r="L30" s="67">
        <v>599.63</v>
      </c>
      <c r="M30" s="67">
        <v>603.97</v>
      </c>
      <c r="N30" s="32">
        <f t="shared" si="6"/>
        <v>7521.01</v>
      </c>
      <c r="O30" s="32"/>
      <c r="P30" s="32"/>
      <c r="Q30" s="32"/>
      <c r="R30" s="32"/>
      <c r="S30" s="32"/>
      <c r="T30" s="32"/>
      <c r="U30" s="32"/>
      <c r="V30" s="32"/>
      <c r="W30" s="32"/>
      <c r="X30" s="32"/>
      <c r="Y30" s="32"/>
      <c r="Z30" s="32"/>
    </row>
    <row r="31" ht="15.75" customHeight="1">
      <c r="A31" s="65" t="s">
        <v>163</v>
      </c>
      <c r="B31" s="67">
        <v>474.41</v>
      </c>
      <c r="C31" s="66">
        <v>2344.87</v>
      </c>
      <c r="D31" s="67">
        <v>975.43</v>
      </c>
      <c r="E31" s="67">
        <v>474.41</v>
      </c>
      <c r="F31" s="67">
        <v>809.5</v>
      </c>
      <c r="G31" s="66">
        <v>1884.73</v>
      </c>
      <c r="H31" s="66">
        <v>1250.6</v>
      </c>
      <c r="I31" s="66">
        <v>2344.87</v>
      </c>
      <c r="J31" s="66">
        <v>1884.73</v>
      </c>
      <c r="K31" s="66">
        <v>1255.74</v>
      </c>
      <c r="L31" s="67">
        <v>474.41</v>
      </c>
      <c r="M31" s="67">
        <v>809.5</v>
      </c>
      <c r="N31" s="32">
        <f t="shared" si="6"/>
        <v>14983.2</v>
      </c>
      <c r="O31" s="32"/>
      <c r="P31" s="32"/>
      <c r="Q31" s="32"/>
      <c r="R31" s="32"/>
      <c r="S31" s="32"/>
      <c r="T31" s="32"/>
      <c r="U31" s="32"/>
      <c r="V31" s="32"/>
      <c r="W31" s="32"/>
      <c r="X31" s="32"/>
      <c r="Y31" s="32"/>
      <c r="Z31" s="32"/>
    </row>
    <row r="32" ht="15.75" customHeight="1">
      <c r="A32" s="65" t="s">
        <v>164</v>
      </c>
      <c r="B32" s="67">
        <v>809.5</v>
      </c>
      <c r="C32" s="67">
        <v>604.41</v>
      </c>
      <c r="D32" s="67">
        <v>602.22</v>
      </c>
      <c r="E32" s="67">
        <v>601.79</v>
      </c>
      <c r="F32" s="67">
        <v>603.97</v>
      </c>
      <c r="G32" s="67">
        <v>603.09</v>
      </c>
      <c r="H32" s="67">
        <v>781.63</v>
      </c>
      <c r="I32" s="67">
        <v>601.35</v>
      </c>
      <c r="J32" s="67">
        <v>603.09</v>
      </c>
      <c r="K32" s="67">
        <v>816.23</v>
      </c>
      <c r="L32" s="67">
        <v>809.5</v>
      </c>
      <c r="M32" s="67">
        <v>603.97</v>
      </c>
      <c r="N32" s="32">
        <f t="shared" si="6"/>
        <v>8040.75</v>
      </c>
      <c r="O32" s="32"/>
      <c r="P32" s="32"/>
      <c r="Q32" s="32"/>
      <c r="R32" s="32"/>
      <c r="S32" s="32"/>
      <c r="T32" s="32"/>
      <c r="U32" s="32"/>
      <c r="V32" s="32"/>
      <c r="W32" s="32"/>
      <c r="X32" s="32"/>
      <c r="Y32" s="32"/>
      <c r="Z32" s="32"/>
    </row>
    <row r="33" ht="15.75" customHeight="1">
      <c r="A33" s="65" t="s">
        <v>220</v>
      </c>
      <c r="B33" s="75">
        <f t="shared" ref="B33:M33" si="8">B11*18%</f>
        <v>22525.5</v>
      </c>
      <c r="C33" s="75">
        <f t="shared" si="8"/>
        <v>22608.84435</v>
      </c>
      <c r="D33" s="75">
        <f t="shared" si="8"/>
        <v>22692.49707</v>
      </c>
      <c r="E33" s="75">
        <f t="shared" si="8"/>
        <v>22776.45931</v>
      </c>
      <c r="F33" s="75">
        <f t="shared" si="8"/>
        <v>22860.73221</v>
      </c>
      <c r="G33" s="75">
        <f t="shared" si="8"/>
        <v>22945.31692</v>
      </c>
      <c r="H33" s="75">
        <f t="shared" si="8"/>
        <v>23030.21459</v>
      </c>
      <c r="I33" s="75">
        <f t="shared" si="8"/>
        <v>23115.42639</v>
      </c>
      <c r="J33" s="75">
        <f t="shared" si="8"/>
        <v>23200.95347</v>
      </c>
      <c r="K33" s="75">
        <f t="shared" si="8"/>
        <v>23286.79699</v>
      </c>
      <c r="L33" s="75">
        <f t="shared" si="8"/>
        <v>23372.95814</v>
      </c>
      <c r="M33" s="75">
        <f t="shared" si="8"/>
        <v>23459.43809</v>
      </c>
      <c r="N33" s="72">
        <f t="shared" si="6"/>
        <v>275875.1375</v>
      </c>
      <c r="O33" s="32"/>
      <c r="P33" s="32"/>
      <c r="Q33" s="32"/>
      <c r="R33" s="32"/>
      <c r="S33" s="32"/>
      <c r="T33" s="32"/>
      <c r="U33" s="32"/>
      <c r="V33" s="32"/>
      <c r="W33" s="32"/>
      <c r="X33" s="32"/>
      <c r="Y33" s="32"/>
      <c r="Z33" s="32"/>
    </row>
    <row r="34" ht="15.75" customHeight="1">
      <c r="A34" s="65" t="s">
        <v>165</v>
      </c>
      <c r="B34" s="66">
        <v>2922.88</v>
      </c>
      <c r="C34" s="66">
        <v>2924.98</v>
      </c>
      <c r="D34" s="66">
        <v>2120.45</v>
      </c>
      <c r="E34" s="66">
        <v>3338.99</v>
      </c>
      <c r="F34" s="66">
        <v>4216.46</v>
      </c>
      <c r="G34" s="66">
        <v>2525.28</v>
      </c>
      <c r="H34" s="66">
        <v>2949.69</v>
      </c>
      <c r="I34" s="66">
        <v>4216.46</v>
      </c>
      <c r="J34" s="66">
        <v>2525.28</v>
      </c>
      <c r="K34" s="66">
        <v>2110.23</v>
      </c>
      <c r="L34" s="66">
        <v>2922.88</v>
      </c>
      <c r="M34" s="66">
        <v>4216.46</v>
      </c>
      <c r="N34" s="20">
        <f t="shared" si="6"/>
        <v>36990.04</v>
      </c>
      <c r="O34" s="32"/>
      <c r="P34" s="32"/>
      <c r="Q34" s="32"/>
      <c r="R34" s="32"/>
      <c r="S34" s="32"/>
      <c r="T34" s="32"/>
      <c r="U34" s="32"/>
      <c r="V34" s="32"/>
      <c r="W34" s="32"/>
      <c r="X34" s="32"/>
      <c r="Y34" s="32"/>
      <c r="Z34" s="32"/>
    </row>
    <row r="35" ht="15.75" customHeight="1">
      <c r="A35" s="65" t="s">
        <v>198</v>
      </c>
      <c r="B35" s="67">
        <v>312.22</v>
      </c>
      <c r="C35" s="67">
        <v>271.68</v>
      </c>
      <c r="D35" s="67">
        <v>74.06</v>
      </c>
      <c r="E35" s="67">
        <v>88.29</v>
      </c>
      <c r="F35" s="67">
        <v>312.0</v>
      </c>
      <c r="G35" s="67">
        <v>312.0</v>
      </c>
      <c r="H35" s="67">
        <v>781.63</v>
      </c>
      <c r="I35" s="67">
        <v>74.06</v>
      </c>
      <c r="J35" s="67">
        <v>312.0</v>
      </c>
      <c r="K35" s="67">
        <v>816.23</v>
      </c>
      <c r="L35" s="67">
        <v>312.22</v>
      </c>
      <c r="M35" s="67">
        <v>312.0</v>
      </c>
      <c r="N35" s="32">
        <f t="shared" si="6"/>
        <v>3978.39</v>
      </c>
      <c r="O35" s="32"/>
      <c r="P35" s="32"/>
      <c r="Q35" s="32"/>
      <c r="R35" s="32"/>
      <c r="S35" s="32"/>
      <c r="T35" s="32"/>
      <c r="U35" s="32"/>
      <c r="V35" s="32"/>
      <c r="W35" s="32"/>
      <c r="X35" s="32"/>
      <c r="Y35" s="32"/>
      <c r="Z35" s="32"/>
    </row>
    <row r="36" ht="15.75" customHeight="1">
      <c r="A36" s="65" t="s">
        <v>166</v>
      </c>
      <c r="B36" s="67">
        <v>159.41</v>
      </c>
      <c r="C36" s="67">
        <v>336.78</v>
      </c>
      <c r="D36" s="67">
        <v>337.26</v>
      </c>
      <c r="E36" s="67">
        <v>480.92</v>
      </c>
      <c r="F36" s="67">
        <v>337.26</v>
      </c>
      <c r="G36" s="67">
        <v>351.37</v>
      </c>
      <c r="H36" s="66">
        <v>1222.67</v>
      </c>
      <c r="I36" s="67">
        <v>336.78</v>
      </c>
      <c r="J36" s="67">
        <v>351.37</v>
      </c>
      <c r="K36" s="67">
        <v>816.23</v>
      </c>
      <c r="L36" s="67">
        <v>159.41</v>
      </c>
      <c r="M36" s="67">
        <v>337.26</v>
      </c>
      <c r="N36" s="32">
        <f t="shared" si="6"/>
        <v>5226.72</v>
      </c>
      <c r="O36" s="32"/>
      <c r="P36" s="32"/>
      <c r="Q36" s="32"/>
      <c r="R36" s="32"/>
      <c r="S36" s="32"/>
      <c r="T36" s="32"/>
      <c r="U36" s="32"/>
      <c r="V36" s="32"/>
      <c r="W36" s="32"/>
      <c r="X36" s="32"/>
      <c r="Y36" s="32"/>
      <c r="Z36" s="32"/>
    </row>
    <row r="37" ht="15.75" customHeight="1">
      <c r="A37" s="65" t="s">
        <v>167</v>
      </c>
      <c r="B37" s="67">
        <v>243.52</v>
      </c>
      <c r="C37" s="67">
        <v>258.77</v>
      </c>
      <c r="D37" s="67">
        <v>260.1</v>
      </c>
      <c r="E37" s="67">
        <v>185.55</v>
      </c>
      <c r="F37" s="67">
        <v>258.58</v>
      </c>
      <c r="G37" s="67">
        <v>258.2</v>
      </c>
      <c r="H37" s="67">
        <v>781.63</v>
      </c>
      <c r="I37" s="67">
        <v>240.81</v>
      </c>
      <c r="J37" s="67">
        <v>258.2</v>
      </c>
      <c r="K37" s="67">
        <v>816.23</v>
      </c>
      <c r="L37" s="67">
        <v>243.52</v>
      </c>
      <c r="M37" s="67">
        <v>258.58</v>
      </c>
      <c r="N37" s="32">
        <f t="shared" si="6"/>
        <v>4063.69</v>
      </c>
      <c r="O37" s="32"/>
      <c r="P37" s="32"/>
      <c r="Q37" s="32"/>
      <c r="R37" s="32"/>
      <c r="S37" s="32"/>
      <c r="T37" s="32"/>
      <c r="U37" s="32"/>
      <c r="V37" s="32"/>
      <c r="W37" s="32"/>
      <c r="X37" s="32"/>
      <c r="Y37" s="32"/>
      <c r="Z37" s="32"/>
    </row>
    <row r="38" ht="15.75" customHeight="1">
      <c r="A38" s="65" t="s">
        <v>221</v>
      </c>
      <c r="B38" s="67">
        <v>98.6</v>
      </c>
      <c r="C38" s="67">
        <v>99.31</v>
      </c>
      <c r="D38" s="67">
        <v>98.95</v>
      </c>
      <c r="E38" s="67">
        <v>98.88</v>
      </c>
      <c r="F38" s="67">
        <v>99.24</v>
      </c>
      <c r="G38" s="67">
        <v>99.1</v>
      </c>
      <c r="H38" s="67">
        <v>781.63</v>
      </c>
      <c r="I38" s="67">
        <v>98.81</v>
      </c>
      <c r="J38" s="67">
        <v>99.1</v>
      </c>
      <c r="K38" s="67">
        <v>816.23</v>
      </c>
      <c r="L38" s="67">
        <v>98.6</v>
      </c>
      <c r="M38" s="67">
        <v>99.24</v>
      </c>
      <c r="N38" s="32">
        <f t="shared" si="6"/>
        <v>2587.69</v>
      </c>
      <c r="O38" s="32"/>
      <c r="P38" s="32"/>
      <c r="Q38" s="32"/>
      <c r="R38" s="32"/>
      <c r="S38" s="32"/>
      <c r="T38" s="32"/>
      <c r="U38" s="32"/>
      <c r="V38" s="32"/>
      <c r="W38" s="32"/>
      <c r="X38" s="32"/>
      <c r="Y38" s="32"/>
      <c r="Z38" s="32"/>
    </row>
    <row r="39" ht="15.75" customHeight="1">
      <c r="A39" s="70" t="s">
        <v>222</v>
      </c>
      <c r="B39" s="76">
        <f t="shared" ref="B39:M39" si="9">B37+B38</f>
        <v>342.12</v>
      </c>
      <c r="C39" s="76">
        <f t="shared" si="9"/>
        <v>358.08</v>
      </c>
      <c r="D39" s="76">
        <f t="shared" si="9"/>
        <v>359.05</v>
      </c>
      <c r="E39" s="76">
        <f t="shared" si="9"/>
        <v>284.43</v>
      </c>
      <c r="F39" s="76">
        <f t="shared" si="9"/>
        <v>357.82</v>
      </c>
      <c r="G39" s="76">
        <f t="shared" si="9"/>
        <v>357.3</v>
      </c>
      <c r="H39" s="76">
        <f t="shared" si="9"/>
        <v>1563.26</v>
      </c>
      <c r="I39" s="76">
        <f t="shared" si="9"/>
        <v>339.62</v>
      </c>
      <c r="J39" s="76">
        <f t="shared" si="9"/>
        <v>357.3</v>
      </c>
      <c r="K39" s="76">
        <f t="shared" si="9"/>
        <v>1632.46</v>
      </c>
      <c r="L39" s="76">
        <f t="shared" si="9"/>
        <v>342.12</v>
      </c>
      <c r="M39" s="76">
        <f t="shared" si="9"/>
        <v>357.82</v>
      </c>
      <c r="N39" s="85">
        <f t="shared" si="6"/>
        <v>6651.38</v>
      </c>
      <c r="O39" s="32"/>
      <c r="P39" s="32"/>
      <c r="Q39" s="32"/>
      <c r="R39" s="32"/>
      <c r="S39" s="32"/>
      <c r="T39" s="32"/>
      <c r="U39" s="32"/>
      <c r="V39" s="32"/>
      <c r="W39" s="32"/>
      <c r="X39" s="32"/>
      <c r="Y39" s="32"/>
      <c r="Z39" s="32"/>
    </row>
    <row r="40" ht="15.75" customHeight="1">
      <c r="A40" s="65" t="s">
        <v>168</v>
      </c>
      <c r="B40" s="67">
        <v>385.86</v>
      </c>
      <c r="C40" s="67">
        <v>571.69</v>
      </c>
      <c r="D40" s="67">
        <v>569.63</v>
      </c>
      <c r="E40" s="67">
        <v>569.21</v>
      </c>
      <c r="F40" s="67">
        <v>157.41</v>
      </c>
      <c r="G40" s="67">
        <v>157.19</v>
      </c>
      <c r="H40" s="67">
        <v>781.63</v>
      </c>
      <c r="I40" s="67">
        <v>834.26</v>
      </c>
      <c r="J40" s="67">
        <v>157.19</v>
      </c>
      <c r="K40" s="67">
        <v>816.23</v>
      </c>
      <c r="L40" s="67">
        <v>385.86</v>
      </c>
      <c r="M40" s="67">
        <v>157.41</v>
      </c>
      <c r="N40" s="32">
        <f t="shared" si="6"/>
        <v>5543.57</v>
      </c>
      <c r="O40" s="32"/>
      <c r="P40" s="32"/>
      <c r="Q40" s="32"/>
      <c r="R40" s="32"/>
      <c r="S40" s="32"/>
      <c r="T40" s="32"/>
      <c r="U40" s="32"/>
      <c r="V40" s="32"/>
      <c r="W40" s="32"/>
      <c r="X40" s="32"/>
      <c r="Y40" s="32"/>
      <c r="Z40" s="32"/>
    </row>
    <row r="41" ht="15.75" customHeight="1">
      <c r="A41" s="65" t="s">
        <v>169</v>
      </c>
      <c r="B41" s="66">
        <v>3302.34</v>
      </c>
      <c r="C41" s="66">
        <v>3272.34</v>
      </c>
      <c r="D41" s="66">
        <v>4440.6</v>
      </c>
      <c r="E41" s="66">
        <v>6447.72</v>
      </c>
      <c r="F41" s="66">
        <v>3243.59</v>
      </c>
      <c r="G41" s="66">
        <v>5431.48</v>
      </c>
      <c r="H41" s="66">
        <v>5170.08</v>
      </c>
      <c r="I41" s="66">
        <v>4580.6</v>
      </c>
      <c r="J41" s="66">
        <v>5431.48</v>
      </c>
      <c r="K41" s="66">
        <v>3858.44</v>
      </c>
      <c r="L41" s="66">
        <v>2535.33</v>
      </c>
      <c r="M41" s="66">
        <v>3243.59</v>
      </c>
      <c r="N41" s="20">
        <f t="shared" si="6"/>
        <v>50957.59</v>
      </c>
      <c r="O41" s="32"/>
      <c r="P41" s="32"/>
      <c r="Q41" s="32"/>
      <c r="R41" s="32"/>
      <c r="S41" s="32"/>
      <c r="T41" s="32"/>
      <c r="U41" s="32"/>
      <c r="V41" s="32"/>
      <c r="W41" s="32"/>
      <c r="X41" s="32"/>
      <c r="Y41" s="32"/>
      <c r="Z41" s="32"/>
    </row>
    <row r="42" ht="15.75" customHeight="1">
      <c r="A42" s="65" t="s">
        <v>170</v>
      </c>
      <c r="B42" s="67">
        <v>680.5</v>
      </c>
      <c r="C42" s="66">
        <v>1313.11</v>
      </c>
      <c r="D42" s="66">
        <v>3533.29</v>
      </c>
      <c r="E42" s="66">
        <v>1313.11</v>
      </c>
      <c r="F42" s="66">
        <v>2068.28</v>
      </c>
      <c r="G42" s="67">
        <v>924.98</v>
      </c>
      <c r="H42" s="67">
        <v>781.63</v>
      </c>
      <c r="I42" s="67">
        <v>409.96</v>
      </c>
      <c r="J42" s="67">
        <v>924.98</v>
      </c>
      <c r="K42" s="67">
        <v>816.23</v>
      </c>
      <c r="L42" s="67">
        <v>680.5</v>
      </c>
      <c r="M42" s="66">
        <v>2068.28</v>
      </c>
      <c r="N42" s="32">
        <f t="shared" si="6"/>
        <v>15514.85</v>
      </c>
      <c r="O42" s="32"/>
      <c r="P42" s="32"/>
      <c r="Q42" s="32"/>
      <c r="R42" s="32"/>
      <c r="S42" s="32"/>
      <c r="T42" s="32"/>
      <c r="U42" s="32"/>
      <c r="V42" s="32"/>
      <c r="W42" s="32"/>
      <c r="X42" s="32"/>
      <c r="Y42" s="32"/>
      <c r="Z42" s="32"/>
    </row>
    <row r="43" ht="15.75" customHeight="1">
      <c r="A43" s="65" t="s">
        <v>171</v>
      </c>
      <c r="B43" s="66">
        <v>11215.7</v>
      </c>
      <c r="C43" s="66">
        <v>12269.46</v>
      </c>
      <c r="D43" s="66">
        <v>8431.11</v>
      </c>
      <c r="E43" s="66">
        <v>7823.24</v>
      </c>
      <c r="F43" s="66">
        <v>11475.39</v>
      </c>
      <c r="G43" s="66">
        <v>13841.14</v>
      </c>
      <c r="H43" s="66">
        <v>8431.11</v>
      </c>
      <c r="I43" s="66">
        <v>8418.96</v>
      </c>
      <c r="J43" s="66">
        <v>13871.14</v>
      </c>
      <c r="K43" s="66">
        <v>8468.68</v>
      </c>
      <c r="L43" s="66">
        <v>13871.14</v>
      </c>
      <c r="M43" s="66">
        <v>11475.39</v>
      </c>
      <c r="N43" s="20">
        <f t="shared" si="6"/>
        <v>129592.46</v>
      </c>
      <c r="O43" s="32"/>
      <c r="P43" s="32"/>
      <c r="Q43" s="32"/>
      <c r="R43" s="32"/>
      <c r="S43" s="32"/>
      <c r="T43" s="32"/>
      <c r="U43" s="32"/>
      <c r="V43" s="32"/>
      <c r="W43" s="32"/>
      <c r="X43" s="32"/>
      <c r="Y43" s="32"/>
      <c r="Z43" s="32"/>
    </row>
    <row r="44" ht="15.75" customHeight="1">
      <c r="A44" s="65" t="s">
        <v>223</v>
      </c>
      <c r="B44" s="67">
        <v>339.09</v>
      </c>
      <c r="C44" s="67">
        <v>341.06</v>
      </c>
      <c r="D44" s="67">
        <v>339.82</v>
      </c>
      <c r="E44" s="67">
        <v>339.58</v>
      </c>
      <c r="F44" s="67">
        <v>340.81</v>
      </c>
      <c r="G44" s="67">
        <v>340.31</v>
      </c>
      <c r="H44" s="67">
        <v>781.63</v>
      </c>
      <c r="I44" s="67">
        <v>339.33</v>
      </c>
      <c r="J44" s="67">
        <v>306.31</v>
      </c>
      <c r="K44" s="67">
        <v>816.23</v>
      </c>
      <c r="L44" s="67">
        <v>339.09</v>
      </c>
      <c r="M44" s="67">
        <v>340.81</v>
      </c>
      <c r="N44" s="32">
        <f t="shared" si="6"/>
        <v>4964.07</v>
      </c>
      <c r="O44" s="32"/>
      <c r="P44" s="32"/>
      <c r="Q44" s="32"/>
      <c r="R44" s="32"/>
      <c r="S44" s="32"/>
      <c r="T44" s="32"/>
      <c r="U44" s="32"/>
      <c r="V44" s="32"/>
      <c r="W44" s="32"/>
      <c r="X44" s="32"/>
      <c r="Y44" s="32"/>
      <c r="Z44" s="32"/>
    </row>
    <row r="45" ht="15.75" customHeight="1">
      <c r="A45" s="65" t="s">
        <v>172</v>
      </c>
      <c r="B45" s="67">
        <v>20.09</v>
      </c>
      <c r="C45" s="67">
        <v>20.1</v>
      </c>
      <c r="D45" s="67">
        <v>20.1</v>
      </c>
      <c r="E45" s="67">
        <v>20.1</v>
      </c>
      <c r="F45" s="67">
        <v>20.1</v>
      </c>
      <c r="G45" s="67">
        <v>20.1</v>
      </c>
      <c r="H45" s="67">
        <v>20.1</v>
      </c>
      <c r="I45" s="67">
        <v>20.1</v>
      </c>
      <c r="J45" s="67">
        <v>20.1</v>
      </c>
      <c r="K45" s="67">
        <v>816.23</v>
      </c>
      <c r="L45" s="67">
        <v>20.09</v>
      </c>
      <c r="M45" s="67">
        <v>20.1</v>
      </c>
      <c r="N45" s="32">
        <f t="shared" si="6"/>
        <v>1037.31</v>
      </c>
      <c r="O45" s="32"/>
      <c r="P45" s="32"/>
      <c r="Q45" s="32"/>
      <c r="R45" s="32"/>
      <c r="S45" s="32"/>
      <c r="T45" s="32"/>
      <c r="U45" s="32"/>
      <c r="V45" s="32"/>
      <c r="W45" s="32"/>
      <c r="X45" s="32"/>
      <c r="Y45" s="32"/>
      <c r="Z45" s="32"/>
    </row>
    <row r="46" ht="15.75" customHeight="1">
      <c r="A46" s="65" t="s">
        <v>199</v>
      </c>
      <c r="B46" s="67">
        <v>39.62</v>
      </c>
      <c r="C46" s="67">
        <v>39.85</v>
      </c>
      <c r="D46" s="67">
        <v>39.71</v>
      </c>
      <c r="E46" s="67">
        <v>39.68</v>
      </c>
      <c r="F46" s="67">
        <v>39.82</v>
      </c>
      <c r="G46" s="67">
        <v>39.77</v>
      </c>
      <c r="H46" s="67">
        <v>781.63</v>
      </c>
      <c r="I46" s="67">
        <v>29.65</v>
      </c>
      <c r="J46" s="67">
        <v>39.77</v>
      </c>
      <c r="K46" s="67">
        <v>816.23</v>
      </c>
      <c r="L46" s="67">
        <v>39.62</v>
      </c>
      <c r="M46" s="67">
        <v>39.82</v>
      </c>
      <c r="N46" s="32">
        <f t="shared" si="6"/>
        <v>1985.17</v>
      </c>
      <c r="O46" s="32"/>
      <c r="P46" s="32"/>
      <c r="Q46" s="32"/>
      <c r="R46" s="32"/>
      <c r="S46" s="32"/>
      <c r="T46" s="32"/>
      <c r="U46" s="32"/>
      <c r="V46" s="32"/>
      <c r="W46" s="32"/>
      <c r="X46" s="32"/>
      <c r="Y46" s="32"/>
      <c r="Z46" s="32"/>
    </row>
    <row r="47" ht="15.75" customHeight="1">
      <c r="A47" s="65" t="s">
        <v>224</v>
      </c>
      <c r="B47" s="66">
        <v>1642.27</v>
      </c>
      <c r="C47" s="67">
        <v>604.41</v>
      </c>
      <c r="D47" s="66">
        <v>1871.8</v>
      </c>
      <c r="E47" s="66">
        <v>1870.45</v>
      </c>
      <c r="F47" s="66">
        <v>1207.94</v>
      </c>
      <c r="G47" s="67">
        <v>177.16</v>
      </c>
      <c r="H47" s="67">
        <v>781.63</v>
      </c>
      <c r="I47" s="66">
        <v>1869.1</v>
      </c>
      <c r="J47" s="67">
        <v>177.16</v>
      </c>
      <c r="K47" s="67">
        <v>816.23</v>
      </c>
      <c r="L47" s="66">
        <v>1642.27</v>
      </c>
      <c r="M47" s="66">
        <v>1207.94</v>
      </c>
      <c r="N47" s="20">
        <f t="shared" si="6"/>
        <v>13868.36</v>
      </c>
      <c r="O47" s="32"/>
      <c r="P47" s="32"/>
      <c r="Q47" s="32"/>
      <c r="R47" s="32"/>
      <c r="S47" s="32"/>
      <c r="T47" s="32"/>
      <c r="U47" s="32"/>
      <c r="V47" s="32"/>
      <c r="W47" s="32"/>
      <c r="X47" s="32"/>
      <c r="Y47" s="32"/>
      <c r="Z47" s="32"/>
    </row>
    <row r="48" ht="15.75" customHeight="1">
      <c r="A48" s="65" t="s">
        <v>174</v>
      </c>
      <c r="B48" s="66">
        <v>1802.77</v>
      </c>
      <c r="C48" s="66">
        <v>1813.22</v>
      </c>
      <c r="D48" s="66">
        <v>1806.67</v>
      </c>
      <c r="E48" s="66">
        <v>1805.36</v>
      </c>
      <c r="F48" s="66">
        <v>1811.9</v>
      </c>
      <c r="G48" s="66">
        <v>1809.28</v>
      </c>
      <c r="H48" s="66">
        <v>1693.26</v>
      </c>
      <c r="I48" s="66">
        <v>1804.06</v>
      </c>
      <c r="J48" s="66">
        <v>1809.28</v>
      </c>
      <c r="K48" s="66">
        <v>1569.67</v>
      </c>
      <c r="L48" s="66">
        <v>1802.77</v>
      </c>
      <c r="M48" s="66">
        <v>1811.9</v>
      </c>
      <c r="N48" s="20">
        <f t="shared" si="6"/>
        <v>21340.14</v>
      </c>
      <c r="O48" s="32"/>
      <c r="P48" s="32"/>
      <c r="Q48" s="32"/>
      <c r="R48" s="32"/>
      <c r="S48" s="32"/>
      <c r="T48" s="32"/>
      <c r="U48" s="32"/>
      <c r="V48" s="32"/>
      <c r="W48" s="32"/>
      <c r="X48" s="32"/>
      <c r="Y48" s="32"/>
      <c r="Z48" s="32"/>
    </row>
    <row r="49" ht="15.75" customHeight="1">
      <c r="A49" s="65" t="s">
        <v>200</v>
      </c>
      <c r="B49" s="67">
        <v>505.64</v>
      </c>
      <c r="C49" s="67">
        <v>505.64</v>
      </c>
      <c r="D49" s="67">
        <v>505.64</v>
      </c>
      <c r="E49" s="67">
        <v>505.64</v>
      </c>
      <c r="F49" s="67">
        <v>505.64</v>
      </c>
      <c r="G49" s="67">
        <v>505.64</v>
      </c>
      <c r="H49" s="67">
        <v>781.63</v>
      </c>
      <c r="I49" s="67">
        <v>505.64</v>
      </c>
      <c r="J49" s="67">
        <v>505.64</v>
      </c>
      <c r="K49" s="67">
        <v>816.23</v>
      </c>
      <c r="L49" s="67">
        <v>505.64</v>
      </c>
      <c r="M49" s="67">
        <v>505.64</v>
      </c>
      <c r="N49" s="32">
        <f t="shared" si="6"/>
        <v>6654.26</v>
      </c>
      <c r="O49" s="32"/>
      <c r="P49" s="32"/>
      <c r="Q49" s="32"/>
      <c r="R49" s="32"/>
      <c r="S49" s="32"/>
      <c r="T49" s="32"/>
      <c r="U49" s="32"/>
      <c r="V49" s="32"/>
      <c r="W49" s="32"/>
      <c r="X49" s="32"/>
      <c r="Y49" s="32"/>
      <c r="Z49" s="32"/>
    </row>
    <row r="50" ht="15.75" customHeight="1">
      <c r="A50" s="65" t="s">
        <v>175</v>
      </c>
      <c r="B50" s="66">
        <v>2452.22</v>
      </c>
      <c r="C50" s="66">
        <v>2452.22</v>
      </c>
      <c r="D50" s="66">
        <v>1226.02</v>
      </c>
      <c r="E50" s="66">
        <v>2436.22</v>
      </c>
      <c r="F50" s="66">
        <v>2452.22</v>
      </c>
      <c r="G50" s="66">
        <v>2452.22</v>
      </c>
      <c r="H50" s="67">
        <v>781.63</v>
      </c>
      <c r="I50" s="66">
        <v>2452.22</v>
      </c>
      <c r="J50" s="66">
        <v>2452.22</v>
      </c>
      <c r="K50" s="67">
        <v>816.23</v>
      </c>
      <c r="L50" s="66">
        <v>2452.22</v>
      </c>
      <c r="M50" s="66">
        <v>2452.22</v>
      </c>
      <c r="N50" s="20">
        <f t="shared" si="6"/>
        <v>24877.86</v>
      </c>
      <c r="O50" s="32"/>
      <c r="P50" s="32"/>
      <c r="Q50" s="32"/>
      <c r="R50" s="32"/>
      <c r="S50" s="32"/>
      <c r="T50" s="32"/>
      <c r="U50" s="32"/>
      <c r="V50" s="32"/>
      <c r="W50" s="32"/>
      <c r="X50" s="32"/>
      <c r="Y50" s="32"/>
      <c r="Z50" s="32"/>
    </row>
    <row r="51" ht="15.75" customHeight="1">
      <c r="A51" s="65" t="s">
        <v>176</v>
      </c>
      <c r="B51" s="67">
        <v>150.23</v>
      </c>
      <c r="C51" s="67">
        <v>151.1</v>
      </c>
      <c r="D51" s="67">
        <v>150.56</v>
      </c>
      <c r="E51" s="67">
        <v>150.45</v>
      </c>
      <c r="F51" s="67">
        <v>150.99</v>
      </c>
      <c r="G51" s="67">
        <v>150.77</v>
      </c>
      <c r="H51" s="67">
        <v>625.3</v>
      </c>
      <c r="I51" s="67">
        <v>150.34</v>
      </c>
      <c r="J51" s="67">
        <v>150.77</v>
      </c>
      <c r="K51" s="67">
        <v>627.87</v>
      </c>
      <c r="L51" s="67">
        <v>150.23</v>
      </c>
      <c r="M51" s="67">
        <v>150.99</v>
      </c>
      <c r="N51" s="32">
        <f t="shared" si="6"/>
        <v>2759.6</v>
      </c>
      <c r="O51" s="32"/>
      <c r="P51" s="32"/>
      <c r="Q51" s="32"/>
      <c r="R51" s="32"/>
      <c r="S51" s="32"/>
      <c r="T51" s="32"/>
      <c r="U51" s="32"/>
      <c r="V51" s="32"/>
      <c r="W51" s="32"/>
      <c r="X51" s="32"/>
      <c r="Y51" s="32"/>
      <c r="Z51" s="32"/>
    </row>
    <row r="52" ht="15.75" customHeight="1">
      <c r="A52" s="70" t="s">
        <v>177</v>
      </c>
      <c r="B52" s="75">
        <f>Explaination!E70+B33</f>
        <v>62025.5</v>
      </c>
      <c r="C52" s="75">
        <f t="shared" ref="C52:M52" si="10">39500+C33</f>
        <v>62108.84435</v>
      </c>
      <c r="D52" s="75">
        <f t="shared" si="10"/>
        <v>62192.49707</v>
      </c>
      <c r="E52" s="75">
        <f t="shared" si="10"/>
        <v>62276.45931</v>
      </c>
      <c r="F52" s="75">
        <f t="shared" si="10"/>
        <v>62360.73221</v>
      </c>
      <c r="G52" s="75">
        <f t="shared" si="10"/>
        <v>62445.31692</v>
      </c>
      <c r="H52" s="75">
        <f t="shared" si="10"/>
        <v>62530.21459</v>
      </c>
      <c r="I52" s="75">
        <f t="shared" si="10"/>
        <v>62615.42639</v>
      </c>
      <c r="J52" s="75">
        <f t="shared" si="10"/>
        <v>62700.95347</v>
      </c>
      <c r="K52" s="75">
        <f t="shared" si="10"/>
        <v>62786.79699</v>
      </c>
      <c r="L52" s="75">
        <f t="shared" si="10"/>
        <v>62872.95814</v>
      </c>
      <c r="M52" s="75">
        <f t="shared" si="10"/>
        <v>62959.43809</v>
      </c>
      <c r="N52" s="72">
        <f t="shared" si="6"/>
        <v>749875.1375</v>
      </c>
      <c r="O52" s="32"/>
      <c r="P52" s="32"/>
      <c r="Q52" s="32"/>
      <c r="R52" s="32"/>
      <c r="S52" s="32"/>
      <c r="T52" s="32"/>
      <c r="U52" s="32"/>
      <c r="V52" s="32"/>
      <c r="W52" s="32"/>
      <c r="X52" s="32"/>
      <c r="Y52" s="32"/>
      <c r="Z52" s="32"/>
    </row>
    <row r="53" ht="15.75" customHeight="1">
      <c r="A53" s="70" t="s">
        <v>178</v>
      </c>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5.75" customHeight="1">
      <c r="A54" s="70" t="s">
        <v>179</v>
      </c>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5.75" customHeight="1">
      <c r="A55" s="70" t="s">
        <v>180</v>
      </c>
      <c r="B55" s="75">
        <f t="shared" ref="B55:N55" si="11">B17-B52</f>
        <v>-21980.16667</v>
      </c>
      <c r="C55" s="75">
        <f t="shared" si="11"/>
        <v>-21915.34328</v>
      </c>
      <c r="D55" s="75">
        <f t="shared" si="11"/>
        <v>-21850.28005</v>
      </c>
      <c r="E55" s="75">
        <f t="shared" si="11"/>
        <v>-21784.97609</v>
      </c>
      <c r="F55" s="75">
        <f t="shared" si="11"/>
        <v>-21719.4305</v>
      </c>
      <c r="G55" s="75">
        <f t="shared" si="11"/>
        <v>-21653.64239</v>
      </c>
      <c r="H55" s="75">
        <f t="shared" si="11"/>
        <v>-21587.61087</v>
      </c>
      <c r="I55" s="75">
        <f t="shared" si="11"/>
        <v>-21521.33503</v>
      </c>
      <c r="J55" s="75">
        <f t="shared" si="11"/>
        <v>-21454.81397</v>
      </c>
      <c r="K55" s="75">
        <f t="shared" si="11"/>
        <v>-21388.04678</v>
      </c>
      <c r="L55" s="75">
        <f t="shared" si="11"/>
        <v>-21321.03256</v>
      </c>
      <c r="M55" s="75">
        <f t="shared" si="11"/>
        <v>-21253.77038</v>
      </c>
      <c r="N55" s="72">
        <f t="shared" si="11"/>
        <v>-259430.4486</v>
      </c>
      <c r="O55" s="32"/>
      <c r="P55" s="32"/>
      <c r="Q55" s="32"/>
      <c r="R55" s="32"/>
      <c r="S55" s="32"/>
      <c r="T55" s="32"/>
      <c r="U55" s="32"/>
      <c r="V55" s="32"/>
      <c r="W55" s="32"/>
      <c r="X55" s="32"/>
      <c r="Y55" s="32"/>
      <c r="Z55" s="32"/>
    </row>
    <row r="56"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sheetData>
  <mergeCells count="1">
    <mergeCell ref="A2:N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2.0"/>
    <col customWidth="1" min="3" max="3" width="12.57"/>
    <col customWidth="1" min="4" max="8" width="11.43"/>
    <col customWidth="1" min="9" max="9" width="12.0"/>
    <col customWidth="1" min="10" max="10" width="14.57"/>
    <col customWidth="1" min="11" max="11" width="12.0"/>
    <col customWidth="1" min="12" max="12" width="13.86"/>
    <col customWidth="1" min="13" max="13" width="14.0"/>
    <col customWidth="1" min="14" max="14" width="14.57"/>
    <col customWidth="1" min="15" max="26" width="8.71"/>
  </cols>
  <sheetData>
    <row r="1">
      <c r="A1" s="32"/>
      <c r="B1" s="32"/>
      <c r="C1" s="32"/>
      <c r="D1" s="32"/>
      <c r="E1" s="32"/>
      <c r="F1" s="32"/>
      <c r="G1" s="32"/>
      <c r="H1" s="32"/>
      <c r="I1" s="32"/>
      <c r="J1" s="32"/>
      <c r="K1" s="32"/>
      <c r="L1" s="32"/>
      <c r="M1" s="32"/>
      <c r="N1" s="32"/>
      <c r="O1" s="32"/>
      <c r="P1" s="32"/>
      <c r="Q1" s="32"/>
      <c r="R1" s="32"/>
      <c r="S1" s="32"/>
      <c r="T1" s="32"/>
      <c r="U1" s="32"/>
      <c r="V1" s="32"/>
      <c r="W1" s="32"/>
      <c r="X1" s="32"/>
      <c r="Y1" s="32"/>
      <c r="Z1" s="32"/>
    </row>
    <row r="2">
      <c r="A2" s="60" t="s">
        <v>229</v>
      </c>
      <c r="B2" s="61"/>
      <c r="C2" s="61"/>
      <c r="D2" s="61"/>
      <c r="E2" s="61"/>
      <c r="F2" s="61"/>
      <c r="G2" s="61"/>
      <c r="H2" s="61"/>
      <c r="I2" s="61"/>
      <c r="J2" s="61"/>
      <c r="K2" s="61"/>
      <c r="L2" s="61"/>
      <c r="M2" s="61"/>
      <c r="N2" s="61"/>
      <c r="O2" s="32"/>
      <c r="P2" s="32"/>
      <c r="Q2" s="32"/>
      <c r="R2" s="32"/>
      <c r="S2" s="32"/>
      <c r="T2" s="32"/>
      <c r="U2" s="32"/>
      <c r="V2" s="32"/>
      <c r="W2" s="32"/>
      <c r="X2" s="32"/>
      <c r="Y2" s="32"/>
      <c r="Z2" s="32"/>
    </row>
    <row r="3">
      <c r="A3" s="62" t="s">
        <v>129</v>
      </c>
      <c r="B3" s="79">
        <v>46023.0</v>
      </c>
      <c r="C3" s="79">
        <v>46054.0</v>
      </c>
      <c r="D3" s="79">
        <v>46082.0</v>
      </c>
      <c r="E3" s="79">
        <v>46113.0</v>
      </c>
      <c r="F3" s="79">
        <v>46143.0</v>
      </c>
      <c r="G3" s="79">
        <v>46174.0</v>
      </c>
      <c r="H3" s="79">
        <v>46204.0</v>
      </c>
      <c r="I3" s="79">
        <v>46235.0</v>
      </c>
      <c r="J3" s="79">
        <v>46266.0</v>
      </c>
      <c r="K3" s="79">
        <v>46296.0</v>
      </c>
      <c r="L3" s="79">
        <v>46327.0</v>
      </c>
      <c r="M3" s="79">
        <v>46357.0</v>
      </c>
      <c r="N3" s="80" t="s">
        <v>142</v>
      </c>
      <c r="O3" s="32"/>
      <c r="P3" s="32"/>
      <c r="Q3" s="32"/>
      <c r="R3" s="32"/>
      <c r="S3" s="32"/>
      <c r="T3" s="32"/>
      <c r="U3" s="32"/>
      <c r="V3" s="32"/>
      <c r="W3" s="32"/>
      <c r="X3" s="32"/>
      <c r="Y3" s="32"/>
      <c r="Z3" s="32"/>
    </row>
    <row r="4">
      <c r="A4" s="65" t="s">
        <v>143</v>
      </c>
      <c r="B4" s="32"/>
      <c r="C4" s="32"/>
      <c r="D4" s="32"/>
      <c r="E4" s="32"/>
      <c r="F4" s="32"/>
      <c r="G4" s="32"/>
      <c r="H4" s="32"/>
      <c r="I4" s="32"/>
      <c r="J4" s="32"/>
      <c r="K4" s="32"/>
      <c r="L4" s="32"/>
      <c r="M4" s="32"/>
      <c r="N4" s="32"/>
      <c r="O4" s="32"/>
      <c r="P4" s="32"/>
      <c r="Q4" s="32"/>
      <c r="R4" s="32"/>
      <c r="S4" s="32"/>
      <c r="T4" s="32"/>
      <c r="U4" s="32"/>
      <c r="V4" s="32"/>
      <c r="W4" s="32"/>
      <c r="X4" s="32"/>
      <c r="Y4" s="32"/>
      <c r="Z4" s="32"/>
    </row>
    <row r="5">
      <c r="A5" s="65" t="s">
        <v>195</v>
      </c>
      <c r="B5" s="66">
        <v>16586.22</v>
      </c>
      <c r="C5" s="66">
        <v>17358.42</v>
      </c>
      <c r="D5" s="66">
        <v>20020.7</v>
      </c>
      <c r="E5" s="66">
        <v>14580.04</v>
      </c>
      <c r="F5" s="66">
        <v>15661.59</v>
      </c>
      <c r="G5" s="66">
        <v>16155.84</v>
      </c>
      <c r="H5" s="66">
        <v>29271.07</v>
      </c>
      <c r="I5" s="66">
        <v>13865.88</v>
      </c>
      <c r="J5" s="66">
        <v>10855.22</v>
      </c>
      <c r="K5" s="66">
        <v>13004.42</v>
      </c>
      <c r="L5" s="66">
        <v>18864.42</v>
      </c>
      <c r="M5" s="66">
        <v>12673.67</v>
      </c>
      <c r="N5" s="20">
        <f t="shared" ref="N5:N9" si="1">SUM(B5:M5)</f>
        <v>198897.49</v>
      </c>
      <c r="O5" s="32"/>
      <c r="P5" s="32"/>
      <c r="Q5" s="32"/>
      <c r="R5" s="32"/>
      <c r="S5" s="32"/>
      <c r="T5" s="32"/>
      <c r="U5" s="32"/>
      <c r="V5" s="32"/>
      <c r="W5" s="32"/>
      <c r="X5" s="32"/>
      <c r="Y5" s="32"/>
      <c r="Z5" s="32"/>
    </row>
    <row r="6">
      <c r="A6" s="65" t="s">
        <v>144</v>
      </c>
      <c r="B6" s="66">
        <v>109954.03</v>
      </c>
      <c r="C6" s="66">
        <v>110247.07</v>
      </c>
      <c r="D6" s="66">
        <v>110115.56</v>
      </c>
      <c r="E6" s="66">
        <v>117839.5</v>
      </c>
      <c r="F6" s="66">
        <v>117100.77</v>
      </c>
      <c r="G6" s="66">
        <v>115812.4</v>
      </c>
      <c r="H6" s="66">
        <v>106057.46</v>
      </c>
      <c r="I6" s="66">
        <v>121512.16</v>
      </c>
      <c r="J6" s="66">
        <v>89554.19</v>
      </c>
      <c r="K6" s="66">
        <v>124504.2</v>
      </c>
      <c r="L6" s="66">
        <v>115399.85</v>
      </c>
      <c r="M6" s="66">
        <v>126736.68</v>
      </c>
      <c r="N6" s="20">
        <f t="shared" si="1"/>
        <v>1364833.87</v>
      </c>
      <c r="O6" s="32"/>
      <c r="P6" s="32"/>
      <c r="Q6" s="32"/>
      <c r="R6" s="32"/>
      <c r="S6" s="32"/>
      <c r="T6" s="32"/>
      <c r="U6" s="32"/>
      <c r="V6" s="32"/>
      <c r="W6" s="32"/>
      <c r="X6" s="32"/>
      <c r="Y6" s="32"/>
      <c r="Z6" s="32"/>
    </row>
    <row r="7">
      <c r="A7" s="65" t="s">
        <v>145</v>
      </c>
      <c r="B7" s="66">
        <v>12351.42</v>
      </c>
      <c r="C7" s="66">
        <v>12036.19</v>
      </c>
      <c r="D7" s="66">
        <v>9572.39</v>
      </c>
      <c r="E7" s="66">
        <v>8734.35</v>
      </c>
      <c r="F7" s="66">
        <v>9153.75</v>
      </c>
      <c r="G7" s="66">
        <v>10714.22</v>
      </c>
      <c r="H7" s="66">
        <v>8124.42</v>
      </c>
      <c r="I7" s="66">
        <v>7466.84</v>
      </c>
      <c r="J7" s="66">
        <v>8011.02</v>
      </c>
      <c r="K7" s="66">
        <v>8280.84</v>
      </c>
      <c r="L7" s="66">
        <v>12297.79</v>
      </c>
      <c r="M7" s="66">
        <v>7957.88</v>
      </c>
      <c r="N7" s="20">
        <f t="shared" si="1"/>
        <v>114701.11</v>
      </c>
      <c r="O7" s="32"/>
      <c r="P7" s="32"/>
      <c r="Q7" s="32"/>
      <c r="R7" s="32"/>
      <c r="S7" s="32"/>
      <c r="T7" s="32"/>
      <c r="U7" s="32"/>
      <c r="V7" s="32"/>
      <c r="W7" s="32"/>
      <c r="X7" s="32"/>
      <c r="Y7" s="32"/>
      <c r="Z7" s="32"/>
    </row>
    <row r="8">
      <c r="A8" s="65" t="s">
        <v>216</v>
      </c>
      <c r="B8" s="86" t="s">
        <v>227</v>
      </c>
      <c r="C8" s="86" t="s">
        <v>227</v>
      </c>
      <c r="D8" s="86" t="s">
        <v>227</v>
      </c>
      <c r="E8" s="86" t="s">
        <v>227</v>
      </c>
      <c r="F8" s="86" t="s">
        <v>227</v>
      </c>
      <c r="G8" s="86" t="s">
        <v>227</v>
      </c>
      <c r="H8" s="86" t="s">
        <v>227</v>
      </c>
      <c r="I8" s="86" t="s">
        <v>227</v>
      </c>
      <c r="J8" s="66">
        <v>36658.63</v>
      </c>
      <c r="K8" s="86" t="s">
        <v>227</v>
      </c>
      <c r="L8" s="86" t="s">
        <v>227</v>
      </c>
      <c r="M8" s="86" t="s">
        <v>227</v>
      </c>
      <c r="N8" s="32">
        <f t="shared" si="1"/>
        <v>36658.63</v>
      </c>
      <c r="O8" s="32"/>
      <c r="P8" s="32"/>
      <c r="Q8" s="32"/>
      <c r="R8" s="32"/>
      <c r="S8" s="32"/>
      <c r="T8" s="32"/>
      <c r="U8" s="32"/>
      <c r="V8" s="32"/>
      <c r="W8" s="32"/>
      <c r="X8" s="32"/>
      <c r="Y8" s="32"/>
      <c r="Z8" s="32"/>
    </row>
    <row r="9">
      <c r="A9" s="65" t="s">
        <v>146</v>
      </c>
      <c r="B9" s="86" t="s">
        <v>227</v>
      </c>
      <c r="C9" s="86" t="s">
        <v>227</v>
      </c>
      <c r="D9" s="67">
        <v>687.94</v>
      </c>
      <c r="E9" s="86" t="s">
        <v>227</v>
      </c>
      <c r="F9" s="86" t="s">
        <v>227</v>
      </c>
      <c r="G9" s="86" t="s">
        <v>227</v>
      </c>
      <c r="H9" s="86" t="s">
        <v>227</v>
      </c>
      <c r="I9" s="66">
        <v>1383.14</v>
      </c>
      <c r="J9" s="86" t="s">
        <v>227</v>
      </c>
      <c r="K9" s="86" t="s">
        <v>227</v>
      </c>
      <c r="L9" s="86" t="s">
        <v>227</v>
      </c>
      <c r="M9" s="86" t="s">
        <v>227</v>
      </c>
      <c r="N9" s="32">
        <f t="shared" si="1"/>
        <v>2071.08</v>
      </c>
      <c r="O9" s="32"/>
      <c r="P9" s="32"/>
      <c r="Q9" s="32"/>
      <c r="R9" s="32"/>
      <c r="S9" s="32"/>
      <c r="T9" s="32"/>
      <c r="U9" s="32"/>
      <c r="V9" s="32"/>
      <c r="W9" s="32"/>
      <c r="X9" s="32"/>
      <c r="Y9" s="32"/>
      <c r="Z9" s="32"/>
    </row>
    <row r="10">
      <c r="A10" s="65" t="s">
        <v>217</v>
      </c>
      <c r="B10" s="86" t="s">
        <v>227</v>
      </c>
      <c r="C10" s="86" t="s">
        <v>227</v>
      </c>
      <c r="D10" s="86" t="s">
        <v>227</v>
      </c>
      <c r="E10" s="86" t="s">
        <v>227</v>
      </c>
      <c r="F10" s="86" t="s">
        <v>227</v>
      </c>
      <c r="G10" s="86" t="s">
        <v>227</v>
      </c>
      <c r="H10" s="86" t="s">
        <v>227</v>
      </c>
      <c r="I10" s="86" t="s">
        <v>227</v>
      </c>
      <c r="J10" s="86" t="s">
        <v>227</v>
      </c>
      <c r="K10" s="86" t="s">
        <v>227</v>
      </c>
      <c r="L10" s="86" t="s">
        <v>227</v>
      </c>
      <c r="M10" s="86" t="s">
        <v>227</v>
      </c>
      <c r="N10" s="69" t="s">
        <v>227</v>
      </c>
      <c r="O10" s="32"/>
      <c r="P10" s="32"/>
      <c r="Q10" s="32"/>
      <c r="R10" s="32"/>
      <c r="S10" s="32"/>
      <c r="T10" s="32"/>
      <c r="U10" s="32"/>
      <c r="V10" s="32"/>
      <c r="W10" s="32"/>
      <c r="X10" s="32"/>
      <c r="Y10" s="32"/>
      <c r="Z10" s="32"/>
    </row>
    <row r="11">
      <c r="A11" s="70" t="s">
        <v>147</v>
      </c>
      <c r="B11" s="75">
        <f>Explaination!F63</f>
        <v>138891.6667</v>
      </c>
      <c r="C11" s="75">
        <f t="shared" ref="C11:M11" si="2">B11*100.54%</f>
        <v>139641.6817</v>
      </c>
      <c r="D11" s="75">
        <f t="shared" si="2"/>
        <v>140395.7467</v>
      </c>
      <c r="E11" s="75">
        <f t="shared" si="2"/>
        <v>141153.8838</v>
      </c>
      <c r="F11" s="75">
        <f t="shared" si="2"/>
        <v>141916.1148</v>
      </c>
      <c r="G11" s="75">
        <f t="shared" si="2"/>
        <v>142682.4618</v>
      </c>
      <c r="H11" s="75">
        <f t="shared" si="2"/>
        <v>143452.9471</v>
      </c>
      <c r="I11" s="75">
        <f t="shared" si="2"/>
        <v>144227.593</v>
      </c>
      <c r="J11" s="75">
        <f t="shared" si="2"/>
        <v>145006.422</v>
      </c>
      <c r="K11" s="75">
        <f t="shared" si="2"/>
        <v>145789.4567</v>
      </c>
      <c r="L11" s="75">
        <f t="shared" si="2"/>
        <v>146576.7197</v>
      </c>
      <c r="M11" s="75">
        <f t="shared" si="2"/>
        <v>147368.234</v>
      </c>
      <c r="N11" s="72">
        <f>SUM(B11:M11)</f>
        <v>1717102.928</v>
      </c>
      <c r="O11" s="32"/>
      <c r="P11" s="32"/>
      <c r="Q11" s="32"/>
      <c r="R11" s="32"/>
      <c r="S11" s="32"/>
      <c r="T11" s="32"/>
      <c r="U11" s="32"/>
      <c r="V11" s="32"/>
      <c r="W11" s="32"/>
      <c r="X11" s="32"/>
      <c r="Y11" s="32"/>
      <c r="Z11" s="32"/>
    </row>
    <row r="12">
      <c r="A12" s="65" t="s">
        <v>148</v>
      </c>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65" t="s">
        <v>148</v>
      </c>
      <c r="B13" s="66">
        <v>47094.38</v>
      </c>
      <c r="C13" s="66">
        <v>25224.16</v>
      </c>
      <c r="D13" s="66">
        <v>39206.28</v>
      </c>
      <c r="E13" s="66">
        <v>13297.25</v>
      </c>
      <c r="F13" s="66">
        <v>21070.82</v>
      </c>
      <c r="G13" s="66">
        <v>28972.41</v>
      </c>
      <c r="H13" s="66">
        <v>27006.86</v>
      </c>
      <c r="I13" s="66">
        <v>32071.8</v>
      </c>
      <c r="J13" s="66">
        <v>21756.4</v>
      </c>
      <c r="K13" s="66">
        <v>8843.01</v>
      </c>
      <c r="L13" s="66">
        <v>12827.81</v>
      </c>
      <c r="M13" s="66">
        <v>8618.09</v>
      </c>
      <c r="N13" s="20">
        <f t="shared" ref="N13:N16" si="3">SUM(B13:M13)</f>
        <v>285989.27</v>
      </c>
      <c r="O13" s="32"/>
      <c r="P13" s="32"/>
      <c r="Q13" s="32"/>
      <c r="R13" s="32"/>
      <c r="S13" s="32"/>
      <c r="T13" s="32"/>
      <c r="U13" s="32"/>
      <c r="V13" s="32"/>
      <c r="W13" s="32"/>
      <c r="X13" s="32"/>
      <c r="Y13" s="32"/>
      <c r="Z13" s="32"/>
    </row>
    <row r="14">
      <c r="A14" s="65" t="s">
        <v>149</v>
      </c>
      <c r="B14" s="66">
        <v>18478.25</v>
      </c>
      <c r="C14" s="66">
        <v>35698.38</v>
      </c>
      <c r="D14" s="66">
        <v>26338.18</v>
      </c>
      <c r="E14" s="66">
        <v>44187.12</v>
      </c>
      <c r="F14" s="66">
        <v>44590.68</v>
      </c>
      <c r="G14" s="66">
        <v>36199.3</v>
      </c>
      <c r="H14" s="66">
        <v>37841.74</v>
      </c>
      <c r="I14" s="66">
        <v>36903.84</v>
      </c>
      <c r="J14" s="66">
        <v>50665.9</v>
      </c>
      <c r="K14" s="66">
        <v>84662.85</v>
      </c>
      <c r="L14" s="66">
        <v>78471.9</v>
      </c>
      <c r="M14" s="66">
        <v>86180.94</v>
      </c>
      <c r="N14" s="20">
        <f t="shared" si="3"/>
        <v>580219.08</v>
      </c>
      <c r="O14" s="32"/>
      <c r="P14" s="32"/>
      <c r="Q14" s="32"/>
      <c r="R14" s="32"/>
      <c r="S14" s="32"/>
      <c r="T14" s="32"/>
      <c r="U14" s="32"/>
      <c r="V14" s="32"/>
      <c r="W14" s="32"/>
      <c r="X14" s="32"/>
      <c r="Y14" s="32"/>
      <c r="Z14" s="32"/>
    </row>
    <row r="15">
      <c r="A15" s="65" t="s">
        <v>150</v>
      </c>
      <c r="B15" s="66">
        <v>28873.7</v>
      </c>
      <c r="C15" s="66">
        <v>34033.8</v>
      </c>
      <c r="D15" s="66">
        <v>29924.65</v>
      </c>
      <c r="E15" s="66">
        <v>38500.27</v>
      </c>
      <c r="F15" s="66">
        <v>30841.46</v>
      </c>
      <c r="G15" s="66">
        <v>31852.36</v>
      </c>
      <c r="H15" s="66">
        <v>32699.41</v>
      </c>
      <c r="I15" s="66">
        <v>29099.13</v>
      </c>
      <c r="J15" s="66">
        <v>26182.07</v>
      </c>
      <c r="K15" s="66">
        <v>5630.97</v>
      </c>
      <c r="L15" s="66">
        <v>8362.5</v>
      </c>
      <c r="M15" s="66">
        <v>5411.36</v>
      </c>
      <c r="N15" s="20">
        <f t="shared" si="3"/>
        <v>301411.68</v>
      </c>
      <c r="O15" s="32"/>
      <c r="P15" s="32"/>
      <c r="Q15" s="32"/>
      <c r="R15" s="32"/>
      <c r="S15" s="32"/>
      <c r="T15" s="32"/>
      <c r="U15" s="32"/>
      <c r="V15" s="32"/>
      <c r="W15" s="32"/>
      <c r="X15" s="32"/>
      <c r="Y15" s="32"/>
      <c r="Z15" s="32"/>
    </row>
    <row r="16">
      <c r="A16" s="70" t="s">
        <v>151</v>
      </c>
      <c r="B16" s="81">
        <f t="shared" ref="B16:M16" si="4">B11*68%</f>
        <v>94446.33333</v>
      </c>
      <c r="C16" s="81">
        <f t="shared" si="4"/>
        <v>94956.34353</v>
      </c>
      <c r="D16" s="81">
        <f t="shared" si="4"/>
        <v>95469.10779</v>
      </c>
      <c r="E16" s="81">
        <f t="shared" si="4"/>
        <v>95984.64097</v>
      </c>
      <c r="F16" s="81">
        <f t="shared" si="4"/>
        <v>96502.95803</v>
      </c>
      <c r="G16" s="81">
        <f t="shared" si="4"/>
        <v>97024.07401</v>
      </c>
      <c r="H16" s="81">
        <f t="shared" si="4"/>
        <v>97548.004</v>
      </c>
      <c r="I16" s="81">
        <f t="shared" si="4"/>
        <v>98074.76323</v>
      </c>
      <c r="J16" s="81">
        <f t="shared" si="4"/>
        <v>98604.36695</v>
      </c>
      <c r="K16" s="81">
        <f t="shared" si="4"/>
        <v>99136.83053</v>
      </c>
      <c r="L16" s="81">
        <f t="shared" si="4"/>
        <v>99672.16941</v>
      </c>
      <c r="M16" s="81">
        <f t="shared" si="4"/>
        <v>100210.3991</v>
      </c>
      <c r="N16" s="82">
        <f t="shared" si="3"/>
        <v>1167629.991</v>
      </c>
      <c r="O16" s="32"/>
      <c r="P16" s="32"/>
      <c r="Q16" s="32"/>
      <c r="R16" s="32"/>
      <c r="S16" s="32"/>
      <c r="T16" s="32"/>
      <c r="U16" s="32"/>
      <c r="V16" s="32"/>
      <c r="W16" s="32"/>
      <c r="X16" s="32"/>
      <c r="Y16" s="32"/>
      <c r="Z16" s="32"/>
    </row>
    <row r="17">
      <c r="A17" s="70" t="s">
        <v>152</v>
      </c>
      <c r="B17" s="83">
        <f t="shared" ref="B17:N17" si="5">B11-B16</f>
        <v>44445.33333</v>
      </c>
      <c r="C17" s="83">
        <f t="shared" si="5"/>
        <v>44685.33813</v>
      </c>
      <c r="D17" s="83">
        <f t="shared" si="5"/>
        <v>44926.63896</v>
      </c>
      <c r="E17" s="83">
        <f t="shared" si="5"/>
        <v>45169.24281</v>
      </c>
      <c r="F17" s="83">
        <f t="shared" si="5"/>
        <v>45413.15672</v>
      </c>
      <c r="G17" s="83">
        <f t="shared" si="5"/>
        <v>45658.38777</v>
      </c>
      <c r="H17" s="83">
        <f t="shared" si="5"/>
        <v>45904.94306</v>
      </c>
      <c r="I17" s="83">
        <f t="shared" si="5"/>
        <v>46152.82975</v>
      </c>
      <c r="J17" s="83">
        <f t="shared" si="5"/>
        <v>46402.05503</v>
      </c>
      <c r="K17" s="83">
        <f t="shared" si="5"/>
        <v>46652.62613</v>
      </c>
      <c r="L17" s="83">
        <f t="shared" si="5"/>
        <v>46904.55031</v>
      </c>
      <c r="M17" s="83">
        <f t="shared" si="5"/>
        <v>47157.83488</v>
      </c>
      <c r="N17" s="84">
        <f t="shared" si="5"/>
        <v>549472.9369</v>
      </c>
      <c r="O17" s="32"/>
      <c r="P17" s="32"/>
      <c r="Q17" s="32"/>
      <c r="R17" s="32"/>
      <c r="S17" s="32"/>
      <c r="T17" s="32"/>
      <c r="U17" s="32"/>
      <c r="V17" s="32"/>
      <c r="W17" s="32"/>
      <c r="X17" s="32"/>
      <c r="Y17" s="32"/>
      <c r="Z17" s="32"/>
    </row>
    <row r="18">
      <c r="A18" s="65" t="s">
        <v>153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ht="15.75" customHeight="1">
      <c r="A19" s="65" t="s">
        <v>154</v>
      </c>
      <c r="B19" s="66">
        <v>4944.48</v>
      </c>
      <c r="C19" s="66">
        <v>4440.17</v>
      </c>
      <c r="D19" s="66">
        <v>4754.76</v>
      </c>
      <c r="E19" s="66">
        <v>4545.76</v>
      </c>
      <c r="F19" s="66">
        <v>4272.29</v>
      </c>
      <c r="G19" s="66">
        <v>3155.95</v>
      </c>
      <c r="H19" s="66">
        <v>4440.17</v>
      </c>
      <c r="I19" s="66">
        <v>4030.35</v>
      </c>
      <c r="J19" s="66">
        <v>3155.95</v>
      </c>
      <c r="K19" s="66">
        <v>4510.38</v>
      </c>
      <c r="L19" s="66">
        <v>4754.76</v>
      </c>
      <c r="M19" s="66">
        <v>4272.29</v>
      </c>
      <c r="N19" s="20">
        <f t="shared" ref="N19:N52" si="6">SUM(B19:M19)</f>
        <v>51277.31</v>
      </c>
      <c r="O19" s="32"/>
      <c r="P19" s="32"/>
      <c r="Q19" s="32"/>
      <c r="R19" s="32"/>
      <c r="S19" s="32"/>
      <c r="T19" s="32"/>
      <c r="U19" s="32"/>
      <c r="V19" s="32"/>
      <c r="W19" s="32"/>
      <c r="X19" s="32"/>
      <c r="Y19" s="32"/>
      <c r="Z19" s="32"/>
    </row>
    <row r="20" ht="15.75" customHeight="1">
      <c r="A20" s="65" t="s">
        <v>155</v>
      </c>
      <c r="B20" s="67">
        <v>424.05</v>
      </c>
      <c r="C20" s="67">
        <v>840.26</v>
      </c>
      <c r="D20" s="67">
        <v>610.37</v>
      </c>
      <c r="E20" s="66">
        <v>1127.68</v>
      </c>
      <c r="F20" s="67">
        <v>423.75</v>
      </c>
      <c r="G20" s="67">
        <v>72.54</v>
      </c>
      <c r="H20" s="67">
        <v>849.18</v>
      </c>
      <c r="I20" s="66">
        <v>1126.87</v>
      </c>
      <c r="J20" s="67">
        <v>72.54</v>
      </c>
      <c r="K20" s="67">
        <v>854.65</v>
      </c>
      <c r="L20" s="67">
        <v>424.05</v>
      </c>
      <c r="M20" s="67">
        <v>423.75</v>
      </c>
      <c r="N20" s="32">
        <f t="shared" si="6"/>
        <v>7249.69</v>
      </c>
      <c r="O20" s="32"/>
      <c r="P20" s="32"/>
      <c r="Q20" s="32"/>
      <c r="R20" s="32"/>
      <c r="S20" s="32"/>
      <c r="T20" s="32"/>
      <c r="U20" s="32"/>
      <c r="V20" s="32"/>
      <c r="W20" s="32"/>
      <c r="X20" s="32"/>
      <c r="Y20" s="32"/>
      <c r="Z20" s="32"/>
    </row>
    <row r="21" ht="15.75" customHeight="1">
      <c r="A21" s="65" t="s">
        <v>156</v>
      </c>
      <c r="B21" s="67">
        <v>60.81</v>
      </c>
      <c r="C21" s="67">
        <v>646.36</v>
      </c>
      <c r="D21" s="67">
        <v>210.63</v>
      </c>
      <c r="E21" s="67">
        <v>122.47</v>
      </c>
      <c r="F21" s="67">
        <v>64.6</v>
      </c>
      <c r="G21" s="67">
        <v>195.82</v>
      </c>
      <c r="H21" s="67">
        <v>653.22</v>
      </c>
      <c r="I21" s="67">
        <v>78.48</v>
      </c>
      <c r="J21" s="67">
        <v>195.82</v>
      </c>
      <c r="K21" s="67">
        <v>657.42</v>
      </c>
      <c r="L21" s="67">
        <v>60.81</v>
      </c>
      <c r="M21" s="67">
        <v>64.6</v>
      </c>
      <c r="N21" s="32">
        <f t="shared" si="6"/>
        <v>3011.04</v>
      </c>
      <c r="O21" s="32"/>
      <c r="P21" s="32"/>
      <c r="Q21" s="32"/>
      <c r="R21" s="32"/>
      <c r="S21" s="32"/>
      <c r="T21" s="32"/>
      <c r="U21" s="32"/>
      <c r="V21" s="32"/>
      <c r="W21" s="32"/>
      <c r="X21" s="32"/>
      <c r="Y21" s="32"/>
      <c r="Z21" s="32"/>
    </row>
    <row r="22" ht="15.75" customHeight="1">
      <c r="A22" s="65" t="s">
        <v>157</v>
      </c>
      <c r="B22" s="67">
        <v>32.95</v>
      </c>
      <c r="C22" s="67">
        <v>64.64</v>
      </c>
      <c r="D22" s="67">
        <v>24.11</v>
      </c>
      <c r="E22" s="67">
        <v>5.55</v>
      </c>
      <c r="F22" s="67">
        <v>32.95</v>
      </c>
      <c r="G22" s="67">
        <v>32.95</v>
      </c>
      <c r="H22" s="67">
        <v>65.32</v>
      </c>
      <c r="I22" s="67">
        <v>15.4</v>
      </c>
      <c r="J22" s="67">
        <v>32.95</v>
      </c>
      <c r="K22" s="67">
        <v>65.74</v>
      </c>
      <c r="L22" s="67">
        <v>32.95</v>
      </c>
      <c r="M22" s="67">
        <v>32.95</v>
      </c>
      <c r="N22" s="32">
        <f t="shared" si="6"/>
        <v>438.46</v>
      </c>
      <c r="O22" s="32"/>
      <c r="P22" s="32"/>
      <c r="Q22" s="32"/>
      <c r="R22" s="32"/>
      <c r="S22" s="32"/>
      <c r="T22" s="32"/>
      <c r="U22" s="32"/>
      <c r="V22" s="32"/>
      <c r="W22" s="32"/>
      <c r="X22" s="32"/>
      <c r="Y22" s="32"/>
      <c r="Z22" s="32"/>
    </row>
    <row r="23" ht="15.75" customHeight="1">
      <c r="A23" s="70" t="s">
        <v>158</v>
      </c>
      <c r="B23" s="76">
        <f t="shared" ref="B23:M23" si="7">B20+B21+B22</f>
        <v>517.81</v>
      </c>
      <c r="C23" s="76">
        <f t="shared" si="7"/>
        <v>1551.26</v>
      </c>
      <c r="D23" s="76">
        <f t="shared" si="7"/>
        <v>845.11</v>
      </c>
      <c r="E23" s="77">
        <f t="shared" si="7"/>
        <v>1255.7</v>
      </c>
      <c r="F23" s="76">
        <f t="shared" si="7"/>
        <v>521.3</v>
      </c>
      <c r="G23" s="76">
        <f t="shared" si="7"/>
        <v>301.31</v>
      </c>
      <c r="H23" s="76">
        <f t="shared" si="7"/>
        <v>1567.72</v>
      </c>
      <c r="I23" s="77">
        <f t="shared" si="7"/>
        <v>1220.75</v>
      </c>
      <c r="J23" s="76">
        <f t="shared" si="7"/>
        <v>301.31</v>
      </c>
      <c r="K23" s="76">
        <f t="shared" si="7"/>
        <v>1577.81</v>
      </c>
      <c r="L23" s="76">
        <f t="shared" si="7"/>
        <v>517.81</v>
      </c>
      <c r="M23" s="76">
        <f t="shared" si="7"/>
        <v>521.3</v>
      </c>
      <c r="N23" s="85">
        <f t="shared" si="6"/>
        <v>10699.19</v>
      </c>
      <c r="O23" s="32"/>
      <c r="P23" s="32"/>
      <c r="Q23" s="32"/>
      <c r="R23" s="32"/>
      <c r="S23" s="32"/>
      <c r="T23" s="32"/>
      <c r="U23" s="32"/>
      <c r="V23" s="32"/>
      <c r="W23" s="32"/>
      <c r="X23" s="32"/>
      <c r="Y23" s="32"/>
      <c r="Z23" s="32"/>
    </row>
    <row r="24" ht="15.75" customHeight="1">
      <c r="A24" s="65" t="s">
        <v>159</v>
      </c>
      <c r="B24" s="67">
        <v>478.1</v>
      </c>
      <c r="C24" s="67">
        <v>227.68</v>
      </c>
      <c r="D24" s="67">
        <v>168.12</v>
      </c>
      <c r="E24" s="67">
        <v>230.19</v>
      </c>
      <c r="F24" s="67">
        <v>61.61</v>
      </c>
      <c r="G24" s="67">
        <v>224.65</v>
      </c>
      <c r="H24" s="67">
        <v>261.29</v>
      </c>
      <c r="I24" s="67">
        <v>180.11</v>
      </c>
      <c r="J24" s="67">
        <v>224.65</v>
      </c>
      <c r="K24" s="67">
        <v>262.97</v>
      </c>
      <c r="L24" s="67">
        <v>475.1</v>
      </c>
      <c r="M24" s="67">
        <v>61.61</v>
      </c>
      <c r="N24" s="32">
        <f t="shared" si="6"/>
        <v>2856.08</v>
      </c>
      <c r="O24" s="32"/>
      <c r="P24" s="32"/>
      <c r="Q24" s="32"/>
      <c r="R24" s="32"/>
      <c r="S24" s="32"/>
      <c r="T24" s="32"/>
      <c r="U24" s="32"/>
      <c r="V24" s="32"/>
      <c r="W24" s="32"/>
      <c r="X24" s="32"/>
      <c r="Y24" s="32"/>
      <c r="Z24" s="32"/>
    </row>
    <row r="25" ht="15.75" customHeight="1">
      <c r="A25" s="65" t="s">
        <v>218</v>
      </c>
      <c r="B25" s="67">
        <v>89.94</v>
      </c>
      <c r="C25" s="67">
        <v>90.66</v>
      </c>
      <c r="D25" s="67">
        <v>90.33</v>
      </c>
      <c r="E25" s="67">
        <v>90.27</v>
      </c>
      <c r="F25" s="67">
        <v>90.6</v>
      </c>
      <c r="G25" s="67">
        <v>90.46</v>
      </c>
      <c r="H25" s="67">
        <v>90.27</v>
      </c>
      <c r="I25" s="67">
        <v>90.2</v>
      </c>
      <c r="J25" s="67">
        <v>90.46</v>
      </c>
      <c r="K25" s="67">
        <v>854.65</v>
      </c>
      <c r="L25" s="67">
        <v>89.94</v>
      </c>
      <c r="M25" s="67">
        <v>90.6</v>
      </c>
      <c r="N25" s="32">
        <f t="shared" si="6"/>
        <v>1848.38</v>
      </c>
      <c r="O25" s="32"/>
      <c r="P25" s="32"/>
      <c r="Q25" s="32"/>
      <c r="R25" s="32"/>
      <c r="S25" s="32"/>
      <c r="T25" s="32"/>
      <c r="U25" s="32"/>
      <c r="V25" s="32"/>
      <c r="W25" s="32"/>
      <c r="X25" s="32"/>
      <c r="Y25" s="32"/>
      <c r="Z25" s="32"/>
    </row>
    <row r="26" ht="15.75" customHeight="1">
      <c r="A26" s="65" t="s">
        <v>160</v>
      </c>
      <c r="B26" s="67">
        <v>479.7</v>
      </c>
      <c r="C26" s="67">
        <v>483.53</v>
      </c>
      <c r="D26" s="67">
        <v>481.78</v>
      </c>
      <c r="E26" s="67">
        <v>481.43</v>
      </c>
      <c r="F26" s="67">
        <v>483.17</v>
      </c>
      <c r="G26" s="67">
        <v>482.47</v>
      </c>
      <c r="H26" s="67">
        <v>481.43</v>
      </c>
      <c r="I26" s="67">
        <v>481.08</v>
      </c>
      <c r="J26" s="67">
        <v>482.47</v>
      </c>
      <c r="K26" s="67">
        <v>854.65</v>
      </c>
      <c r="L26" s="67">
        <v>479.7</v>
      </c>
      <c r="M26" s="67">
        <v>483.17</v>
      </c>
      <c r="N26" s="32">
        <f t="shared" si="6"/>
        <v>6154.58</v>
      </c>
      <c r="O26" s="32"/>
      <c r="P26" s="32"/>
      <c r="Q26" s="32"/>
      <c r="R26" s="32"/>
      <c r="S26" s="32"/>
      <c r="T26" s="32"/>
      <c r="U26" s="32"/>
      <c r="V26" s="32"/>
      <c r="W26" s="32"/>
      <c r="X26" s="32"/>
      <c r="Y26" s="32"/>
      <c r="Z26" s="32"/>
    </row>
    <row r="27" ht="15.75" customHeight="1">
      <c r="A27" s="65" t="s">
        <v>219</v>
      </c>
      <c r="B27" s="66">
        <v>1683.8</v>
      </c>
      <c r="C27" s="66">
        <v>1522.34</v>
      </c>
      <c r="D27" s="66">
        <v>1686.22</v>
      </c>
      <c r="E27" s="66">
        <v>1685.01</v>
      </c>
      <c r="F27" s="66">
        <v>1691.11</v>
      </c>
      <c r="G27" s="66">
        <v>1688.66</v>
      </c>
      <c r="H27" s="67">
        <v>816.52</v>
      </c>
      <c r="I27" s="66">
        <v>1683.79</v>
      </c>
      <c r="J27" s="66">
        <v>1688.66</v>
      </c>
      <c r="K27" s="67">
        <v>854.65</v>
      </c>
      <c r="L27" s="66">
        <v>1683.8</v>
      </c>
      <c r="M27" s="66">
        <v>1691.11</v>
      </c>
      <c r="N27" s="20">
        <f t="shared" si="6"/>
        <v>18375.67</v>
      </c>
      <c r="O27" s="32"/>
      <c r="P27" s="32"/>
      <c r="Q27" s="32"/>
      <c r="R27" s="32"/>
      <c r="S27" s="32"/>
      <c r="T27" s="32"/>
      <c r="U27" s="32"/>
      <c r="V27" s="32"/>
      <c r="W27" s="32"/>
      <c r="X27" s="32"/>
      <c r="Y27" s="32"/>
      <c r="Z27" s="32"/>
    </row>
    <row r="28" ht="15.75" customHeight="1">
      <c r="A28" s="65" t="s">
        <v>161</v>
      </c>
      <c r="B28" s="66">
        <v>1168.27</v>
      </c>
      <c r="C28" s="66">
        <v>1078.83</v>
      </c>
      <c r="D28" s="66">
        <v>2841.96</v>
      </c>
      <c r="E28" s="66">
        <v>1711.78</v>
      </c>
      <c r="F28" s="66">
        <v>1360.96</v>
      </c>
      <c r="G28" s="67">
        <v>786.23</v>
      </c>
      <c r="H28" s="67">
        <v>816.52</v>
      </c>
      <c r="I28" s="66">
        <v>1712.42</v>
      </c>
      <c r="J28" s="67">
        <v>786.23</v>
      </c>
      <c r="K28" s="67">
        <v>854.65</v>
      </c>
      <c r="L28" s="66">
        <v>1168.27</v>
      </c>
      <c r="M28" s="66">
        <v>1360.96</v>
      </c>
      <c r="N28" s="20">
        <f t="shared" si="6"/>
        <v>15647.08</v>
      </c>
      <c r="O28" s="32"/>
      <c r="P28" s="32"/>
      <c r="Q28" s="32"/>
      <c r="R28" s="32"/>
      <c r="S28" s="32"/>
      <c r="T28" s="32"/>
      <c r="U28" s="32"/>
      <c r="V28" s="32"/>
      <c r="W28" s="32"/>
      <c r="X28" s="32"/>
      <c r="Y28" s="32"/>
      <c r="Z28" s="32"/>
    </row>
    <row r="29" ht="15.75" customHeight="1">
      <c r="A29" s="65" t="s">
        <v>162</v>
      </c>
      <c r="B29" s="67">
        <v>284.86</v>
      </c>
      <c r="C29" s="67">
        <v>285.07</v>
      </c>
      <c r="D29" s="67">
        <v>625.06</v>
      </c>
      <c r="E29" s="67">
        <v>306.36</v>
      </c>
      <c r="F29" s="67">
        <v>306.36</v>
      </c>
      <c r="G29" s="67">
        <v>286.51</v>
      </c>
      <c r="H29" s="67">
        <v>286.51</v>
      </c>
      <c r="I29" s="67">
        <v>285.67</v>
      </c>
      <c r="J29" s="67">
        <v>286.51</v>
      </c>
      <c r="K29" s="67">
        <v>854.65</v>
      </c>
      <c r="L29" s="67">
        <v>284.86</v>
      </c>
      <c r="M29" s="67">
        <v>306.36</v>
      </c>
      <c r="N29" s="32">
        <f t="shared" si="6"/>
        <v>4398.78</v>
      </c>
      <c r="O29" s="32"/>
      <c r="P29" s="32"/>
      <c r="Q29" s="32"/>
      <c r="R29" s="32"/>
      <c r="S29" s="32"/>
      <c r="T29" s="32"/>
      <c r="U29" s="32"/>
      <c r="V29" s="32"/>
      <c r="W29" s="32"/>
      <c r="X29" s="32"/>
      <c r="Y29" s="32"/>
      <c r="Z29" s="32"/>
    </row>
    <row r="30" ht="15.75" customHeight="1">
      <c r="A30" s="65" t="s">
        <v>197</v>
      </c>
      <c r="B30" s="67">
        <v>599.63</v>
      </c>
      <c r="C30" s="67">
        <v>604.41</v>
      </c>
      <c r="D30" s="67">
        <v>602.22</v>
      </c>
      <c r="E30" s="67">
        <v>601.79</v>
      </c>
      <c r="F30" s="67">
        <v>603.97</v>
      </c>
      <c r="G30" s="67">
        <v>603.09</v>
      </c>
      <c r="H30" s="67">
        <v>601.79</v>
      </c>
      <c r="I30" s="67">
        <v>501.35</v>
      </c>
      <c r="J30" s="67">
        <v>603.09</v>
      </c>
      <c r="K30" s="67">
        <v>854.65</v>
      </c>
      <c r="L30" s="67">
        <v>599.63</v>
      </c>
      <c r="M30" s="67">
        <v>603.97</v>
      </c>
      <c r="N30" s="32">
        <f t="shared" si="6"/>
        <v>7379.59</v>
      </c>
      <c r="O30" s="32"/>
      <c r="P30" s="32"/>
      <c r="Q30" s="32"/>
      <c r="R30" s="32"/>
      <c r="S30" s="32"/>
      <c r="T30" s="32"/>
      <c r="U30" s="32"/>
      <c r="V30" s="32"/>
      <c r="W30" s="32"/>
      <c r="X30" s="32"/>
      <c r="Y30" s="32"/>
      <c r="Z30" s="32"/>
    </row>
    <row r="31" ht="15.75" customHeight="1">
      <c r="A31" s="65" t="s">
        <v>163</v>
      </c>
      <c r="B31" s="67">
        <v>474.41</v>
      </c>
      <c r="C31" s="66">
        <v>2344.87</v>
      </c>
      <c r="D31" s="67">
        <v>975.43</v>
      </c>
      <c r="E31" s="67">
        <v>474.41</v>
      </c>
      <c r="F31" s="67">
        <v>809.5</v>
      </c>
      <c r="G31" s="66">
        <v>1884.73</v>
      </c>
      <c r="H31" s="66">
        <v>1306.43</v>
      </c>
      <c r="I31" s="66">
        <v>2344.87</v>
      </c>
      <c r="J31" s="66">
        <v>1884.73</v>
      </c>
      <c r="K31" s="66">
        <v>1314.84</v>
      </c>
      <c r="L31" s="67">
        <v>474.41</v>
      </c>
      <c r="M31" s="67">
        <v>809.5</v>
      </c>
      <c r="N31" s="32">
        <f t="shared" si="6"/>
        <v>15098.13</v>
      </c>
      <c r="O31" s="32"/>
      <c r="P31" s="32"/>
      <c r="Q31" s="32"/>
      <c r="R31" s="32"/>
      <c r="S31" s="32"/>
      <c r="T31" s="32"/>
      <c r="U31" s="32"/>
      <c r="V31" s="32"/>
      <c r="W31" s="32"/>
      <c r="X31" s="32"/>
      <c r="Y31" s="32"/>
      <c r="Z31" s="32"/>
    </row>
    <row r="32" ht="15.75" customHeight="1">
      <c r="A32" s="65" t="s">
        <v>164</v>
      </c>
      <c r="B32" s="67">
        <v>809.5</v>
      </c>
      <c r="C32" s="67">
        <v>624.0</v>
      </c>
      <c r="D32" s="67">
        <v>602.22</v>
      </c>
      <c r="E32" s="67">
        <v>601.79</v>
      </c>
      <c r="F32" s="67">
        <v>603.97</v>
      </c>
      <c r="G32" s="67">
        <v>603.09</v>
      </c>
      <c r="H32" s="67">
        <v>624.0</v>
      </c>
      <c r="I32" s="67">
        <v>601.35</v>
      </c>
      <c r="J32" s="67">
        <v>603.09</v>
      </c>
      <c r="K32" s="67">
        <v>854.65</v>
      </c>
      <c r="L32" s="67">
        <v>809.5</v>
      </c>
      <c r="M32" s="67">
        <v>603.97</v>
      </c>
      <c r="N32" s="32">
        <f t="shared" si="6"/>
        <v>7941.13</v>
      </c>
      <c r="O32" s="32"/>
      <c r="P32" s="32"/>
      <c r="Q32" s="32"/>
      <c r="R32" s="32"/>
      <c r="S32" s="32"/>
      <c r="T32" s="32"/>
      <c r="U32" s="32"/>
      <c r="V32" s="32"/>
      <c r="W32" s="32"/>
      <c r="X32" s="32"/>
      <c r="Y32" s="32"/>
      <c r="Z32" s="32"/>
    </row>
    <row r="33" ht="15.75" customHeight="1">
      <c r="A33" s="65" t="s">
        <v>220</v>
      </c>
      <c r="B33" s="75">
        <f t="shared" ref="B33:M33" si="8">B11*18%</f>
        <v>25000.5</v>
      </c>
      <c r="C33" s="75">
        <f t="shared" si="8"/>
        <v>25135.5027</v>
      </c>
      <c r="D33" s="75">
        <f t="shared" si="8"/>
        <v>25271.23441</v>
      </c>
      <c r="E33" s="75">
        <f t="shared" si="8"/>
        <v>25407.69908</v>
      </c>
      <c r="F33" s="75">
        <f t="shared" si="8"/>
        <v>25544.90066</v>
      </c>
      <c r="G33" s="75">
        <f t="shared" si="8"/>
        <v>25682.84312</v>
      </c>
      <c r="H33" s="75">
        <f t="shared" si="8"/>
        <v>25821.53047</v>
      </c>
      <c r="I33" s="75">
        <f t="shared" si="8"/>
        <v>25960.96674</v>
      </c>
      <c r="J33" s="75">
        <f t="shared" si="8"/>
        <v>26101.15596</v>
      </c>
      <c r="K33" s="75">
        <f t="shared" si="8"/>
        <v>26242.1022</v>
      </c>
      <c r="L33" s="75">
        <f t="shared" si="8"/>
        <v>26383.80955</v>
      </c>
      <c r="M33" s="75">
        <f t="shared" si="8"/>
        <v>26526.28212</v>
      </c>
      <c r="N33" s="72">
        <f t="shared" si="6"/>
        <v>309078.527</v>
      </c>
      <c r="O33" s="32"/>
      <c r="P33" s="32"/>
      <c r="Q33" s="32"/>
      <c r="R33" s="32"/>
      <c r="S33" s="32"/>
      <c r="T33" s="32"/>
      <c r="U33" s="32"/>
      <c r="V33" s="32"/>
      <c r="W33" s="32"/>
      <c r="X33" s="32"/>
      <c r="Y33" s="32"/>
      <c r="Z33" s="32"/>
    </row>
    <row r="34" ht="15.75" customHeight="1">
      <c r="A34" s="65" t="s">
        <v>165</v>
      </c>
      <c r="B34" s="87">
        <v>2922.88</v>
      </c>
      <c r="C34" s="87">
        <v>2924.98</v>
      </c>
      <c r="D34" s="87">
        <v>2120.45</v>
      </c>
      <c r="E34" s="87">
        <v>3338.99</v>
      </c>
      <c r="F34" s="87">
        <v>4216.46</v>
      </c>
      <c r="G34" s="87">
        <v>2525.28</v>
      </c>
      <c r="H34" s="87">
        <v>3081.36</v>
      </c>
      <c r="I34" s="87">
        <v>4216.46</v>
      </c>
      <c r="J34" s="87">
        <v>2525.28</v>
      </c>
      <c r="K34" s="87">
        <v>2209.55</v>
      </c>
      <c r="L34" s="87">
        <v>2922.88</v>
      </c>
      <c r="M34" s="87">
        <v>4216.46</v>
      </c>
      <c r="N34" s="20">
        <f t="shared" si="6"/>
        <v>37221.03</v>
      </c>
      <c r="O34" s="32"/>
      <c r="P34" s="32"/>
      <c r="Q34" s="32"/>
      <c r="R34" s="32"/>
      <c r="S34" s="32"/>
      <c r="T34" s="32"/>
      <c r="U34" s="32"/>
      <c r="V34" s="32"/>
      <c r="W34" s="32"/>
      <c r="X34" s="32"/>
      <c r="Y34" s="32"/>
      <c r="Z34" s="32"/>
    </row>
    <row r="35" ht="15.75" customHeight="1">
      <c r="A35" s="65" t="s">
        <v>198</v>
      </c>
      <c r="B35" s="88">
        <v>312.22</v>
      </c>
      <c r="C35" s="88">
        <v>271.68</v>
      </c>
      <c r="D35" s="88">
        <v>74.06</v>
      </c>
      <c r="E35" s="88">
        <v>88.29</v>
      </c>
      <c r="F35" s="88">
        <v>312.0</v>
      </c>
      <c r="G35" s="88">
        <v>312.0</v>
      </c>
      <c r="H35" s="88">
        <v>816.52</v>
      </c>
      <c r="I35" s="88">
        <v>74.06</v>
      </c>
      <c r="J35" s="88">
        <v>312.0</v>
      </c>
      <c r="K35" s="88">
        <v>854.65</v>
      </c>
      <c r="L35" s="88">
        <v>312.22</v>
      </c>
      <c r="M35" s="88">
        <v>312.0</v>
      </c>
      <c r="N35" s="32">
        <f t="shared" si="6"/>
        <v>4051.7</v>
      </c>
      <c r="O35" s="32"/>
      <c r="P35" s="32"/>
      <c r="Q35" s="32"/>
      <c r="R35" s="32"/>
      <c r="S35" s="32"/>
      <c r="T35" s="32"/>
      <c r="U35" s="32"/>
      <c r="V35" s="32"/>
      <c r="W35" s="32"/>
      <c r="X35" s="32"/>
      <c r="Y35" s="32"/>
      <c r="Z35" s="32"/>
    </row>
    <row r="36" ht="15.75" customHeight="1">
      <c r="A36" s="65" t="s">
        <v>166</v>
      </c>
      <c r="B36" s="88">
        <v>159.41</v>
      </c>
      <c r="C36" s="88">
        <v>336.78</v>
      </c>
      <c r="D36" s="88">
        <v>337.26</v>
      </c>
      <c r="E36" s="88">
        <v>480.92</v>
      </c>
      <c r="F36" s="88">
        <v>337.26</v>
      </c>
      <c r="G36" s="88">
        <v>351.37</v>
      </c>
      <c r="H36" s="87">
        <v>1222.67</v>
      </c>
      <c r="I36" s="88">
        <v>336.78</v>
      </c>
      <c r="J36" s="88">
        <v>351.37</v>
      </c>
      <c r="K36" s="88">
        <v>854.65</v>
      </c>
      <c r="L36" s="88">
        <v>159.41</v>
      </c>
      <c r="M36" s="88">
        <v>337.26</v>
      </c>
      <c r="N36" s="32">
        <f t="shared" si="6"/>
        <v>5265.14</v>
      </c>
      <c r="O36" s="32"/>
      <c r="P36" s="32"/>
      <c r="Q36" s="32"/>
      <c r="R36" s="32"/>
      <c r="S36" s="32"/>
      <c r="T36" s="32"/>
      <c r="U36" s="32"/>
      <c r="V36" s="32"/>
      <c r="W36" s="32"/>
      <c r="X36" s="32"/>
      <c r="Y36" s="32"/>
      <c r="Z36" s="32"/>
    </row>
    <row r="37" ht="15.75" customHeight="1">
      <c r="A37" s="65" t="s">
        <v>167</v>
      </c>
      <c r="B37" s="88">
        <v>243.52</v>
      </c>
      <c r="C37" s="88">
        <v>258.77</v>
      </c>
      <c r="D37" s="88">
        <v>260.1</v>
      </c>
      <c r="E37" s="88">
        <v>185.55</v>
      </c>
      <c r="F37" s="88">
        <v>258.58</v>
      </c>
      <c r="G37" s="88">
        <v>258.2</v>
      </c>
      <c r="H37" s="88">
        <v>313.0</v>
      </c>
      <c r="I37" s="88">
        <v>240.81</v>
      </c>
      <c r="J37" s="88">
        <v>258.2</v>
      </c>
      <c r="K37" s="88">
        <v>854.65</v>
      </c>
      <c r="L37" s="88">
        <v>243.52</v>
      </c>
      <c r="M37" s="88">
        <v>258.58</v>
      </c>
      <c r="N37" s="32">
        <f t="shared" si="6"/>
        <v>3633.48</v>
      </c>
      <c r="O37" s="32"/>
      <c r="P37" s="32"/>
      <c r="Q37" s="32"/>
      <c r="R37" s="32"/>
      <c r="S37" s="32"/>
      <c r="T37" s="32"/>
      <c r="U37" s="32"/>
      <c r="V37" s="32"/>
      <c r="W37" s="32"/>
      <c r="X37" s="32"/>
      <c r="Y37" s="32"/>
      <c r="Z37" s="32"/>
    </row>
    <row r="38" ht="15.75" customHeight="1">
      <c r="A38" s="65" t="s">
        <v>221</v>
      </c>
      <c r="B38" s="88">
        <v>98.6</v>
      </c>
      <c r="C38" s="88">
        <v>99.31</v>
      </c>
      <c r="D38" s="88">
        <v>98.95</v>
      </c>
      <c r="E38" s="88">
        <v>98.88</v>
      </c>
      <c r="F38" s="88">
        <v>99.24</v>
      </c>
      <c r="G38" s="88">
        <v>99.1</v>
      </c>
      <c r="H38" s="88">
        <v>816.52</v>
      </c>
      <c r="I38" s="88">
        <v>98.81</v>
      </c>
      <c r="J38" s="88">
        <v>99.1</v>
      </c>
      <c r="K38" s="88">
        <v>854.65</v>
      </c>
      <c r="L38" s="88">
        <v>98.6</v>
      </c>
      <c r="M38" s="88">
        <v>99.24</v>
      </c>
      <c r="N38" s="32">
        <f t="shared" si="6"/>
        <v>2661</v>
      </c>
      <c r="O38" s="32"/>
      <c r="P38" s="32"/>
      <c r="Q38" s="32"/>
      <c r="R38" s="32"/>
      <c r="S38" s="32"/>
      <c r="T38" s="32"/>
      <c r="U38" s="32"/>
      <c r="V38" s="32"/>
      <c r="W38" s="32"/>
      <c r="X38" s="32"/>
      <c r="Y38" s="32"/>
      <c r="Z38" s="32"/>
    </row>
    <row r="39" ht="15.75" customHeight="1">
      <c r="A39" s="70" t="s">
        <v>222</v>
      </c>
      <c r="B39" s="89">
        <f t="shared" ref="B39:M39" si="9">B37+B38</f>
        <v>342.12</v>
      </c>
      <c r="C39" s="89">
        <f t="shared" si="9"/>
        <v>358.08</v>
      </c>
      <c r="D39" s="89">
        <f t="shared" si="9"/>
        <v>359.05</v>
      </c>
      <c r="E39" s="89">
        <f t="shared" si="9"/>
        <v>284.43</v>
      </c>
      <c r="F39" s="89">
        <f t="shared" si="9"/>
        <v>357.82</v>
      </c>
      <c r="G39" s="89">
        <f t="shared" si="9"/>
        <v>357.3</v>
      </c>
      <c r="H39" s="89">
        <f t="shared" si="9"/>
        <v>1129.52</v>
      </c>
      <c r="I39" s="89">
        <f t="shared" si="9"/>
        <v>339.62</v>
      </c>
      <c r="J39" s="89">
        <f t="shared" si="9"/>
        <v>357.3</v>
      </c>
      <c r="K39" s="89">
        <f t="shared" si="9"/>
        <v>1709.3</v>
      </c>
      <c r="L39" s="89">
        <f t="shared" si="9"/>
        <v>342.12</v>
      </c>
      <c r="M39" s="89">
        <f t="shared" si="9"/>
        <v>357.82</v>
      </c>
      <c r="N39" s="85">
        <f t="shared" si="6"/>
        <v>6294.48</v>
      </c>
      <c r="O39" s="32"/>
      <c r="P39" s="32"/>
      <c r="Q39" s="32"/>
      <c r="R39" s="32"/>
      <c r="S39" s="32"/>
      <c r="T39" s="32"/>
      <c r="U39" s="32"/>
      <c r="V39" s="32"/>
      <c r="W39" s="32"/>
      <c r="X39" s="32"/>
      <c r="Y39" s="32"/>
      <c r="Z39" s="32"/>
    </row>
    <row r="40" ht="15.75" customHeight="1">
      <c r="A40" s="65" t="s">
        <v>168</v>
      </c>
      <c r="B40" s="88">
        <v>385.86</v>
      </c>
      <c r="C40" s="88">
        <v>571.69</v>
      </c>
      <c r="D40" s="88">
        <v>569.63</v>
      </c>
      <c r="E40" s="88">
        <v>569.21</v>
      </c>
      <c r="F40" s="88">
        <v>157.41</v>
      </c>
      <c r="G40" s="88">
        <v>157.19</v>
      </c>
      <c r="H40" s="88">
        <v>816.52</v>
      </c>
      <c r="I40" s="88">
        <v>834.26</v>
      </c>
      <c r="J40" s="88">
        <v>157.19</v>
      </c>
      <c r="K40" s="88">
        <v>854.65</v>
      </c>
      <c r="L40" s="88">
        <v>385.86</v>
      </c>
      <c r="M40" s="88">
        <v>157.41</v>
      </c>
      <c r="N40" s="32">
        <f t="shared" si="6"/>
        <v>5616.88</v>
      </c>
      <c r="O40" s="32"/>
      <c r="P40" s="32"/>
      <c r="Q40" s="32"/>
      <c r="R40" s="32"/>
      <c r="S40" s="32"/>
      <c r="T40" s="32"/>
      <c r="U40" s="32"/>
      <c r="V40" s="32"/>
      <c r="W40" s="32"/>
      <c r="X40" s="32"/>
      <c r="Y40" s="32"/>
      <c r="Z40" s="32"/>
    </row>
    <row r="41" ht="15.75" customHeight="1">
      <c r="A41" s="65" t="s">
        <v>169</v>
      </c>
      <c r="B41" s="87">
        <v>3302.34</v>
      </c>
      <c r="C41" s="87">
        <v>3272.34</v>
      </c>
      <c r="D41" s="87">
        <v>4440.6</v>
      </c>
      <c r="E41" s="87">
        <v>6447.72</v>
      </c>
      <c r="F41" s="87">
        <v>3243.59</v>
      </c>
      <c r="G41" s="87">
        <v>5431.48</v>
      </c>
      <c r="H41" s="87">
        <v>5373.86</v>
      </c>
      <c r="I41" s="87">
        <v>4580.6</v>
      </c>
      <c r="J41" s="87">
        <v>5431.48</v>
      </c>
      <c r="K41" s="87">
        <v>4040.06</v>
      </c>
      <c r="L41" s="87">
        <v>2535.33</v>
      </c>
      <c r="M41" s="87">
        <v>3243.59</v>
      </c>
      <c r="N41" s="20">
        <f t="shared" si="6"/>
        <v>51342.99</v>
      </c>
      <c r="O41" s="32"/>
      <c r="P41" s="32"/>
      <c r="Q41" s="32"/>
      <c r="R41" s="32"/>
      <c r="S41" s="32"/>
      <c r="T41" s="32"/>
      <c r="U41" s="32"/>
      <c r="V41" s="32"/>
      <c r="W41" s="32"/>
      <c r="X41" s="32"/>
      <c r="Y41" s="32"/>
      <c r="Z41" s="32"/>
    </row>
    <row r="42" ht="15.75" customHeight="1">
      <c r="A42" s="65" t="s">
        <v>170</v>
      </c>
      <c r="B42" s="88">
        <v>680.5</v>
      </c>
      <c r="C42" s="87">
        <v>1313.11</v>
      </c>
      <c r="D42" s="87">
        <v>3533.29</v>
      </c>
      <c r="E42" s="87">
        <v>1313.11</v>
      </c>
      <c r="F42" s="87">
        <v>2068.28</v>
      </c>
      <c r="G42" s="88">
        <v>924.98</v>
      </c>
      <c r="H42" s="88">
        <v>816.52</v>
      </c>
      <c r="I42" s="88">
        <v>409.96</v>
      </c>
      <c r="J42" s="88">
        <v>924.98</v>
      </c>
      <c r="K42" s="88">
        <v>854.65</v>
      </c>
      <c r="L42" s="88">
        <v>680.5</v>
      </c>
      <c r="M42" s="87">
        <v>2068.28</v>
      </c>
      <c r="N42" s="32">
        <f t="shared" si="6"/>
        <v>15588.16</v>
      </c>
      <c r="O42" s="32"/>
      <c r="P42" s="32"/>
      <c r="Q42" s="32"/>
      <c r="R42" s="32"/>
      <c r="S42" s="32"/>
      <c r="T42" s="32"/>
      <c r="U42" s="32"/>
      <c r="V42" s="32"/>
      <c r="W42" s="32"/>
      <c r="X42" s="32"/>
      <c r="Y42" s="32"/>
      <c r="Z42" s="32"/>
    </row>
    <row r="43" ht="15.75" customHeight="1">
      <c r="A43" s="65" t="s">
        <v>171</v>
      </c>
      <c r="B43" s="90">
        <v>12912.1</v>
      </c>
      <c r="C43" s="87">
        <v>11269.46</v>
      </c>
      <c r="D43" s="87">
        <v>8431.11</v>
      </c>
      <c r="E43" s="87">
        <v>7823.24</v>
      </c>
      <c r="F43" s="87">
        <v>11475.39</v>
      </c>
      <c r="G43" s="87">
        <v>13841.14</v>
      </c>
      <c r="H43" s="87">
        <v>8431.11</v>
      </c>
      <c r="I43" s="87">
        <v>8418.96</v>
      </c>
      <c r="J43" s="87">
        <v>13871.14</v>
      </c>
      <c r="K43" s="87">
        <v>9864.69</v>
      </c>
      <c r="L43" s="87">
        <v>13871.14</v>
      </c>
      <c r="M43" s="87">
        <v>11475.39</v>
      </c>
      <c r="N43" s="20">
        <f t="shared" si="6"/>
        <v>131684.87</v>
      </c>
      <c r="O43" s="32"/>
      <c r="P43" s="32"/>
      <c r="Q43" s="32"/>
      <c r="R43" s="32"/>
      <c r="S43" s="32"/>
      <c r="T43" s="32"/>
      <c r="U43" s="32"/>
      <c r="V43" s="32"/>
      <c r="W43" s="32"/>
      <c r="X43" s="32"/>
      <c r="Y43" s="32"/>
      <c r="Z43" s="32"/>
    </row>
    <row r="44" ht="15.75" customHeight="1">
      <c r="A44" s="65" t="s">
        <v>223</v>
      </c>
      <c r="B44" s="88">
        <v>339.09</v>
      </c>
      <c r="C44" s="88">
        <v>341.06</v>
      </c>
      <c r="D44" s="88">
        <v>339.82</v>
      </c>
      <c r="E44" s="88">
        <v>339.58</v>
      </c>
      <c r="F44" s="88">
        <v>340.81</v>
      </c>
      <c r="G44" s="88">
        <v>340.31</v>
      </c>
      <c r="H44" s="88">
        <v>816.52</v>
      </c>
      <c r="I44" s="88">
        <v>339.33</v>
      </c>
      <c r="J44" s="88">
        <v>306.31</v>
      </c>
      <c r="K44" s="88">
        <v>340.31</v>
      </c>
      <c r="L44" s="88">
        <v>339.09</v>
      </c>
      <c r="M44" s="88">
        <v>340.81</v>
      </c>
      <c r="N44" s="32">
        <f t="shared" si="6"/>
        <v>4523.04</v>
      </c>
      <c r="O44" s="32"/>
      <c r="P44" s="32"/>
      <c r="Q44" s="32"/>
      <c r="R44" s="32"/>
      <c r="S44" s="32"/>
      <c r="T44" s="32"/>
      <c r="U44" s="32"/>
      <c r="V44" s="32"/>
      <c r="W44" s="32"/>
      <c r="X44" s="32"/>
      <c r="Y44" s="32"/>
      <c r="Z44" s="32"/>
    </row>
    <row r="45" ht="15.75" customHeight="1">
      <c r="A45" s="65" t="s">
        <v>172</v>
      </c>
      <c r="B45" s="88">
        <v>20.09</v>
      </c>
      <c r="C45" s="88">
        <v>20.1</v>
      </c>
      <c r="D45" s="88">
        <v>20.1</v>
      </c>
      <c r="E45" s="88">
        <v>20.1</v>
      </c>
      <c r="F45" s="88">
        <v>20.1</v>
      </c>
      <c r="G45" s="88">
        <v>20.1</v>
      </c>
      <c r="H45" s="88">
        <v>20.1</v>
      </c>
      <c r="I45" s="88">
        <v>20.1</v>
      </c>
      <c r="J45" s="88">
        <v>20.1</v>
      </c>
      <c r="K45" s="88">
        <v>20.1</v>
      </c>
      <c r="L45" s="88">
        <v>20.09</v>
      </c>
      <c r="M45" s="88">
        <v>20.1</v>
      </c>
      <c r="N45" s="32">
        <f t="shared" si="6"/>
        <v>241.18</v>
      </c>
      <c r="O45" s="32"/>
      <c r="P45" s="32"/>
      <c r="Q45" s="32"/>
      <c r="R45" s="32"/>
      <c r="S45" s="32"/>
      <c r="T45" s="32"/>
      <c r="U45" s="32"/>
      <c r="V45" s="32"/>
      <c r="W45" s="32"/>
      <c r="X45" s="32"/>
      <c r="Y45" s="32"/>
      <c r="Z45" s="32"/>
    </row>
    <row r="46" ht="15.75" customHeight="1">
      <c r="A46" s="65" t="s">
        <v>199</v>
      </c>
      <c r="B46" s="88">
        <v>39.62</v>
      </c>
      <c r="C46" s="88">
        <v>39.85</v>
      </c>
      <c r="D46" s="88">
        <v>39.71</v>
      </c>
      <c r="E46" s="88">
        <v>39.68</v>
      </c>
      <c r="F46" s="88">
        <v>39.82</v>
      </c>
      <c r="G46" s="88">
        <v>39.77</v>
      </c>
      <c r="H46" s="88">
        <v>816.52</v>
      </c>
      <c r="I46" s="88">
        <v>29.65</v>
      </c>
      <c r="J46" s="88">
        <v>39.77</v>
      </c>
      <c r="K46" s="88">
        <v>39.77</v>
      </c>
      <c r="L46" s="88">
        <v>39.62</v>
      </c>
      <c r="M46" s="88">
        <v>39.82</v>
      </c>
      <c r="N46" s="32">
        <f t="shared" si="6"/>
        <v>1243.6</v>
      </c>
      <c r="O46" s="32"/>
      <c r="P46" s="32"/>
      <c r="Q46" s="32"/>
      <c r="R46" s="32"/>
      <c r="S46" s="32"/>
      <c r="T46" s="32"/>
      <c r="U46" s="32"/>
      <c r="V46" s="32"/>
      <c r="W46" s="32"/>
      <c r="X46" s="32"/>
      <c r="Y46" s="32"/>
      <c r="Z46" s="32"/>
    </row>
    <row r="47" ht="15.75" customHeight="1">
      <c r="A47" s="65" t="s">
        <v>224</v>
      </c>
      <c r="B47" s="87">
        <v>1642.27</v>
      </c>
      <c r="C47" s="88">
        <v>604.41</v>
      </c>
      <c r="D47" s="87">
        <v>1871.8</v>
      </c>
      <c r="E47" s="87">
        <v>1870.45</v>
      </c>
      <c r="F47" s="87">
        <v>1207.94</v>
      </c>
      <c r="G47" s="88">
        <v>177.16</v>
      </c>
      <c r="H47" s="88">
        <v>816.52</v>
      </c>
      <c r="I47" s="87">
        <v>1869.1</v>
      </c>
      <c r="J47" s="88">
        <f>177.16+0.86</f>
        <v>178.02</v>
      </c>
      <c r="K47" s="88">
        <v>177.16</v>
      </c>
      <c r="L47" s="87">
        <v>1642.27</v>
      </c>
      <c r="M47" s="87">
        <v>1207.94</v>
      </c>
      <c r="N47" s="20">
        <f t="shared" si="6"/>
        <v>13265.04</v>
      </c>
      <c r="O47" s="32"/>
      <c r="P47" s="32"/>
      <c r="Q47" s="32"/>
      <c r="R47" s="32"/>
      <c r="S47" s="32"/>
      <c r="T47" s="32"/>
      <c r="U47" s="32"/>
      <c r="V47" s="32"/>
      <c r="W47" s="32"/>
      <c r="X47" s="32"/>
      <c r="Y47" s="32"/>
      <c r="Z47" s="32"/>
    </row>
    <row r="48" ht="15.75" customHeight="1">
      <c r="A48" s="65" t="s">
        <v>174</v>
      </c>
      <c r="B48" s="87">
        <v>1802.77</v>
      </c>
      <c r="C48" s="87">
        <v>1813.22</v>
      </c>
      <c r="D48" s="87">
        <v>1806.67</v>
      </c>
      <c r="E48" s="87">
        <v>1805.36</v>
      </c>
      <c r="F48" s="87">
        <v>1811.9</v>
      </c>
      <c r="G48" s="87">
        <v>1809.28</v>
      </c>
      <c r="H48" s="87">
        <v>1763.04</v>
      </c>
      <c r="I48" s="87">
        <v>1804.06</v>
      </c>
      <c r="J48" s="87">
        <v>1809.28</v>
      </c>
      <c r="K48" s="87">
        <v>1663.55</v>
      </c>
      <c r="L48" s="87">
        <v>1802.77</v>
      </c>
      <c r="M48" s="87">
        <v>1811.9</v>
      </c>
      <c r="N48" s="20">
        <f t="shared" si="6"/>
        <v>21503.8</v>
      </c>
      <c r="O48" s="32"/>
      <c r="P48" s="32"/>
      <c r="Q48" s="32"/>
      <c r="R48" s="32"/>
      <c r="S48" s="32"/>
      <c r="T48" s="32"/>
      <c r="U48" s="32"/>
      <c r="V48" s="32"/>
      <c r="W48" s="32"/>
      <c r="X48" s="32"/>
      <c r="Y48" s="32"/>
      <c r="Z48" s="32"/>
    </row>
    <row r="49" ht="15.75" customHeight="1">
      <c r="A49" s="65" t="s">
        <v>200</v>
      </c>
      <c r="B49" s="88">
        <v>505.64</v>
      </c>
      <c r="C49" s="88">
        <v>505.64</v>
      </c>
      <c r="D49" s="88">
        <v>505.64</v>
      </c>
      <c r="E49" s="88">
        <v>505.64</v>
      </c>
      <c r="F49" s="88">
        <v>505.64</v>
      </c>
      <c r="G49" s="88">
        <v>505.64</v>
      </c>
      <c r="H49" s="88">
        <v>816.52</v>
      </c>
      <c r="I49" s="88">
        <v>505.64</v>
      </c>
      <c r="J49" s="88">
        <v>505.64</v>
      </c>
      <c r="K49" s="88">
        <v>854.65</v>
      </c>
      <c r="L49" s="88">
        <v>505.64</v>
      </c>
      <c r="M49" s="88">
        <v>505.64</v>
      </c>
      <c r="N49" s="32">
        <f t="shared" si="6"/>
        <v>6727.57</v>
      </c>
      <c r="O49" s="32"/>
      <c r="P49" s="32"/>
      <c r="Q49" s="32"/>
      <c r="R49" s="67">
        <f>39499.14-39500</f>
        <v>-0.86</v>
      </c>
      <c r="S49" s="32"/>
      <c r="T49" s="32"/>
      <c r="U49" s="32"/>
      <c r="V49" s="32"/>
      <c r="W49" s="32"/>
      <c r="X49" s="32"/>
      <c r="Y49" s="32"/>
      <c r="Z49" s="32"/>
    </row>
    <row r="50" ht="15.75" customHeight="1">
      <c r="A50" s="65" t="s">
        <v>175</v>
      </c>
      <c r="B50" s="87">
        <v>2452.22</v>
      </c>
      <c r="C50" s="87">
        <v>2452.22</v>
      </c>
      <c r="D50" s="87">
        <v>1226.02</v>
      </c>
      <c r="E50" s="87">
        <v>2436.22</v>
      </c>
      <c r="F50" s="87">
        <v>2452.22</v>
      </c>
      <c r="G50" s="87">
        <v>2452.22</v>
      </c>
      <c r="H50" s="88">
        <v>816.52</v>
      </c>
      <c r="I50" s="87">
        <v>2452.22</v>
      </c>
      <c r="J50" s="87">
        <v>2452.22</v>
      </c>
      <c r="K50" s="88">
        <v>854.65</v>
      </c>
      <c r="L50" s="87">
        <v>2452.22</v>
      </c>
      <c r="M50" s="87">
        <v>2452.22</v>
      </c>
      <c r="N50" s="20">
        <f t="shared" si="6"/>
        <v>24951.17</v>
      </c>
      <c r="O50" s="32"/>
      <c r="P50" s="32"/>
      <c r="Q50" s="32"/>
      <c r="R50" s="32"/>
      <c r="S50" s="32"/>
      <c r="T50" s="32"/>
      <c r="U50" s="32"/>
      <c r="V50" s="32"/>
      <c r="W50" s="32"/>
      <c r="X50" s="32"/>
      <c r="Y50" s="32"/>
      <c r="Z50" s="32"/>
    </row>
    <row r="51" ht="15.75" customHeight="1">
      <c r="A51" s="65" t="s">
        <v>176</v>
      </c>
      <c r="B51" s="88">
        <v>150.23</v>
      </c>
      <c r="C51" s="88">
        <v>151.1</v>
      </c>
      <c r="D51" s="88">
        <v>150.56</v>
      </c>
      <c r="E51" s="88">
        <v>150.45</v>
      </c>
      <c r="F51" s="88">
        <v>150.99</v>
      </c>
      <c r="G51" s="88">
        <v>150.77</v>
      </c>
      <c r="H51" s="88">
        <v>653.22</v>
      </c>
      <c r="I51" s="88">
        <v>150.34</v>
      </c>
      <c r="J51" s="88">
        <v>150.77</v>
      </c>
      <c r="K51" s="88">
        <v>657.42</v>
      </c>
      <c r="L51" s="88">
        <v>150.23</v>
      </c>
      <c r="M51" s="88">
        <v>150.99</v>
      </c>
      <c r="N51" s="32">
        <f t="shared" si="6"/>
        <v>2817.07</v>
      </c>
      <c r="O51" s="32"/>
      <c r="P51" s="32"/>
      <c r="Q51" s="32"/>
      <c r="R51" s="32"/>
      <c r="S51" s="32"/>
      <c r="T51" s="32"/>
      <c r="U51" s="32"/>
      <c r="V51" s="32"/>
      <c r="W51" s="32"/>
      <c r="X51" s="32"/>
      <c r="Y51" s="32"/>
      <c r="Z51" s="32"/>
    </row>
    <row r="52" ht="15.75" customHeight="1">
      <c r="A52" s="70" t="s">
        <v>177</v>
      </c>
      <c r="B52" s="75">
        <f>Explaination!F70+B33</f>
        <v>64500.5</v>
      </c>
      <c r="C52" s="75">
        <f t="shared" ref="C52:M52" si="10">39500+C33</f>
        <v>64635.5027</v>
      </c>
      <c r="D52" s="75">
        <f t="shared" si="10"/>
        <v>64771.23441</v>
      </c>
      <c r="E52" s="75">
        <f t="shared" si="10"/>
        <v>64907.69908</v>
      </c>
      <c r="F52" s="75">
        <f t="shared" si="10"/>
        <v>65044.90066</v>
      </c>
      <c r="G52" s="75">
        <f t="shared" si="10"/>
        <v>65182.84312</v>
      </c>
      <c r="H52" s="75">
        <f t="shared" si="10"/>
        <v>65321.53047</v>
      </c>
      <c r="I52" s="75">
        <f t="shared" si="10"/>
        <v>65460.96674</v>
      </c>
      <c r="J52" s="75">
        <f t="shared" si="10"/>
        <v>65601.15596</v>
      </c>
      <c r="K52" s="75">
        <f t="shared" si="10"/>
        <v>65742.1022</v>
      </c>
      <c r="L52" s="75">
        <f t="shared" si="10"/>
        <v>65883.80955</v>
      </c>
      <c r="M52" s="75">
        <f t="shared" si="10"/>
        <v>66026.28212</v>
      </c>
      <c r="N52" s="72">
        <f t="shared" si="6"/>
        <v>783078.527</v>
      </c>
      <c r="O52" s="32"/>
      <c r="P52" s="32"/>
      <c r="Q52" s="32"/>
      <c r="R52" s="32"/>
      <c r="S52" s="32"/>
      <c r="T52" s="32"/>
      <c r="U52" s="32"/>
      <c r="V52" s="32"/>
      <c r="W52" s="32"/>
      <c r="X52" s="32"/>
      <c r="Y52" s="32"/>
      <c r="Z52" s="32"/>
    </row>
    <row r="53" ht="15.75" customHeight="1">
      <c r="A53" s="70" t="s">
        <v>178</v>
      </c>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5.75" customHeight="1">
      <c r="A54" s="70" t="s">
        <v>179</v>
      </c>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5.75" customHeight="1">
      <c r="A55" s="70" t="s">
        <v>180</v>
      </c>
      <c r="B55" s="75">
        <f t="shared" ref="B55:N55" si="11">B17-B52</f>
        <v>-20055.16667</v>
      </c>
      <c r="C55" s="75">
        <f t="shared" si="11"/>
        <v>-19950.16457</v>
      </c>
      <c r="D55" s="75">
        <f t="shared" si="11"/>
        <v>-19844.59546</v>
      </c>
      <c r="E55" s="75">
        <f t="shared" si="11"/>
        <v>-19738.45627</v>
      </c>
      <c r="F55" s="75">
        <f t="shared" si="11"/>
        <v>-19631.74393</v>
      </c>
      <c r="G55" s="75">
        <f t="shared" si="11"/>
        <v>-19524.45535</v>
      </c>
      <c r="H55" s="75">
        <f t="shared" si="11"/>
        <v>-19416.58741</v>
      </c>
      <c r="I55" s="75">
        <f t="shared" si="11"/>
        <v>-19308.13698</v>
      </c>
      <c r="J55" s="75">
        <f t="shared" si="11"/>
        <v>-19199.10092</v>
      </c>
      <c r="K55" s="75">
        <f t="shared" si="11"/>
        <v>-19089.47607</v>
      </c>
      <c r="L55" s="75">
        <f t="shared" si="11"/>
        <v>-18979.25924</v>
      </c>
      <c r="M55" s="75">
        <f t="shared" si="11"/>
        <v>-18868.44724</v>
      </c>
      <c r="N55" s="72">
        <f t="shared" si="11"/>
        <v>-233605.5901</v>
      </c>
      <c r="O55" s="32"/>
      <c r="P55" s="32"/>
      <c r="Q55" s="32"/>
      <c r="R55" s="32"/>
      <c r="S55" s="32"/>
      <c r="T55" s="32"/>
      <c r="U55" s="32"/>
      <c r="V55" s="32"/>
      <c r="W55" s="32"/>
      <c r="X55" s="32"/>
      <c r="Y55" s="32"/>
      <c r="Z55" s="32"/>
    </row>
    <row r="56"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sheetData>
  <mergeCells count="1">
    <mergeCell ref="A2:N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2.0"/>
    <col customWidth="1" min="3" max="3" width="12.57"/>
    <col customWidth="1" min="4" max="8" width="11.43"/>
    <col customWidth="1" min="9" max="9" width="11.14"/>
    <col customWidth="1" min="10" max="10" width="14.57"/>
    <col customWidth="1" min="11" max="11" width="12.0"/>
    <col customWidth="1" min="12" max="12" width="13.86"/>
    <col customWidth="1" min="13" max="13" width="14.0"/>
    <col customWidth="1" min="14" max="14" width="14.57"/>
    <col customWidth="1" min="15" max="26" width="8.71"/>
  </cols>
  <sheetData>
    <row r="1">
      <c r="A1" s="32"/>
      <c r="B1" s="32"/>
      <c r="C1" s="32"/>
      <c r="D1" s="32"/>
      <c r="E1" s="32"/>
      <c r="F1" s="32"/>
      <c r="G1" s="32"/>
      <c r="H1" s="32"/>
      <c r="I1" s="32"/>
      <c r="J1" s="32"/>
      <c r="K1" s="32"/>
      <c r="L1" s="32"/>
      <c r="M1" s="32"/>
      <c r="N1" s="32"/>
      <c r="O1" s="32"/>
      <c r="P1" s="32"/>
      <c r="Q1" s="32"/>
      <c r="R1" s="32"/>
      <c r="S1" s="32"/>
      <c r="T1" s="32"/>
      <c r="U1" s="32"/>
      <c r="V1" s="32"/>
      <c r="W1" s="32"/>
      <c r="X1" s="32"/>
      <c r="Y1" s="32"/>
      <c r="Z1" s="32"/>
    </row>
    <row r="2">
      <c r="A2" s="60" t="s">
        <v>230</v>
      </c>
      <c r="B2" s="61"/>
      <c r="C2" s="61"/>
      <c r="D2" s="61"/>
      <c r="E2" s="61"/>
      <c r="F2" s="61"/>
      <c r="G2" s="61"/>
      <c r="H2" s="61"/>
      <c r="I2" s="61"/>
      <c r="J2" s="61"/>
      <c r="K2" s="61"/>
      <c r="L2" s="61"/>
      <c r="M2" s="61"/>
      <c r="N2" s="61"/>
      <c r="O2" s="32"/>
      <c r="P2" s="32"/>
      <c r="Q2" s="32"/>
      <c r="R2" s="32"/>
      <c r="S2" s="32"/>
      <c r="T2" s="32"/>
      <c r="U2" s="32"/>
      <c r="V2" s="32"/>
      <c r="W2" s="32"/>
      <c r="X2" s="32"/>
      <c r="Y2" s="32"/>
      <c r="Z2" s="32"/>
    </row>
    <row r="3">
      <c r="A3" s="62" t="s">
        <v>129</v>
      </c>
      <c r="B3" s="79">
        <v>46388.0</v>
      </c>
      <c r="C3" s="79">
        <v>46419.0</v>
      </c>
      <c r="D3" s="79">
        <v>46447.0</v>
      </c>
      <c r="E3" s="79">
        <v>46478.0</v>
      </c>
      <c r="F3" s="79">
        <v>46508.0</v>
      </c>
      <c r="G3" s="79">
        <v>46539.0</v>
      </c>
      <c r="H3" s="79">
        <v>46569.0</v>
      </c>
      <c r="I3" s="79">
        <v>46600.0</v>
      </c>
      <c r="J3" s="79">
        <v>46631.0</v>
      </c>
      <c r="K3" s="79">
        <v>46661.0</v>
      </c>
      <c r="L3" s="79">
        <v>46692.0</v>
      </c>
      <c r="M3" s="79">
        <v>46722.0</v>
      </c>
      <c r="N3" s="80" t="s">
        <v>142</v>
      </c>
      <c r="O3" s="32"/>
      <c r="P3" s="32"/>
      <c r="Q3" s="32"/>
      <c r="R3" s="32"/>
      <c r="S3" s="32"/>
      <c r="T3" s="32"/>
      <c r="U3" s="32"/>
      <c r="V3" s="32"/>
      <c r="W3" s="32"/>
      <c r="X3" s="32"/>
      <c r="Y3" s="32"/>
      <c r="Z3" s="32"/>
    </row>
    <row r="4">
      <c r="A4" s="65" t="s">
        <v>143</v>
      </c>
      <c r="B4" s="32"/>
      <c r="C4" s="32"/>
      <c r="D4" s="32"/>
      <c r="E4" s="32"/>
      <c r="F4" s="32"/>
      <c r="G4" s="32"/>
      <c r="H4" s="32"/>
      <c r="I4" s="32"/>
      <c r="J4" s="32"/>
      <c r="K4" s="32"/>
      <c r="L4" s="32"/>
      <c r="M4" s="32"/>
      <c r="N4" s="32"/>
      <c r="O4" s="32"/>
      <c r="P4" s="32"/>
      <c r="Q4" s="32"/>
      <c r="R4" s="32"/>
      <c r="S4" s="32"/>
      <c r="T4" s="32"/>
      <c r="U4" s="32"/>
      <c r="V4" s="32"/>
      <c r="W4" s="32"/>
      <c r="X4" s="32"/>
      <c r="Y4" s="32"/>
      <c r="Z4" s="32"/>
    </row>
    <row r="5">
      <c r="A5" s="65" t="s">
        <v>195</v>
      </c>
      <c r="B5" s="66">
        <v>18734.72</v>
      </c>
      <c r="C5" s="66">
        <v>19542.59</v>
      </c>
      <c r="D5" s="66">
        <v>22465.88</v>
      </c>
      <c r="E5" s="66">
        <v>16307.03</v>
      </c>
      <c r="F5" s="66">
        <v>17459.19</v>
      </c>
      <c r="G5" s="66">
        <v>17951.06</v>
      </c>
      <c r="H5" s="66">
        <v>32416.89</v>
      </c>
      <c r="I5" s="66">
        <v>15305.68</v>
      </c>
      <c r="J5" s="66">
        <v>11863.07</v>
      </c>
      <c r="K5" s="66">
        <v>14260.68</v>
      </c>
      <c r="L5" s="66">
        <v>20634.88</v>
      </c>
      <c r="M5" s="66">
        <v>13806.89</v>
      </c>
      <c r="N5" s="20">
        <f t="shared" ref="N5:N9" si="1">SUM(B5:M5)</f>
        <v>220748.56</v>
      </c>
      <c r="O5" s="32"/>
      <c r="P5" s="32"/>
      <c r="Q5" s="32"/>
      <c r="R5" s="32"/>
      <c r="S5" s="32"/>
      <c r="T5" s="32"/>
      <c r="U5" s="32"/>
      <c r="V5" s="32"/>
      <c r="W5" s="32"/>
      <c r="X5" s="32"/>
      <c r="Y5" s="32"/>
      <c r="Z5" s="32"/>
    </row>
    <row r="6">
      <c r="A6" s="65" t="s">
        <v>144</v>
      </c>
      <c r="B6" s="66">
        <v>124196.92</v>
      </c>
      <c r="C6" s="66">
        <v>124119.19</v>
      </c>
      <c r="D6" s="66">
        <v>123564.23</v>
      </c>
      <c r="E6" s="66">
        <v>131797.49</v>
      </c>
      <c r="F6" s="66">
        <v>130541.38</v>
      </c>
      <c r="G6" s="66">
        <v>128681.37</v>
      </c>
      <c r="H6" s="66">
        <v>117455.67</v>
      </c>
      <c r="I6" s="66">
        <v>134129.62</v>
      </c>
      <c r="J6" s="66">
        <v>98528.77</v>
      </c>
      <c r="K6" s="66">
        <v>136531.64</v>
      </c>
      <c r="L6" s="66">
        <v>126132.43</v>
      </c>
      <c r="M6" s="66">
        <v>138068.95</v>
      </c>
      <c r="N6" s="20">
        <f t="shared" si="1"/>
        <v>1513747.66</v>
      </c>
      <c r="O6" s="32"/>
      <c r="P6" s="32"/>
      <c r="Q6" s="32"/>
      <c r="R6" s="32"/>
      <c r="S6" s="32"/>
      <c r="T6" s="32"/>
      <c r="U6" s="32"/>
      <c r="V6" s="32"/>
      <c r="W6" s="32"/>
      <c r="X6" s="32"/>
      <c r="Y6" s="32"/>
      <c r="Z6" s="32"/>
    </row>
    <row r="7">
      <c r="A7" s="65" t="s">
        <v>145</v>
      </c>
      <c r="B7" s="66">
        <v>13951.36</v>
      </c>
      <c r="C7" s="66">
        <v>13550.67</v>
      </c>
      <c r="D7" s="66">
        <v>10741.48</v>
      </c>
      <c r="E7" s="66">
        <v>9768.92</v>
      </c>
      <c r="F7" s="66">
        <v>10204.4</v>
      </c>
      <c r="G7" s="66">
        <v>11904.78</v>
      </c>
      <c r="H7" s="66">
        <v>8997.57</v>
      </c>
      <c r="I7" s="66">
        <v>8242.18</v>
      </c>
      <c r="J7" s="66">
        <v>8813.84</v>
      </c>
      <c r="K7" s="66">
        <v>9080.79</v>
      </c>
      <c r="L7" s="66">
        <v>13441.52</v>
      </c>
      <c r="M7" s="66">
        <v>8669.45</v>
      </c>
      <c r="N7" s="20">
        <f t="shared" si="1"/>
        <v>127366.96</v>
      </c>
      <c r="O7" s="32"/>
      <c r="P7" s="32"/>
      <c r="Q7" s="32"/>
      <c r="R7" s="32"/>
      <c r="S7" s="32"/>
      <c r="T7" s="32"/>
      <c r="U7" s="32"/>
      <c r="V7" s="32"/>
      <c r="W7" s="32"/>
      <c r="X7" s="32"/>
      <c r="Y7" s="32"/>
      <c r="Z7" s="32"/>
    </row>
    <row r="8">
      <c r="A8" s="65" t="s">
        <v>216</v>
      </c>
      <c r="B8" s="86" t="s">
        <v>227</v>
      </c>
      <c r="C8" s="86" t="s">
        <v>227</v>
      </c>
      <c r="D8" s="86" t="s">
        <v>227</v>
      </c>
      <c r="E8" s="86" t="s">
        <v>227</v>
      </c>
      <c r="F8" s="86" t="s">
        <v>227</v>
      </c>
      <c r="G8" s="86" t="s">
        <v>227</v>
      </c>
      <c r="H8" s="86" t="s">
        <v>227</v>
      </c>
      <c r="I8" s="86" t="s">
        <v>227</v>
      </c>
      <c r="J8" s="66">
        <v>40332.33</v>
      </c>
      <c r="K8" s="86" t="s">
        <v>227</v>
      </c>
      <c r="L8" s="86" t="s">
        <v>227</v>
      </c>
      <c r="M8" s="86" t="s">
        <v>227</v>
      </c>
      <c r="N8" s="32">
        <f t="shared" si="1"/>
        <v>40332.33</v>
      </c>
      <c r="O8" s="32"/>
      <c r="P8" s="32"/>
      <c r="Q8" s="32"/>
      <c r="R8" s="32"/>
      <c r="S8" s="32"/>
      <c r="T8" s="32"/>
      <c r="U8" s="32"/>
      <c r="V8" s="32"/>
      <c r="W8" s="32"/>
      <c r="X8" s="32"/>
      <c r="Y8" s="32"/>
      <c r="Z8" s="32"/>
    </row>
    <row r="9">
      <c r="A9" s="65" t="s">
        <v>146</v>
      </c>
      <c r="B9" s="86" t="s">
        <v>227</v>
      </c>
      <c r="C9" s="86" t="s">
        <v>227</v>
      </c>
      <c r="D9" s="67">
        <v>771.96</v>
      </c>
      <c r="E9" s="86" t="s">
        <v>227</v>
      </c>
      <c r="F9" s="86" t="s">
        <v>227</v>
      </c>
      <c r="G9" s="86" t="s">
        <v>227</v>
      </c>
      <c r="H9" s="86" t="s">
        <v>227</v>
      </c>
      <c r="I9" s="66">
        <v>1526.76</v>
      </c>
      <c r="J9" s="86" t="s">
        <v>227</v>
      </c>
      <c r="K9" s="86" t="s">
        <v>227</v>
      </c>
      <c r="L9" s="86" t="s">
        <v>227</v>
      </c>
      <c r="M9" s="86" t="s">
        <v>227</v>
      </c>
      <c r="N9" s="32">
        <f t="shared" si="1"/>
        <v>2298.72</v>
      </c>
      <c r="O9" s="32"/>
      <c r="P9" s="32"/>
      <c r="Q9" s="32"/>
      <c r="R9" s="32"/>
      <c r="S9" s="32"/>
      <c r="T9" s="32"/>
      <c r="U9" s="32"/>
      <c r="V9" s="32"/>
      <c r="W9" s="32"/>
      <c r="X9" s="32"/>
      <c r="Y9" s="32"/>
      <c r="Z9" s="32"/>
    </row>
    <row r="10">
      <c r="A10" s="65" t="s">
        <v>217</v>
      </c>
      <c r="B10" s="86" t="s">
        <v>227</v>
      </c>
      <c r="C10" s="86" t="s">
        <v>227</v>
      </c>
      <c r="D10" s="86" t="s">
        <v>227</v>
      </c>
      <c r="E10" s="86" t="s">
        <v>227</v>
      </c>
      <c r="F10" s="86" t="s">
        <v>227</v>
      </c>
      <c r="G10" s="86" t="s">
        <v>227</v>
      </c>
      <c r="H10" s="86" t="s">
        <v>227</v>
      </c>
      <c r="I10" s="86" t="s">
        <v>227</v>
      </c>
      <c r="J10" s="86" t="s">
        <v>227</v>
      </c>
      <c r="K10" s="86" t="s">
        <v>227</v>
      </c>
      <c r="L10" s="86" t="s">
        <v>227</v>
      </c>
      <c r="M10" s="86" t="s">
        <v>227</v>
      </c>
      <c r="N10" s="86" t="s">
        <v>227</v>
      </c>
      <c r="O10" s="32"/>
      <c r="P10" s="32"/>
      <c r="Q10" s="32"/>
      <c r="R10" s="32"/>
      <c r="S10" s="32"/>
      <c r="T10" s="32"/>
      <c r="U10" s="32"/>
      <c r="V10" s="32"/>
      <c r="W10" s="32"/>
      <c r="X10" s="32"/>
      <c r="Y10" s="32"/>
      <c r="Z10" s="32"/>
    </row>
    <row r="11">
      <c r="A11" s="70" t="s">
        <v>147</v>
      </c>
      <c r="B11" s="75">
        <f>Explaination!D78</f>
        <v>156883</v>
      </c>
      <c r="C11" s="75">
        <f t="shared" ref="C11:M11" si="2">B11*100.21%</f>
        <v>157212.4543</v>
      </c>
      <c r="D11" s="75">
        <f t="shared" si="2"/>
        <v>157542.6005</v>
      </c>
      <c r="E11" s="75">
        <f t="shared" si="2"/>
        <v>157873.4399</v>
      </c>
      <c r="F11" s="75">
        <f t="shared" si="2"/>
        <v>158204.9741</v>
      </c>
      <c r="G11" s="75">
        <f t="shared" si="2"/>
        <v>158537.2046</v>
      </c>
      <c r="H11" s="75">
        <f t="shared" si="2"/>
        <v>158870.1327</v>
      </c>
      <c r="I11" s="75">
        <f t="shared" si="2"/>
        <v>159203.76</v>
      </c>
      <c r="J11" s="75">
        <f t="shared" si="2"/>
        <v>159538.0879</v>
      </c>
      <c r="K11" s="75">
        <f t="shared" si="2"/>
        <v>159873.1179</v>
      </c>
      <c r="L11" s="75">
        <f t="shared" si="2"/>
        <v>160208.8514</v>
      </c>
      <c r="M11" s="75">
        <f t="shared" si="2"/>
        <v>160545.29</v>
      </c>
      <c r="N11" s="72">
        <f>SUM(B11:M11)</f>
        <v>1904492.913</v>
      </c>
      <c r="O11" s="32"/>
      <c r="P11" s="32"/>
      <c r="Q11" s="32"/>
      <c r="R11" s="32"/>
      <c r="S11" s="32"/>
      <c r="T11" s="32"/>
      <c r="U11" s="32"/>
      <c r="V11" s="32"/>
      <c r="W11" s="32"/>
      <c r="X11" s="32"/>
      <c r="Y11" s="32"/>
      <c r="Z11" s="32"/>
    </row>
    <row r="12">
      <c r="A12" s="65" t="s">
        <v>148</v>
      </c>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65" t="s">
        <v>148</v>
      </c>
      <c r="B13" s="66">
        <v>53194.75</v>
      </c>
      <c r="C13" s="66">
        <v>28398.06</v>
      </c>
      <c r="D13" s="66">
        <v>43994.63</v>
      </c>
      <c r="E13" s="66">
        <v>14872.3</v>
      </c>
      <c r="F13" s="66">
        <v>23489.28</v>
      </c>
      <c r="G13" s="66">
        <v>32191.8</v>
      </c>
      <c r="H13" s="66">
        <v>29909.34</v>
      </c>
      <c r="I13" s="66">
        <v>35402.04</v>
      </c>
      <c r="J13" s="66">
        <v>23936.69</v>
      </c>
      <c r="K13" s="66">
        <v>9697.26</v>
      </c>
      <c r="L13" s="66">
        <v>14020.84</v>
      </c>
      <c r="M13" s="66">
        <v>9388.69</v>
      </c>
      <c r="N13" s="20">
        <f t="shared" ref="N13:N16" si="3">SUM(B13:M13)</f>
        <v>318495.68</v>
      </c>
      <c r="O13" s="32"/>
      <c r="P13" s="32"/>
      <c r="Q13" s="32"/>
      <c r="R13" s="32"/>
      <c r="S13" s="32"/>
      <c r="T13" s="32"/>
      <c r="U13" s="32"/>
      <c r="V13" s="32"/>
      <c r="W13" s="32"/>
      <c r="X13" s="32"/>
      <c r="Y13" s="32"/>
      <c r="Z13" s="32"/>
    </row>
    <row r="14">
      <c r="A14" s="65" t="s">
        <v>149</v>
      </c>
      <c r="B14" s="66">
        <v>20871.84</v>
      </c>
      <c r="C14" s="66">
        <v>40190.22</v>
      </c>
      <c r="D14" s="66">
        <v>29554.92</v>
      </c>
      <c r="E14" s="66">
        <v>49421.05</v>
      </c>
      <c r="F14" s="66">
        <v>49708.71</v>
      </c>
      <c r="G14" s="66">
        <v>40221.74</v>
      </c>
      <c r="H14" s="66">
        <v>41908.67</v>
      </c>
      <c r="I14" s="66">
        <v>40735.83</v>
      </c>
      <c r="J14" s="66">
        <v>55743.33</v>
      </c>
      <c r="K14" s="66">
        <v>92841.52</v>
      </c>
      <c r="L14" s="66">
        <v>85781.05</v>
      </c>
      <c r="M14" s="66">
        <v>93886.89</v>
      </c>
      <c r="N14" s="20">
        <f t="shared" si="3"/>
        <v>640865.77</v>
      </c>
      <c r="O14" s="32"/>
      <c r="P14" s="32"/>
      <c r="Q14" s="32"/>
      <c r="R14" s="32"/>
      <c r="S14" s="32"/>
      <c r="T14" s="32"/>
      <c r="U14" s="32"/>
      <c r="V14" s="32"/>
      <c r="W14" s="32"/>
      <c r="X14" s="32"/>
      <c r="Y14" s="32"/>
      <c r="Z14" s="32"/>
    </row>
    <row r="15">
      <c r="A15" s="65" t="s">
        <v>150</v>
      </c>
      <c r="B15" s="66">
        <v>32613.85</v>
      </c>
      <c r="C15" s="66">
        <v>38316.19</v>
      </c>
      <c r="D15" s="66">
        <v>33579.42</v>
      </c>
      <c r="E15" s="66">
        <v>43060.59</v>
      </c>
      <c r="F15" s="66">
        <v>34381.39</v>
      </c>
      <c r="G15" s="66">
        <v>35391.77</v>
      </c>
      <c r="H15" s="66">
        <v>36213.68</v>
      </c>
      <c r="I15" s="66">
        <v>32120.69</v>
      </c>
      <c r="J15" s="66">
        <v>28805.88</v>
      </c>
      <c r="K15" s="66">
        <v>6174.94</v>
      </c>
      <c r="L15" s="66">
        <v>9140.24</v>
      </c>
      <c r="M15" s="66">
        <v>5895.22</v>
      </c>
      <c r="N15" s="20">
        <f t="shared" si="3"/>
        <v>335693.86</v>
      </c>
      <c r="O15" s="32"/>
      <c r="P15" s="32"/>
      <c r="Q15" s="32"/>
      <c r="R15" s="32"/>
      <c r="S15" s="32"/>
      <c r="T15" s="32"/>
      <c r="U15" s="32"/>
      <c r="V15" s="32"/>
      <c r="W15" s="32"/>
      <c r="X15" s="32"/>
      <c r="Y15" s="32"/>
      <c r="Z15" s="32"/>
    </row>
    <row r="16">
      <c r="A16" s="70" t="s">
        <v>151</v>
      </c>
      <c r="B16" s="81">
        <f t="shared" ref="B16:M16" si="4">B11*68%</f>
        <v>106680.44</v>
      </c>
      <c r="C16" s="81">
        <f t="shared" si="4"/>
        <v>106904.4689</v>
      </c>
      <c r="D16" s="81">
        <f t="shared" si="4"/>
        <v>107128.9683</v>
      </c>
      <c r="E16" s="81">
        <f t="shared" si="4"/>
        <v>107353.9391</v>
      </c>
      <c r="F16" s="81">
        <f t="shared" si="4"/>
        <v>107579.3824</v>
      </c>
      <c r="G16" s="81">
        <f t="shared" si="4"/>
        <v>107805.2991</v>
      </c>
      <c r="H16" s="81">
        <f t="shared" si="4"/>
        <v>108031.6902</v>
      </c>
      <c r="I16" s="81">
        <f t="shared" si="4"/>
        <v>108258.5568</v>
      </c>
      <c r="J16" s="81">
        <f t="shared" si="4"/>
        <v>108485.8998</v>
      </c>
      <c r="K16" s="81">
        <f t="shared" si="4"/>
        <v>108713.7202</v>
      </c>
      <c r="L16" s="81">
        <f t="shared" si="4"/>
        <v>108942.019</v>
      </c>
      <c r="M16" s="81">
        <f t="shared" si="4"/>
        <v>109170.7972</v>
      </c>
      <c r="N16" s="82">
        <f t="shared" si="3"/>
        <v>1295055.181</v>
      </c>
      <c r="O16" s="32"/>
      <c r="P16" s="32"/>
      <c r="Q16" s="32"/>
      <c r="R16" s="32"/>
      <c r="S16" s="32"/>
      <c r="T16" s="32"/>
      <c r="U16" s="32"/>
      <c r="V16" s="32"/>
      <c r="W16" s="32"/>
      <c r="X16" s="32"/>
      <c r="Y16" s="32"/>
      <c r="Z16" s="32"/>
    </row>
    <row r="17">
      <c r="A17" s="70" t="s">
        <v>152</v>
      </c>
      <c r="B17" s="83">
        <f t="shared" ref="B17:N17" si="5">B11-B16</f>
        <v>50202.56</v>
      </c>
      <c r="C17" s="83">
        <f t="shared" si="5"/>
        <v>50307.98538</v>
      </c>
      <c r="D17" s="83">
        <f t="shared" si="5"/>
        <v>50413.63215</v>
      </c>
      <c r="E17" s="83">
        <f t="shared" si="5"/>
        <v>50519.50077</v>
      </c>
      <c r="F17" s="83">
        <f t="shared" si="5"/>
        <v>50625.59172</v>
      </c>
      <c r="G17" s="83">
        <f t="shared" si="5"/>
        <v>50731.90547</v>
      </c>
      <c r="H17" s="83">
        <f t="shared" si="5"/>
        <v>50838.44247</v>
      </c>
      <c r="I17" s="83">
        <f t="shared" si="5"/>
        <v>50945.2032</v>
      </c>
      <c r="J17" s="83">
        <f t="shared" si="5"/>
        <v>51052.18812</v>
      </c>
      <c r="K17" s="83">
        <f t="shared" si="5"/>
        <v>51159.39772</v>
      </c>
      <c r="L17" s="83">
        <f t="shared" si="5"/>
        <v>51266.83245</v>
      </c>
      <c r="M17" s="83">
        <f t="shared" si="5"/>
        <v>51374.4928</v>
      </c>
      <c r="N17" s="84">
        <f t="shared" si="5"/>
        <v>609437.7323</v>
      </c>
      <c r="O17" s="32"/>
      <c r="P17" s="32"/>
      <c r="Q17" s="32"/>
      <c r="R17" s="32"/>
      <c r="S17" s="32"/>
      <c r="T17" s="32"/>
      <c r="U17" s="32"/>
      <c r="V17" s="32"/>
      <c r="W17" s="32"/>
      <c r="X17" s="32"/>
      <c r="Y17" s="32"/>
      <c r="Z17" s="32"/>
    </row>
    <row r="18">
      <c r="A18" s="65" t="s">
        <v>153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ht="15.75" customHeight="1">
      <c r="A19" s="65" t="s">
        <v>154</v>
      </c>
      <c r="B19" s="66">
        <v>4944.48</v>
      </c>
      <c r="C19" s="66">
        <v>4440.17</v>
      </c>
      <c r="D19" s="66">
        <v>4754.76</v>
      </c>
      <c r="E19" s="66">
        <v>4545.76</v>
      </c>
      <c r="F19" s="66">
        <v>4272.29</v>
      </c>
      <c r="G19" s="66">
        <v>3155.95</v>
      </c>
      <c r="H19" s="66">
        <v>4440.17</v>
      </c>
      <c r="I19" s="66">
        <v>4030.35</v>
      </c>
      <c r="J19" s="66">
        <v>3155.95</v>
      </c>
      <c r="K19" s="66">
        <v>4510.38</v>
      </c>
      <c r="L19" s="66">
        <v>4754.76</v>
      </c>
      <c r="M19" s="66">
        <v>4272.29</v>
      </c>
      <c r="N19" s="20">
        <f t="shared" ref="N19:N52" si="6">SUM(B19:M19)</f>
        <v>51277.31</v>
      </c>
      <c r="O19" s="32"/>
      <c r="P19" s="32"/>
      <c r="Q19" s="32"/>
      <c r="R19" s="32"/>
      <c r="S19" s="32"/>
      <c r="T19" s="32"/>
      <c r="U19" s="32"/>
      <c r="V19" s="32"/>
      <c r="W19" s="32"/>
      <c r="X19" s="32"/>
      <c r="Y19" s="32"/>
      <c r="Z19" s="32"/>
    </row>
    <row r="20" ht="15.75" customHeight="1">
      <c r="A20" s="65" t="s">
        <v>155</v>
      </c>
      <c r="B20" s="67">
        <v>424.05</v>
      </c>
      <c r="C20" s="67">
        <v>840.26</v>
      </c>
      <c r="D20" s="67">
        <v>610.37</v>
      </c>
      <c r="E20" s="66">
        <v>1127.68</v>
      </c>
      <c r="F20" s="67">
        <v>423.75</v>
      </c>
      <c r="G20" s="67">
        <v>72.54</v>
      </c>
      <c r="H20" s="67">
        <v>849.18</v>
      </c>
      <c r="I20" s="66">
        <v>1126.87</v>
      </c>
      <c r="J20" s="67">
        <v>72.54</v>
      </c>
      <c r="K20" s="67">
        <v>854.65</v>
      </c>
      <c r="L20" s="67">
        <v>424.05</v>
      </c>
      <c r="M20" s="67">
        <v>423.75</v>
      </c>
      <c r="N20" s="32">
        <f t="shared" si="6"/>
        <v>7249.69</v>
      </c>
      <c r="O20" s="32"/>
      <c r="P20" s="32"/>
      <c r="Q20" s="32"/>
      <c r="R20" s="32"/>
      <c r="S20" s="32"/>
      <c r="T20" s="32"/>
      <c r="U20" s="32"/>
      <c r="V20" s="32"/>
      <c r="W20" s="32"/>
      <c r="X20" s="32"/>
      <c r="Y20" s="32"/>
      <c r="Z20" s="32"/>
    </row>
    <row r="21" ht="15.75" customHeight="1">
      <c r="A21" s="65" t="s">
        <v>156</v>
      </c>
      <c r="B21" s="67">
        <v>60.81</v>
      </c>
      <c r="C21" s="67">
        <v>646.36</v>
      </c>
      <c r="D21" s="67">
        <v>210.63</v>
      </c>
      <c r="E21" s="67">
        <v>125.0</v>
      </c>
      <c r="F21" s="67">
        <v>64.6</v>
      </c>
      <c r="G21" s="67">
        <v>195.82</v>
      </c>
      <c r="H21" s="67">
        <v>653.22</v>
      </c>
      <c r="I21" s="67">
        <v>78.48</v>
      </c>
      <c r="J21" s="67">
        <v>195.82</v>
      </c>
      <c r="K21" s="67">
        <v>657.42</v>
      </c>
      <c r="L21" s="67">
        <v>60.81</v>
      </c>
      <c r="M21" s="67">
        <v>64.6</v>
      </c>
      <c r="N21" s="32">
        <f t="shared" si="6"/>
        <v>3013.57</v>
      </c>
      <c r="O21" s="32"/>
      <c r="P21" s="32"/>
      <c r="Q21" s="32"/>
      <c r="R21" s="32"/>
      <c r="S21" s="32"/>
      <c r="T21" s="32"/>
      <c r="U21" s="32"/>
      <c r="V21" s="32"/>
      <c r="W21" s="32"/>
      <c r="X21" s="32"/>
      <c r="Y21" s="32"/>
      <c r="Z21" s="32"/>
    </row>
    <row r="22" ht="15.75" customHeight="1">
      <c r="A22" s="65" t="s">
        <v>157</v>
      </c>
      <c r="B22" s="67">
        <v>32.95</v>
      </c>
      <c r="C22" s="67">
        <v>64.64</v>
      </c>
      <c r="D22" s="67">
        <v>24.11</v>
      </c>
      <c r="E22" s="67">
        <v>5.55</v>
      </c>
      <c r="F22" s="67">
        <v>32.95</v>
      </c>
      <c r="G22" s="67">
        <v>32.95</v>
      </c>
      <c r="H22" s="67">
        <v>65.32</v>
      </c>
      <c r="I22" s="67">
        <v>15.4</v>
      </c>
      <c r="J22" s="67">
        <v>32.95</v>
      </c>
      <c r="K22" s="67">
        <v>65.74</v>
      </c>
      <c r="L22" s="67">
        <v>32.95</v>
      </c>
      <c r="M22" s="67">
        <v>32.95</v>
      </c>
      <c r="N22" s="32">
        <f t="shared" si="6"/>
        <v>438.46</v>
      </c>
      <c r="O22" s="32"/>
      <c r="P22" s="32"/>
      <c r="Q22" s="32"/>
      <c r="R22" s="32"/>
      <c r="S22" s="32"/>
      <c r="T22" s="32"/>
      <c r="U22" s="32"/>
      <c r="V22" s="32"/>
      <c r="W22" s="32"/>
      <c r="X22" s="32"/>
      <c r="Y22" s="32"/>
      <c r="Z22" s="32"/>
    </row>
    <row r="23" ht="15.75" customHeight="1">
      <c r="A23" s="70" t="s">
        <v>158</v>
      </c>
      <c r="B23" s="76">
        <f t="shared" ref="B23:M23" si="7">B20+B21+B22</f>
        <v>517.81</v>
      </c>
      <c r="C23" s="76">
        <f t="shared" si="7"/>
        <v>1551.26</v>
      </c>
      <c r="D23" s="76">
        <f t="shared" si="7"/>
        <v>845.11</v>
      </c>
      <c r="E23" s="77">
        <f t="shared" si="7"/>
        <v>1258.23</v>
      </c>
      <c r="F23" s="76">
        <f t="shared" si="7"/>
        <v>521.3</v>
      </c>
      <c r="G23" s="76">
        <f t="shared" si="7"/>
        <v>301.31</v>
      </c>
      <c r="H23" s="76">
        <f t="shared" si="7"/>
        <v>1567.72</v>
      </c>
      <c r="I23" s="77">
        <f t="shared" si="7"/>
        <v>1220.75</v>
      </c>
      <c r="J23" s="76">
        <f t="shared" si="7"/>
        <v>301.31</v>
      </c>
      <c r="K23" s="76">
        <f t="shared" si="7"/>
        <v>1577.81</v>
      </c>
      <c r="L23" s="76">
        <f t="shared" si="7"/>
        <v>517.81</v>
      </c>
      <c r="M23" s="76">
        <f t="shared" si="7"/>
        <v>521.3</v>
      </c>
      <c r="N23" s="85">
        <f t="shared" si="6"/>
        <v>10701.72</v>
      </c>
      <c r="O23" s="32"/>
      <c r="P23" s="32"/>
      <c r="Q23" s="32"/>
      <c r="R23" s="32"/>
      <c r="S23" s="32"/>
      <c r="T23" s="32"/>
      <c r="U23" s="32"/>
      <c r="V23" s="32"/>
      <c r="W23" s="32"/>
      <c r="X23" s="32"/>
      <c r="Y23" s="32"/>
      <c r="Z23" s="32"/>
    </row>
    <row r="24" ht="15.75" customHeight="1">
      <c r="A24" s="65" t="s">
        <v>159</v>
      </c>
      <c r="B24" s="67">
        <v>478.1</v>
      </c>
      <c r="C24" s="67">
        <v>227.68</v>
      </c>
      <c r="D24" s="67">
        <v>168.12</v>
      </c>
      <c r="E24" s="67">
        <v>230.19</v>
      </c>
      <c r="F24" s="67">
        <v>61.61</v>
      </c>
      <c r="G24" s="67">
        <v>224.65</v>
      </c>
      <c r="H24" s="67">
        <v>261.29</v>
      </c>
      <c r="I24" s="67">
        <v>180.11</v>
      </c>
      <c r="J24" s="67">
        <v>224.65</v>
      </c>
      <c r="K24" s="67">
        <v>262.97</v>
      </c>
      <c r="L24" s="67">
        <v>475.1</v>
      </c>
      <c r="M24" s="67">
        <v>61.61</v>
      </c>
      <c r="N24" s="32">
        <f t="shared" si="6"/>
        <v>2856.08</v>
      </c>
      <c r="O24" s="32"/>
      <c r="P24" s="32"/>
      <c r="Q24" s="32"/>
      <c r="R24" s="32"/>
      <c r="S24" s="32"/>
      <c r="T24" s="32"/>
      <c r="U24" s="32"/>
      <c r="V24" s="32"/>
      <c r="W24" s="32"/>
      <c r="X24" s="32"/>
      <c r="Y24" s="32"/>
      <c r="Z24" s="32"/>
    </row>
    <row r="25" ht="15.75" customHeight="1">
      <c r="A25" s="65" t="s">
        <v>218</v>
      </c>
      <c r="B25" s="67">
        <v>89.94</v>
      </c>
      <c r="C25" s="67">
        <v>90.66</v>
      </c>
      <c r="D25" s="67">
        <v>90.33</v>
      </c>
      <c r="E25" s="67">
        <v>90.27</v>
      </c>
      <c r="F25" s="67">
        <v>90.6</v>
      </c>
      <c r="G25" s="67">
        <v>90.46</v>
      </c>
      <c r="H25" s="67">
        <v>90.27</v>
      </c>
      <c r="I25" s="67">
        <v>90.2</v>
      </c>
      <c r="J25" s="67">
        <v>90.46</v>
      </c>
      <c r="K25" s="67">
        <v>854.65</v>
      </c>
      <c r="L25" s="67">
        <v>89.94</v>
      </c>
      <c r="M25" s="67">
        <v>90.6</v>
      </c>
      <c r="N25" s="32">
        <f t="shared" si="6"/>
        <v>1848.38</v>
      </c>
      <c r="O25" s="32"/>
      <c r="P25" s="32"/>
      <c r="Q25" s="32"/>
      <c r="R25" s="32"/>
      <c r="S25" s="32"/>
      <c r="T25" s="32"/>
      <c r="U25" s="32"/>
      <c r="V25" s="32"/>
      <c r="W25" s="32"/>
      <c r="X25" s="32"/>
      <c r="Y25" s="32"/>
      <c r="Z25" s="32"/>
    </row>
    <row r="26" ht="15.75" customHeight="1">
      <c r="A26" s="65" t="s">
        <v>160</v>
      </c>
      <c r="B26" s="67">
        <v>479.7</v>
      </c>
      <c r="C26" s="67">
        <v>483.53</v>
      </c>
      <c r="D26" s="67">
        <v>481.78</v>
      </c>
      <c r="E26" s="67">
        <v>481.43</v>
      </c>
      <c r="F26" s="67">
        <v>483.17</v>
      </c>
      <c r="G26" s="67">
        <v>482.47</v>
      </c>
      <c r="H26" s="67">
        <v>481.43</v>
      </c>
      <c r="I26" s="67">
        <v>481.08</v>
      </c>
      <c r="J26" s="67">
        <v>482.47</v>
      </c>
      <c r="K26" s="67">
        <v>854.65</v>
      </c>
      <c r="L26" s="67">
        <v>479.7</v>
      </c>
      <c r="M26" s="67">
        <v>483.17</v>
      </c>
      <c r="N26" s="32">
        <f t="shared" si="6"/>
        <v>6154.58</v>
      </c>
      <c r="O26" s="32"/>
      <c r="P26" s="32"/>
      <c r="Q26" s="32"/>
      <c r="R26" s="32"/>
      <c r="S26" s="32"/>
      <c r="T26" s="32"/>
      <c r="U26" s="32"/>
      <c r="V26" s="32"/>
      <c r="W26" s="32"/>
      <c r="X26" s="32"/>
      <c r="Y26" s="32"/>
      <c r="Z26" s="32"/>
    </row>
    <row r="27" ht="15.75" customHeight="1">
      <c r="A27" s="65" t="s">
        <v>219</v>
      </c>
      <c r="B27" s="66">
        <v>1683.8</v>
      </c>
      <c r="C27" s="66">
        <v>1522.34</v>
      </c>
      <c r="D27" s="66">
        <v>1686.22</v>
      </c>
      <c r="E27" s="66">
        <v>1685.01</v>
      </c>
      <c r="F27" s="66">
        <v>1691.11</v>
      </c>
      <c r="G27" s="66">
        <v>1688.66</v>
      </c>
      <c r="H27" s="67">
        <v>816.52</v>
      </c>
      <c r="I27" s="66">
        <v>1683.79</v>
      </c>
      <c r="J27" s="66">
        <v>1688.66</v>
      </c>
      <c r="K27" s="67">
        <v>854.65</v>
      </c>
      <c r="L27" s="66">
        <v>1683.8</v>
      </c>
      <c r="M27" s="66">
        <v>1691.11</v>
      </c>
      <c r="N27" s="20">
        <f t="shared" si="6"/>
        <v>18375.67</v>
      </c>
      <c r="O27" s="32"/>
      <c r="P27" s="32"/>
      <c r="Q27" s="32"/>
      <c r="R27" s="32"/>
      <c r="S27" s="32"/>
      <c r="T27" s="32"/>
      <c r="U27" s="32"/>
      <c r="V27" s="32"/>
      <c r="W27" s="32"/>
      <c r="X27" s="32"/>
      <c r="Y27" s="32"/>
      <c r="Z27" s="32"/>
    </row>
    <row r="28" ht="15.75" customHeight="1">
      <c r="A28" s="65" t="s">
        <v>161</v>
      </c>
      <c r="B28" s="66">
        <v>1168.27</v>
      </c>
      <c r="C28" s="66">
        <v>1078.83</v>
      </c>
      <c r="D28" s="66">
        <v>2841.96</v>
      </c>
      <c r="E28" s="66">
        <v>1711.78</v>
      </c>
      <c r="F28" s="66">
        <v>1360.96</v>
      </c>
      <c r="G28" s="67">
        <v>786.23</v>
      </c>
      <c r="H28" s="67">
        <v>816.52</v>
      </c>
      <c r="I28" s="66">
        <v>1712.42</v>
      </c>
      <c r="J28" s="67">
        <v>786.23</v>
      </c>
      <c r="K28" s="67">
        <v>854.65</v>
      </c>
      <c r="L28" s="66">
        <v>1168.27</v>
      </c>
      <c r="M28" s="66">
        <v>1360.96</v>
      </c>
      <c r="N28" s="20">
        <f t="shared" si="6"/>
        <v>15647.08</v>
      </c>
      <c r="O28" s="32"/>
      <c r="P28" s="32"/>
      <c r="Q28" s="32"/>
      <c r="R28" s="32"/>
      <c r="S28" s="32"/>
      <c r="T28" s="32"/>
      <c r="U28" s="32"/>
      <c r="V28" s="32"/>
      <c r="W28" s="32"/>
      <c r="X28" s="32"/>
      <c r="Y28" s="32"/>
      <c r="Z28" s="32"/>
    </row>
    <row r="29" ht="15.75" customHeight="1">
      <c r="A29" s="65" t="s">
        <v>162</v>
      </c>
      <c r="B29" s="67">
        <v>284.86</v>
      </c>
      <c r="C29" s="67">
        <v>285.07</v>
      </c>
      <c r="D29" s="67">
        <v>625.06</v>
      </c>
      <c r="E29" s="67">
        <v>306.36</v>
      </c>
      <c r="F29" s="67">
        <v>306.36</v>
      </c>
      <c r="G29" s="67">
        <v>286.51</v>
      </c>
      <c r="H29" s="67">
        <v>286.51</v>
      </c>
      <c r="I29" s="67">
        <v>285.67</v>
      </c>
      <c r="J29" s="67">
        <v>286.51</v>
      </c>
      <c r="K29" s="67">
        <v>854.65</v>
      </c>
      <c r="L29" s="67">
        <v>284.86</v>
      </c>
      <c r="M29" s="67">
        <v>306.36</v>
      </c>
      <c r="N29" s="32">
        <f t="shared" si="6"/>
        <v>4398.78</v>
      </c>
      <c r="O29" s="32"/>
      <c r="P29" s="32"/>
      <c r="Q29" s="32"/>
      <c r="R29" s="32"/>
      <c r="S29" s="32"/>
      <c r="T29" s="32"/>
      <c r="U29" s="32"/>
      <c r="V29" s="32"/>
      <c r="W29" s="32"/>
      <c r="X29" s="32"/>
      <c r="Y29" s="32"/>
      <c r="Z29" s="32"/>
    </row>
    <row r="30" ht="15.75" customHeight="1">
      <c r="A30" s="65" t="s">
        <v>197</v>
      </c>
      <c r="B30" s="67">
        <v>599.63</v>
      </c>
      <c r="C30" s="67">
        <v>604.41</v>
      </c>
      <c r="D30" s="67">
        <v>602.22</v>
      </c>
      <c r="E30" s="67">
        <v>601.79</v>
      </c>
      <c r="F30" s="67">
        <v>603.97</v>
      </c>
      <c r="G30" s="67">
        <v>603.09</v>
      </c>
      <c r="H30" s="67">
        <v>601.79</v>
      </c>
      <c r="I30" s="67">
        <v>501.35</v>
      </c>
      <c r="J30" s="67">
        <v>603.09</v>
      </c>
      <c r="K30" s="67">
        <v>854.65</v>
      </c>
      <c r="L30" s="67">
        <v>599.63</v>
      </c>
      <c r="M30" s="67">
        <v>603.97</v>
      </c>
      <c r="N30" s="32">
        <f t="shared" si="6"/>
        <v>7379.59</v>
      </c>
      <c r="O30" s="32"/>
      <c r="P30" s="32"/>
      <c r="Q30" s="32"/>
      <c r="R30" s="32"/>
      <c r="S30" s="32"/>
      <c r="T30" s="32"/>
      <c r="U30" s="32"/>
      <c r="V30" s="32"/>
      <c r="W30" s="32"/>
      <c r="X30" s="32"/>
      <c r="Y30" s="32"/>
      <c r="Z30" s="32"/>
    </row>
    <row r="31" ht="15.75" customHeight="1">
      <c r="A31" s="65" t="s">
        <v>163</v>
      </c>
      <c r="B31" s="67">
        <v>474.41</v>
      </c>
      <c r="C31" s="66">
        <v>2344.87</v>
      </c>
      <c r="D31" s="67">
        <v>975.43</v>
      </c>
      <c r="E31" s="67">
        <v>474.41</v>
      </c>
      <c r="F31" s="67">
        <v>809.5</v>
      </c>
      <c r="G31" s="66">
        <v>1884.73</v>
      </c>
      <c r="H31" s="66">
        <v>1306.43</v>
      </c>
      <c r="I31" s="66">
        <v>2344.87</v>
      </c>
      <c r="J31" s="66">
        <v>1884.73</v>
      </c>
      <c r="K31" s="66">
        <v>1314.84</v>
      </c>
      <c r="L31" s="67">
        <v>474.41</v>
      </c>
      <c r="M31" s="67">
        <v>809.5</v>
      </c>
      <c r="N31" s="32">
        <f t="shared" si="6"/>
        <v>15098.13</v>
      </c>
      <c r="O31" s="32"/>
      <c r="P31" s="32"/>
      <c r="Q31" s="32"/>
      <c r="R31" s="32"/>
      <c r="S31" s="32"/>
      <c r="T31" s="32"/>
      <c r="U31" s="32"/>
      <c r="V31" s="32"/>
      <c r="W31" s="32"/>
      <c r="X31" s="32"/>
      <c r="Y31" s="32"/>
      <c r="Z31" s="32"/>
    </row>
    <row r="32" ht="15.75" customHeight="1">
      <c r="A32" s="65" t="s">
        <v>164</v>
      </c>
      <c r="B32" s="67">
        <v>809.5</v>
      </c>
      <c r="C32" s="67">
        <v>624.0</v>
      </c>
      <c r="D32" s="67">
        <v>602.22</v>
      </c>
      <c r="E32" s="67">
        <v>601.79</v>
      </c>
      <c r="F32" s="67">
        <v>603.97</v>
      </c>
      <c r="G32" s="67">
        <v>603.09</v>
      </c>
      <c r="H32" s="67">
        <v>624.0</v>
      </c>
      <c r="I32" s="67">
        <v>601.35</v>
      </c>
      <c r="J32" s="67">
        <v>603.09</v>
      </c>
      <c r="K32" s="67">
        <v>854.65</v>
      </c>
      <c r="L32" s="67">
        <v>809.5</v>
      </c>
      <c r="M32" s="67">
        <v>603.97</v>
      </c>
      <c r="N32" s="32">
        <f t="shared" si="6"/>
        <v>7941.13</v>
      </c>
      <c r="O32" s="32"/>
      <c r="P32" s="32"/>
      <c r="Q32" s="32"/>
      <c r="R32" s="32"/>
      <c r="S32" s="32"/>
      <c r="T32" s="32"/>
      <c r="U32" s="32"/>
      <c r="V32" s="32"/>
      <c r="W32" s="32"/>
      <c r="X32" s="32"/>
      <c r="Y32" s="32"/>
      <c r="Z32" s="32"/>
    </row>
    <row r="33" ht="15.75" customHeight="1">
      <c r="A33" s="65" t="s">
        <v>220</v>
      </c>
      <c r="B33" s="75">
        <f t="shared" ref="B33:M33" si="8">B11*18%</f>
        <v>28238.94</v>
      </c>
      <c r="C33" s="75">
        <f t="shared" si="8"/>
        <v>28298.24177</v>
      </c>
      <c r="D33" s="75">
        <f t="shared" si="8"/>
        <v>28357.66808</v>
      </c>
      <c r="E33" s="75">
        <f t="shared" si="8"/>
        <v>28417.21918</v>
      </c>
      <c r="F33" s="75">
        <f t="shared" si="8"/>
        <v>28476.89534</v>
      </c>
      <c r="G33" s="75">
        <f t="shared" si="8"/>
        <v>28536.69683</v>
      </c>
      <c r="H33" s="75">
        <f t="shared" si="8"/>
        <v>28596.62389</v>
      </c>
      <c r="I33" s="75">
        <f t="shared" si="8"/>
        <v>28656.6768</v>
      </c>
      <c r="J33" s="75">
        <f t="shared" si="8"/>
        <v>28716.85582</v>
      </c>
      <c r="K33" s="75">
        <f t="shared" si="8"/>
        <v>28777.16122</v>
      </c>
      <c r="L33" s="75">
        <f t="shared" si="8"/>
        <v>28837.59326</v>
      </c>
      <c r="M33" s="75">
        <f t="shared" si="8"/>
        <v>28898.1522</v>
      </c>
      <c r="N33" s="72">
        <f t="shared" si="6"/>
        <v>342808.7244</v>
      </c>
      <c r="O33" s="32"/>
      <c r="P33" s="32"/>
      <c r="Q33" s="32"/>
      <c r="R33" s="32"/>
      <c r="S33" s="32"/>
      <c r="T33" s="32"/>
      <c r="U33" s="32"/>
      <c r="V33" s="32"/>
      <c r="W33" s="32"/>
      <c r="X33" s="32"/>
      <c r="Y33" s="32"/>
      <c r="Z33" s="32"/>
    </row>
    <row r="34" ht="15.75" customHeight="1">
      <c r="A34" s="65" t="s">
        <v>165</v>
      </c>
      <c r="B34" s="66">
        <v>2922.88</v>
      </c>
      <c r="C34" s="66">
        <v>2924.98</v>
      </c>
      <c r="D34" s="66">
        <v>2120.45</v>
      </c>
      <c r="E34" s="66">
        <v>3338.99</v>
      </c>
      <c r="F34" s="66">
        <v>4216.46</v>
      </c>
      <c r="G34" s="66">
        <v>2525.28</v>
      </c>
      <c r="H34" s="66">
        <v>3081.36</v>
      </c>
      <c r="I34" s="66">
        <v>4216.46</v>
      </c>
      <c r="J34" s="66">
        <v>2525.28</v>
      </c>
      <c r="K34" s="66">
        <v>2209.55</v>
      </c>
      <c r="L34" s="66">
        <v>2922.88</v>
      </c>
      <c r="M34" s="66">
        <v>4216.46</v>
      </c>
      <c r="N34" s="20">
        <f t="shared" si="6"/>
        <v>37221.03</v>
      </c>
      <c r="O34" s="32"/>
      <c r="P34" s="32"/>
      <c r="Q34" s="32"/>
      <c r="R34" s="32"/>
      <c r="S34" s="32"/>
      <c r="T34" s="32"/>
      <c r="U34" s="32"/>
      <c r="V34" s="32"/>
      <c r="W34" s="32"/>
      <c r="X34" s="32"/>
      <c r="Y34" s="32"/>
      <c r="Z34" s="32"/>
    </row>
    <row r="35" ht="15.75" customHeight="1">
      <c r="A35" s="65" t="s">
        <v>198</v>
      </c>
      <c r="B35" s="67">
        <v>312.22</v>
      </c>
      <c r="C35" s="67">
        <v>271.68</v>
      </c>
      <c r="D35" s="67">
        <v>74.06</v>
      </c>
      <c r="E35" s="67">
        <v>88.29</v>
      </c>
      <c r="F35" s="67">
        <v>312.0</v>
      </c>
      <c r="G35" s="67">
        <v>312.0</v>
      </c>
      <c r="H35" s="67">
        <v>816.52</v>
      </c>
      <c r="I35" s="67">
        <v>74.06</v>
      </c>
      <c r="J35" s="67">
        <v>312.0</v>
      </c>
      <c r="K35" s="67">
        <v>854.65</v>
      </c>
      <c r="L35" s="67">
        <v>312.22</v>
      </c>
      <c r="M35" s="67">
        <v>312.0</v>
      </c>
      <c r="N35" s="32">
        <f t="shared" si="6"/>
        <v>4051.7</v>
      </c>
      <c r="O35" s="32"/>
      <c r="P35" s="32"/>
      <c r="Q35" s="32"/>
      <c r="R35" s="32"/>
      <c r="S35" s="32"/>
      <c r="T35" s="32"/>
      <c r="U35" s="32"/>
      <c r="V35" s="32"/>
      <c r="W35" s="32"/>
      <c r="X35" s="32"/>
      <c r="Y35" s="32"/>
      <c r="Z35" s="32"/>
    </row>
    <row r="36" ht="15.75" customHeight="1">
      <c r="A36" s="65" t="s">
        <v>166</v>
      </c>
      <c r="B36" s="67">
        <v>159.41</v>
      </c>
      <c r="C36" s="67">
        <v>336.78</v>
      </c>
      <c r="D36" s="67">
        <v>337.26</v>
      </c>
      <c r="E36" s="67">
        <v>480.92</v>
      </c>
      <c r="F36" s="67">
        <v>337.26</v>
      </c>
      <c r="G36" s="67">
        <v>351.37</v>
      </c>
      <c r="H36" s="66">
        <v>1222.67</v>
      </c>
      <c r="I36" s="67">
        <v>336.78</v>
      </c>
      <c r="J36" s="67">
        <v>351.37</v>
      </c>
      <c r="K36" s="67">
        <v>854.65</v>
      </c>
      <c r="L36" s="67">
        <v>159.41</v>
      </c>
      <c r="M36" s="67">
        <v>337.26</v>
      </c>
      <c r="N36" s="32">
        <f t="shared" si="6"/>
        <v>5265.14</v>
      </c>
      <c r="O36" s="32"/>
      <c r="P36" s="32"/>
      <c r="Q36" s="32"/>
      <c r="R36" s="32"/>
      <c r="S36" s="32"/>
      <c r="T36" s="32"/>
      <c r="U36" s="32"/>
      <c r="V36" s="32"/>
      <c r="W36" s="32"/>
      <c r="X36" s="32"/>
      <c r="Y36" s="32"/>
      <c r="Z36" s="32"/>
    </row>
    <row r="37" ht="15.75" customHeight="1">
      <c r="A37" s="65" t="s">
        <v>167</v>
      </c>
      <c r="B37" s="67">
        <v>243.52</v>
      </c>
      <c r="C37" s="67">
        <v>258.77</v>
      </c>
      <c r="D37" s="67">
        <v>260.1</v>
      </c>
      <c r="E37" s="67">
        <v>185.55</v>
      </c>
      <c r="F37" s="67">
        <v>258.58</v>
      </c>
      <c r="G37" s="67">
        <v>258.2</v>
      </c>
      <c r="H37" s="67">
        <v>313.0</v>
      </c>
      <c r="I37" s="67">
        <v>240.81</v>
      </c>
      <c r="J37" s="67">
        <v>258.2</v>
      </c>
      <c r="K37" s="67">
        <v>854.65</v>
      </c>
      <c r="L37" s="67">
        <v>243.52</v>
      </c>
      <c r="M37" s="67">
        <v>258.58</v>
      </c>
      <c r="N37" s="32">
        <f t="shared" si="6"/>
        <v>3633.48</v>
      </c>
      <c r="O37" s="32"/>
      <c r="P37" s="32"/>
      <c r="Q37" s="32"/>
      <c r="R37" s="32"/>
      <c r="S37" s="32"/>
      <c r="T37" s="32"/>
      <c r="U37" s="32"/>
      <c r="V37" s="32"/>
      <c r="W37" s="32"/>
      <c r="X37" s="32"/>
      <c r="Y37" s="32"/>
      <c r="Z37" s="32"/>
    </row>
    <row r="38" ht="15.75" customHeight="1">
      <c r="A38" s="65" t="s">
        <v>221</v>
      </c>
      <c r="B38" s="67">
        <v>98.6</v>
      </c>
      <c r="C38" s="67">
        <v>99.31</v>
      </c>
      <c r="D38" s="67">
        <v>98.95</v>
      </c>
      <c r="E38" s="67">
        <v>98.88</v>
      </c>
      <c r="F38" s="67">
        <v>99.24</v>
      </c>
      <c r="G38" s="67">
        <v>99.1</v>
      </c>
      <c r="H38" s="67">
        <v>816.52</v>
      </c>
      <c r="I38" s="67">
        <v>98.81</v>
      </c>
      <c r="J38" s="67">
        <v>99.1</v>
      </c>
      <c r="K38" s="67">
        <v>854.65</v>
      </c>
      <c r="L38" s="67">
        <v>98.6</v>
      </c>
      <c r="M38" s="67">
        <v>99.24</v>
      </c>
      <c r="N38" s="32">
        <f t="shared" si="6"/>
        <v>2661</v>
      </c>
      <c r="O38" s="32"/>
      <c r="P38" s="32"/>
      <c r="Q38" s="32"/>
      <c r="R38" s="32"/>
      <c r="S38" s="32"/>
      <c r="T38" s="32"/>
      <c r="U38" s="32"/>
      <c r="V38" s="32"/>
      <c r="W38" s="32"/>
      <c r="X38" s="32"/>
      <c r="Y38" s="32"/>
      <c r="Z38" s="32"/>
    </row>
    <row r="39" ht="15.75" customHeight="1">
      <c r="A39" s="70" t="s">
        <v>222</v>
      </c>
      <c r="B39" s="76">
        <f t="shared" ref="B39:M39" si="9">B37+B38</f>
        <v>342.12</v>
      </c>
      <c r="C39" s="76">
        <f t="shared" si="9"/>
        <v>358.08</v>
      </c>
      <c r="D39" s="76">
        <f t="shared" si="9"/>
        <v>359.05</v>
      </c>
      <c r="E39" s="76">
        <f t="shared" si="9"/>
        <v>284.43</v>
      </c>
      <c r="F39" s="76">
        <f t="shared" si="9"/>
        <v>357.82</v>
      </c>
      <c r="G39" s="76">
        <f t="shared" si="9"/>
        <v>357.3</v>
      </c>
      <c r="H39" s="76">
        <f t="shared" si="9"/>
        <v>1129.52</v>
      </c>
      <c r="I39" s="76">
        <f t="shared" si="9"/>
        <v>339.62</v>
      </c>
      <c r="J39" s="76">
        <f t="shared" si="9"/>
        <v>357.3</v>
      </c>
      <c r="K39" s="76">
        <f t="shared" si="9"/>
        <v>1709.3</v>
      </c>
      <c r="L39" s="76">
        <f t="shared" si="9"/>
        <v>342.12</v>
      </c>
      <c r="M39" s="76">
        <f t="shared" si="9"/>
        <v>357.82</v>
      </c>
      <c r="N39" s="85">
        <f t="shared" si="6"/>
        <v>6294.48</v>
      </c>
      <c r="O39" s="32"/>
      <c r="P39" s="32"/>
      <c r="Q39" s="32"/>
      <c r="R39" s="32"/>
      <c r="S39" s="32"/>
      <c r="T39" s="32"/>
      <c r="U39" s="32"/>
      <c r="V39" s="32"/>
      <c r="W39" s="32"/>
      <c r="X39" s="32"/>
      <c r="Y39" s="32"/>
      <c r="Z39" s="32"/>
    </row>
    <row r="40" ht="15.75" customHeight="1">
      <c r="A40" s="65" t="s">
        <v>168</v>
      </c>
      <c r="B40" s="67">
        <v>385.86</v>
      </c>
      <c r="C40" s="67">
        <v>571.69</v>
      </c>
      <c r="D40" s="67">
        <v>570.9</v>
      </c>
      <c r="E40" s="67">
        <v>569.21</v>
      </c>
      <c r="F40" s="67">
        <v>157.41</v>
      </c>
      <c r="G40" s="67">
        <v>154.1</v>
      </c>
      <c r="H40" s="67">
        <v>816.52</v>
      </c>
      <c r="I40" s="67">
        <v>834.26</v>
      </c>
      <c r="J40" s="67">
        <v>157.19</v>
      </c>
      <c r="K40" s="67">
        <v>854.65</v>
      </c>
      <c r="L40" s="67">
        <v>388.2</v>
      </c>
      <c r="M40" s="67">
        <v>157.41</v>
      </c>
      <c r="N40" s="32">
        <f t="shared" si="6"/>
        <v>5617.4</v>
      </c>
      <c r="O40" s="32"/>
      <c r="P40" s="32"/>
      <c r="Q40" s="32"/>
      <c r="R40" s="32"/>
      <c r="S40" s="32"/>
      <c r="T40" s="32"/>
      <c r="U40" s="32"/>
      <c r="V40" s="32"/>
      <c r="W40" s="32"/>
      <c r="X40" s="32"/>
      <c r="Y40" s="32"/>
      <c r="Z40" s="32"/>
    </row>
    <row r="41" ht="15.75" customHeight="1">
      <c r="A41" s="65" t="s">
        <v>169</v>
      </c>
      <c r="B41" s="66">
        <v>3302.34</v>
      </c>
      <c r="C41" s="66">
        <v>3272.34</v>
      </c>
      <c r="D41" s="66">
        <v>4440.6</v>
      </c>
      <c r="E41" s="66">
        <v>6447.72</v>
      </c>
      <c r="F41" s="66">
        <v>3243.59</v>
      </c>
      <c r="G41" s="66">
        <v>5431.48</v>
      </c>
      <c r="H41" s="66">
        <v>5373.86</v>
      </c>
      <c r="I41" s="66">
        <v>4580.6</v>
      </c>
      <c r="J41" s="66">
        <v>5431.48</v>
      </c>
      <c r="K41" s="66">
        <v>4040.06</v>
      </c>
      <c r="L41" s="66">
        <v>2535.33</v>
      </c>
      <c r="M41" s="66">
        <v>3243.59</v>
      </c>
      <c r="N41" s="20">
        <f t="shared" si="6"/>
        <v>51342.99</v>
      </c>
      <c r="O41" s="32"/>
      <c r="P41" s="32"/>
      <c r="Q41" s="32"/>
      <c r="R41" s="32"/>
      <c r="S41" s="32"/>
      <c r="T41" s="32"/>
      <c r="U41" s="32"/>
      <c r="V41" s="32"/>
      <c r="W41" s="32"/>
      <c r="X41" s="32"/>
      <c r="Y41" s="32"/>
      <c r="Z41" s="32"/>
    </row>
    <row r="42" ht="15.75" customHeight="1">
      <c r="A42" s="65" t="s">
        <v>170</v>
      </c>
      <c r="B42" s="67">
        <v>680.5</v>
      </c>
      <c r="C42" s="66">
        <v>1313.11</v>
      </c>
      <c r="D42" s="66">
        <v>3533.29</v>
      </c>
      <c r="E42" s="66">
        <v>1313.11</v>
      </c>
      <c r="F42" s="66">
        <v>2068.28</v>
      </c>
      <c r="G42" s="67">
        <v>924.98</v>
      </c>
      <c r="H42" s="67">
        <v>816.52</v>
      </c>
      <c r="I42" s="67">
        <v>409.96</v>
      </c>
      <c r="J42" s="67">
        <v>924.98</v>
      </c>
      <c r="K42" s="67">
        <v>854.65</v>
      </c>
      <c r="L42" s="67">
        <v>680.5</v>
      </c>
      <c r="M42" s="66">
        <v>2068.28</v>
      </c>
      <c r="N42" s="32">
        <f t="shared" si="6"/>
        <v>15588.16</v>
      </c>
      <c r="O42" s="32"/>
      <c r="P42" s="32"/>
      <c r="Q42" s="32"/>
      <c r="R42" s="32"/>
      <c r="S42" s="32"/>
      <c r="T42" s="32"/>
      <c r="U42" s="32"/>
      <c r="V42" s="32"/>
      <c r="W42" s="32"/>
      <c r="X42" s="32"/>
      <c r="Y42" s="32"/>
      <c r="Z42" s="32"/>
    </row>
    <row r="43" ht="15.75" customHeight="1">
      <c r="A43" s="65" t="s">
        <v>171</v>
      </c>
      <c r="B43" s="66">
        <v>12912.1</v>
      </c>
      <c r="C43" s="66">
        <v>11269.46</v>
      </c>
      <c r="D43" s="66">
        <v>8431.11</v>
      </c>
      <c r="E43" s="66">
        <v>7823.24</v>
      </c>
      <c r="F43" s="66">
        <v>11475.39</v>
      </c>
      <c r="G43" s="66">
        <v>13841.14</v>
      </c>
      <c r="H43" s="66">
        <v>8431.11</v>
      </c>
      <c r="I43" s="66">
        <v>8418.96</v>
      </c>
      <c r="J43" s="66">
        <v>13871.14</v>
      </c>
      <c r="K43" s="66">
        <v>9864.69</v>
      </c>
      <c r="L43" s="66">
        <v>13871.14</v>
      </c>
      <c r="M43" s="66">
        <v>11475.39</v>
      </c>
      <c r="N43" s="20">
        <f t="shared" si="6"/>
        <v>131684.87</v>
      </c>
      <c r="O43" s="32"/>
      <c r="P43" s="32"/>
      <c r="Q43" s="32"/>
      <c r="R43" s="32"/>
      <c r="S43" s="32"/>
      <c r="T43" s="32"/>
      <c r="U43" s="32"/>
      <c r="V43" s="32"/>
      <c r="W43" s="32"/>
      <c r="X43" s="32"/>
      <c r="Y43" s="32"/>
      <c r="Z43" s="32"/>
    </row>
    <row r="44" ht="15.75" customHeight="1">
      <c r="A44" s="65" t="s">
        <v>223</v>
      </c>
      <c r="B44" s="67">
        <v>339.09</v>
      </c>
      <c r="C44" s="67">
        <v>344.5</v>
      </c>
      <c r="D44" s="67">
        <v>339.82</v>
      </c>
      <c r="E44" s="67">
        <v>339.58</v>
      </c>
      <c r="F44" s="67">
        <v>340.81</v>
      </c>
      <c r="G44" s="67">
        <v>340.31</v>
      </c>
      <c r="H44" s="67">
        <v>816.52</v>
      </c>
      <c r="I44" s="67">
        <v>339.33</v>
      </c>
      <c r="J44" s="67">
        <v>306.31</v>
      </c>
      <c r="K44" s="67">
        <v>340.31</v>
      </c>
      <c r="L44" s="67">
        <v>339.09</v>
      </c>
      <c r="M44" s="67">
        <v>340.81</v>
      </c>
      <c r="N44" s="32">
        <f t="shared" si="6"/>
        <v>4526.48</v>
      </c>
      <c r="O44" s="32"/>
      <c r="P44" s="32"/>
      <c r="Q44" s="32"/>
      <c r="R44" s="32"/>
      <c r="S44" s="32"/>
      <c r="T44" s="32"/>
      <c r="U44" s="32"/>
      <c r="V44" s="32"/>
      <c r="W44" s="32"/>
      <c r="X44" s="32"/>
      <c r="Y44" s="32"/>
      <c r="Z44" s="32"/>
    </row>
    <row r="45" ht="15.75" customHeight="1">
      <c r="A45" s="65" t="s">
        <v>172</v>
      </c>
      <c r="B45" s="67">
        <v>20.22</v>
      </c>
      <c r="C45" s="67">
        <v>20.1</v>
      </c>
      <c r="D45" s="67">
        <v>20.1</v>
      </c>
      <c r="E45" s="67">
        <v>20.1</v>
      </c>
      <c r="F45" s="67">
        <v>20.1</v>
      </c>
      <c r="G45" s="67">
        <v>20.1</v>
      </c>
      <c r="H45" s="67">
        <v>20.1</v>
      </c>
      <c r="I45" s="67">
        <v>20.1</v>
      </c>
      <c r="J45" s="67">
        <v>20.1</v>
      </c>
      <c r="K45" s="67">
        <v>20.1</v>
      </c>
      <c r="L45" s="67">
        <v>20.09</v>
      </c>
      <c r="M45" s="67">
        <v>20.1</v>
      </c>
      <c r="N45" s="32">
        <f t="shared" si="6"/>
        <v>241.31</v>
      </c>
      <c r="O45" s="32"/>
      <c r="P45" s="32"/>
      <c r="Q45" s="32"/>
      <c r="R45" s="32"/>
      <c r="S45" s="32"/>
      <c r="T45" s="32"/>
      <c r="U45" s="32"/>
      <c r="V45" s="32"/>
      <c r="W45" s="32"/>
      <c r="X45" s="32"/>
      <c r="Y45" s="32"/>
      <c r="Z45" s="32"/>
    </row>
    <row r="46" ht="15.75" customHeight="1">
      <c r="A46" s="65" t="s">
        <v>199</v>
      </c>
      <c r="B46" s="67">
        <v>39.62</v>
      </c>
      <c r="C46" s="67">
        <v>39.85</v>
      </c>
      <c r="D46" s="67">
        <v>39.71</v>
      </c>
      <c r="E46" s="67">
        <v>39.68</v>
      </c>
      <c r="F46" s="67">
        <v>39.82</v>
      </c>
      <c r="G46" s="67">
        <v>39.77</v>
      </c>
      <c r="H46" s="67">
        <v>816.52</v>
      </c>
      <c r="I46" s="67">
        <v>29.65</v>
      </c>
      <c r="J46" s="67">
        <v>39.77</v>
      </c>
      <c r="K46" s="67">
        <v>39.77</v>
      </c>
      <c r="L46" s="67">
        <v>39.62</v>
      </c>
      <c r="M46" s="67">
        <v>39.82</v>
      </c>
      <c r="N46" s="32">
        <f t="shared" si="6"/>
        <v>1243.6</v>
      </c>
      <c r="O46" s="32"/>
      <c r="P46" s="32"/>
      <c r="Q46" s="32"/>
      <c r="R46" s="32"/>
      <c r="S46" s="32"/>
      <c r="T46" s="32"/>
      <c r="U46" s="32"/>
      <c r="V46" s="32"/>
      <c r="W46" s="32"/>
      <c r="X46" s="32"/>
      <c r="Y46" s="32"/>
      <c r="Z46" s="32"/>
    </row>
    <row r="47" ht="15.75" customHeight="1">
      <c r="A47" s="65" t="s">
        <v>224</v>
      </c>
      <c r="B47" s="66">
        <v>1642.27</v>
      </c>
      <c r="C47" s="67">
        <v>604.41</v>
      </c>
      <c r="D47" s="66">
        <v>1871.8</v>
      </c>
      <c r="E47" s="66">
        <v>1870.45</v>
      </c>
      <c r="F47" s="66">
        <v>1205.2</v>
      </c>
      <c r="G47" s="67">
        <v>177.16</v>
      </c>
      <c r="H47" s="67">
        <v>816.52</v>
      </c>
      <c r="I47" s="66">
        <v>1869.1</v>
      </c>
      <c r="J47" s="67">
        <v>177.16</v>
      </c>
      <c r="K47" s="67">
        <v>177.16</v>
      </c>
      <c r="L47" s="66">
        <v>1642.27</v>
      </c>
      <c r="M47" s="66">
        <v>1207.94</v>
      </c>
      <c r="N47" s="20">
        <f t="shared" si="6"/>
        <v>13261.44</v>
      </c>
      <c r="O47" s="32"/>
      <c r="P47" s="32"/>
      <c r="Q47" s="32"/>
      <c r="R47" s="32"/>
      <c r="S47" s="32"/>
      <c r="T47" s="32"/>
      <c r="U47" s="32"/>
      <c r="V47" s="32"/>
      <c r="W47" s="32"/>
      <c r="X47" s="32"/>
      <c r="Y47" s="32"/>
      <c r="Z47" s="32"/>
    </row>
    <row r="48" ht="15.75" customHeight="1">
      <c r="A48" s="65" t="s">
        <v>174</v>
      </c>
      <c r="B48" s="66">
        <v>1802.77</v>
      </c>
      <c r="C48" s="66">
        <v>1813.22</v>
      </c>
      <c r="D48" s="66">
        <v>1806.67</v>
      </c>
      <c r="E48" s="66">
        <v>1805.36</v>
      </c>
      <c r="F48" s="66">
        <v>1811.9</v>
      </c>
      <c r="G48" s="66">
        <v>1809.28</v>
      </c>
      <c r="H48" s="66">
        <v>1763.04</v>
      </c>
      <c r="I48" s="66">
        <v>1804.06</v>
      </c>
      <c r="J48" s="66">
        <v>1809.28</v>
      </c>
      <c r="K48" s="66">
        <v>1663.55</v>
      </c>
      <c r="L48" s="66">
        <v>1802.77</v>
      </c>
      <c r="M48" s="66">
        <v>1809.2</v>
      </c>
      <c r="N48" s="20">
        <f t="shared" si="6"/>
        <v>21501.1</v>
      </c>
      <c r="O48" s="32"/>
      <c r="P48" s="32"/>
      <c r="Q48" s="32"/>
      <c r="R48" s="32"/>
      <c r="S48" s="32"/>
      <c r="T48" s="32"/>
      <c r="U48" s="32"/>
      <c r="V48" s="32"/>
      <c r="W48" s="32"/>
      <c r="X48" s="32"/>
      <c r="Y48" s="32"/>
      <c r="Z48" s="32"/>
    </row>
    <row r="49" ht="15.75" customHeight="1">
      <c r="A49" s="65" t="s">
        <v>200</v>
      </c>
      <c r="B49" s="67">
        <v>505.64</v>
      </c>
      <c r="C49" s="67">
        <v>505.64</v>
      </c>
      <c r="D49" s="67">
        <v>505.64</v>
      </c>
      <c r="E49" s="67">
        <v>505.64</v>
      </c>
      <c r="F49" s="67">
        <v>505.64</v>
      </c>
      <c r="G49" s="67">
        <v>505.64</v>
      </c>
      <c r="H49" s="67">
        <v>816.52</v>
      </c>
      <c r="I49" s="67">
        <v>505.64</v>
      </c>
      <c r="J49" s="67">
        <v>505.64</v>
      </c>
      <c r="K49" s="67">
        <v>854.65</v>
      </c>
      <c r="L49" s="67">
        <v>505.64</v>
      </c>
      <c r="M49" s="67">
        <v>505.64</v>
      </c>
      <c r="N49" s="32">
        <f t="shared" si="6"/>
        <v>6727.57</v>
      </c>
      <c r="O49" s="32"/>
      <c r="P49" s="32"/>
      <c r="Q49" s="32"/>
      <c r="R49" s="32"/>
      <c r="S49" s="32"/>
      <c r="T49" s="32"/>
      <c r="U49" s="32"/>
      <c r="V49" s="32"/>
      <c r="W49" s="32"/>
      <c r="X49" s="32"/>
      <c r="Y49" s="32"/>
      <c r="Z49" s="32"/>
    </row>
    <row r="50" ht="15.75" customHeight="1">
      <c r="A50" s="65" t="s">
        <v>175</v>
      </c>
      <c r="B50" s="66">
        <v>2452.22</v>
      </c>
      <c r="C50" s="66">
        <v>2452.22</v>
      </c>
      <c r="D50" s="66">
        <v>1226.02</v>
      </c>
      <c r="E50" s="66">
        <v>2436.22</v>
      </c>
      <c r="F50" s="66">
        <v>2452.22</v>
      </c>
      <c r="G50" s="66">
        <v>2452.22</v>
      </c>
      <c r="H50" s="67">
        <v>816.52</v>
      </c>
      <c r="I50" s="66">
        <v>2439.12</v>
      </c>
      <c r="J50" s="66">
        <v>2452.22</v>
      </c>
      <c r="K50" s="67">
        <v>854.65</v>
      </c>
      <c r="L50" s="66">
        <v>2452.22</v>
      </c>
      <c r="M50" s="66">
        <v>2452.22</v>
      </c>
      <c r="N50" s="20">
        <f t="shared" si="6"/>
        <v>24938.07</v>
      </c>
      <c r="O50" s="32"/>
      <c r="P50" s="32"/>
      <c r="Q50" s="32"/>
      <c r="R50" s="32"/>
      <c r="S50" s="32"/>
      <c r="T50" s="32"/>
      <c r="U50" s="32"/>
      <c r="V50" s="32"/>
      <c r="W50" s="32"/>
      <c r="X50" s="32"/>
      <c r="Y50" s="32"/>
      <c r="Z50" s="32"/>
    </row>
    <row r="51" ht="15.75" customHeight="1">
      <c r="A51" s="65" t="s">
        <v>176</v>
      </c>
      <c r="B51" s="67">
        <v>150.23</v>
      </c>
      <c r="C51" s="67">
        <v>151.1</v>
      </c>
      <c r="D51" s="67">
        <v>150.56</v>
      </c>
      <c r="E51" s="67">
        <v>150.45</v>
      </c>
      <c r="F51" s="67">
        <v>150.99</v>
      </c>
      <c r="G51" s="67">
        <v>150.77</v>
      </c>
      <c r="H51" s="67">
        <v>653.22</v>
      </c>
      <c r="I51" s="67">
        <v>150.34</v>
      </c>
      <c r="J51" s="67">
        <v>150.77</v>
      </c>
      <c r="K51" s="67">
        <v>657.42</v>
      </c>
      <c r="L51" s="67">
        <v>150.23</v>
      </c>
      <c r="M51" s="67">
        <v>150.99</v>
      </c>
      <c r="N51" s="32">
        <f t="shared" si="6"/>
        <v>2817.07</v>
      </c>
      <c r="O51" s="32"/>
      <c r="P51" s="32"/>
      <c r="Q51" s="32"/>
      <c r="R51" s="32"/>
      <c r="S51" s="32"/>
      <c r="T51" s="32"/>
      <c r="U51" s="32"/>
      <c r="V51" s="32"/>
      <c r="W51" s="32"/>
      <c r="X51" s="32"/>
      <c r="Y51" s="32"/>
      <c r="Z51" s="32"/>
    </row>
    <row r="52" ht="15.75" customHeight="1">
      <c r="A52" s="70" t="s">
        <v>177</v>
      </c>
      <c r="B52" s="75">
        <f>Explaination!D83+B33</f>
        <v>67738.94</v>
      </c>
      <c r="C52" s="71">
        <f t="shared" ref="C52:M52" si="10">39500+C33</f>
        <v>67798.24177</v>
      </c>
      <c r="D52" s="71">
        <f t="shared" si="10"/>
        <v>67857.66808</v>
      </c>
      <c r="E52" s="71">
        <f t="shared" si="10"/>
        <v>67917.21918</v>
      </c>
      <c r="F52" s="71">
        <f t="shared" si="10"/>
        <v>67976.89534</v>
      </c>
      <c r="G52" s="71">
        <f t="shared" si="10"/>
        <v>68036.69683</v>
      </c>
      <c r="H52" s="71">
        <f t="shared" si="10"/>
        <v>68096.62389</v>
      </c>
      <c r="I52" s="71">
        <f t="shared" si="10"/>
        <v>68156.6768</v>
      </c>
      <c r="J52" s="71">
        <f t="shared" si="10"/>
        <v>68216.85582</v>
      </c>
      <c r="K52" s="71">
        <f t="shared" si="10"/>
        <v>68277.16122</v>
      </c>
      <c r="L52" s="71">
        <f t="shared" si="10"/>
        <v>68337.59326</v>
      </c>
      <c r="M52" s="71">
        <f t="shared" si="10"/>
        <v>68398.1522</v>
      </c>
      <c r="N52" s="72">
        <f t="shared" si="6"/>
        <v>816808.7244</v>
      </c>
      <c r="O52" s="32"/>
      <c r="P52" s="32"/>
      <c r="Q52" s="32"/>
      <c r="R52" s="32"/>
      <c r="S52" s="32"/>
      <c r="T52" s="32"/>
      <c r="U52" s="32"/>
      <c r="V52" s="32"/>
      <c r="W52" s="32"/>
      <c r="X52" s="32"/>
      <c r="Y52" s="32"/>
      <c r="Z52" s="32"/>
    </row>
    <row r="53" ht="15.75" customHeight="1">
      <c r="A53" s="70" t="s">
        <v>178</v>
      </c>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5.75" customHeight="1">
      <c r="A54" s="70" t="s">
        <v>179</v>
      </c>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5.75" customHeight="1">
      <c r="A55" s="70" t="s">
        <v>180</v>
      </c>
      <c r="B55" s="75">
        <f t="shared" ref="B55:N55" si="11">B17-B52</f>
        <v>-17536.38</v>
      </c>
      <c r="C55" s="75">
        <f t="shared" si="11"/>
        <v>-17490.2564</v>
      </c>
      <c r="D55" s="75">
        <f t="shared" si="11"/>
        <v>-17444.03594</v>
      </c>
      <c r="E55" s="75">
        <f t="shared" si="11"/>
        <v>-17397.71841</v>
      </c>
      <c r="F55" s="75">
        <f t="shared" si="11"/>
        <v>-17351.30362</v>
      </c>
      <c r="G55" s="75">
        <f t="shared" si="11"/>
        <v>-17304.79136</v>
      </c>
      <c r="H55" s="75">
        <f t="shared" si="11"/>
        <v>-17258.18142</v>
      </c>
      <c r="I55" s="75">
        <f t="shared" si="11"/>
        <v>-17211.4736</v>
      </c>
      <c r="J55" s="75">
        <f t="shared" si="11"/>
        <v>-17164.6677</v>
      </c>
      <c r="K55" s="75">
        <f t="shared" si="11"/>
        <v>-17117.7635</v>
      </c>
      <c r="L55" s="75">
        <f t="shared" si="11"/>
        <v>-17070.7608</v>
      </c>
      <c r="M55" s="75">
        <f t="shared" si="11"/>
        <v>-17023.6594</v>
      </c>
      <c r="N55" s="72">
        <f t="shared" si="11"/>
        <v>-207370.9921</v>
      </c>
      <c r="O55" s="32"/>
      <c r="P55" s="32"/>
      <c r="Q55" s="32"/>
      <c r="R55" s="32"/>
      <c r="S55" s="32"/>
      <c r="T55" s="32"/>
      <c r="U55" s="32"/>
      <c r="V55" s="32"/>
      <c r="W55" s="32"/>
      <c r="X55" s="32"/>
      <c r="Y55" s="32"/>
      <c r="Z55" s="32"/>
    </row>
    <row r="56"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sheetData>
  <mergeCells count="1">
    <mergeCell ref="A2:N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2.0"/>
    <col customWidth="1" min="3" max="3" width="12.57"/>
    <col customWidth="1" min="4" max="8" width="11.43"/>
    <col customWidth="1" min="9" max="9" width="11.14"/>
    <col customWidth="1" min="10" max="10" width="14.57"/>
    <col customWidth="1" min="11" max="11" width="12.0"/>
    <col customWidth="1" min="12" max="12" width="13.86"/>
    <col customWidth="1" min="13" max="13" width="14.0"/>
    <col customWidth="1" min="14" max="14" width="14.57"/>
    <col customWidth="1" min="15" max="26" width="8.71"/>
  </cols>
  <sheetData>
    <row r="1">
      <c r="A1" s="32"/>
      <c r="B1" s="32"/>
      <c r="C1" s="32"/>
      <c r="D1" s="32"/>
      <c r="E1" s="32"/>
      <c r="F1" s="32"/>
      <c r="G1" s="32"/>
      <c r="H1" s="32"/>
      <c r="I1" s="32"/>
      <c r="J1" s="32"/>
      <c r="K1" s="32"/>
      <c r="L1" s="32"/>
      <c r="M1" s="32"/>
      <c r="N1" s="32"/>
      <c r="O1" s="32"/>
      <c r="P1" s="32"/>
      <c r="Q1" s="32"/>
      <c r="R1" s="32"/>
      <c r="S1" s="32"/>
      <c r="T1" s="32"/>
      <c r="U1" s="32"/>
      <c r="V1" s="32"/>
      <c r="W1" s="32"/>
      <c r="X1" s="32"/>
      <c r="Y1" s="32"/>
      <c r="Z1" s="32"/>
    </row>
    <row r="2">
      <c r="A2" s="60" t="s">
        <v>231</v>
      </c>
      <c r="B2" s="61"/>
      <c r="C2" s="61"/>
      <c r="D2" s="61"/>
      <c r="E2" s="61"/>
      <c r="F2" s="61"/>
      <c r="G2" s="61"/>
      <c r="H2" s="61"/>
      <c r="I2" s="61"/>
      <c r="J2" s="61"/>
      <c r="K2" s="61"/>
      <c r="L2" s="61"/>
      <c r="M2" s="61"/>
      <c r="N2" s="61"/>
      <c r="O2" s="32"/>
      <c r="P2" s="32"/>
      <c r="Q2" s="32"/>
      <c r="R2" s="32"/>
      <c r="S2" s="32"/>
      <c r="T2" s="32"/>
      <c r="U2" s="32"/>
      <c r="V2" s="32"/>
      <c r="W2" s="32"/>
      <c r="X2" s="32"/>
      <c r="Y2" s="32"/>
      <c r="Z2" s="32"/>
    </row>
    <row r="3">
      <c r="A3" s="62" t="s">
        <v>129</v>
      </c>
      <c r="B3" s="79">
        <v>46388.0</v>
      </c>
      <c r="C3" s="79">
        <v>46419.0</v>
      </c>
      <c r="D3" s="79">
        <v>46447.0</v>
      </c>
      <c r="E3" s="79">
        <v>46478.0</v>
      </c>
      <c r="F3" s="79">
        <v>46508.0</v>
      </c>
      <c r="G3" s="79">
        <v>46539.0</v>
      </c>
      <c r="H3" s="79">
        <v>46569.0</v>
      </c>
      <c r="I3" s="79">
        <v>46600.0</v>
      </c>
      <c r="J3" s="79">
        <v>46631.0</v>
      </c>
      <c r="K3" s="79">
        <v>46661.0</v>
      </c>
      <c r="L3" s="79">
        <v>46692.0</v>
      </c>
      <c r="M3" s="79">
        <v>46722.0</v>
      </c>
      <c r="N3" s="80" t="s">
        <v>142</v>
      </c>
      <c r="O3" s="32"/>
      <c r="P3" s="32"/>
      <c r="Q3" s="32"/>
      <c r="R3" s="32"/>
      <c r="S3" s="32"/>
      <c r="T3" s="32"/>
      <c r="U3" s="32"/>
      <c r="V3" s="32"/>
      <c r="W3" s="32"/>
      <c r="X3" s="32"/>
      <c r="Y3" s="32"/>
      <c r="Z3" s="32"/>
    </row>
    <row r="4">
      <c r="A4" s="65" t="s">
        <v>143</v>
      </c>
      <c r="B4" s="32"/>
      <c r="C4" s="32"/>
      <c r="D4" s="32"/>
      <c r="E4" s="32"/>
      <c r="F4" s="32"/>
      <c r="G4" s="32"/>
      <c r="H4" s="32"/>
      <c r="I4" s="32"/>
      <c r="J4" s="32"/>
      <c r="K4" s="32"/>
      <c r="L4" s="32"/>
      <c r="M4" s="32"/>
      <c r="N4" s="32"/>
      <c r="O4" s="32"/>
      <c r="P4" s="32"/>
      <c r="Q4" s="32"/>
      <c r="R4" s="32"/>
      <c r="S4" s="32"/>
      <c r="T4" s="32"/>
      <c r="U4" s="32"/>
      <c r="V4" s="32"/>
      <c r="W4" s="32"/>
      <c r="X4" s="32"/>
      <c r="Y4" s="32"/>
      <c r="Z4" s="32"/>
    </row>
    <row r="5">
      <c r="A5" s="65" t="s">
        <v>195</v>
      </c>
      <c r="B5" s="66">
        <v>20921.9</v>
      </c>
      <c r="C5" s="66">
        <v>21858.94</v>
      </c>
      <c r="D5" s="66">
        <v>25168.84</v>
      </c>
      <c r="E5" s="66">
        <v>18298.17</v>
      </c>
      <c r="F5" s="66">
        <v>19622.29</v>
      </c>
      <c r="G5" s="66">
        <v>20207.31</v>
      </c>
      <c r="H5" s="66">
        <v>36549.6</v>
      </c>
      <c r="I5" s="66">
        <v>17284.49</v>
      </c>
      <c r="J5" s="66">
        <v>13508.68</v>
      </c>
      <c r="K5" s="66">
        <v>16155.86</v>
      </c>
      <c r="L5" s="66">
        <v>23414.33</v>
      </c>
      <c r="M5" s="66">
        <v>15691.76</v>
      </c>
      <c r="N5" s="20">
        <f t="shared" ref="N5:N9" si="1">SUM(B5:M5)</f>
        <v>248682.17</v>
      </c>
      <c r="O5" s="32"/>
      <c r="P5" s="32"/>
      <c r="Q5" s="32"/>
      <c r="R5" s="32"/>
      <c r="S5" s="32"/>
      <c r="T5" s="32"/>
      <c r="U5" s="32"/>
      <c r="V5" s="32"/>
      <c r="W5" s="32"/>
      <c r="X5" s="32"/>
      <c r="Y5" s="32"/>
      <c r="Z5" s="32"/>
    </row>
    <row r="6">
      <c r="A6" s="65" t="s">
        <v>144</v>
      </c>
      <c r="B6" s="66">
        <v>138696.31</v>
      </c>
      <c r="C6" s="66">
        <v>138830.82</v>
      </c>
      <c r="D6" s="66">
        <v>138430.75</v>
      </c>
      <c r="E6" s="66">
        <v>147890.34</v>
      </c>
      <c r="F6" s="66">
        <v>146714.73</v>
      </c>
      <c r="G6" s="66">
        <v>144855.19</v>
      </c>
      <c r="H6" s="66">
        <v>132429.66</v>
      </c>
      <c r="I6" s="66">
        <v>151470.77</v>
      </c>
      <c r="J6" s="66">
        <v>111444.86</v>
      </c>
      <c r="K6" s="66">
        <v>154676.08</v>
      </c>
      <c r="L6" s="66">
        <v>143123.01</v>
      </c>
      <c r="M6" s="66">
        <v>156917.57</v>
      </c>
      <c r="N6" s="20">
        <f t="shared" si="1"/>
        <v>1705480.09</v>
      </c>
      <c r="O6" s="32"/>
      <c r="P6" s="32"/>
      <c r="Q6" s="32"/>
      <c r="R6" s="32"/>
      <c r="S6" s="32"/>
      <c r="T6" s="32"/>
      <c r="U6" s="32"/>
      <c r="V6" s="32"/>
      <c r="W6" s="32"/>
      <c r="X6" s="32"/>
      <c r="Y6" s="32"/>
      <c r="Z6" s="32"/>
    </row>
    <row r="7">
      <c r="A7" s="65" t="s">
        <v>145</v>
      </c>
      <c r="B7" s="66">
        <v>15580.12</v>
      </c>
      <c r="C7" s="66">
        <v>15156.81</v>
      </c>
      <c r="D7" s="66">
        <v>12033.84</v>
      </c>
      <c r="E7" s="66">
        <v>10961.74</v>
      </c>
      <c r="F7" s="66">
        <v>11468.67</v>
      </c>
      <c r="G7" s="66">
        <v>13401.07</v>
      </c>
      <c r="H7" s="66">
        <v>10144.63</v>
      </c>
      <c r="I7" s="66">
        <v>9307.78</v>
      </c>
      <c r="J7" s="66">
        <v>9969.24</v>
      </c>
      <c r="K7" s="66">
        <v>10287.59</v>
      </c>
      <c r="L7" s="66">
        <v>15252.15</v>
      </c>
      <c r="M7" s="66">
        <v>9852.96</v>
      </c>
      <c r="N7" s="20">
        <f t="shared" si="1"/>
        <v>143416.6</v>
      </c>
      <c r="O7" s="32"/>
      <c r="P7" s="32"/>
      <c r="Q7" s="32"/>
      <c r="R7" s="32"/>
      <c r="S7" s="32"/>
      <c r="T7" s="32"/>
      <c r="U7" s="32"/>
      <c r="V7" s="32"/>
      <c r="W7" s="32"/>
      <c r="X7" s="32"/>
      <c r="Y7" s="32"/>
      <c r="Z7" s="32"/>
    </row>
    <row r="8">
      <c r="A8" s="65" t="s">
        <v>216</v>
      </c>
      <c r="B8" s="86" t="s">
        <v>227</v>
      </c>
      <c r="C8" s="86" t="s">
        <v>227</v>
      </c>
      <c r="D8" s="86" t="s">
        <v>227</v>
      </c>
      <c r="E8" s="86" t="s">
        <v>227</v>
      </c>
      <c r="F8" s="86" t="s">
        <v>227</v>
      </c>
      <c r="G8" s="86" t="s">
        <v>227</v>
      </c>
      <c r="H8" s="86" t="s">
        <v>227</v>
      </c>
      <c r="I8" s="86" t="s">
        <v>227</v>
      </c>
      <c r="J8" s="66">
        <v>45528.48</v>
      </c>
      <c r="K8" s="86" t="s">
        <v>227</v>
      </c>
      <c r="L8" s="86" t="s">
        <v>227</v>
      </c>
      <c r="M8" s="86" t="s">
        <v>227</v>
      </c>
      <c r="N8" s="32">
        <f t="shared" si="1"/>
        <v>45528.48</v>
      </c>
      <c r="O8" s="32"/>
      <c r="P8" s="32"/>
      <c r="Q8" s="32"/>
      <c r="R8" s="32"/>
      <c r="S8" s="32"/>
      <c r="T8" s="32"/>
      <c r="U8" s="32"/>
      <c r="V8" s="32"/>
      <c r="W8" s="32"/>
      <c r="X8" s="32"/>
      <c r="Y8" s="32"/>
      <c r="Z8" s="32"/>
    </row>
    <row r="9">
      <c r="A9" s="65" t="s">
        <v>146</v>
      </c>
      <c r="B9" s="86" t="s">
        <v>227</v>
      </c>
      <c r="C9" s="86" t="s">
        <v>227</v>
      </c>
      <c r="D9" s="67">
        <v>864.84</v>
      </c>
      <c r="E9" s="86" t="s">
        <v>227</v>
      </c>
      <c r="F9" s="86" t="s">
        <v>227</v>
      </c>
      <c r="G9" s="86" t="s">
        <v>227</v>
      </c>
      <c r="H9" s="86" t="s">
        <v>227</v>
      </c>
      <c r="I9" s="66">
        <v>1724.15</v>
      </c>
      <c r="J9" s="86" t="s">
        <v>227</v>
      </c>
      <c r="K9" s="86" t="s">
        <v>227</v>
      </c>
      <c r="L9" s="86" t="s">
        <v>227</v>
      </c>
      <c r="M9" s="86" t="s">
        <v>227</v>
      </c>
      <c r="N9" s="32">
        <f t="shared" si="1"/>
        <v>2588.99</v>
      </c>
      <c r="O9" s="32"/>
      <c r="P9" s="32"/>
      <c r="Q9" s="32"/>
      <c r="R9" s="32"/>
      <c r="S9" s="32"/>
      <c r="T9" s="32"/>
      <c r="U9" s="32"/>
      <c r="V9" s="32"/>
      <c r="W9" s="32"/>
      <c r="X9" s="32"/>
      <c r="Y9" s="32"/>
      <c r="Z9" s="32"/>
    </row>
    <row r="10">
      <c r="A10" s="65" t="s">
        <v>217</v>
      </c>
      <c r="B10" s="86" t="s">
        <v>227</v>
      </c>
      <c r="C10" s="86" t="s">
        <v>227</v>
      </c>
      <c r="D10" s="86" t="s">
        <v>227</v>
      </c>
      <c r="E10" s="86" t="s">
        <v>227</v>
      </c>
      <c r="F10" s="86" t="s">
        <v>227</v>
      </c>
      <c r="G10" s="86" t="s">
        <v>227</v>
      </c>
      <c r="H10" s="86" t="s">
        <v>227</v>
      </c>
      <c r="I10" s="86" t="s">
        <v>227</v>
      </c>
      <c r="J10" s="86" t="s">
        <v>227</v>
      </c>
      <c r="K10" s="86" t="s">
        <v>227</v>
      </c>
      <c r="L10" s="86" t="s">
        <v>227</v>
      </c>
      <c r="M10" s="86" t="s">
        <v>227</v>
      </c>
      <c r="N10" s="86" t="s">
        <v>227</v>
      </c>
      <c r="O10" s="32"/>
      <c r="P10" s="32"/>
      <c r="Q10" s="32"/>
      <c r="R10" s="32"/>
      <c r="S10" s="32"/>
      <c r="T10" s="32"/>
      <c r="U10" s="32"/>
      <c r="V10" s="32"/>
      <c r="W10" s="32"/>
      <c r="X10" s="32"/>
      <c r="Y10" s="32"/>
      <c r="Z10" s="32"/>
    </row>
    <row r="11">
      <c r="A11" s="70" t="s">
        <v>147</v>
      </c>
      <c r="B11" s="75">
        <f>Explaination!E78</f>
        <v>175198.3333</v>
      </c>
      <c r="C11" s="75">
        <f t="shared" ref="C11:M11" si="2">B11*100.37%</f>
        <v>175846.5672</v>
      </c>
      <c r="D11" s="75">
        <f t="shared" si="2"/>
        <v>176497.1995</v>
      </c>
      <c r="E11" s="75">
        <f t="shared" si="2"/>
        <v>177150.2391</v>
      </c>
      <c r="F11" s="75">
        <f t="shared" si="2"/>
        <v>177805.695</v>
      </c>
      <c r="G11" s="75">
        <f t="shared" si="2"/>
        <v>178463.5761</v>
      </c>
      <c r="H11" s="75">
        <f t="shared" si="2"/>
        <v>179123.8913</v>
      </c>
      <c r="I11" s="75">
        <f t="shared" si="2"/>
        <v>179786.6497</v>
      </c>
      <c r="J11" s="75">
        <f t="shared" si="2"/>
        <v>180451.8603</v>
      </c>
      <c r="K11" s="75">
        <f t="shared" si="2"/>
        <v>181119.5322</v>
      </c>
      <c r="L11" s="75">
        <f t="shared" si="2"/>
        <v>181789.6744</v>
      </c>
      <c r="M11" s="75">
        <f t="shared" si="2"/>
        <v>182462.2962</v>
      </c>
      <c r="N11" s="72">
        <f>SUM(B11:M11)</f>
        <v>2145695.514</v>
      </c>
      <c r="O11" s="32"/>
      <c r="P11" s="32"/>
      <c r="Q11" s="32"/>
      <c r="R11" s="32"/>
      <c r="S11" s="32"/>
      <c r="T11" s="32"/>
      <c r="U11" s="32"/>
      <c r="V11" s="32"/>
      <c r="W11" s="32"/>
      <c r="X11" s="32"/>
      <c r="Y11" s="32"/>
      <c r="Z11" s="32"/>
    </row>
    <row r="12">
      <c r="A12" s="65" t="s">
        <v>148</v>
      </c>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65" t="s">
        <v>148</v>
      </c>
      <c r="B13" s="66">
        <v>59404.98</v>
      </c>
      <c r="C13" s="66">
        <v>31764.03</v>
      </c>
      <c r="D13" s="66">
        <v>49287.8</v>
      </c>
      <c r="E13" s="66">
        <v>16688.25</v>
      </c>
      <c r="F13" s="66">
        <v>26399.48</v>
      </c>
      <c r="G13" s="66">
        <v>36237.95</v>
      </c>
      <c r="H13" s="66">
        <v>33722.37</v>
      </c>
      <c r="I13" s="66">
        <v>39979.04</v>
      </c>
      <c r="J13" s="66">
        <v>27074.54</v>
      </c>
      <c r="K13" s="66">
        <v>10985.99</v>
      </c>
      <c r="L13" s="66">
        <v>15909.51</v>
      </c>
      <c r="M13" s="66">
        <v>10670.4</v>
      </c>
      <c r="N13" s="20">
        <f t="shared" ref="N13:N16" si="3">SUM(B13:M13)</f>
        <v>358124.34</v>
      </c>
      <c r="O13" s="32"/>
      <c r="P13" s="32"/>
      <c r="Q13" s="32"/>
      <c r="R13" s="32"/>
      <c r="S13" s="32"/>
      <c r="T13" s="32"/>
      <c r="U13" s="32"/>
      <c r="V13" s="32"/>
      <c r="W13" s="32"/>
      <c r="X13" s="32"/>
      <c r="Y13" s="32"/>
      <c r="Z13" s="32"/>
    </row>
    <row r="14">
      <c r="A14" s="65" t="s">
        <v>149</v>
      </c>
      <c r="B14" s="66">
        <v>23308.52</v>
      </c>
      <c r="C14" s="66">
        <v>44953.9</v>
      </c>
      <c r="D14" s="66">
        <v>33110.8</v>
      </c>
      <c r="E14" s="66">
        <v>55455.5</v>
      </c>
      <c r="F14" s="66">
        <v>55867.35</v>
      </c>
      <c r="G14" s="66">
        <v>45277.16</v>
      </c>
      <c r="H14" s="66">
        <v>47251.45</v>
      </c>
      <c r="I14" s="66">
        <v>46002.42</v>
      </c>
      <c r="J14" s="66">
        <v>63050.7</v>
      </c>
      <c r="K14" s="66">
        <v>105179.73</v>
      </c>
      <c r="L14" s="66">
        <v>97323.65</v>
      </c>
      <c r="M14" s="66">
        <v>106703.95</v>
      </c>
      <c r="N14" s="20">
        <f t="shared" si="3"/>
        <v>723485.13</v>
      </c>
      <c r="O14" s="32"/>
      <c r="P14" s="32"/>
      <c r="Q14" s="32"/>
      <c r="R14" s="32"/>
      <c r="S14" s="32"/>
      <c r="T14" s="32"/>
      <c r="U14" s="32"/>
      <c r="V14" s="32"/>
      <c r="W14" s="32"/>
      <c r="X14" s="32"/>
      <c r="Y14" s="32"/>
      <c r="Z14" s="32"/>
    </row>
    <row r="15">
      <c r="A15" s="65" t="s">
        <v>150</v>
      </c>
      <c r="B15" s="66">
        <v>36421.36</v>
      </c>
      <c r="C15" s="66">
        <v>42857.74</v>
      </c>
      <c r="D15" s="66">
        <v>37619.49</v>
      </c>
      <c r="E15" s="66">
        <v>48318.42</v>
      </c>
      <c r="F15" s="66">
        <v>38641.05</v>
      </c>
      <c r="G15" s="66">
        <v>39840.12</v>
      </c>
      <c r="H15" s="66">
        <v>40830.43</v>
      </c>
      <c r="I15" s="66">
        <v>36273.47</v>
      </c>
      <c r="J15" s="66">
        <v>32582.03</v>
      </c>
      <c r="K15" s="66">
        <v>6995.56</v>
      </c>
      <c r="L15" s="66">
        <v>10371.46</v>
      </c>
      <c r="M15" s="66">
        <v>6700.02</v>
      </c>
      <c r="N15" s="20">
        <f t="shared" si="3"/>
        <v>377451.15</v>
      </c>
      <c r="O15" s="32"/>
      <c r="P15" s="32"/>
      <c r="Q15" s="32"/>
      <c r="R15" s="32"/>
      <c r="S15" s="32"/>
      <c r="T15" s="32"/>
      <c r="U15" s="32"/>
      <c r="V15" s="32"/>
      <c r="W15" s="32"/>
      <c r="X15" s="32"/>
      <c r="Y15" s="32"/>
      <c r="Z15" s="32"/>
    </row>
    <row r="16">
      <c r="A16" s="70" t="s">
        <v>151</v>
      </c>
      <c r="B16" s="81">
        <f t="shared" ref="B16:M16" si="4">B11*68%</f>
        <v>119134.8667</v>
      </c>
      <c r="C16" s="81">
        <f t="shared" si="4"/>
        <v>119575.6657</v>
      </c>
      <c r="D16" s="81">
        <f t="shared" si="4"/>
        <v>120018.0956</v>
      </c>
      <c r="E16" s="81">
        <f t="shared" si="4"/>
        <v>120462.1626</v>
      </c>
      <c r="F16" s="81">
        <f t="shared" si="4"/>
        <v>120907.8726</v>
      </c>
      <c r="G16" s="81">
        <f t="shared" si="4"/>
        <v>121355.2317</v>
      </c>
      <c r="H16" s="81">
        <f t="shared" si="4"/>
        <v>121804.2461</v>
      </c>
      <c r="I16" s="81">
        <f t="shared" si="4"/>
        <v>122254.9218</v>
      </c>
      <c r="J16" s="81">
        <f t="shared" si="4"/>
        <v>122707.265</v>
      </c>
      <c r="K16" s="81">
        <f t="shared" si="4"/>
        <v>123161.2819</v>
      </c>
      <c r="L16" s="81">
        <f t="shared" si="4"/>
        <v>123616.9786</v>
      </c>
      <c r="M16" s="81">
        <f t="shared" si="4"/>
        <v>124074.3614</v>
      </c>
      <c r="N16" s="82">
        <f t="shared" si="3"/>
        <v>1459072.95</v>
      </c>
      <c r="O16" s="32"/>
      <c r="P16" s="32"/>
      <c r="Q16" s="32"/>
      <c r="R16" s="32"/>
      <c r="S16" s="32"/>
      <c r="T16" s="32"/>
      <c r="U16" s="32"/>
      <c r="V16" s="32"/>
      <c r="W16" s="32"/>
      <c r="X16" s="32"/>
      <c r="Y16" s="32"/>
      <c r="Z16" s="32"/>
    </row>
    <row r="17">
      <c r="A17" s="70" t="s">
        <v>152</v>
      </c>
      <c r="B17" s="83">
        <f t="shared" ref="B17:N17" si="5">B11-B16</f>
        <v>56063.46667</v>
      </c>
      <c r="C17" s="83">
        <f t="shared" si="5"/>
        <v>56270.90149</v>
      </c>
      <c r="D17" s="83">
        <f t="shared" si="5"/>
        <v>56479.10383</v>
      </c>
      <c r="E17" s="83">
        <f t="shared" si="5"/>
        <v>56688.07651</v>
      </c>
      <c r="F17" s="83">
        <f t="shared" si="5"/>
        <v>56897.8224</v>
      </c>
      <c r="G17" s="83">
        <f t="shared" si="5"/>
        <v>57108.34434</v>
      </c>
      <c r="H17" s="83">
        <f t="shared" si="5"/>
        <v>57319.64521</v>
      </c>
      <c r="I17" s="83">
        <f t="shared" si="5"/>
        <v>57531.7279</v>
      </c>
      <c r="J17" s="83">
        <f t="shared" si="5"/>
        <v>57744.59529</v>
      </c>
      <c r="K17" s="83">
        <f t="shared" si="5"/>
        <v>57958.2503</v>
      </c>
      <c r="L17" s="83">
        <f t="shared" si="5"/>
        <v>58172.69582</v>
      </c>
      <c r="M17" s="83">
        <f t="shared" si="5"/>
        <v>58387.9348</v>
      </c>
      <c r="N17" s="84">
        <f t="shared" si="5"/>
        <v>686622.5646</v>
      </c>
      <c r="O17" s="32"/>
      <c r="P17" s="32"/>
      <c r="Q17" s="32"/>
      <c r="R17" s="32"/>
      <c r="S17" s="32"/>
      <c r="T17" s="32"/>
      <c r="U17" s="32"/>
      <c r="V17" s="32"/>
      <c r="W17" s="32"/>
      <c r="X17" s="32"/>
      <c r="Y17" s="32"/>
      <c r="Z17" s="32"/>
    </row>
    <row r="18">
      <c r="A18" s="65" t="s">
        <v>153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ht="15.75" customHeight="1">
      <c r="A19" s="65" t="s">
        <v>154</v>
      </c>
      <c r="B19" s="66">
        <v>4944.48</v>
      </c>
      <c r="C19" s="66">
        <v>4440.17</v>
      </c>
      <c r="D19" s="66">
        <v>4754.76</v>
      </c>
      <c r="E19" s="66">
        <v>4545.76</v>
      </c>
      <c r="F19" s="66">
        <v>4272.29</v>
      </c>
      <c r="G19" s="66">
        <v>3155.95</v>
      </c>
      <c r="H19" s="66">
        <v>4440.17</v>
      </c>
      <c r="I19" s="66">
        <v>4030.35</v>
      </c>
      <c r="J19" s="66">
        <v>3155.95</v>
      </c>
      <c r="K19" s="66">
        <v>4510.38</v>
      </c>
      <c r="L19" s="66">
        <v>4754.76</v>
      </c>
      <c r="M19" s="66">
        <v>4272.29</v>
      </c>
      <c r="N19" s="20">
        <f t="shared" ref="N19:N52" si="6">SUM(B19:M19)</f>
        <v>51277.31</v>
      </c>
      <c r="O19" s="32"/>
      <c r="P19" s="32"/>
      <c r="Q19" s="32"/>
      <c r="R19" s="32"/>
      <c r="S19" s="32"/>
      <c r="T19" s="32"/>
      <c r="U19" s="32"/>
      <c r="V19" s="32"/>
      <c r="W19" s="32"/>
      <c r="X19" s="32"/>
      <c r="Y19" s="32"/>
      <c r="Z19" s="32"/>
    </row>
    <row r="20" ht="15.75" customHeight="1">
      <c r="A20" s="65" t="s">
        <v>155</v>
      </c>
      <c r="B20" s="67">
        <v>424.05</v>
      </c>
      <c r="C20" s="67">
        <v>840.26</v>
      </c>
      <c r="D20" s="67">
        <v>610.37</v>
      </c>
      <c r="E20" s="66">
        <v>1127.68</v>
      </c>
      <c r="F20" s="67">
        <v>423.75</v>
      </c>
      <c r="G20" s="67">
        <v>72.54</v>
      </c>
      <c r="H20" s="67">
        <v>849.18</v>
      </c>
      <c r="I20" s="66">
        <v>1126.87</v>
      </c>
      <c r="J20" s="67">
        <v>72.54</v>
      </c>
      <c r="K20" s="67">
        <v>854.65</v>
      </c>
      <c r="L20" s="67">
        <v>424.05</v>
      </c>
      <c r="M20" s="67">
        <v>423.75</v>
      </c>
      <c r="N20" s="32">
        <f t="shared" si="6"/>
        <v>7249.69</v>
      </c>
      <c r="O20" s="32"/>
      <c r="P20" s="32"/>
      <c r="Q20" s="32"/>
      <c r="R20" s="32"/>
      <c r="S20" s="32"/>
      <c r="T20" s="32"/>
      <c r="U20" s="32"/>
      <c r="V20" s="32"/>
      <c r="W20" s="32"/>
      <c r="X20" s="32"/>
      <c r="Y20" s="32"/>
      <c r="Z20" s="32"/>
    </row>
    <row r="21" ht="15.75" customHeight="1">
      <c r="A21" s="65" t="s">
        <v>156</v>
      </c>
      <c r="B21" s="67">
        <v>60.81</v>
      </c>
      <c r="C21" s="67">
        <v>646.36</v>
      </c>
      <c r="D21" s="67">
        <v>210.63</v>
      </c>
      <c r="E21" s="67">
        <v>125.0</v>
      </c>
      <c r="F21" s="67">
        <v>64.6</v>
      </c>
      <c r="G21" s="67">
        <v>195.82</v>
      </c>
      <c r="H21" s="67">
        <v>653.22</v>
      </c>
      <c r="I21" s="67">
        <v>78.48</v>
      </c>
      <c r="J21" s="67">
        <v>195.82</v>
      </c>
      <c r="K21" s="67">
        <v>657.42</v>
      </c>
      <c r="L21" s="67">
        <v>60.81</v>
      </c>
      <c r="M21" s="67">
        <v>64.6</v>
      </c>
      <c r="N21" s="32">
        <f t="shared" si="6"/>
        <v>3013.57</v>
      </c>
      <c r="O21" s="32"/>
      <c r="P21" s="32"/>
      <c r="Q21" s="32"/>
      <c r="R21" s="32"/>
      <c r="S21" s="32"/>
      <c r="T21" s="32"/>
      <c r="U21" s="32"/>
      <c r="V21" s="32"/>
      <c r="W21" s="32"/>
      <c r="X21" s="32"/>
      <c r="Y21" s="32"/>
      <c r="Z21" s="32"/>
    </row>
    <row r="22" ht="15.75" customHeight="1">
      <c r="A22" s="65" t="s">
        <v>157</v>
      </c>
      <c r="B22" s="67">
        <v>32.95</v>
      </c>
      <c r="C22" s="67">
        <v>64.64</v>
      </c>
      <c r="D22" s="67">
        <v>24.11</v>
      </c>
      <c r="E22" s="67">
        <v>5.55</v>
      </c>
      <c r="F22" s="67">
        <v>32.95</v>
      </c>
      <c r="G22" s="67">
        <v>32.95</v>
      </c>
      <c r="H22" s="67">
        <v>65.32</v>
      </c>
      <c r="I22" s="67">
        <v>15.4</v>
      </c>
      <c r="J22" s="67">
        <v>32.95</v>
      </c>
      <c r="K22" s="67">
        <v>65.74</v>
      </c>
      <c r="L22" s="67">
        <v>32.95</v>
      </c>
      <c r="M22" s="67">
        <v>32.95</v>
      </c>
      <c r="N22" s="32">
        <f t="shared" si="6"/>
        <v>438.46</v>
      </c>
      <c r="O22" s="32"/>
      <c r="P22" s="32"/>
      <c r="Q22" s="32"/>
      <c r="R22" s="32"/>
      <c r="S22" s="32"/>
      <c r="T22" s="32"/>
      <c r="U22" s="32"/>
      <c r="V22" s="32"/>
      <c r="W22" s="32"/>
      <c r="X22" s="32"/>
      <c r="Y22" s="32"/>
      <c r="Z22" s="32"/>
    </row>
    <row r="23" ht="15.75" customHeight="1">
      <c r="A23" s="70" t="s">
        <v>158</v>
      </c>
      <c r="B23" s="76">
        <f t="shared" ref="B23:M23" si="7">B20+B21+B22</f>
        <v>517.81</v>
      </c>
      <c r="C23" s="76">
        <f t="shared" si="7"/>
        <v>1551.26</v>
      </c>
      <c r="D23" s="76">
        <f t="shared" si="7"/>
        <v>845.11</v>
      </c>
      <c r="E23" s="77">
        <f t="shared" si="7"/>
        <v>1258.23</v>
      </c>
      <c r="F23" s="76">
        <f t="shared" si="7"/>
        <v>521.3</v>
      </c>
      <c r="G23" s="76">
        <f t="shared" si="7"/>
        <v>301.31</v>
      </c>
      <c r="H23" s="76">
        <f t="shared" si="7"/>
        <v>1567.72</v>
      </c>
      <c r="I23" s="77">
        <f t="shared" si="7"/>
        <v>1220.75</v>
      </c>
      <c r="J23" s="76">
        <f t="shared" si="7"/>
        <v>301.31</v>
      </c>
      <c r="K23" s="76">
        <f t="shared" si="7"/>
        <v>1577.81</v>
      </c>
      <c r="L23" s="76">
        <f t="shared" si="7"/>
        <v>517.81</v>
      </c>
      <c r="M23" s="76">
        <f t="shared" si="7"/>
        <v>521.3</v>
      </c>
      <c r="N23" s="85">
        <f t="shared" si="6"/>
        <v>10701.72</v>
      </c>
      <c r="O23" s="32"/>
      <c r="P23" s="32"/>
      <c r="Q23" s="32"/>
      <c r="R23" s="32"/>
      <c r="S23" s="32"/>
      <c r="T23" s="32"/>
      <c r="U23" s="32"/>
      <c r="V23" s="32"/>
      <c r="W23" s="32"/>
      <c r="X23" s="32"/>
      <c r="Y23" s="32"/>
      <c r="Z23" s="32"/>
    </row>
    <row r="24" ht="15.75" customHeight="1">
      <c r="A24" s="65" t="s">
        <v>159</v>
      </c>
      <c r="B24" s="67">
        <v>478.1</v>
      </c>
      <c r="C24" s="67">
        <v>227.68</v>
      </c>
      <c r="D24" s="67">
        <v>168.12</v>
      </c>
      <c r="E24" s="67">
        <v>230.19</v>
      </c>
      <c r="F24" s="67">
        <v>61.61</v>
      </c>
      <c r="G24" s="67">
        <v>224.65</v>
      </c>
      <c r="H24" s="67">
        <v>261.29</v>
      </c>
      <c r="I24" s="67">
        <v>180.11</v>
      </c>
      <c r="J24" s="67">
        <v>224.65</v>
      </c>
      <c r="K24" s="67">
        <v>262.97</v>
      </c>
      <c r="L24" s="67">
        <v>475.1</v>
      </c>
      <c r="M24" s="67">
        <v>61.61</v>
      </c>
      <c r="N24" s="32">
        <f t="shared" si="6"/>
        <v>2856.08</v>
      </c>
      <c r="O24" s="32"/>
      <c r="P24" s="32"/>
      <c r="Q24" s="32"/>
      <c r="R24" s="32"/>
      <c r="S24" s="32"/>
      <c r="T24" s="32"/>
      <c r="U24" s="32"/>
      <c r="V24" s="32"/>
      <c r="W24" s="32"/>
      <c r="X24" s="32"/>
      <c r="Y24" s="32"/>
      <c r="Z24" s="32"/>
    </row>
    <row r="25" ht="15.75" customHeight="1">
      <c r="A25" s="65" t="s">
        <v>218</v>
      </c>
      <c r="B25" s="67">
        <v>89.94</v>
      </c>
      <c r="C25" s="67">
        <v>90.66</v>
      </c>
      <c r="D25" s="67">
        <v>90.33</v>
      </c>
      <c r="E25" s="67">
        <v>90.27</v>
      </c>
      <c r="F25" s="67">
        <v>90.6</v>
      </c>
      <c r="G25" s="67">
        <v>90.46</v>
      </c>
      <c r="H25" s="67">
        <v>90.27</v>
      </c>
      <c r="I25" s="67">
        <v>90.2</v>
      </c>
      <c r="J25" s="67">
        <v>90.46</v>
      </c>
      <c r="K25" s="67">
        <v>854.65</v>
      </c>
      <c r="L25" s="67">
        <v>89.94</v>
      </c>
      <c r="M25" s="67">
        <v>90.6</v>
      </c>
      <c r="N25" s="32">
        <f t="shared" si="6"/>
        <v>1848.38</v>
      </c>
      <c r="O25" s="32"/>
      <c r="P25" s="32"/>
      <c r="Q25" s="32"/>
      <c r="R25" s="32"/>
      <c r="S25" s="32"/>
      <c r="T25" s="32"/>
      <c r="U25" s="32"/>
      <c r="V25" s="32"/>
      <c r="W25" s="32"/>
      <c r="X25" s="32"/>
      <c r="Y25" s="32"/>
      <c r="Z25" s="32"/>
    </row>
    <row r="26" ht="15.75" customHeight="1">
      <c r="A26" s="65" t="s">
        <v>160</v>
      </c>
      <c r="B26" s="67">
        <v>479.7</v>
      </c>
      <c r="C26" s="67">
        <v>483.53</v>
      </c>
      <c r="D26" s="67">
        <v>481.78</v>
      </c>
      <c r="E26" s="67">
        <v>481.43</v>
      </c>
      <c r="F26" s="67">
        <v>483.17</v>
      </c>
      <c r="G26" s="67">
        <v>482.47</v>
      </c>
      <c r="H26" s="67">
        <v>481.43</v>
      </c>
      <c r="I26" s="67">
        <v>481.08</v>
      </c>
      <c r="J26" s="67">
        <v>482.47</v>
      </c>
      <c r="K26" s="67">
        <v>854.65</v>
      </c>
      <c r="L26" s="67">
        <v>479.7</v>
      </c>
      <c r="M26" s="67">
        <v>483.17</v>
      </c>
      <c r="N26" s="32">
        <f t="shared" si="6"/>
        <v>6154.58</v>
      </c>
      <c r="O26" s="32"/>
      <c r="P26" s="32"/>
      <c r="Q26" s="32"/>
      <c r="R26" s="32"/>
      <c r="S26" s="32"/>
      <c r="T26" s="32"/>
      <c r="U26" s="32"/>
      <c r="V26" s="32"/>
      <c r="W26" s="32"/>
      <c r="X26" s="32"/>
      <c r="Y26" s="32"/>
      <c r="Z26" s="32"/>
    </row>
    <row r="27" ht="15.75" customHeight="1">
      <c r="A27" s="65" t="s">
        <v>219</v>
      </c>
      <c r="B27" s="66">
        <v>1683.8</v>
      </c>
      <c r="C27" s="66">
        <v>1522.34</v>
      </c>
      <c r="D27" s="66">
        <v>1686.22</v>
      </c>
      <c r="E27" s="66">
        <v>1685.01</v>
      </c>
      <c r="F27" s="66">
        <v>1691.11</v>
      </c>
      <c r="G27" s="66">
        <v>1688.66</v>
      </c>
      <c r="H27" s="67">
        <v>816.52</v>
      </c>
      <c r="I27" s="66">
        <v>1683.79</v>
      </c>
      <c r="J27" s="66">
        <v>1688.66</v>
      </c>
      <c r="K27" s="67">
        <v>854.65</v>
      </c>
      <c r="L27" s="66">
        <v>1683.8</v>
      </c>
      <c r="M27" s="66">
        <v>1691.11</v>
      </c>
      <c r="N27" s="20">
        <f t="shared" si="6"/>
        <v>18375.67</v>
      </c>
      <c r="O27" s="32"/>
      <c r="P27" s="32"/>
      <c r="Q27" s="32"/>
      <c r="R27" s="32"/>
      <c r="S27" s="32"/>
      <c r="T27" s="32"/>
      <c r="U27" s="32"/>
      <c r="V27" s="32"/>
      <c r="W27" s="32"/>
      <c r="X27" s="32"/>
      <c r="Y27" s="32"/>
      <c r="Z27" s="32"/>
    </row>
    <row r="28" ht="15.75" customHeight="1">
      <c r="A28" s="65" t="s">
        <v>161</v>
      </c>
      <c r="B28" s="66">
        <v>1168.27</v>
      </c>
      <c r="C28" s="66">
        <v>1078.83</v>
      </c>
      <c r="D28" s="66">
        <v>2841.96</v>
      </c>
      <c r="E28" s="66">
        <v>1711.78</v>
      </c>
      <c r="F28" s="66">
        <v>1360.96</v>
      </c>
      <c r="G28" s="67">
        <v>786.23</v>
      </c>
      <c r="H28" s="67">
        <v>816.52</v>
      </c>
      <c r="I28" s="66">
        <v>1712.42</v>
      </c>
      <c r="J28" s="67">
        <v>786.23</v>
      </c>
      <c r="K28" s="67">
        <v>854.65</v>
      </c>
      <c r="L28" s="66">
        <v>1168.27</v>
      </c>
      <c r="M28" s="66">
        <v>1360.96</v>
      </c>
      <c r="N28" s="20">
        <f t="shared" si="6"/>
        <v>15647.08</v>
      </c>
      <c r="O28" s="32"/>
      <c r="P28" s="32"/>
      <c r="Q28" s="32"/>
      <c r="R28" s="32"/>
      <c r="S28" s="32"/>
      <c r="T28" s="32"/>
      <c r="U28" s="32"/>
      <c r="V28" s="32"/>
      <c r="W28" s="32"/>
      <c r="X28" s="32"/>
      <c r="Y28" s="32"/>
      <c r="Z28" s="32"/>
    </row>
    <row r="29" ht="15.75" customHeight="1">
      <c r="A29" s="65" t="s">
        <v>162</v>
      </c>
      <c r="B29" s="67">
        <v>284.86</v>
      </c>
      <c r="C29" s="67">
        <v>285.07</v>
      </c>
      <c r="D29" s="67">
        <v>625.06</v>
      </c>
      <c r="E29" s="67">
        <v>306.36</v>
      </c>
      <c r="F29" s="67">
        <v>306.36</v>
      </c>
      <c r="G29" s="67">
        <v>286.51</v>
      </c>
      <c r="H29" s="67">
        <v>286.51</v>
      </c>
      <c r="I29" s="67">
        <v>285.67</v>
      </c>
      <c r="J29" s="67">
        <v>286.51</v>
      </c>
      <c r="K29" s="67">
        <v>854.65</v>
      </c>
      <c r="L29" s="67">
        <v>284.86</v>
      </c>
      <c r="M29" s="67">
        <v>306.36</v>
      </c>
      <c r="N29" s="32">
        <f t="shared" si="6"/>
        <v>4398.78</v>
      </c>
      <c r="O29" s="32"/>
      <c r="P29" s="32"/>
      <c r="Q29" s="32"/>
      <c r="R29" s="32"/>
      <c r="S29" s="32"/>
      <c r="T29" s="32"/>
      <c r="U29" s="32"/>
      <c r="V29" s="32"/>
      <c r="W29" s="32"/>
      <c r="X29" s="32"/>
      <c r="Y29" s="32"/>
      <c r="Z29" s="32"/>
    </row>
    <row r="30" ht="15.75" customHeight="1">
      <c r="A30" s="65" t="s">
        <v>197</v>
      </c>
      <c r="B30" s="67">
        <v>599.63</v>
      </c>
      <c r="C30" s="67">
        <v>604.41</v>
      </c>
      <c r="D30" s="67">
        <v>602.22</v>
      </c>
      <c r="E30" s="67">
        <v>601.79</v>
      </c>
      <c r="F30" s="67">
        <v>603.97</v>
      </c>
      <c r="G30" s="67">
        <v>603.09</v>
      </c>
      <c r="H30" s="67">
        <v>601.79</v>
      </c>
      <c r="I30" s="67">
        <v>501.35</v>
      </c>
      <c r="J30" s="67">
        <v>603.09</v>
      </c>
      <c r="K30" s="67">
        <v>854.65</v>
      </c>
      <c r="L30" s="67">
        <v>599.63</v>
      </c>
      <c r="M30" s="67">
        <v>603.97</v>
      </c>
      <c r="N30" s="32">
        <f t="shared" si="6"/>
        <v>7379.59</v>
      </c>
      <c r="O30" s="32"/>
      <c r="P30" s="32"/>
      <c r="Q30" s="32"/>
      <c r="R30" s="32"/>
      <c r="S30" s="32"/>
      <c r="T30" s="32"/>
      <c r="U30" s="32"/>
      <c r="V30" s="32"/>
      <c r="W30" s="32"/>
      <c r="X30" s="32"/>
      <c r="Y30" s="32"/>
      <c r="Z30" s="32"/>
    </row>
    <row r="31" ht="15.75" customHeight="1">
      <c r="A31" s="65" t="s">
        <v>163</v>
      </c>
      <c r="B31" s="67">
        <v>474.41</v>
      </c>
      <c r="C31" s="66">
        <v>2344.87</v>
      </c>
      <c r="D31" s="67">
        <v>975.43</v>
      </c>
      <c r="E31" s="67">
        <v>474.41</v>
      </c>
      <c r="F31" s="67">
        <v>809.5</v>
      </c>
      <c r="G31" s="66">
        <v>1884.73</v>
      </c>
      <c r="H31" s="66">
        <v>1306.43</v>
      </c>
      <c r="I31" s="66">
        <v>2344.87</v>
      </c>
      <c r="J31" s="66">
        <v>1884.73</v>
      </c>
      <c r="K31" s="66">
        <v>1314.84</v>
      </c>
      <c r="L31" s="67">
        <v>474.41</v>
      </c>
      <c r="M31" s="67">
        <v>809.5</v>
      </c>
      <c r="N31" s="32">
        <f t="shared" si="6"/>
        <v>15098.13</v>
      </c>
      <c r="O31" s="32"/>
      <c r="P31" s="32"/>
      <c r="Q31" s="32"/>
      <c r="R31" s="32"/>
      <c r="S31" s="32"/>
      <c r="T31" s="32"/>
      <c r="U31" s="32"/>
      <c r="V31" s="32"/>
      <c r="W31" s="32"/>
      <c r="X31" s="32"/>
      <c r="Y31" s="32"/>
      <c r="Z31" s="32"/>
    </row>
    <row r="32" ht="15.75" customHeight="1">
      <c r="A32" s="65" t="s">
        <v>164</v>
      </c>
      <c r="B32" s="67">
        <v>809.5</v>
      </c>
      <c r="C32" s="67">
        <v>624.0</v>
      </c>
      <c r="D32" s="67">
        <v>602.22</v>
      </c>
      <c r="E32" s="67">
        <v>601.79</v>
      </c>
      <c r="F32" s="67">
        <v>603.97</v>
      </c>
      <c r="G32" s="67">
        <v>603.09</v>
      </c>
      <c r="H32" s="67">
        <v>624.0</v>
      </c>
      <c r="I32" s="67">
        <v>601.35</v>
      </c>
      <c r="J32" s="67">
        <v>603.09</v>
      </c>
      <c r="K32" s="67">
        <v>854.65</v>
      </c>
      <c r="L32" s="67">
        <v>809.5</v>
      </c>
      <c r="M32" s="67">
        <v>603.97</v>
      </c>
      <c r="N32" s="32">
        <f t="shared" si="6"/>
        <v>7941.13</v>
      </c>
      <c r="O32" s="32"/>
      <c r="P32" s="32"/>
      <c r="Q32" s="32"/>
      <c r="R32" s="32"/>
      <c r="S32" s="32"/>
      <c r="T32" s="32"/>
      <c r="U32" s="32"/>
      <c r="V32" s="32"/>
      <c r="W32" s="32"/>
      <c r="X32" s="32"/>
      <c r="Y32" s="32"/>
      <c r="Z32" s="32"/>
    </row>
    <row r="33" ht="15.75" customHeight="1">
      <c r="A33" s="65" t="s">
        <v>220</v>
      </c>
      <c r="B33" s="75">
        <f>B11*18%</f>
        <v>31535.7</v>
      </c>
      <c r="C33" s="75">
        <v>31535.7</v>
      </c>
      <c r="D33" s="75">
        <v>31535.7</v>
      </c>
      <c r="E33" s="75">
        <v>31535.7</v>
      </c>
      <c r="F33" s="75">
        <v>31535.7</v>
      </c>
      <c r="G33" s="75">
        <v>31535.7</v>
      </c>
      <c r="H33" s="75">
        <v>31535.7</v>
      </c>
      <c r="I33" s="75">
        <v>31535.7</v>
      </c>
      <c r="J33" s="75">
        <v>31535.7</v>
      </c>
      <c r="K33" s="75">
        <v>31535.7</v>
      </c>
      <c r="L33" s="75">
        <v>31535.7</v>
      </c>
      <c r="M33" s="75">
        <v>31535.7</v>
      </c>
      <c r="N33" s="72">
        <f t="shared" si="6"/>
        <v>378428.4</v>
      </c>
      <c r="O33" s="32"/>
      <c r="P33" s="32"/>
      <c r="Q33" s="32"/>
      <c r="R33" s="32"/>
      <c r="S33" s="32"/>
      <c r="T33" s="32"/>
      <c r="U33" s="32"/>
      <c r="V33" s="32"/>
      <c r="W33" s="32"/>
      <c r="X33" s="32"/>
      <c r="Y33" s="32"/>
      <c r="Z33" s="32"/>
    </row>
    <row r="34" ht="15.75" customHeight="1">
      <c r="A34" s="65" t="s">
        <v>165</v>
      </c>
      <c r="B34" s="87">
        <v>2922.88</v>
      </c>
      <c r="C34" s="87">
        <v>2924.98</v>
      </c>
      <c r="D34" s="87">
        <v>2120.45</v>
      </c>
      <c r="E34" s="87">
        <v>3338.99</v>
      </c>
      <c r="F34" s="87">
        <v>4216.46</v>
      </c>
      <c r="G34" s="87">
        <v>2525.28</v>
      </c>
      <c r="H34" s="87">
        <v>3081.36</v>
      </c>
      <c r="I34" s="87">
        <v>4216.46</v>
      </c>
      <c r="J34" s="87">
        <v>2525.28</v>
      </c>
      <c r="K34" s="87">
        <v>2209.55</v>
      </c>
      <c r="L34" s="87">
        <v>2922.88</v>
      </c>
      <c r="M34" s="87">
        <v>4216.46</v>
      </c>
      <c r="N34" s="20">
        <f t="shared" si="6"/>
        <v>37221.03</v>
      </c>
      <c r="O34" s="32"/>
      <c r="P34" s="32"/>
      <c r="Q34" s="32"/>
      <c r="R34" s="32"/>
      <c r="S34" s="32"/>
      <c r="T34" s="32"/>
      <c r="U34" s="32"/>
      <c r="V34" s="32"/>
      <c r="W34" s="32"/>
      <c r="X34" s="32"/>
      <c r="Y34" s="32"/>
      <c r="Z34" s="32"/>
    </row>
    <row r="35" ht="15.75" customHeight="1">
      <c r="A35" s="65" t="s">
        <v>198</v>
      </c>
      <c r="B35" s="88">
        <v>312.22</v>
      </c>
      <c r="C35" s="88">
        <v>271.68</v>
      </c>
      <c r="D35" s="88">
        <v>74.06</v>
      </c>
      <c r="E35" s="88">
        <v>88.29</v>
      </c>
      <c r="F35" s="88">
        <v>312.0</v>
      </c>
      <c r="G35" s="88">
        <v>312.0</v>
      </c>
      <c r="H35" s="88">
        <v>816.52</v>
      </c>
      <c r="I35" s="88">
        <v>74.06</v>
      </c>
      <c r="J35" s="88">
        <v>312.0</v>
      </c>
      <c r="K35" s="88">
        <v>854.65</v>
      </c>
      <c r="L35" s="88">
        <v>312.22</v>
      </c>
      <c r="M35" s="88">
        <v>312.0</v>
      </c>
      <c r="N35" s="32">
        <f t="shared" si="6"/>
        <v>4051.7</v>
      </c>
      <c r="O35" s="32"/>
      <c r="P35" s="32"/>
      <c r="Q35" s="32"/>
      <c r="R35" s="32"/>
      <c r="S35" s="32"/>
      <c r="T35" s="32"/>
      <c r="U35" s="32"/>
      <c r="V35" s="32"/>
      <c r="W35" s="32"/>
      <c r="X35" s="32"/>
      <c r="Y35" s="32"/>
      <c r="Z35" s="32"/>
    </row>
    <row r="36" ht="15.75" customHeight="1">
      <c r="A36" s="65" t="s">
        <v>166</v>
      </c>
      <c r="B36" s="88">
        <v>159.41</v>
      </c>
      <c r="C36" s="88">
        <v>336.78</v>
      </c>
      <c r="D36" s="88">
        <v>337.26</v>
      </c>
      <c r="E36" s="88">
        <v>480.92</v>
      </c>
      <c r="F36" s="88">
        <v>337.26</v>
      </c>
      <c r="G36" s="88">
        <v>351.37</v>
      </c>
      <c r="H36" s="87">
        <v>1222.67</v>
      </c>
      <c r="I36" s="88">
        <v>336.78</v>
      </c>
      <c r="J36" s="88">
        <v>351.37</v>
      </c>
      <c r="K36" s="88">
        <v>854.65</v>
      </c>
      <c r="L36" s="88">
        <v>159.41</v>
      </c>
      <c r="M36" s="88">
        <v>337.26</v>
      </c>
      <c r="N36" s="32">
        <f t="shared" si="6"/>
        <v>5265.14</v>
      </c>
      <c r="O36" s="32"/>
      <c r="P36" s="32"/>
      <c r="Q36" s="32"/>
      <c r="R36" s="32"/>
      <c r="S36" s="32"/>
      <c r="T36" s="32"/>
      <c r="U36" s="32"/>
      <c r="V36" s="32"/>
      <c r="W36" s="32"/>
      <c r="X36" s="32"/>
      <c r="Y36" s="32"/>
      <c r="Z36" s="32"/>
    </row>
    <row r="37" ht="15.75" customHeight="1">
      <c r="A37" s="65" t="s">
        <v>167</v>
      </c>
      <c r="B37" s="88">
        <v>243.52</v>
      </c>
      <c r="C37" s="88">
        <v>258.77</v>
      </c>
      <c r="D37" s="88">
        <v>260.1</v>
      </c>
      <c r="E37" s="88">
        <v>185.55</v>
      </c>
      <c r="F37" s="88">
        <v>258.58</v>
      </c>
      <c r="G37" s="88">
        <v>258.2</v>
      </c>
      <c r="H37" s="88">
        <v>313.0</v>
      </c>
      <c r="I37" s="88">
        <v>240.81</v>
      </c>
      <c r="J37" s="88">
        <v>258.2</v>
      </c>
      <c r="K37" s="88">
        <v>854.65</v>
      </c>
      <c r="L37" s="88">
        <v>243.52</v>
      </c>
      <c r="M37" s="88">
        <v>258.58</v>
      </c>
      <c r="N37" s="32">
        <f t="shared" si="6"/>
        <v>3633.48</v>
      </c>
      <c r="O37" s="32"/>
      <c r="P37" s="32"/>
      <c r="Q37" s="32"/>
      <c r="R37" s="32"/>
      <c r="S37" s="32"/>
      <c r="T37" s="32"/>
      <c r="U37" s="32"/>
      <c r="V37" s="32"/>
      <c r="W37" s="32"/>
      <c r="X37" s="32"/>
      <c r="Y37" s="32"/>
      <c r="Z37" s="32"/>
    </row>
    <row r="38" ht="15.75" customHeight="1">
      <c r="A38" s="65" t="s">
        <v>221</v>
      </c>
      <c r="B38" s="88">
        <v>98.6</v>
      </c>
      <c r="C38" s="88">
        <v>99.31</v>
      </c>
      <c r="D38" s="88">
        <v>98.95</v>
      </c>
      <c r="E38" s="88">
        <v>98.88</v>
      </c>
      <c r="F38" s="88">
        <v>99.24</v>
      </c>
      <c r="G38" s="88">
        <v>99.1</v>
      </c>
      <c r="H38" s="88">
        <v>816.52</v>
      </c>
      <c r="I38" s="88">
        <v>98.81</v>
      </c>
      <c r="J38" s="88">
        <v>99.1</v>
      </c>
      <c r="K38" s="88">
        <v>854.65</v>
      </c>
      <c r="L38" s="88">
        <v>98.6</v>
      </c>
      <c r="M38" s="88">
        <v>99.24</v>
      </c>
      <c r="N38" s="32">
        <f t="shared" si="6"/>
        <v>2661</v>
      </c>
      <c r="O38" s="32"/>
      <c r="P38" s="32"/>
      <c r="Q38" s="32"/>
      <c r="R38" s="32"/>
      <c r="S38" s="32"/>
      <c r="T38" s="32"/>
      <c r="U38" s="32"/>
      <c r="V38" s="32"/>
      <c r="W38" s="32"/>
      <c r="X38" s="32"/>
      <c r="Y38" s="32"/>
      <c r="Z38" s="32"/>
    </row>
    <row r="39" ht="15.75" customHeight="1">
      <c r="A39" s="70" t="s">
        <v>222</v>
      </c>
      <c r="B39" s="89">
        <f t="shared" ref="B39:M39" si="8">B37+B38</f>
        <v>342.12</v>
      </c>
      <c r="C39" s="89">
        <f t="shared" si="8"/>
        <v>358.08</v>
      </c>
      <c r="D39" s="89">
        <f t="shared" si="8"/>
        <v>359.05</v>
      </c>
      <c r="E39" s="89">
        <f t="shared" si="8"/>
        <v>284.43</v>
      </c>
      <c r="F39" s="89">
        <f t="shared" si="8"/>
        <v>357.82</v>
      </c>
      <c r="G39" s="89">
        <f t="shared" si="8"/>
        <v>357.3</v>
      </c>
      <c r="H39" s="89">
        <f t="shared" si="8"/>
        <v>1129.52</v>
      </c>
      <c r="I39" s="89">
        <f t="shared" si="8"/>
        <v>339.62</v>
      </c>
      <c r="J39" s="89">
        <f t="shared" si="8"/>
        <v>357.3</v>
      </c>
      <c r="K39" s="89">
        <f t="shared" si="8"/>
        <v>1709.3</v>
      </c>
      <c r="L39" s="89">
        <f t="shared" si="8"/>
        <v>342.12</v>
      </c>
      <c r="M39" s="89">
        <f t="shared" si="8"/>
        <v>357.82</v>
      </c>
      <c r="N39" s="85">
        <f t="shared" si="6"/>
        <v>6294.48</v>
      </c>
      <c r="O39" s="32"/>
      <c r="P39" s="32"/>
      <c r="Q39" s="32"/>
      <c r="R39" s="32"/>
      <c r="S39" s="32"/>
      <c r="T39" s="32"/>
      <c r="U39" s="32"/>
      <c r="V39" s="32"/>
      <c r="W39" s="32"/>
      <c r="X39" s="32"/>
      <c r="Y39" s="32"/>
      <c r="Z39" s="32"/>
    </row>
    <row r="40" ht="15.75" customHeight="1">
      <c r="A40" s="65" t="s">
        <v>168</v>
      </c>
      <c r="B40" s="88">
        <v>385.86</v>
      </c>
      <c r="C40" s="88">
        <v>571.69</v>
      </c>
      <c r="D40" s="88">
        <v>570.9</v>
      </c>
      <c r="E40" s="88">
        <v>569.21</v>
      </c>
      <c r="F40" s="88">
        <v>157.41</v>
      </c>
      <c r="G40" s="88">
        <v>154.1</v>
      </c>
      <c r="H40" s="88">
        <v>816.52</v>
      </c>
      <c r="I40" s="88">
        <v>834.26</v>
      </c>
      <c r="J40" s="88">
        <v>157.19</v>
      </c>
      <c r="K40" s="88">
        <v>854.65</v>
      </c>
      <c r="L40" s="88">
        <v>388.2</v>
      </c>
      <c r="M40" s="88">
        <v>157.41</v>
      </c>
      <c r="N40" s="32">
        <f t="shared" si="6"/>
        <v>5617.4</v>
      </c>
      <c r="O40" s="32"/>
      <c r="P40" s="32"/>
      <c r="Q40" s="32"/>
      <c r="R40" s="32"/>
      <c r="S40" s="32"/>
      <c r="T40" s="32"/>
      <c r="U40" s="32"/>
      <c r="V40" s="32"/>
      <c r="W40" s="32"/>
      <c r="X40" s="32"/>
      <c r="Y40" s="32"/>
      <c r="Z40" s="32"/>
    </row>
    <row r="41" ht="15.75" customHeight="1">
      <c r="A41" s="65" t="s">
        <v>169</v>
      </c>
      <c r="B41" s="87">
        <v>3302.34</v>
      </c>
      <c r="C41" s="87">
        <v>3272.34</v>
      </c>
      <c r="D41" s="87">
        <v>4440.6</v>
      </c>
      <c r="E41" s="87">
        <v>6447.72</v>
      </c>
      <c r="F41" s="87">
        <v>3243.59</v>
      </c>
      <c r="G41" s="87">
        <v>5431.48</v>
      </c>
      <c r="H41" s="87">
        <v>5373.86</v>
      </c>
      <c r="I41" s="87">
        <v>4580.6</v>
      </c>
      <c r="J41" s="87">
        <v>5431.48</v>
      </c>
      <c r="K41" s="87">
        <v>4040.06</v>
      </c>
      <c r="L41" s="87">
        <v>2535.33</v>
      </c>
      <c r="M41" s="87">
        <v>3243.59</v>
      </c>
      <c r="N41" s="20">
        <f t="shared" si="6"/>
        <v>51342.99</v>
      </c>
      <c r="O41" s="32"/>
      <c r="P41" s="32"/>
      <c r="Q41" s="32"/>
      <c r="R41" s="32"/>
      <c r="S41" s="32"/>
      <c r="T41" s="32"/>
      <c r="U41" s="32"/>
      <c r="V41" s="32"/>
      <c r="W41" s="32"/>
      <c r="X41" s="32"/>
      <c r="Y41" s="32"/>
      <c r="Z41" s="32"/>
    </row>
    <row r="42" ht="15.75" customHeight="1">
      <c r="A42" s="65" t="s">
        <v>170</v>
      </c>
      <c r="B42" s="88">
        <v>680.5</v>
      </c>
      <c r="C42" s="87">
        <v>1313.11</v>
      </c>
      <c r="D42" s="87">
        <v>3533.29</v>
      </c>
      <c r="E42" s="87">
        <v>1313.11</v>
      </c>
      <c r="F42" s="87">
        <v>2068.28</v>
      </c>
      <c r="G42" s="88">
        <v>924.98</v>
      </c>
      <c r="H42" s="88">
        <v>816.52</v>
      </c>
      <c r="I42" s="88">
        <v>409.96</v>
      </c>
      <c r="J42" s="88">
        <v>924.98</v>
      </c>
      <c r="K42" s="88">
        <v>854.65</v>
      </c>
      <c r="L42" s="88">
        <v>680.5</v>
      </c>
      <c r="M42" s="87">
        <v>2068.28</v>
      </c>
      <c r="N42" s="32">
        <f t="shared" si="6"/>
        <v>15588.16</v>
      </c>
      <c r="O42" s="32"/>
      <c r="P42" s="32"/>
      <c r="Q42" s="32"/>
      <c r="R42" s="32"/>
      <c r="S42" s="32"/>
      <c r="T42" s="32"/>
      <c r="U42" s="32"/>
      <c r="V42" s="32"/>
      <c r="W42" s="32"/>
      <c r="X42" s="32"/>
      <c r="Y42" s="32"/>
      <c r="Z42" s="32"/>
    </row>
    <row r="43" ht="15.75" customHeight="1">
      <c r="A43" s="65" t="s">
        <v>171</v>
      </c>
      <c r="B43" s="87">
        <v>12912.1</v>
      </c>
      <c r="C43" s="87">
        <v>11269.46</v>
      </c>
      <c r="D43" s="87">
        <v>8431.11</v>
      </c>
      <c r="E43" s="87">
        <v>7823.24</v>
      </c>
      <c r="F43" s="87">
        <v>11475.39</v>
      </c>
      <c r="G43" s="87">
        <v>13841.14</v>
      </c>
      <c r="H43" s="87">
        <v>8431.11</v>
      </c>
      <c r="I43" s="87">
        <v>8418.96</v>
      </c>
      <c r="J43" s="87">
        <v>13871.14</v>
      </c>
      <c r="K43" s="87">
        <v>9864.69</v>
      </c>
      <c r="L43" s="87">
        <v>13871.14</v>
      </c>
      <c r="M43" s="87">
        <v>11475.39</v>
      </c>
      <c r="N43" s="20">
        <f t="shared" si="6"/>
        <v>131684.87</v>
      </c>
      <c r="O43" s="32"/>
      <c r="P43" s="32"/>
      <c r="Q43" s="32"/>
      <c r="R43" s="32"/>
      <c r="S43" s="32"/>
      <c r="T43" s="32"/>
      <c r="U43" s="32"/>
      <c r="V43" s="32"/>
      <c r="W43" s="32"/>
      <c r="X43" s="32"/>
      <c r="Y43" s="32"/>
      <c r="Z43" s="32"/>
    </row>
    <row r="44" ht="15.75" customHeight="1">
      <c r="A44" s="65" t="s">
        <v>223</v>
      </c>
      <c r="B44" s="88">
        <v>339.09</v>
      </c>
      <c r="C44" s="88">
        <v>344.5</v>
      </c>
      <c r="D44" s="88">
        <v>339.82</v>
      </c>
      <c r="E44" s="88">
        <v>339.58</v>
      </c>
      <c r="F44" s="88">
        <v>340.81</v>
      </c>
      <c r="G44" s="88">
        <v>340.31</v>
      </c>
      <c r="H44" s="88">
        <v>816.52</v>
      </c>
      <c r="I44" s="88">
        <v>339.33</v>
      </c>
      <c r="J44" s="88">
        <v>306.31</v>
      </c>
      <c r="K44" s="88">
        <v>340.31</v>
      </c>
      <c r="L44" s="88">
        <v>339.09</v>
      </c>
      <c r="M44" s="88">
        <v>340.81</v>
      </c>
      <c r="N44" s="32">
        <f t="shared" si="6"/>
        <v>4526.48</v>
      </c>
      <c r="O44" s="32"/>
      <c r="P44" s="32"/>
      <c r="Q44" s="32"/>
      <c r="R44" s="32"/>
      <c r="S44" s="32"/>
      <c r="T44" s="32"/>
      <c r="U44" s="32"/>
      <c r="V44" s="32"/>
      <c r="W44" s="32"/>
      <c r="X44" s="32"/>
      <c r="Y44" s="32"/>
      <c r="Z44" s="32"/>
    </row>
    <row r="45" ht="15.75" customHeight="1">
      <c r="A45" s="65" t="s">
        <v>172</v>
      </c>
      <c r="B45" s="88">
        <v>20.22</v>
      </c>
      <c r="C45" s="88">
        <v>20.1</v>
      </c>
      <c r="D45" s="88">
        <v>20.1</v>
      </c>
      <c r="E45" s="88">
        <v>20.1</v>
      </c>
      <c r="F45" s="88">
        <v>20.1</v>
      </c>
      <c r="G45" s="88">
        <v>20.1</v>
      </c>
      <c r="H45" s="88">
        <v>20.1</v>
      </c>
      <c r="I45" s="88">
        <v>20.1</v>
      </c>
      <c r="J45" s="88">
        <v>20.1</v>
      </c>
      <c r="K45" s="88">
        <v>20.1</v>
      </c>
      <c r="L45" s="88">
        <v>20.09</v>
      </c>
      <c r="M45" s="88">
        <v>20.1</v>
      </c>
      <c r="N45" s="32">
        <f t="shared" si="6"/>
        <v>241.31</v>
      </c>
      <c r="O45" s="32"/>
      <c r="P45" s="32"/>
      <c r="Q45" s="32"/>
      <c r="R45" s="32"/>
      <c r="S45" s="32"/>
      <c r="T45" s="32"/>
      <c r="U45" s="32"/>
      <c r="V45" s="32"/>
      <c r="W45" s="32"/>
      <c r="X45" s="32"/>
      <c r="Y45" s="32"/>
      <c r="Z45" s="32"/>
    </row>
    <row r="46" ht="15.75" customHeight="1">
      <c r="A46" s="65" t="s">
        <v>199</v>
      </c>
      <c r="B46" s="88">
        <v>39.62</v>
      </c>
      <c r="C46" s="88">
        <v>39.85</v>
      </c>
      <c r="D46" s="88">
        <v>39.71</v>
      </c>
      <c r="E46" s="88">
        <v>39.68</v>
      </c>
      <c r="F46" s="88">
        <v>39.82</v>
      </c>
      <c r="G46" s="88">
        <v>39.77</v>
      </c>
      <c r="H46" s="88">
        <v>816.52</v>
      </c>
      <c r="I46" s="88">
        <v>29.65</v>
      </c>
      <c r="J46" s="88">
        <v>39.77</v>
      </c>
      <c r="K46" s="88">
        <v>39.77</v>
      </c>
      <c r="L46" s="88">
        <v>39.62</v>
      </c>
      <c r="M46" s="88">
        <v>39.82</v>
      </c>
      <c r="N46" s="32">
        <f t="shared" si="6"/>
        <v>1243.6</v>
      </c>
      <c r="O46" s="32"/>
      <c r="P46" s="32"/>
      <c r="Q46" s="32"/>
      <c r="R46" s="32"/>
      <c r="S46" s="32"/>
      <c r="T46" s="32"/>
      <c r="U46" s="32"/>
      <c r="V46" s="32"/>
      <c r="W46" s="32"/>
      <c r="X46" s="32"/>
      <c r="Y46" s="32"/>
      <c r="Z46" s="32"/>
    </row>
    <row r="47" ht="15.75" customHeight="1">
      <c r="A47" s="65" t="s">
        <v>224</v>
      </c>
      <c r="B47" s="87">
        <v>1642.27</v>
      </c>
      <c r="C47" s="88">
        <v>604.41</v>
      </c>
      <c r="D47" s="87">
        <v>1871.8</v>
      </c>
      <c r="E47" s="87">
        <v>1870.45</v>
      </c>
      <c r="F47" s="87">
        <v>1205.2</v>
      </c>
      <c r="G47" s="88">
        <v>177.16</v>
      </c>
      <c r="H47" s="88">
        <v>816.52</v>
      </c>
      <c r="I47" s="87">
        <v>1869.1</v>
      </c>
      <c r="J47" s="88">
        <v>177.16</v>
      </c>
      <c r="K47" s="88">
        <v>177.16</v>
      </c>
      <c r="L47" s="87">
        <v>1642.27</v>
      </c>
      <c r="M47" s="87">
        <v>1207.94</v>
      </c>
      <c r="N47" s="20">
        <f t="shared" si="6"/>
        <v>13261.44</v>
      </c>
      <c r="O47" s="32"/>
      <c r="P47" s="32"/>
      <c r="Q47" s="32"/>
      <c r="R47" s="32"/>
      <c r="S47" s="32"/>
      <c r="T47" s="32"/>
      <c r="U47" s="32"/>
      <c r="V47" s="32"/>
      <c r="W47" s="32"/>
      <c r="X47" s="32"/>
      <c r="Y47" s="32"/>
      <c r="Z47" s="32"/>
    </row>
    <row r="48" ht="15.75" customHeight="1">
      <c r="A48" s="65" t="s">
        <v>174</v>
      </c>
      <c r="B48" s="87">
        <v>1802.77</v>
      </c>
      <c r="C48" s="87">
        <v>1813.22</v>
      </c>
      <c r="D48" s="87">
        <v>1806.67</v>
      </c>
      <c r="E48" s="87">
        <v>1805.36</v>
      </c>
      <c r="F48" s="87">
        <v>1811.9</v>
      </c>
      <c r="G48" s="87">
        <v>1809.28</v>
      </c>
      <c r="H48" s="87">
        <v>1763.04</v>
      </c>
      <c r="I48" s="87">
        <v>1804.06</v>
      </c>
      <c r="J48" s="87">
        <v>1809.28</v>
      </c>
      <c r="K48" s="87">
        <v>1663.55</v>
      </c>
      <c r="L48" s="87">
        <v>1802.77</v>
      </c>
      <c r="M48" s="87">
        <v>1809.2</v>
      </c>
      <c r="N48" s="20">
        <f t="shared" si="6"/>
        <v>21501.1</v>
      </c>
      <c r="O48" s="32"/>
      <c r="P48" s="32"/>
      <c r="Q48" s="32"/>
      <c r="R48" s="32"/>
      <c r="S48" s="32"/>
      <c r="T48" s="32"/>
      <c r="U48" s="32"/>
      <c r="V48" s="32"/>
      <c r="W48" s="32"/>
      <c r="X48" s="32"/>
      <c r="Y48" s="32"/>
      <c r="Z48" s="32"/>
    </row>
    <row r="49" ht="15.75" customHeight="1">
      <c r="A49" s="65" t="s">
        <v>200</v>
      </c>
      <c r="B49" s="88">
        <v>505.64</v>
      </c>
      <c r="C49" s="88">
        <v>505.64</v>
      </c>
      <c r="D49" s="88">
        <v>505.64</v>
      </c>
      <c r="E49" s="88">
        <v>505.64</v>
      </c>
      <c r="F49" s="88">
        <v>505.64</v>
      </c>
      <c r="G49" s="88">
        <v>505.64</v>
      </c>
      <c r="H49" s="88">
        <v>816.52</v>
      </c>
      <c r="I49" s="88">
        <v>505.64</v>
      </c>
      <c r="J49" s="88">
        <v>505.64</v>
      </c>
      <c r="K49" s="88">
        <v>854.65</v>
      </c>
      <c r="L49" s="88">
        <v>505.64</v>
      </c>
      <c r="M49" s="88">
        <v>505.64</v>
      </c>
      <c r="N49" s="32">
        <f t="shared" si="6"/>
        <v>6727.57</v>
      </c>
      <c r="O49" s="32"/>
      <c r="P49" s="32"/>
      <c r="Q49" s="32"/>
      <c r="R49" s="32"/>
      <c r="S49" s="32"/>
      <c r="T49" s="32"/>
      <c r="U49" s="32"/>
      <c r="V49" s="32"/>
      <c r="W49" s="32"/>
      <c r="X49" s="32"/>
      <c r="Y49" s="32"/>
      <c r="Z49" s="32"/>
    </row>
    <row r="50" ht="15.75" customHeight="1">
      <c r="A50" s="65" t="s">
        <v>175</v>
      </c>
      <c r="B50" s="87">
        <v>2452.22</v>
      </c>
      <c r="C50" s="87">
        <v>2452.22</v>
      </c>
      <c r="D50" s="87">
        <v>1226.02</v>
      </c>
      <c r="E50" s="87">
        <v>2436.22</v>
      </c>
      <c r="F50" s="87">
        <v>2452.22</v>
      </c>
      <c r="G50" s="87">
        <v>2452.22</v>
      </c>
      <c r="H50" s="88">
        <v>816.52</v>
      </c>
      <c r="I50" s="87">
        <v>2439.12</v>
      </c>
      <c r="J50" s="87">
        <v>2452.22</v>
      </c>
      <c r="K50" s="88">
        <v>854.65</v>
      </c>
      <c r="L50" s="87">
        <v>2452.22</v>
      </c>
      <c r="M50" s="87">
        <v>2452.22</v>
      </c>
      <c r="N50" s="20">
        <f t="shared" si="6"/>
        <v>24938.07</v>
      </c>
      <c r="O50" s="32"/>
      <c r="P50" s="32"/>
      <c r="Q50" s="32"/>
      <c r="R50" s="32"/>
      <c r="S50" s="32"/>
      <c r="T50" s="32"/>
      <c r="U50" s="32"/>
      <c r="V50" s="32"/>
      <c r="W50" s="32"/>
      <c r="X50" s="32"/>
      <c r="Y50" s="32"/>
      <c r="Z50" s="32"/>
    </row>
    <row r="51" ht="15.75" customHeight="1">
      <c r="A51" s="65" t="s">
        <v>176</v>
      </c>
      <c r="B51" s="88">
        <v>150.23</v>
      </c>
      <c r="C51" s="88">
        <v>151.1</v>
      </c>
      <c r="D51" s="88">
        <v>150.56</v>
      </c>
      <c r="E51" s="88">
        <v>150.45</v>
      </c>
      <c r="F51" s="88">
        <v>150.99</v>
      </c>
      <c r="G51" s="88">
        <v>150.77</v>
      </c>
      <c r="H51" s="88">
        <v>653.22</v>
      </c>
      <c r="I51" s="88">
        <v>150.34</v>
      </c>
      <c r="J51" s="88">
        <v>150.77</v>
      </c>
      <c r="K51" s="88">
        <v>657.42</v>
      </c>
      <c r="L51" s="88">
        <v>150.23</v>
      </c>
      <c r="M51" s="88">
        <v>150.99</v>
      </c>
      <c r="N51" s="32">
        <f t="shared" si="6"/>
        <v>2817.07</v>
      </c>
      <c r="O51" s="32"/>
      <c r="P51" s="32"/>
      <c r="Q51" s="32"/>
      <c r="R51" s="32"/>
      <c r="S51" s="32"/>
      <c r="T51" s="32"/>
      <c r="U51" s="32"/>
      <c r="V51" s="32"/>
      <c r="W51" s="32"/>
      <c r="X51" s="32"/>
      <c r="Y51" s="32"/>
      <c r="Z51" s="32"/>
    </row>
    <row r="52" ht="15.75" customHeight="1">
      <c r="A52" s="70" t="s">
        <v>177</v>
      </c>
      <c r="B52" s="75">
        <f>Explaination!F83+B33</f>
        <v>71035.7</v>
      </c>
      <c r="C52" s="75">
        <f t="shared" ref="C52:M52" si="9">39500+C33</f>
        <v>71035.7</v>
      </c>
      <c r="D52" s="75">
        <f t="shared" si="9"/>
        <v>71035.7</v>
      </c>
      <c r="E52" s="75">
        <f t="shared" si="9"/>
        <v>71035.7</v>
      </c>
      <c r="F52" s="75">
        <f t="shared" si="9"/>
        <v>71035.7</v>
      </c>
      <c r="G52" s="75">
        <f t="shared" si="9"/>
        <v>71035.7</v>
      </c>
      <c r="H52" s="75">
        <f t="shared" si="9"/>
        <v>71035.7</v>
      </c>
      <c r="I52" s="75">
        <f t="shared" si="9"/>
        <v>71035.7</v>
      </c>
      <c r="J52" s="75">
        <f t="shared" si="9"/>
        <v>71035.7</v>
      </c>
      <c r="K52" s="75">
        <f t="shared" si="9"/>
        <v>71035.7</v>
      </c>
      <c r="L52" s="75">
        <f t="shared" si="9"/>
        <v>71035.7</v>
      </c>
      <c r="M52" s="75">
        <f t="shared" si="9"/>
        <v>71035.7</v>
      </c>
      <c r="N52" s="72">
        <f t="shared" si="6"/>
        <v>852428.4</v>
      </c>
      <c r="O52" s="32"/>
      <c r="P52" s="32"/>
      <c r="Q52" s="32"/>
      <c r="R52" s="32"/>
      <c r="S52" s="32"/>
      <c r="T52" s="32"/>
      <c r="U52" s="32"/>
      <c r="V52" s="32"/>
      <c r="W52" s="32"/>
      <c r="X52" s="32"/>
      <c r="Y52" s="32"/>
      <c r="Z52" s="32"/>
    </row>
    <row r="53" ht="15.75" customHeight="1">
      <c r="A53" s="70" t="s">
        <v>178</v>
      </c>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5.75" customHeight="1">
      <c r="A54" s="70" t="s">
        <v>179</v>
      </c>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5.75" customHeight="1">
      <c r="A55" s="70" t="s">
        <v>180</v>
      </c>
      <c r="B55" s="75">
        <f t="shared" ref="B55:N55" si="10">B17-B52</f>
        <v>-14972.23333</v>
      </c>
      <c r="C55" s="75">
        <f t="shared" si="10"/>
        <v>-14764.79851</v>
      </c>
      <c r="D55" s="75">
        <f t="shared" si="10"/>
        <v>-14556.59617</v>
      </c>
      <c r="E55" s="75">
        <f t="shared" si="10"/>
        <v>-14347.62349</v>
      </c>
      <c r="F55" s="75">
        <f t="shared" si="10"/>
        <v>-14137.8776</v>
      </c>
      <c r="G55" s="75">
        <f t="shared" si="10"/>
        <v>-13927.35566</v>
      </c>
      <c r="H55" s="75">
        <f t="shared" si="10"/>
        <v>-13716.05479</v>
      </c>
      <c r="I55" s="75">
        <f t="shared" si="10"/>
        <v>-13503.9721</v>
      </c>
      <c r="J55" s="75">
        <f t="shared" si="10"/>
        <v>-13291.10471</v>
      </c>
      <c r="K55" s="75">
        <f t="shared" si="10"/>
        <v>-13077.4497</v>
      </c>
      <c r="L55" s="75">
        <f t="shared" si="10"/>
        <v>-12863.00418</v>
      </c>
      <c r="M55" s="75">
        <f t="shared" si="10"/>
        <v>-12647.7652</v>
      </c>
      <c r="N55" s="72">
        <f t="shared" si="10"/>
        <v>-165805.8354</v>
      </c>
      <c r="O55" s="32"/>
      <c r="P55" s="32"/>
      <c r="Q55" s="32"/>
      <c r="R55" s="32"/>
      <c r="S55" s="32"/>
      <c r="T55" s="32"/>
      <c r="U55" s="32"/>
      <c r="V55" s="32"/>
      <c r="W55" s="32"/>
      <c r="X55" s="32"/>
      <c r="Y55" s="32"/>
      <c r="Z55" s="32"/>
    </row>
    <row r="56"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sheetData>
  <mergeCells count="1">
    <mergeCell ref="A2:N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2.0"/>
    <col customWidth="1" min="3" max="3" width="12.57"/>
    <col customWidth="1" min="4" max="8" width="11.43"/>
    <col customWidth="1" min="9" max="9" width="11.14"/>
    <col customWidth="1" min="10" max="10" width="14.57"/>
    <col customWidth="1" min="11" max="11" width="12.0"/>
    <col customWidth="1" min="12" max="12" width="13.86"/>
    <col customWidth="1" min="13" max="13" width="14.0"/>
    <col customWidth="1" min="14" max="14" width="14.57"/>
    <col customWidth="1" min="15" max="26" width="8.71"/>
  </cols>
  <sheetData>
    <row r="1">
      <c r="A1" s="32"/>
      <c r="B1" s="32"/>
      <c r="C1" s="32"/>
      <c r="D1" s="32"/>
      <c r="E1" s="32"/>
      <c r="F1" s="32"/>
      <c r="G1" s="32"/>
      <c r="H1" s="32"/>
      <c r="I1" s="32"/>
      <c r="J1" s="32"/>
      <c r="K1" s="32"/>
      <c r="L1" s="32"/>
      <c r="M1" s="32"/>
      <c r="N1" s="32"/>
      <c r="O1" s="32"/>
      <c r="P1" s="32"/>
      <c r="Q1" s="32"/>
      <c r="R1" s="32"/>
      <c r="S1" s="32"/>
      <c r="T1" s="32"/>
      <c r="U1" s="32"/>
      <c r="V1" s="32"/>
      <c r="W1" s="32"/>
      <c r="X1" s="32"/>
      <c r="Y1" s="32"/>
      <c r="Z1" s="32"/>
    </row>
    <row r="2">
      <c r="A2" s="60" t="s">
        <v>232</v>
      </c>
      <c r="B2" s="61"/>
      <c r="C2" s="61"/>
      <c r="D2" s="61"/>
      <c r="E2" s="61"/>
      <c r="F2" s="61"/>
      <c r="G2" s="61"/>
      <c r="H2" s="61"/>
      <c r="I2" s="61"/>
      <c r="J2" s="61"/>
      <c r="K2" s="61"/>
      <c r="L2" s="61"/>
      <c r="M2" s="61"/>
      <c r="N2" s="61"/>
      <c r="O2" s="32"/>
      <c r="P2" s="32"/>
      <c r="Q2" s="32"/>
      <c r="R2" s="32"/>
      <c r="S2" s="32"/>
      <c r="T2" s="32"/>
      <c r="U2" s="32"/>
      <c r="V2" s="32"/>
      <c r="W2" s="32"/>
      <c r="X2" s="32"/>
      <c r="Y2" s="32"/>
      <c r="Z2" s="32"/>
    </row>
    <row r="3">
      <c r="A3" s="62" t="s">
        <v>129</v>
      </c>
      <c r="B3" s="79">
        <v>46388.0</v>
      </c>
      <c r="C3" s="79">
        <v>46419.0</v>
      </c>
      <c r="D3" s="79">
        <v>46447.0</v>
      </c>
      <c r="E3" s="79">
        <v>46478.0</v>
      </c>
      <c r="F3" s="79">
        <v>46508.0</v>
      </c>
      <c r="G3" s="79">
        <v>46539.0</v>
      </c>
      <c r="H3" s="79">
        <v>46569.0</v>
      </c>
      <c r="I3" s="79">
        <v>46600.0</v>
      </c>
      <c r="J3" s="79">
        <v>46631.0</v>
      </c>
      <c r="K3" s="79">
        <v>46661.0</v>
      </c>
      <c r="L3" s="79">
        <v>46692.0</v>
      </c>
      <c r="M3" s="79">
        <v>46722.0</v>
      </c>
      <c r="N3" s="80" t="s">
        <v>142</v>
      </c>
      <c r="O3" s="32"/>
      <c r="P3" s="32"/>
      <c r="Q3" s="32"/>
      <c r="R3" s="32"/>
      <c r="S3" s="32"/>
      <c r="T3" s="32"/>
      <c r="U3" s="32"/>
      <c r="V3" s="32"/>
      <c r="W3" s="32"/>
      <c r="X3" s="32"/>
      <c r="Y3" s="32"/>
      <c r="Z3" s="32"/>
    </row>
    <row r="4">
      <c r="A4" s="65" t="s">
        <v>143</v>
      </c>
      <c r="B4" s="32"/>
      <c r="C4" s="32"/>
      <c r="D4" s="32"/>
      <c r="E4" s="32"/>
      <c r="F4" s="32"/>
      <c r="G4" s="32"/>
      <c r="H4" s="32"/>
      <c r="I4" s="32"/>
      <c r="J4" s="32"/>
      <c r="K4" s="32"/>
      <c r="L4" s="32"/>
      <c r="M4" s="32"/>
      <c r="N4" s="32"/>
      <c r="O4" s="32"/>
      <c r="P4" s="32"/>
      <c r="Q4" s="32"/>
      <c r="R4" s="32"/>
      <c r="S4" s="32"/>
      <c r="T4" s="32"/>
      <c r="U4" s="32"/>
      <c r="V4" s="32"/>
      <c r="W4" s="32"/>
      <c r="X4" s="32"/>
      <c r="Y4" s="32"/>
      <c r="Z4" s="32"/>
    </row>
    <row r="5">
      <c r="A5" s="65" t="s">
        <v>195</v>
      </c>
      <c r="B5" s="66">
        <v>24713.47</v>
      </c>
      <c r="C5" s="66">
        <v>25864.05</v>
      </c>
      <c r="D5" s="66">
        <v>29830.85</v>
      </c>
      <c r="E5" s="66">
        <v>21724.26</v>
      </c>
      <c r="F5" s="66">
        <v>23335.76</v>
      </c>
      <c r="G5" s="66">
        <v>24072.2</v>
      </c>
      <c r="H5" s="66">
        <v>43613.89</v>
      </c>
      <c r="I5" s="66">
        <v>20660.17</v>
      </c>
      <c r="J5" s="66">
        <v>16174.28</v>
      </c>
      <c r="K5" s="66">
        <v>19376.59</v>
      </c>
      <c r="L5" s="66">
        <v>28107.99</v>
      </c>
      <c r="M5" s="66">
        <v>18883.77</v>
      </c>
      <c r="N5" s="20">
        <f t="shared" ref="N5:N9" si="1">SUM(B5:M5)</f>
        <v>296357.28</v>
      </c>
      <c r="O5" s="32"/>
      <c r="P5" s="32"/>
      <c r="Q5" s="32"/>
      <c r="R5" s="32"/>
      <c r="S5" s="32"/>
      <c r="T5" s="32"/>
      <c r="U5" s="32"/>
      <c r="V5" s="32"/>
      <c r="W5" s="32"/>
      <c r="X5" s="32"/>
      <c r="Y5" s="32"/>
      <c r="Z5" s="32"/>
    </row>
    <row r="6">
      <c r="A6" s="65" t="s">
        <v>144</v>
      </c>
      <c r="B6" s="66">
        <v>163831.5</v>
      </c>
      <c r="C6" s="66">
        <v>164268.13</v>
      </c>
      <c r="D6" s="66">
        <v>164072.19</v>
      </c>
      <c r="E6" s="66">
        <v>175580.85</v>
      </c>
      <c r="F6" s="66">
        <v>174480.15</v>
      </c>
      <c r="G6" s="66">
        <v>172560.48</v>
      </c>
      <c r="H6" s="66">
        <v>158025.61</v>
      </c>
      <c r="I6" s="66">
        <v>181053.12</v>
      </c>
      <c r="J6" s="66">
        <v>133435.75</v>
      </c>
      <c r="K6" s="66">
        <v>185511.25</v>
      </c>
      <c r="L6" s="66">
        <v>171945.78</v>
      </c>
      <c r="M6" s="66">
        <v>188837.66</v>
      </c>
      <c r="N6" s="20">
        <f t="shared" si="1"/>
        <v>2033602.47</v>
      </c>
      <c r="O6" s="32"/>
      <c r="P6" s="32"/>
      <c r="Q6" s="32"/>
      <c r="R6" s="32"/>
      <c r="S6" s="32"/>
      <c r="T6" s="32"/>
      <c r="U6" s="32"/>
      <c r="V6" s="32"/>
      <c r="W6" s="32"/>
      <c r="X6" s="32"/>
      <c r="Y6" s="32"/>
      <c r="Z6" s="32"/>
    </row>
    <row r="7">
      <c r="A7" s="65" t="s">
        <v>145</v>
      </c>
      <c r="B7" s="66">
        <v>18403.62</v>
      </c>
      <c r="C7" s="66">
        <v>17933.92</v>
      </c>
      <c r="D7" s="66">
        <v>14262.86</v>
      </c>
      <c r="E7" s="66">
        <v>13014.18</v>
      </c>
      <c r="F7" s="66">
        <v>13639.09</v>
      </c>
      <c r="G7" s="66">
        <v>15964.19</v>
      </c>
      <c r="H7" s="66">
        <v>12105.38</v>
      </c>
      <c r="I7" s="66">
        <v>11125.6</v>
      </c>
      <c r="J7" s="66">
        <v>11936.42</v>
      </c>
      <c r="K7" s="66">
        <v>12338.45</v>
      </c>
      <c r="L7" s="66">
        <v>18323.7</v>
      </c>
      <c r="M7" s="66">
        <v>11857.25</v>
      </c>
      <c r="N7" s="20">
        <f t="shared" si="1"/>
        <v>170904.66</v>
      </c>
      <c r="O7" s="32"/>
      <c r="P7" s="32"/>
      <c r="Q7" s="32"/>
      <c r="R7" s="32"/>
      <c r="S7" s="32"/>
      <c r="T7" s="32"/>
      <c r="U7" s="32"/>
      <c r="V7" s="32"/>
      <c r="W7" s="32"/>
      <c r="X7" s="32"/>
      <c r="Y7" s="32"/>
      <c r="Z7" s="32"/>
    </row>
    <row r="8">
      <c r="A8" s="65" t="s">
        <v>216</v>
      </c>
      <c r="B8" s="86" t="s">
        <v>227</v>
      </c>
      <c r="C8" s="86" t="s">
        <v>227</v>
      </c>
      <c r="D8" s="86" t="s">
        <v>227</v>
      </c>
      <c r="E8" s="86" t="s">
        <v>227</v>
      </c>
      <c r="F8" s="86" t="s">
        <v>227</v>
      </c>
      <c r="G8" s="86" t="s">
        <v>227</v>
      </c>
      <c r="H8" s="86" t="s">
        <v>227</v>
      </c>
      <c r="I8" s="86" t="s">
        <v>227</v>
      </c>
      <c r="J8" s="66">
        <v>54621.35</v>
      </c>
      <c r="K8" s="86" t="s">
        <v>227</v>
      </c>
      <c r="L8" s="86" t="s">
        <v>227</v>
      </c>
      <c r="M8" s="86" t="s">
        <v>227</v>
      </c>
      <c r="N8" s="32">
        <f t="shared" si="1"/>
        <v>54621.35</v>
      </c>
      <c r="O8" s="32"/>
      <c r="P8" s="32"/>
      <c r="Q8" s="32"/>
      <c r="R8" s="32"/>
      <c r="S8" s="32"/>
      <c r="T8" s="32"/>
      <c r="U8" s="32"/>
      <c r="V8" s="32"/>
      <c r="W8" s="32"/>
      <c r="X8" s="32"/>
      <c r="Y8" s="32"/>
      <c r="Z8" s="32"/>
    </row>
    <row r="9">
      <c r="A9" s="65" t="s">
        <v>146</v>
      </c>
      <c r="B9" s="86" t="s">
        <v>227</v>
      </c>
      <c r="C9" s="86" t="s">
        <v>227</v>
      </c>
      <c r="D9" s="66">
        <v>1025.03</v>
      </c>
      <c r="E9" s="86" t="s">
        <v>227</v>
      </c>
      <c r="F9" s="86" t="s">
        <v>227</v>
      </c>
      <c r="G9" s="86" t="s">
        <v>227</v>
      </c>
      <c r="H9" s="86" t="s">
        <v>227</v>
      </c>
      <c r="I9" s="66">
        <v>2060.88</v>
      </c>
      <c r="J9" s="86" t="s">
        <v>227</v>
      </c>
      <c r="K9" s="86" t="s">
        <v>227</v>
      </c>
      <c r="L9" s="86" t="s">
        <v>227</v>
      </c>
      <c r="M9" s="86" t="s">
        <v>227</v>
      </c>
      <c r="N9" s="32">
        <f t="shared" si="1"/>
        <v>3085.91</v>
      </c>
      <c r="O9" s="32"/>
      <c r="P9" s="32"/>
      <c r="Q9" s="32"/>
      <c r="R9" s="32"/>
      <c r="S9" s="32"/>
      <c r="T9" s="32"/>
      <c r="U9" s="32"/>
      <c r="V9" s="32"/>
      <c r="W9" s="32"/>
      <c r="X9" s="32"/>
      <c r="Y9" s="32"/>
      <c r="Z9" s="32"/>
    </row>
    <row r="10">
      <c r="A10" s="65" t="s">
        <v>217</v>
      </c>
      <c r="B10" s="86" t="s">
        <v>227</v>
      </c>
      <c r="C10" s="86" t="s">
        <v>227</v>
      </c>
      <c r="D10" s="86" t="s">
        <v>227</v>
      </c>
      <c r="E10" s="86" t="s">
        <v>227</v>
      </c>
      <c r="F10" s="86" t="s">
        <v>227</v>
      </c>
      <c r="G10" s="86" t="s">
        <v>227</v>
      </c>
      <c r="H10" s="86" t="s">
        <v>227</v>
      </c>
      <c r="I10" s="86" t="s">
        <v>227</v>
      </c>
      <c r="J10" s="86" t="s">
        <v>227</v>
      </c>
      <c r="K10" s="86" t="s">
        <v>227</v>
      </c>
      <c r="L10" s="86" t="s">
        <v>227</v>
      </c>
      <c r="M10" s="86" t="s">
        <v>227</v>
      </c>
      <c r="N10" s="86" t="s">
        <v>227</v>
      </c>
      <c r="O10" s="32"/>
      <c r="P10" s="32"/>
      <c r="Q10" s="32"/>
      <c r="R10" s="32"/>
      <c r="S10" s="32"/>
      <c r="T10" s="32"/>
      <c r="U10" s="32"/>
      <c r="V10" s="32"/>
      <c r="W10" s="32"/>
      <c r="X10" s="32"/>
      <c r="Y10" s="32"/>
      <c r="Z10" s="32"/>
    </row>
    <row r="11">
      <c r="A11" s="70" t="s">
        <v>147</v>
      </c>
      <c r="B11" s="75">
        <f>Explaination!F78</f>
        <v>206948.5833</v>
      </c>
      <c r="C11" s="75">
        <f t="shared" ref="C11:M11" si="2">B11*100.54%</f>
        <v>208066.1057</v>
      </c>
      <c r="D11" s="75">
        <f t="shared" si="2"/>
        <v>209189.6627</v>
      </c>
      <c r="E11" s="75">
        <f t="shared" si="2"/>
        <v>210319.2868</v>
      </c>
      <c r="F11" s="75">
        <f t="shared" si="2"/>
        <v>211455.011</v>
      </c>
      <c r="G11" s="75">
        <f t="shared" si="2"/>
        <v>212596.868</v>
      </c>
      <c r="H11" s="75">
        <f t="shared" si="2"/>
        <v>213744.8911</v>
      </c>
      <c r="I11" s="75">
        <f t="shared" si="2"/>
        <v>214899.1135</v>
      </c>
      <c r="J11" s="75">
        <f t="shared" si="2"/>
        <v>216059.5688</v>
      </c>
      <c r="K11" s="75">
        <f t="shared" si="2"/>
        <v>217226.2904</v>
      </c>
      <c r="L11" s="75">
        <f t="shared" si="2"/>
        <v>218399.3124</v>
      </c>
      <c r="M11" s="75">
        <f t="shared" si="2"/>
        <v>219578.6687</v>
      </c>
      <c r="N11" s="72">
        <f>SUM(B11:M11)</f>
        <v>2558483.362</v>
      </c>
      <c r="O11" s="32"/>
      <c r="P11" s="32"/>
      <c r="Q11" s="32"/>
      <c r="R11" s="32"/>
      <c r="S11" s="32"/>
      <c r="T11" s="32"/>
      <c r="U11" s="32"/>
      <c r="V11" s="32"/>
      <c r="W11" s="32"/>
      <c r="X11" s="32"/>
      <c r="Y11" s="32"/>
      <c r="Z11" s="32"/>
    </row>
    <row r="12">
      <c r="A12" s="65" t="s">
        <v>148</v>
      </c>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65" t="s">
        <v>148</v>
      </c>
      <c r="B13" s="66">
        <v>70170.63</v>
      </c>
      <c r="C13" s="66">
        <v>37584.0</v>
      </c>
      <c r="D13" s="66">
        <v>58417.35</v>
      </c>
      <c r="E13" s="66">
        <v>19812.9</v>
      </c>
      <c r="F13" s="66">
        <v>31395.52</v>
      </c>
      <c r="G13" s="66">
        <v>43168.89</v>
      </c>
      <c r="H13" s="66">
        <v>40240.22</v>
      </c>
      <c r="I13" s="66">
        <v>47786.98</v>
      </c>
      <c r="J13" s="66">
        <v>32417.03</v>
      </c>
      <c r="K13" s="66">
        <v>13176.08</v>
      </c>
      <c r="L13" s="66">
        <v>19113.43</v>
      </c>
      <c r="M13" s="66">
        <v>12840.96</v>
      </c>
      <c r="N13" s="20">
        <f t="shared" ref="N13:N16" si="3">SUM(B13:M13)</f>
        <v>426123.99</v>
      </c>
      <c r="O13" s="32"/>
      <c r="P13" s="32"/>
      <c r="Q13" s="32"/>
      <c r="R13" s="32"/>
      <c r="S13" s="32"/>
      <c r="T13" s="32"/>
      <c r="U13" s="32"/>
      <c r="V13" s="32"/>
      <c r="W13" s="32"/>
      <c r="X13" s="32"/>
      <c r="Y13" s="32"/>
      <c r="Z13" s="32"/>
    </row>
    <row r="14">
      <c r="A14" s="65" t="s">
        <v>149</v>
      </c>
      <c r="B14" s="66">
        <v>27532.6</v>
      </c>
      <c r="C14" s="66">
        <v>53190.59</v>
      </c>
      <c r="D14" s="66">
        <v>39243.89</v>
      </c>
      <c r="E14" s="66">
        <v>65838.81</v>
      </c>
      <c r="F14" s="66">
        <v>66440.11</v>
      </c>
      <c r="G14" s="66">
        <v>53936.96</v>
      </c>
      <c r="H14" s="66">
        <v>56384.19</v>
      </c>
      <c r="I14" s="66">
        <v>54986.72</v>
      </c>
      <c r="J14" s="66">
        <v>75492.19</v>
      </c>
      <c r="K14" s="66">
        <v>126147.65</v>
      </c>
      <c r="L14" s="66">
        <v>116923.13</v>
      </c>
      <c r="M14" s="66">
        <v>128409.61</v>
      </c>
      <c r="N14" s="20">
        <f t="shared" si="3"/>
        <v>864526.45</v>
      </c>
      <c r="O14" s="32"/>
      <c r="P14" s="32"/>
      <c r="Q14" s="32"/>
      <c r="R14" s="32"/>
      <c r="S14" s="32"/>
      <c r="T14" s="32"/>
      <c r="U14" s="32"/>
      <c r="V14" s="32"/>
      <c r="W14" s="32"/>
      <c r="X14" s="32"/>
      <c r="Y14" s="32"/>
      <c r="Z14" s="32"/>
    </row>
    <row r="15">
      <c r="A15" s="65" t="s">
        <v>150</v>
      </c>
      <c r="B15" s="66">
        <v>43021.81</v>
      </c>
      <c r="C15" s="66">
        <v>50710.36</v>
      </c>
      <c r="D15" s="66">
        <v>44587.73</v>
      </c>
      <c r="E15" s="66">
        <v>57365.4</v>
      </c>
      <c r="F15" s="66">
        <v>45953.78</v>
      </c>
      <c r="G15" s="66">
        <v>47460.02</v>
      </c>
      <c r="H15" s="66">
        <v>48722.12</v>
      </c>
      <c r="I15" s="66">
        <v>43357.7</v>
      </c>
      <c r="J15" s="66">
        <v>39011.28</v>
      </c>
      <c r="K15" s="66">
        <v>8390.15</v>
      </c>
      <c r="L15" s="66">
        <v>12460.12</v>
      </c>
      <c r="M15" s="66">
        <v>8062.93</v>
      </c>
      <c r="N15" s="20">
        <f t="shared" si="3"/>
        <v>449103.4</v>
      </c>
      <c r="O15" s="32"/>
      <c r="P15" s="32"/>
      <c r="Q15" s="32"/>
      <c r="R15" s="32"/>
      <c r="S15" s="32"/>
      <c r="T15" s="32"/>
      <c r="U15" s="32"/>
      <c r="V15" s="32"/>
      <c r="W15" s="32"/>
      <c r="X15" s="32"/>
      <c r="Y15" s="32"/>
      <c r="Z15" s="32"/>
    </row>
    <row r="16">
      <c r="A16" s="70" t="s">
        <v>151</v>
      </c>
      <c r="B16" s="81">
        <f t="shared" ref="B16:M16" si="4">B11*68%</f>
        <v>140725.0367</v>
      </c>
      <c r="C16" s="81">
        <f t="shared" si="4"/>
        <v>141484.9519</v>
      </c>
      <c r="D16" s="81">
        <f t="shared" si="4"/>
        <v>142248.9706</v>
      </c>
      <c r="E16" s="81">
        <f t="shared" si="4"/>
        <v>143017.115</v>
      </c>
      <c r="F16" s="81">
        <f t="shared" si="4"/>
        <v>143789.4075</v>
      </c>
      <c r="G16" s="81">
        <f t="shared" si="4"/>
        <v>144565.8703</v>
      </c>
      <c r="H16" s="81">
        <f t="shared" si="4"/>
        <v>145346.526</v>
      </c>
      <c r="I16" s="81">
        <f t="shared" si="4"/>
        <v>146131.3972</v>
      </c>
      <c r="J16" s="81">
        <f t="shared" si="4"/>
        <v>146920.5068</v>
      </c>
      <c r="K16" s="81">
        <f t="shared" si="4"/>
        <v>147713.8775</v>
      </c>
      <c r="L16" s="81">
        <f t="shared" si="4"/>
        <v>148511.5324</v>
      </c>
      <c r="M16" s="81">
        <f t="shared" si="4"/>
        <v>149313.4947</v>
      </c>
      <c r="N16" s="82">
        <f t="shared" si="3"/>
        <v>1739768.686</v>
      </c>
      <c r="O16" s="32"/>
      <c r="P16" s="32"/>
      <c r="Q16" s="32"/>
      <c r="R16" s="32"/>
      <c r="S16" s="32"/>
      <c r="T16" s="32"/>
      <c r="U16" s="32"/>
      <c r="V16" s="32"/>
      <c r="W16" s="32"/>
      <c r="X16" s="32"/>
      <c r="Y16" s="32"/>
      <c r="Z16" s="32"/>
    </row>
    <row r="17">
      <c r="A17" s="70" t="s">
        <v>152</v>
      </c>
      <c r="B17" s="83">
        <f t="shared" ref="B17:N17" si="5">B11-B16</f>
        <v>66223.54667</v>
      </c>
      <c r="C17" s="83">
        <f t="shared" si="5"/>
        <v>66581.15382</v>
      </c>
      <c r="D17" s="83">
        <f t="shared" si="5"/>
        <v>66940.69205</v>
      </c>
      <c r="E17" s="83">
        <f t="shared" si="5"/>
        <v>67302.17179</v>
      </c>
      <c r="F17" s="83">
        <f t="shared" si="5"/>
        <v>67665.60351</v>
      </c>
      <c r="G17" s="83">
        <f t="shared" si="5"/>
        <v>68030.99777</v>
      </c>
      <c r="H17" s="83">
        <f t="shared" si="5"/>
        <v>68398.36516</v>
      </c>
      <c r="I17" s="83">
        <f t="shared" si="5"/>
        <v>68767.71633</v>
      </c>
      <c r="J17" s="83">
        <f t="shared" si="5"/>
        <v>69139.062</v>
      </c>
      <c r="K17" s="83">
        <f t="shared" si="5"/>
        <v>69512.41294</v>
      </c>
      <c r="L17" s="83">
        <f t="shared" si="5"/>
        <v>69887.77997</v>
      </c>
      <c r="M17" s="83">
        <f t="shared" si="5"/>
        <v>70265.17398</v>
      </c>
      <c r="N17" s="84">
        <f t="shared" si="5"/>
        <v>818714.676</v>
      </c>
      <c r="O17" s="32"/>
      <c r="P17" s="32"/>
      <c r="Q17" s="32"/>
      <c r="R17" s="32"/>
      <c r="S17" s="32"/>
      <c r="T17" s="32"/>
      <c r="U17" s="32"/>
      <c r="V17" s="32"/>
      <c r="W17" s="32"/>
      <c r="X17" s="32"/>
      <c r="Y17" s="32"/>
      <c r="Z17" s="32"/>
    </row>
    <row r="18">
      <c r="A18" s="65" t="s">
        <v>153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ht="15.75" customHeight="1">
      <c r="A19" s="65" t="s">
        <v>154</v>
      </c>
      <c r="B19" s="66">
        <v>4944.48</v>
      </c>
      <c r="C19" s="66">
        <v>4440.17</v>
      </c>
      <c r="D19" s="66">
        <v>4754.76</v>
      </c>
      <c r="E19" s="66">
        <v>4545.76</v>
      </c>
      <c r="F19" s="66">
        <v>4272.29</v>
      </c>
      <c r="G19" s="66">
        <v>3155.95</v>
      </c>
      <c r="H19" s="66">
        <v>4440.17</v>
      </c>
      <c r="I19" s="66">
        <v>4030.35</v>
      </c>
      <c r="J19" s="66">
        <v>3155.95</v>
      </c>
      <c r="K19" s="66">
        <v>4510.38</v>
      </c>
      <c r="L19" s="66">
        <v>4754.76</v>
      </c>
      <c r="M19" s="66">
        <v>4272.29</v>
      </c>
      <c r="N19" s="20">
        <f t="shared" ref="N19:N52" si="6">SUM(B19:M19)</f>
        <v>51277.31</v>
      </c>
      <c r="O19" s="32"/>
      <c r="P19" s="32"/>
      <c r="Q19" s="32"/>
      <c r="R19" s="32"/>
      <c r="S19" s="32"/>
      <c r="T19" s="32"/>
      <c r="U19" s="32"/>
      <c r="V19" s="32"/>
      <c r="W19" s="32"/>
      <c r="X19" s="32"/>
      <c r="Y19" s="32"/>
      <c r="Z19" s="32"/>
    </row>
    <row r="20" ht="15.75" customHeight="1">
      <c r="A20" s="65" t="s">
        <v>155</v>
      </c>
      <c r="B20" s="67">
        <v>424.05</v>
      </c>
      <c r="C20" s="67">
        <v>840.26</v>
      </c>
      <c r="D20" s="67">
        <v>610.37</v>
      </c>
      <c r="E20" s="66">
        <v>1127.68</v>
      </c>
      <c r="F20" s="67">
        <v>423.75</v>
      </c>
      <c r="G20" s="67">
        <v>72.54</v>
      </c>
      <c r="H20" s="67">
        <v>849.18</v>
      </c>
      <c r="I20" s="66">
        <v>1126.87</v>
      </c>
      <c r="J20" s="67">
        <v>72.54</v>
      </c>
      <c r="K20" s="67">
        <v>854.65</v>
      </c>
      <c r="L20" s="67">
        <v>424.05</v>
      </c>
      <c r="M20" s="67">
        <v>423.75</v>
      </c>
      <c r="N20" s="32">
        <f t="shared" si="6"/>
        <v>7249.69</v>
      </c>
      <c r="O20" s="32"/>
      <c r="P20" s="32"/>
      <c r="Q20" s="32"/>
      <c r="R20" s="32"/>
      <c r="S20" s="32"/>
      <c r="T20" s="32"/>
      <c r="U20" s="32"/>
      <c r="V20" s="32"/>
      <c r="W20" s="32"/>
      <c r="X20" s="32"/>
      <c r="Y20" s="32"/>
      <c r="Z20" s="32"/>
    </row>
    <row r="21" ht="15.75" customHeight="1">
      <c r="A21" s="65" t="s">
        <v>156</v>
      </c>
      <c r="B21" s="67">
        <v>60.81</v>
      </c>
      <c r="C21" s="67">
        <v>646.36</v>
      </c>
      <c r="D21" s="67">
        <v>210.63</v>
      </c>
      <c r="E21" s="67">
        <v>125.0</v>
      </c>
      <c r="F21" s="67">
        <v>64.6</v>
      </c>
      <c r="G21" s="67">
        <v>195.82</v>
      </c>
      <c r="H21" s="67">
        <v>653.22</v>
      </c>
      <c r="I21" s="67">
        <v>78.48</v>
      </c>
      <c r="J21" s="67">
        <v>195.82</v>
      </c>
      <c r="K21" s="67">
        <v>657.42</v>
      </c>
      <c r="L21" s="67">
        <v>60.81</v>
      </c>
      <c r="M21" s="67">
        <v>64.6</v>
      </c>
      <c r="N21" s="32">
        <f t="shared" si="6"/>
        <v>3013.57</v>
      </c>
      <c r="O21" s="32"/>
      <c r="P21" s="32"/>
      <c r="Q21" s="32"/>
      <c r="R21" s="32"/>
      <c r="S21" s="32"/>
      <c r="T21" s="32"/>
      <c r="U21" s="32"/>
      <c r="V21" s="32"/>
      <c r="W21" s="32"/>
      <c r="X21" s="32"/>
      <c r="Y21" s="32"/>
      <c r="Z21" s="32"/>
    </row>
    <row r="22" ht="15.75" customHeight="1">
      <c r="A22" s="65" t="s">
        <v>157</v>
      </c>
      <c r="B22" s="67">
        <v>32.95</v>
      </c>
      <c r="C22" s="67">
        <v>64.64</v>
      </c>
      <c r="D22" s="67">
        <v>24.11</v>
      </c>
      <c r="E22" s="67">
        <v>5.55</v>
      </c>
      <c r="F22" s="67">
        <v>32.95</v>
      </c>
      <c r="G22" s="67">
        <v>32.95</v>
      </c>
      <c r="H22" s="67">
        <v>65.32</v>
      </c>
      <c r="I22" s="67">
        <v>15.4</v>
      </c>
      <c r="J22" s="67">
        <v>32.95</v>
      </c>
      <c r="K22" s="67">
        <v>65.74</v>
      </c>
      <c r="L22" s="67">
        <v>32.95</v>
      </c>
      <c r="M22" s="67">
        <v>32.95</v>
      </c>
      <c r="N22" s="32">
        <f t="shared" si="6"/>
        <v>438.46</v>
      </c>
      <c r="O22" s="32"/>
      <c r="P22" s="32"/>
      <c r="Q22" s="32"/>
      <c r="R22" s="32"/>
      <c r="S22" s="32"/>
      <c r="T22" s="32"/>
      <c r="U22" s="32"/>
      <c r="V22" s="32"/>
      <c r="W22" s="32"/>
      <c r="X22" s="32"/>
      <c r="Y22" s="32"/>
      <c r="Z22" s="32"/>
    </row>
    <row r="23" ht="15.75" customHeight="1">
      <c r="A23" s="70" t="s">
        <v>158</v>
      </c>
      <c r="B23" s="76">
        <f t="shared" ref="B23:M23" si="7">B20+B21+B22</f>
        <v>517.81</v>
      </c>
      <c r="C23" s="76">
        <f t="shared" si="7"/>
        <v>1551.26</v>
      </c>
      <c r="D23" s="76">
        <f t="shared" si="7"/>
        <v>845.11</v>
      </c>
      <c r="E23" s="77">
        <f t="shared" si="7"/>
        <v>1258.23</v>
      </c>
      <c r="F23" s="76">
        <f t="shared" si="7"/>
        <v>521.3</v>
      </c>
      <c r="G23" s="76">
        <f t="shared" si="7"/>
        <v>301.31</v>
      </c>
      <c r="H23" s="76">
        <f t="shared" si="7"/>
        <v>1567.72</v>
      </c>
      <c r="I23" s="77">
        <f t="shared" si="7"/>
        <v>1220.75</v>
      </c>
      <c r="J23" s="76">
        <f t="shared" si="7"/>
        <v>301.31</v>
      </c>
      <c r="K23" s="76">
        <f t="shared" si="7"/>
        <v>1577.81</v>
      </c>
      <c r="L23" s="76">
        <f t="shared" si="7"/>
        <v>517.81</v>
      </c>
      <c r="M23" s="76">
        <f t="shared" si="7"/>
        <v>521.3</v>
      </c>
      <c r="N23" s="85">
        <f t="shared" si="6"/>
        <v>10701.72</v>
      </c>
      <c r="O23" s="32"/>
      <c r="P23" s="32"/>
      <c r="Q23" s="32"/>
      <c r="R23" s="32"/>
      <c r="S23" s="32"/>
      <c r="T23" s="32"/>
      <c r="U23" s="32"/>
      <c r="V23" s="32"/>
      <c r="W23" s="32"/>
      <c r="X23" s="32"/>
      <c r="Y23" s="32"/>
      <c r="Z23" s="32"/>
    </row>
    <row r="24" ht="15.75" customHeight="1">
      <c r="A24" s="65" t="s">
        <v>159</v>
      </c>
      <c r="B24" s="67">
        <v>478.1</v>
      </c>
      <c r="C24" s="67">
        <v>227.68</v>
      </c>
      <c r="D24" s="67">
        <v>168.12</v>
      </c>
      <c r="E24" s="67">
        <v>230.19</v>
      </c>
      <c r="F24" s="67">
        <v>61.61</v>
      </c>
      <c r="G24" s="67">
        <v>224.65</v>
      </c>
      <c r="H24" s="67">
        <v>261.29</v>
      </c>
      <c r="I24" s="67">
        <v>180.11</v>
      </c>
      <c r="J24" s="67">
        <v>224.65</v>
      </c>
      <c r="K24" s="67">
        <v>262.97</v>
      </c>
      <c r="L24" s="67">
        <v>475.1</v>
      </c>
      <c r="M24" s="67">
        <v>61.61</v>
      </c>
      <c r="N24" s="32">
        <f t="shared" si="6"/>
        <v>2856.08</v>
      </c>
      <c r="O24" s="32"/>
      <c r="P24" s="32"/>
      <c r="Q24" s="32"/>
      <c r="R24" s="32"/>
      <c r="S24" s="32"/>
      <c r="T24" s="32"/>
      <c r="U24" s="32"/>
      <c r="V24" s="32"/>
      <c r="W24" s="32"/>
      <c r="X24" s="32"/>
      <c r="Y24" s="32"/>
      <c r="Z24" s="32"/>
    </row>
    <row r="25" ht="15.75" customHeight="1">
      <c r="A25" s="65" t="s">
        <v>218</v>
      </c>
      <c r="B25" s="67">
        <v>89.94</v>
      </c>
      <c r="C25" s="67">
        <v>90.66</v>
      </c>
      <c r="D25" s="67">
        <v>90.33</v>
      </c>
      <c r="E25" s="67">
        <v>90.27</v>
      </c>
      <c r="F25" s="67">
        <v>90.6</v>
      </c>
      <c r="G25" s="67">
        <v>90.46</v>
      </c>
      <c r="H25" s="67">
        <v>90.27</v>
      </c>
      <c r="I25" s="67">
        <v>90.2</v>
      </c>
      <c r="J25" s="67">
        <v>90.46</v>
      </c>
      <c r="K25" s="67">
        <v>854.65</v>
      </c>
      <c r="L25" s="67">
        <v>89.94</v>
      </c>
      <c r="M25" s="67">
        <v>90.6</v>
      </c>
      <c r="N25" s="32">
        <f t="shared" si="6"/>
        <v>1848.38</v>
      </c>
      <c r="O25" s="32"/>
      <c r="P25" s="32"/>
      <c r="Q25" s="32"/>
      <c r="R25" s="32"/>
      <c r="S25" s="32"/>
      <c r="T25" s="32"/>
      <c r="U25" s="32"/>
      <c r="V25" s="32"/>
      <c r="W25" s="32"/>
      <c r="X25" s="32"/>
      <c r="Y25" s="32"/>
      <c r="Z25" s="32"/>
    </row>
    <row r="26" ht="15.75" customHeight="1">
      <c r="A26" s="65" t="s">
        <v>160</v>
      </c>
      <c r="B26" s="67">
        <v>479.7</v>
      </c>
      <c r="C26" s="67">
        <v>483.53</v>
      </c>
      <c r="D26" s="67">
        <v>481.78</v>
      </c>
      <c r="E26" s="67">
        <v>481.43</v>
      </c>
      <c r="F26" s="67">
        <v>483.17</v>
      </c>
      <c r="G26" s="67">
        <v>482.47</v>
      </c>
      <c r="H26" s="67">
        <v>481.43</v>
      </c>
      <c r="I26" s="67">
        <v>481.08</v>
      </c>
      <c r="J26" s="67">
        <v>482.47</v>
      </c>
      <c r="K26" s="67">
        <v>854.65</v>
      </c>
      <c r="L26" s="67">
        <v>479.7</v>
      </c>
      <c r="M26" s="67">
        <v>483.17</v>
      </c>
      <c r="N26" s="32">
        <f t="shared" si="6"/>
        <v>6154.58</v>
      </c>
      <c r="O26" s="32"/>
      <c r="P26" s="32"/>
      <c r="Q26" s="32"/>
      <c r="R26" s="32"/>
      <c r="S26" s="32"/>
      <c r="T26" s="32"/>
      <c r="U26" s="32"/>
      <c r="V26" s="32"/>
      <c r="W26" s="32"/>
      <c r="X26" s="32"/>
      <c r="Y26" s="32"/>
      <c r="Z26" s="32"/>
    </row>
    <row r="27" ht="15.75" customHeight="1">
      <c r="A27" s="65" t="s">
        <v>219</v>
      </c>
      <c r="B27" s="66">
        <v>1683.8</v>
      </c>
      <c r="C27" s="66">
        <v>1522.34</v>
      </c>
      <c r="D27" s="66">
        <v>1686.22</v>
      </c>
      <c r="E27" s="66">
        <v>1685.01</v>
      </c>
      <c r="F27" s="66">
        <v>1691.11</v>
      </c>
      <c r="G27" s="66">
        <v>1688.66</v>
      </c>
      <c r="H27" s="67">
        <v>816.52</v>
      </c>
      <c r="I27" s="66">
        <v>1683.79</v>
      </c>
      <c r="J27" s="66">
        <v>1688.66</v>
      </c>
      <c r="K27" s="67">
        <v>854.65</v>
      </c>
      <c r="L27" s="66">
        <v>1683.8</v>
      </c>
      <c r="M27" s="66">
        <v>1691.11</v>
      </c>
      <c r="N27" s="20">
        <f t="shared" si="6"/>
        <v>18375.67</v>
      </c>
      <c r="O27" s="32"/>
      <c r="P27" s="32"/>
      <c r="Q27" s="32"/>
      <c r="R27" s="32"/>
      <c r="S27" s="32"/>
      <c r="T27" s="32"/>
      <c r="U27" s="32"/>
      <c r="V27" s="32"/>
      <c r="W27" s="32"/>
      <c r="X27" s="32"/>
      <c r="Y27" s="32"/>
      <c r="Z27" s="32"/>
    </row>
    <row r="28" ht="15.75" customHeight="1">
      <c r="A28" s="65" t="s">
        <v>161</v>
      </c>
      <c r="B28" s="66">
        <v>1168.27</v>
      </c>
      <c r="C28" s="66">
        <v>1078.83</v>
      </c>
      <c r="D28" s="66">
        <v>2841.96</v>
      </c>
      <c r="E28" s="66">
        <v>1711.78</v>
      </c>
      <c r="F28" s="66">
        <v>1360.96</v>
      </c>
      <c r="G28" s="67">
        <v>786.23</v>
      </c>
      <c r="H28" s="67">
        <v>816.52</v>
      </c>
      <c r="I28" s="66">
        <v>1712.42</v>
      </c>
      <c r="J28" s="67">
        <v>786.23</v>
      </c>
      <c r="K28" s="67">
        <v>854.65</v>
      </c>
      <c r="L28" s="66">
        <v>1168.27</v>
      </c>
      <c r="M28" s="66">
        <v>1360.96</v>
      </c>
      <c r="N28" s="20">
        <f t="shared" si="6"/>
        <v>15647.08</v>
      </c>
      <c r="O28" s="32"/>
      <c r="P28" s="32"/>
      <c r="Q28" s="32"/>
      <c r="R28" s="32"/>
      <c r="S28" s="32"/>
      <c r="T28" s="32"/>
      <c r="U28" s="32"/>
      <c r="V28" s="32"/>
      <c r="W28" s="32"/>
      <c r="X28" s="32"/>
      <c r="Y28" s="32"/>
      <c r="Z28" s="32"/>
    </row>
    <row r="29" ht="15.75" customHeight="1">
      <c r="A29" s="65" t="s">
        <v>162</v>
      </c>
      <c r="B29" s="67">
        <v>284.86</v>
      </c>
      <c r="C29" s="67">
        <v>285.07</v>
      </c>
      <c r="D29" s="67">
        <v>625.06</v>
      </c>
      <c r="E29" s="67">
        <v>306.36</v>
      </c>
      <c r="F29" s="67">
        <v>306.36</v>
      </c>
      <c r="G29" s="67">
        <v>286.51</v>
      </c>
      <c r="H29" s="67">
        <v>286.51</v>
      </c>
      <c r="I29" s="67">
        <v>285.67</v>
      </c>
      <c r="J29" s="67">
        <v>286.51</v>
      </c>
      <c r="K29" s="67">
        <v>854.65</v>
      </c>
      <c r="L29" s="67">
        <v>284.86</v>
      </c>
      <c r="M29" s="67">
        <v>306.36</v>
      </c>
      <c r="N29" s="32">
        <f t="shared" si="6"/>
        <v>4398.78</v>
      </c>
      <c r="O29" s="32"/>
      <c r="P29" s="32"/>
      <c r="Q29" s="32"/>
      <c r="R29" s="32"/>
      <c r="S29" s="32"/>
      <c r="T29" s="32"/>
      <c r="U29" s="32"/>
      <c r="V29" s="32"/>
      <c r="W29" s="32"/>
      <c r="X29" s="32"/>
      <c r="Y29" s="32"/>
      <c r="Z29" s="32"/>
    </row>
    <row r="30" ht="15.75" customHeight="1">
      <c r="A30" s="65" t="s">
        <v>197</v>
      </c>
      <c r="B30" s="67">
        <v>599.63</v>
      </c>
      <c r="C30" s="67">
        <v>604.41</v>
      </c>
      <c r="D30" s="67">
        <v>602.22</v>
      </c>
      <c r="E30" s="67">
        <v>601.79</v>
      </c>
      <c r="F30" s="67">
        <v>603.97</v>
      </c>
      <c r="G30" s="67">
        <v>603.09</v>
      </c>
      <c r="H30" s="67">
        <v>601.79</v>
      </c>
      <c r="I30" s="67">
        <v>501.35</v>
      </c>
      <c r="J30" s="67">
        <v>603.09</v>
      </c>
      <c r="K30" s="67">
        <v>854.65</v>
      </c>
      <c r="L30" s="67">
        <v>599.63</v>
      </c>
      <c r="M30" s="67">
        <v>603.97</v>
      </c>
      <c r="N30" s="32">
        <f t="shared" si="6"/>
        <v>7379.59</v>
      </c>
      <c r="O30" s="32"/>
      <c r="P30" s="32"/>
      <c r="Q30" s="32"/>
      <c r="R30" s="32"/>
      <c r="S30" s="32"/>
      <c r="T30" s="32"/>
      <c r="U30" s="32"/>
      <c r="V30" s="32"/>
      <c r="W30" s="32"/>
      <c r="X30" s="32"/>
      <c r="Y30" s="32"/>
      <c r="Z30" s="32"/>
    </row>
    <row r="31" ht="15.75" customHeight="1">
      <c r="A31" s="65" t="s">
        <v>163</v>
      </c>
      <c r="B31" s="67">
        <v>474.41</v>
      </c>
      <c r="C31" s="66">
        <v>2344.87</v>
      </c>
      <c r="D31" s="67">
        <v>975.43</v>
      </c>
      <c r="E31" s="67">
        <v>474.41</v>
      </c>
      <c r="F31" s="67">
        <v>809.5</v>
      </c>
      <c r="G31" s="66">
        <v>1884.73</v>
      </c>
      <c r="H31" s="66">
        <v>1306.43</v>
      </c>
      <c r="I31" s="66">
        <v>2344.87</v>
      </c>
      <c r="J31" s="66">
        <v>1884.73</v>
      </c>
      <c r="K31" s="66">
        <v>1314.84</v>
      </c>
      <c r="L31" s="67">
        <v>474.41</v>
      </c>
      <c r="M31" s="67">
        <v>809.5</v>
      </c>
      <c r="N31" s="32">
        <f t="shared" si="6"/>
        <v>15098.13</v>
      </c>
      <c r="O31" s="32"/>
      <c r="P31" s="32"/>
      <c r="Q31" s="32"/>
      <c r="R31" s="32"/>
      <c r="S31" s="32"/>
      <c r="T31" s="32"/>
      <c r="U31" s="32"/>
      <c r="V31" s="32"/>
      <c r="W31" s="32"/>
      <c r="X31" s="32"/>
      <c r="Y31" s="32"/>
      <c r="Z31" s="32"/>
    </row>
    <row r="32" ht="15.75" customHeight="1">
      <c r="A32" s="65" t="s">
        <v>164</v>
      </c>
      <c r="B32" s="67">
        <v>809.5</v>
      </c>
      <c r="C32" s="67">
        <v>624.0</v>
      </c>
      <c r="D32" s="67">
        <v>602.22</v>
      </c>
      <c r="E32" s="67">
        <v>601.79</v>
      </c>
      <c r="F32" s="67">
        <v>603.97</v>
      </c>
      <c r="G32" s="67">
        <v>603.09</v>
      </c>
      <c r="H32" s="67">
        <v>624.0</v>
      </c>
      <c r="I32" s="67">
        <v>601.35</v>
      </c>
      <c r="J32" s="67">
        <v>603.09</v>
      </c>
      <c r="K32" s="67">
        <v>854.65</v>
      </c>
      <c r="L32" s="67">
        <v>809.5</v>
      </c>
      <c r="M32" s="67">
        <v>603.97</v>
      </c>
      <c r="N32" s="32">
        <f t="shared" si="6"/>
        <v>7941.13</v>
      </c>
      <c r="O32" s="32"/>
      <c r="P32" s="32"/>
      <c r="Q32" s="32"/>
      <c r="R32" s="32"/>
      <c r="S32" s="32"/>
      <c r="T32" s="32"/>
      <c r="U32" s="32"/>
      <c r="V32" s="32"/>
      <c r="W32" s="32"/>
      <c r="X32" s="32"/>
      <c r="Y32" s="32"/>
      <c r="Z32" s="32"/>
    </row>
    <row r="33" ht="15.75" customHeight="1">
      <c r="A33" s="65" t="s">
        <v>220</v>
      </c>
      <c r="B33" s="75">
        <f t="shared" ref="B33:M33" si="8">B11*18%</f>
        <v>37250.745</v>
      </c>
      <c r="C33" s="75">
        <f t="shared" si="8"/>
        <v>37451.89902</v>
      </c>
      <c r="D33" s="75">
        <f t="shared" si="8"/>
        <v>37654.13928</v>
      </c>
      <c r="E33" s="75">
        <f t="shared" si="8"/>
        <v>37857.47163</v>
      </c>
      <c r="F33" s="75">
        <f t="shared" si="8"/>
        <v>38061.90198</v>
      </c>
      <c r="G33" s="75">
        <f t="shared" si="8"/>
        <v>38267.43625</v>
      </c>
      <c r="H33" s="75">
        <f t="shared" si="8"/>
        <v>38474.0804</v>
      </c>
      <c r="I33" s="75">
        <f t="shared" si="8"/>
        <v>38681.84044</v>
      </c>
      <c r="J33" s="75">
        <f t="shared" si="8"/>
        <v>38890.72238</v>
      </c>
      <c r="K33" s="75">
        <f t="shared" si="8"/>
        <v>39100.73228</v>
      </c>
      <c r="L33" s="75">
        <f t="shared" si="8"/>
        <v>39311.87623</v>
      </c>
      <c r="M33" s="75">
        <f t="shared" si="8"/>
        <v>39524.16036</v>
      </c>
      <c r="N33" s="72">
        <f t="shared" si="6"/>
        <v>460527.0052</v>
      </c>
      <c r="O33" s="32"/>
      <c r="P33" s="32"/>
      <c r="Q33" s="32"/>
      <c r="R33" s="32"/>
      <c r="S33" s="32"/>
      <c r="T33" s="32"/>
      <c r="U33" s="32"/>
      <c r="V33" s="32"/>
      <c r="W33" s="32"/>
      <c r="X33" s="32"/>
      <c r="Y33" s="32"/>
      <c r="Z33" s="32"/>
    </row>
    <row r="34" ht="15.75" customHeight="1">
      <c r="A34" s="65" t="s">
        <v>165</v>
      </c>
      <c r="B34" s="66">
        <v>2922.88</v>
      </c>
      <c r="C34" s="66">
        <v>2924.98</v>
      </c>
      <c r="D34" s="66">
        <v>2120.45</v>
      </c>
      <c r="E34" s="66">
        <v>3338.99</v>
      </c>
      <c r="F34" s="66">
        <v>4216.46</v>
      </c>
      <c r="G34" s="66">
        <v>2525.28</v>
      </c>
      <c r="H34" s="66">
        <v>3081.36</v>
      </c>
      <c r="I34" s="66">
        <v>4216.46</v>
      </c>
      <c r="J34" s="66">
        <v>2525.28</v>
      </c>
      <c r="K34" s="66">
        <v>2209.55</v>
      </c>
      <c r="L34" s="66">
        <v>2922.88</v>
      </c>
      <c r="M34" s="66">
        <v>4216.46</v>
      </c>
      <c r="N34" s="20">
        <f t="shared" si="6"/>
        <v>37221.03</v>
      </c>
      <c r="O34" s="32"/>
      <c r="P34" s="32"/>
      <c r="Q34" s="32"/>
      <c r="R34" s="32"/>
      <c r="S34" s="32"/>
      <c r="T34" s="32"/>
      <c r="U34" s="32"/>
      <c r="V34" s="32"/>
      <c r="W34" s="32"/>
      <c r="X34" s="32"/>
      <c r="Y34" s="32"/>
      <c r="Z34" s="32"/>
    </row>
    <row r="35" ht="15.75" customHeight="1">
      <c r="A35" s="65" t="s">
        <v>198</v>
      </c>
      <c r="B35" s="67">
        <v>312.22</v>
      </c>
      <c r="C35" s="67">
        <v>271.68</v>
      </c>
      <c r="D35" s="67">
        <v>74.06</v>
      </c>
      <c r="E35" s="67">
        <v>88.29</v>
      </c>
      <c r="F35" s="67">
        <v>312.0</v>
      </c>
      <c r="G35" s="67">
        <v>312.0</v>
      </c>
      <c r="H35" s="67">
        <v>816.52</v>
      </c>
      <c r="I35" s="67">
        <v>74.06</v>
      </c>
      <c r="J35" s="67">
        <v>312.0</v>
      </c>
      <c r="K35" s="67">
        <v>854.65</v>
      </c>
      <c r="L35" s="67">
        <v>312.22</v>
      </c>
      <c r="M35" s="67">
        <v>312.0</v>
      </c>
      <c r="N35" s="32">
        <f t="shared" si="6"/>
        <v>4051.7</v>
      </c>
      <c r="O35" s="32"/>
      <c r="P35" s="32"/>
      <c r="Q35" s="32"/>
      <c r="R35" s="32"/>
      <c r="S35" s="32"/>
      <c r="T35" s="32"/>
      <c r="U35" s="32"/>
      <c r="V35" s="32"/>
      <c r="W35" s="32"/>
      <c r="X35" s="32"/>
      <c r="Y35" s="32"/>
      <c r="Z35" s="32"/>
    </row>
    <row r="36" ht="15.75" customHeight="1">
      <c r="A36" s="65" t="s">
        <v>166</v>
      </c>
      <c r="B36" s="67">
        <v>159.41</v>
      </c>
      <c r="C36" s="67">
        <v>336.78</v>
      </c>
      <c r="D36" s="67">
        <v>337.26</v>
      </c>
      <c r="E36" s="67">
        <v>480.92</v>
      </c>
      <c r="F36" s="67">
        <v>337.26</v>
      </c>
      <c r="G36" s="67">
        <v>351.37</v>
      </c>
      <c r="H36" s="66">
        <v>1222.67</v>
      </c>
      <c r="I36" s="67">
        <v>336.78</v>
      </c>
      <c r="J36" s="67">
        <v>351.37</v>
      </c>
      <c r="K36" s="67">
        <v>854.65</v>
      </c>
      <c r="L36" s="67">
        <v>159.41</v>
      </c>
      <c r="M36" s="67">
        <v>337.26</v>
      </c>
      <c r="N36" s="32">
        <f t="shared" si="6"/>
        <v>5265.14</v>
      </c>
      <c r="O36" s="32"/>
      <c r="P36" s="32"/>
      <c r="Q36" s="32"/>
      <c r="R36" s="32"/>
      <c r="S36" s="32"/>
      <c r="T36" s="32"/>
      <c r="U36" s="32"/>
      <c r="V36" s="32"/>
      <c r="W36" s="32"/>
      <c r="X36" s="32"/>
      <c r="Y36" s="32"/>
      <c r="Z36" s="32"/>
    </row>
    <row r="37" ht="15.75" customHeight="1">
      <c r="A37" s="65" t="s">
        <v>167</v>
      </c>
      <c r="B37" s="67">
        <v>243.52</v>
      </c>
      <c r="C37" s="67">
        <v>258.77</v>
      </c>
      <c r="D37" s="67">
        <v>260.1</v>
      </c>
      <c r="E37" s="67">
        <v>185.55</v>
      </c>
      <c r="F37" s="67">
        <v>258.58</v>
      </c>
      <c r="G37" s="67">
        <v>258.2</v>
      </c>
      <c r="H37" s="67">
        <v>313.0</v>
      </c>
      <c r="I37" s="67">
        <v>240.81</v>
      </c>
      <c r="J37" s="67">
        <v>258.2</v>
      </c>
      <c r="K37" s="67">
        <v>854.65</v>
      </c>
      <c r="L37" s="67">
        <v>243.52</v>
      </c>
      <c r="M37" s="67">
        <v>258.58</v>
      </c>
      <c r="N37" s="32">
        <f t="shared" si="6"/>
        <v>3633.48</v>
      </c>
      <c r="O37" s="32"/>
      <c r="P37" s="32"/>
      <c r="Q37" s="32"/>
      <c r="R37" s="32"/>
      <c r="S37" s="32"/>
      <c r="T37" s="32"/>
      <c r="U37" s="32"/>
      <c r="V37" s="32"/>
      <c r="W37" s="32"/>
      <c r="X37" s="32"/>
      <c r="Y37" s="32"/>
      <c r="Z37" s="32"/>
    </row>
    <row r="38" ht="15.75" customHeight="1">
      <c r="A38" s="65" t="s">
        <v>221</v>
      </c>
      <c r="B38" s="67">
        <v>98.6</v>
      </c>
      <c r="C38" s="67">
        <v>99.31</v>
      </c>
      <c r="D38" s="67">
        <v>98.95</v>
      </c>
      <c r="E38" s="67">
        <v>98.88</v>
      </c>
      <c r="F38" s="67">
        <v>99.24</v>
      </c>
      <c r="G38" s="67">
        <v>99.1</v>
      </c>
      <c r="H38" s="67">
        <v>816.52</v>
      </c>
      <c r="I38" s="67">
        <v>98.81</v>
      </c>
      <c r="J38" s="67">
        <v>99.1</v>
      </c>
      <c r="K38" s="67">
        <v>854.65</v>
      </c>
      <c r="L38" s="67">
        <v>98.6</v>
      </c>
      <c r="M38" s="67">
        <v>99.24</v>
      </c>
      <c r="N38" s="32">
        <f t="shared" si="6"/>
        <v>2661</v>
      </c>
      <c r="O38" s="32"/>
      <c r="P38" s="32"/>
      <c r="Q38" s="32"/>
      <c r="R38" s="32"/>
      <c r="S38" s="32"/>
      <c r="T38" s="32"/>
      <c r="U38" s="32"/>
      <c r="V38" s="32"/>
      <c r="W38" s="32"/>
      <c r="X38" s="32"/>
      <c r="Y38" s="32"/>
      <c r="Z38" s="32"/>
    </row>
    <row r="39" ht="15.75" customHeight="1">
      <c r="A39" s="70" t="s">
        <v>222</v>
      </c>
      <c r="B39" s="76">
        <f t="shared" ref="B39:M39" si="9">B37+B38</f>
        <v>342.12</v>
      </c>
      <c r="C39" s="76">
        <f t="shared" si="9"/>
        <v>358.08</v>
      </c>
      <c r="D39" s="76">
        <f t="shared" si="9"/>
        <v>359.05</v>
      </c>
      <c r="E39" s="76">
        <f t="shared" si="9"/>
        <v>284.43</v>
      </c>
      <c r="F39" s="76">
        <f t="shared" si="9"/>
        <v>357.82</v>
      </c>
      <c r="G39" s="76">
        <f t="shared" si="9"/>
        <v>357.3</v>
      </c>
      <c r="H39" s="76">
        <f t="shared" si="9"/>
        <v>1129.52</v>
      </c>
      <c r="I39" s="76">
        <f t="shared" si="9"/>
        <v>339.62</v>
      </c>
      <c r="J39" s="76">
        <f t="shared" si="9"/>
        <v>357.3</v>
      </c>
      <c r="K39" s="76">
        <f t="shared" si="9"/>
        <v>1709.3</v>
      </c>
      <c r="L39" s="76">
        <f t="shared" si="9"/>
        <v>342.12</v>
      </c>
      <c r="M39" s="76">
        <f t="shared" si="9"/>
        <v>357.82</v>
      </c>
      <c r="N39" s="85">
        <f t="shared" si="6"/>
        <v>6294.48</v>
      </c>
      <c r="O39" s="32"/>
      <c r="P39" s="32"/>
      <c r="Q39" s="32"/>
      <c r="R39" s="32"/>
      <c r="S39" s="32"/>
      <c r="T39" s="32"/>
      <c r="U39" s="32"/>
      <c r="V39" s="32"/>
      <c r="W39" s="32"/>
      <c r="X39" s="32"/>
      <c r="Y39" s="32"/>
      <c r="Z39" s="32"/>
    </row>
    <row r="40" ht="15.75" customHeight="1">
      <c r="A40" s="65" t="s">
        <v>168</v>
      </c>
      <c r="B40" s="67">
        <v>385.86</v>
      </c>
      <c r="C40" s="67">
        <v>571.69</v>
      </c>
      <c r="D40" s="67">
        <v>570.9</v>
      </c>
      <c r="E40" s="67">
        <v>569.21</v>
      </c>
      <c r="F40" s="67">
        <v>157.41</v>
      </c>
      <c r="G40" s="67">
        <v>154.1</v>
      </c>
      <c r="H40" s="67">
        <v>816.52</v>
      </c>
      <c r="I40" s="67">
        <v>834.26</v>
      </c>
      <c r="J40" s="67">
        <v>157.19</v>
      </c>
      <c r="K40" s="67">
        <v>854.65</v>
      </c>
      <c r="L40" s="67">
        <v>388.2</v>
      </c>
      <c r="M40" s="67">
        <v>157.41</v>
      </c>
      <c r="N40" s="32">
        <f t="shared" si="6"/>
        <v>5617.4</v>
      </c>
      <c r="O40" s="32"/>
      <c r="P40" s="32"/>
      <c r="Q40" s="32"/>
      <c r="R40" s="32"/>
      <c r="S40" s="32"/>
      <c r="T40" s="32"/>
      <c r="U40" s="32"/>
      <c r="V40" s="32"/>
      <c r="W40" s="32"/>
      <c r="X40" s="32"/>
      <c r="Y40" s="32"/>
      <c r="Z40" s="32"/>
    </row>
    <row r="41" ht="15.75" customHeight="1">
      <c r="A41" s="65" t="s">
        <v>169</v>
      </c>
      <c r="B41" s="66">
        <v>3302.34</v>
      </c>
      <c r="C41" s="66">
        <v>3272.34</v>
      </c>
      <c r="D41" s="66">
        <v>4440.6</v>
      </c>
      <c r="E41" s="66">
        <v>6447.72</v>
      </c>
      <c r="F41" s="66">
        <v>3243.59</v>
      </c>
      <c r="G41" s="66">
        <v>5431.48</v>
      </c>
      <c r="H41" s="66">
        <v>5373.86</v>
      </c>
      <c r="I41" s="66">
        <v>4580.6</v>
      </c>
      <c r="J41" s="66">
        <v>5431.48</v>
      </c>
      <c r="K41" s="66">
        <v>4040.06</v>
      </c>
      <c r="L41" s="66">
        <v>2535.33</v>
      </c>
      <c r="M41" s="66">
        <v>3243.59</v>
      </c>
      <c r="N41" s="20">
        <f t="shared" si="6"/>
        <v>51342.99</v>
      </c>
      <c r="O41" s="32"/>
      <c r="P41" s="32"/>
      <c r="Q41" s="32"/>
      <c r="R41" s="32"/>
      <c r="S41" s="32"/>
      <c r="T41" s="32"/>
      <c r="U41" s="32"/>
      <c r="V41" s="32"/>
      <c r="W41" s="32"/>
      <c r="X41" s="32"/>
      <c r="Y41" s="32"/>
      <c r="Z41" s="32"/>
    </row>
    <row r="42" ht="15.75" customHeight="1">
      <c r="A42" s="65" t="s">
        <v>170</v>
      </c>
      <c r="B42" s="67">
        <v>680.5</v>
      </c>
      <c r="C42" s="66">
        <v>1313.11</v>
      </c>
      <c r="D42" s="66">
        <v>3533.29</v>
      </c>
      <c r="E42" s="66">
        <v>1313.11</v>
      </c>
      <c r="F42" s="66">
        <v>2068.28</v>
      </c>
      <c r="G42" s="67">
        <v>924.98</v>
      </c>
      <c r="H42" s="67">
        <v>816.52</v>
      </c>
      <c r="I42" s="67">
        <v>409.96</v>
      </c>
      <c r="J42" s="67">
        <v>924.98</v>
      </c>
      <c r="K42" s="67">
        <v>854.65</v>
      </c>
      <c r="L42" s="67">
        <v>680.5</v>
      </c>
      <c r="M42" s="66">
        <v>2068.28</v>
      </c>
      <c r="N42" s="32">
        <f t="shared" si="6"/>
        <v>15588.16</v>
      </c>
      <c r="O42" s="32"/>
      <c r="P42" s="32"/>
      <c r="Q42" s="32"/>
      <c r="R42" s="32"/>
      <c r="S42" s="32"/>
      <c r="T42" s="32"/>
      <c r="U42" s="32"/>
      <c r="V42" s="32"/>
      <c r="W42" s="32"/>
      <c r="X42" s="32"/>
      <c r="Y42" s="32"/>
      <c r="Z42" s="32"/>
    </row>
    <row r="43" ht="15.75" customHeight="1">
      <c r="A43" s="65" t="s">
        <v>171</v>
      </c>
      <c r="B43" s="66">
        <v>12912.1</v>
      </c>
      <c r="C43" s="66">
        <v>11269.46</v>
      </c>
      <c r="D43" s="66">
        <v>8431.11</v>
      </c>
      <c r="E43" s="66">
        <v>7823.24</v>
      </c>
      <c r="F43" s="66">
        <v>11475.39</v>
      </c>
      <c r="G43" s="66">
        <v>13841.14</v>
      </c>
      <c r="H43" s="66">
        <v>8431.11</v>
      </c>
      <c r="I43" s="66">
        <v>8418.96</v>
      </c>
      <c r="J43" s="66">
        <v>13871.14</v>
      </c>
      <c r="K43" s="66">
        <v>9864.69</v>
      </c>
      <c r="L43" s="66">
        <v>13871.14</v>
      </c>
      <c r="M43" s="66">
        <v>11475.39</v>
      </c>
      <c r="N43" s="20">
        <f t="shared" si="6"/>
        <v>131684.87</v>
      </c>
      <c r="O43" s="32"/>
      <c r="P43" s="32"/>
      <c r="Q43" s="32"/>
      <c r="R43" s="32"/>
      <c r="S43" s="32"/>
      <c r="T43" s="32"/>
      <c r="U43" s="32"/>
      <c r="V43" s="32"/>
      <c r="W43" s="32"/>
      <c r="X43" s="32"/>
      <c r="Y43" s="32"/>
      <c r="Z43" s="32"/>
    </row>
    <row r="44" ht="15.75" customHeight="1">
      <c r="A44" s="65" t="s">
        <v>223</v>
      </c>
      <c r="B44" s="67">
        <v>339.09</v>
      </c>
      <c r="C44" s="67">
        <v>344.5</v>
      </c>
      <c r="D44" s="67">
        <v>339.82</v>
      </c>
      <c r="E44" s="67">
        <v>339.58</v>
      </c>
      <c r="F44" s="67">
        <v>340.81</v>
      </c>
      <c r="G44" s="67">
        <v>340.31</v>
      </c>
      <c r="H44" s="67">
        <v>816.52</v>
      </c>
      <c r="I44" s="67">
        <v>339.33</v>
      </c>
      <c r="J44" s="67">
        <v>306.31</v>
      </c>
      <c r="K44" s="67">
        <v>340.31</v>
      </c>
      <c r="L44" s="67">
        <v>339.09</v>
      </c>
      <c r="M44" s="67">
        <v>340.81</v>
      </c>
      <c r="N44" s="32">
        <f t="shared" si="6"/>
        <v>4526.48</v>
      </c>
      <c r="O44" s="32"/>
      <c r="P44" s="32"/>
      <c r="Q44" s="32"/>
      <c r="R44" s="32"/>
      <c r="S44" s="32"/>
      <c r="T44" s="32"/>
      <c r="U44" s="32"/>
      <c r="V44" s="32"/>
      <c r="W44" s="32"/>
      <c r="X44" s="32"/>
      <c r="Y44" s="32"/>
      <c r="Z44" s="32"/>
    </row>
    <row r="45" ht="15.75" customHeight="1">
      <c r="A45" s="65" t="s">
        <v>172</v>
      </c>
      <c r="B45" s="67">
        <v>20.22</v>
      </c>
      <c r="C45" s="67">
        <v>20.1</v>
      </c>
      <c r="D45" s="67">
        <v>20.1</v>
      </c>
      <c r="E45" s="67">
        <v>20.1</v>
      </c>
      <c r="F45" s="67">
        <v>20.1</v>
      </c>
      <c r="G45" s="67">
        <v>20.1</v>
      </c>
      <c r="H45" s="67">
        <v>20.1</v>
      </c>
      <c r="I45" s="67">
        <v>20.1</v>
      </c>
      <c r="J45" s="67">
        <v>20.1</v>
      </c>
      <c r="K45" s="67">
        <v>20.1</v>
      </c>
      <c r="L45" s="67">
        <v>20.09</v>
      </c>
      <c r="M45" s="67">
        <v>20.1</v>
      </c>
      <c r="N45" s="32">
        <f t="shared" si="6"/>
        <v>241.31</v>
      </c>
      <c r="O45" s="32"/>
      <c r="P45" s="32"/>
      <c r="Q45" s="32"/>
      <c r="R45" s="32"/>
      <c r="S45" s="32"/>
      <c r="T45" s="32"/>
      <c r="U45" s="32"/>
      <c r="V45" s="32"/>
      <c r="W45" s="32"/>
      <c r="X45" s="32"/>
      <c r="Y45" s="32"/>
      <c r="Z45" s="32"/>
    </row>
    <row r="46" ht="15.75" customHeight="1">
      <c r="A46" s="65" t="s">
        <v>199</v>
      </c>
      <c r="B46" s="67">
        <v>39.62</v>
      </c>
      <c r="C46" s="67">
        <v>39.85</v>
      </c>
      <c r="D46" s="67">
        <v>39.71</v>
      </c>
      <c r="E46" s="67">
        <v>39.68</v>
      </c>
      <c r="F46" s="67">
        <v>39.82</v>
      </c>
      <c r="G46" s="67">
        <v>39.77</v>
      </c>
      <c r="H46" s="67">
        <v>816.52</v>
      </c>
      <c r="I46" s="67">
        <v>29.65</v>
      </c>
      <c r="J46" s="67">
        <v>39.77</v>
      </c>
      <c r="K46" s="67">
        <v>39.77</v>
      </c>
      <c r="L46" s="67">
        <v>39.62</v>
      </c>
      <c r="M46" s="67">
        <v>39.82</v>
      </c>
      <c r="N46" s="32">
        <f t="shared" si="6"/>
        <v>1243.6</v>
      </c>
      <c r="O46" s="32"/>
      <c r="P46" s="32"/>
      <c r="Q46" s="32"/>
      <c r="R46" s="32"/>
      <c r="S46" s="32"/>
      <c r="T46" s="32"/>
      <c r="U46" s="32"/>
      <c r="V46" s="32"/>
      <c r="W46" s="32"/>
      <c r="X46" s="32"/>
      <c r="Y46" s="32"/>
      <c r="Z46" s="32"/>
    </row>
    <row r="47" ht="15.75" customHeight="1">
      <c r="A47" s="65" t="s">
        <v>224</v>
      </c>
      <c r="B47" s="66">
        <v>1642.27</v>
      </c>
      <c r="C47" s="67">
        <v>604.41</v>
      </c>
      <c r="D47" s="66">
        <v>1871.8</v>
      </c>
      <c r="E47" s="66">
        <v>1870.45</v>
      </c>
      <c r="F47" s="66">
        <v>1205.2</v>
      </c>
      <c r="G47" s="67">
        <v>177.16</v>
      </c>
      <c r="H47" s="67">
        <v>816.52</v>
      </c>
      <c r="I47" s="66">
        <v>1869.1</v>
      </c>
      <c r="J47" s="67">
        <v>177.16</v>
      </c>
      <c r="K47" s="67">
        <v>177.16</v>
      </c>
      <c r="L47" s="66">
        <v>1642.27</v>
      </c>
      <c r="M47" s="66">
        <v>1207.94</v>
      </c>
      <c r="N47" s="20">
        <f t="shared" si="6"/>
        <v>13261.44</v>
      </c>
      <c r="O47" s="32"/>
      <c r="P47" s="32"/>
      <c r="Q47" s="32"/>
      <c r="R47" s="32"/>
      <c r="S47" s="32"/>
      <c r="T47" s="32"/>
      <c r="U47" s="32"/>
      <c r="V47" s="32"/>
      <c r="W47" s="32"/>
      <c r="X47" s="32"/>
      <c r="Y47" s="32"/>
      <c r="Z47" s="32"/>
    </row>
    <row r="48" ht="15.75" customHeight="1">
      <c r="A48" s="65" t="s">
        <v>174</v>
      </c>
      <c r="B48" s="66">
        <v>1802.77</v>
      </c>
      <c r="C48" s="66">
        <v>1813.22</v>
      </c>
      <c r="D48" s="66">
        <v>1806.67</v>
      </c>
      <c r="E48" s="66">
        <v>1805.36</v>
      </c>
      <c r="F48" s="66">
        <v>1811.9</v>
      </c>
      <c r="G48" s="66">
        <v>1809.28</v>
      </c>
      <c r="H48" s="66">
        <v>1763.04</v>
      </c>
      <c r="I48" s="66">
        <v>1804.06</v>
      </c>
      <c r="J48" s="66">
        <v>1809.28</v>
      </c>
      <c r="K48" s="66">
        <v>1663.55</v>
      </c>
      <c r="L48" s="66">
        <v>1802.77</v>
      </c>
      <c r="M48" s="66">
        <v>1809.2</v>
      </c>
      <c r="N48" s="20">
        <f t="shared" si="6"/>
        <v>21501.1</v>
      </c>
      <c r="O48" s="32"/>
      <c r="P48" s="32"/>
      <c r="Q48" s="32"/>
      <c r="R48" s="32"/>
      <c r="S48" s="32"/>
      <c r="T48" s="32"/>
      <c r="U48" s="32"/>
      <c r="V48" s="32"/>
      <c r="W48" s="32"/>
      <c r="X48" s="32"/>
      <c r="Y48" s="32"/>
      <c r="Z48" s="32"/>
    </row>
    <row r="49" ht="15.75" customHeight="1">
      <c r="A49" s="65" t="s">
        <v>200</v>
      </c>
      <c r="B49" s="67">
        <v>505.64</v>
      </c>
      <c r="C49" s="67">
        <v>505.64</v>
      </c>
      <c r="D49" s="67">
        <v>505.64</v>
      </c>
      <c r="E49" s="67">
        <v>505.64</v>
      </c>
      <c r="F49" s="67">
        <v>505.64</v>
      </c>
      <c r="G49" s="67">
        <v>505.64</v>
      </c>
      <c r="H49" s="67">
        <v>816.52</v>
      </c>
      <c r="I49" s="67">
        <v>505.64</v>
      </c>
      <c r="J49" s="67">
        <v>505.64</v>
      </c>
      <c r="K49" s="67">
        <v>854.65</v>
      </c>
      <c r="L49" s="67">
        <v>505.64</v>
      </c>
      <c r="M49" s="67">
        <v>505.64</v>
      </c>
      <c r="N49" s="32">
        <f t="shared" si="6"/>
        <v>6727.57</v>
      </c>
      <c r="O49" s="32"/>
      <c r="P49" s="32"/>
      <c r="Q49" s="32"/>
      <c r="R49" s="32"/>
      <c r="S49" s="32"/>
      <c r="T49" s="32"/>
      <c r="U49" s="32"/>
      <c r="V49" s="32"/>
      <c r="W49" s="32"/>
      <c r="X49" s="32"/>
      <c r="Y49" s="32"/>
      <c r="Z49" s="32"/>
    </row>
    <row r="50" ht="15.75" customHeight="1">
      <c r="A50" s="65" t="s">
        <v>175</v>
      </c>
      <c r="B50" s="66">
        <v>2452.22</v>
      </c>
      <c r="C50" s="66">
        <v>2452.22</v>
      </c>
      <c r="D50" s="66">
        <v>1226.02</v>
      </c>
      <c r="E50" s="66">
        <v>2436.22</v>
      </c>
      <c r="F50" s="66">
        <v>2452.22</v>
      </c>
      <c r="G50" s="66">
        <v>2452.22</v>
      </c>
      <c r="H50" s="67">
        <v>816.52</v>
      </c>
      <c r="I50" s="66">
        <v>2439.12</v>
      </c>
      <c r="J50" s="66">
        <v>2452.22</v>
      </c>
      <c r="K50" s="67">
        <v>854.65</v>
      </c>
      <c r="L50" s="66">
        <v>2452.22</v>
      </c>
      <c r="M50" s="66">
        <v>2452.22</v>
      </c>
      <c r="N50" s="20">
        <f t="shared" si="6"/>
        <v>24938.07</v>
      </c>
      <c r="O50" s="32"/>
      <c r="P50" s="32"/>
      <c r="Q50" s="32"/>
      <c r="R50" s="32"/>
      <c r="S50" s="32"/>
      <c r="T50" s="32"/>
      <c r="U50" s="32"/>
      <c r="V50" s="32"/>
      <c r="W50" s="32"/>
      <c r="X50" s="32"/>
      <c r="Y50" s="32"/>
      <c r="Z50" s="32"/>
    </row>
    <row r="51" ht="15.75" customHeight="1">
      <c r="A51" s="65" t="s">
        <v>176</v>
      </c>
      <c r="B51" s="67">
        <v>150.23</v>
      </c>
      <c r="C51" s="67">
        <v>151.1</v>
      </c>
      <c r="D51" s="67">
        <v>150.56</v>
      </c>
      <c r="E51" s="67">
        <v>150.45</v>
      </c>
      <c r="F51" s="67">
        <v>150.99</v>
      </c>
      <c r="G51" s="67">
        <v>150.77</v>
      </c>
      <c r="H51" s="67">
        <v>653.22</v>
      </c>
      <c r="I51" s="67">
        <v>150.34</v>
      </c>
      <c r="J51" s="67">
        <v>150.77</v>
      </c>
      <c r="K51" s="67">
        <v>657.42</v>
      </c>
      <c r="L51" s="67">
        <v>150.23</v>
      </c>
      <c r="M51" s="67">
        <v>150.99</v>
      </c>
      <c r="N51" s="32">
        <f t="shared" si="6"/>
        <v>2817.07</v>
      </c>
      <c r="O51" s="32"/>
      <c r="P51" s="32"/>
      <c r="Q51" s="32"/>
      <c r="R51" s="32"/>
      <c r="S51" s="32"/>
      <c r="T51" s="32"/>
      <c r="U51" s="32"/>
      <c r="V51" s="32"/>
      <c r="W51" s="32"/>
      <c r="X51" s="32"/>
      <c r="Y51" s="32"/>
      <c r="Z51" s="32"/>
    </row>
    <row r="52" ht="15.75" customHeight="1">
      <c r="A52" s="70" t="s">
        <v>177</v>
      </c>
      <c r="B52" s="75">
        <f>Explaination!F83+B33</f>
        <v>76750.745</v>
      </c>
      <c r="C52" s="75">
        <f t="shared" ref="C52:M52" si="10">39500+C33</f>
        <v>76951.89902</v>
      </c>
      <c r="D52" s="75">
        <f t="shared" si="10"/>
        <v>77154.13928</v>
      </c>
      <c r="E52" s="75">
        <f t="shared" si="10"/>
        <v>77357.47163</v>
      </c>
      <c r="F52" s="75">
        <f t="shared" si="10"/>
        <v>77561.90198</v>
      </c>
      <c r="G52" s="75">
        <f t="shared" si="10"/>
        <v>77767.43625</v>
      </c>
      <c r="H52" s="75">
        <f t="shared" si="10"/>
        <v>77974.0804</v>
      </c>
      <c r="I52" s="75">
        <f t="shared" si="10"/>
        <v>78181.84044</v>
      </c>
      <c r="J52" s="75">
        <f t="shared" si="10"/>
        <v>78390.72238</v>
      </c>
      <c r="K52" s="75">
        <f t="shared" si="10"/>
        <v>78600.73228</v>
      </c>
      <c r="L52" s="75">
        <f t="shared" si="10"/>
        <v>78811.87623</v>
      </c>
      <c r="M52" s="75">
        <f t="shared" si="10"/>
        <v>79024.16036</v>
      </c>
      <c r="N52" s="72">
        <f t="shared" si="6"/>
        <v>934527.0052</v>
      </c>
      <c r="O52" s="32"/>
      <c r="P52" s="32"/>
      <c r="Q52" s="32"/>
      <c r="R52" s="32"/>
      <c r="S52" s="32"/>
      <c r="T52" s="32"/>
      <c r="U52" s="32"/>
      <c r="V52" s="32"/>
      <c r="W52" s="32"/>
      <c r="X52" s="32"/>
      <c r="Y52" s="32"/>
      <c r="Z52" s="32"/>
    </row>
    <row r="53" ht="15.75" customHeight="1">
      <c r="A53" s="70" t="s">
        <v>178</v>
      </c>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5.75" customHeight="1">
      <c r="A54" s="70" t="s">
        <v>179</v>
      </c>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5.75" customHeight="1">
      <c r="A55" s="70" t="s">
        <v>180</v>
      </c>
      <c r="B55" s="75">
        <f t="shared" ref="B55:N55" si="11">B17-B52</f>
        <v>-10527.19833</v>
      </c>
      <c r="C55" s="75">
        <f t="shared" si="11"/>
        <v>-10370.7452</v>
      </c>
      <c r="D55" s="75">
        <f t="shared" si="11"/>
        <v>-10213.44723</v>
      </c>
      <c r="E55" s="75">
        <f t="shared" si="11"/>
        <v>-10055.29984</v>
      </c>
      <c r="F55" s="75">
        <f t="shared" si="11"/>
        <v>-9896.298463</v>
      </c>
      <c r="G55" s="75">
        <f t="shared" si="11"/>
        <v>-9736.438474</v>
      </c>
      <c r="H55" s="75">
        <f t="shared" si="11"/>
        <v>-9575.715242</v>
      </c>
      <c r="I55" s="75">
        <f t="shared" si="11"/>
        <v>-9414.124104</v>
      </c>
      <c r="J55" s="75">
        <f t="shared" si="11"/>
        <v>-9251.660375</v>
      </c>
      <c r="K55" s="75">
        <f t="shared" si="11"/>
        <v>-9088.319341</v>
      </c>
      <c r="L55" s="75">
        <f t="shared" si="11"/>
        <v>-8924.096265</v>
      </c>
      <c r="M55" s="75">
        <f t="shared" si="11"/>
        <v>-8758.986385</v>
      </c>
      <c r="N55" s="72">
        <f t="shared" si="11"/>
        <v>-115812.3293</v>
      </c>
      <c r="O55" s="32"/>
      <c r="P55" s="32"/>
      <c r="Q55" s="32"/>
      <c r="R55" s="32"/>
      <c r="S55" s="32"/>
      <c r="T55" s="32"/>
      <c r="U55" s="32"/>
      <c r="V55" s="32"/>
      <c r="W55" s="32"/>
      <c r="X55" s="32"/>
      <c r="Y55" s="32"/>
      <c r="Z55" s="32"/>
    </row>
    <row r="56"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sheetData>
  <mergeCells count="1">
    <mergeCell ref="A2:N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41.14"/>
    <col customWidth="1" hidden="1" min="2" max="4" width="10.43"/>
    <col customWidth="1" hidden="1" min="5" max="31" width="12.71"/>
    <col customWidth="1" min="32" max="34" width="10.14"/>
    <col customWidth="1" min="35" max="39" width="9.71"/>
    <col customWidth="1" min="40" max="40" width="9.29"/>
    <col customWidth="1" min="41" max="43" width="9.14"/>
    <col customWidth="1" min="44" max="45" width="10.14"/>
    <col customWidth="1" min="46" max="69" width="15.71"/>
    <col customWidth="1" min="70" max="70" width="24.43"/>
    <col customWidth="1" min="71" max="94" width="15.71"/>
    <col customWidth="1" min="95" max="95" width="18.14"/>
    <col customWidth="1" min="96" max="96" width="17.86"/>
    <col customWidth="1" min="97" max="97" width="15.0"/>
  </cols>
  <sheetData>
    <row r="1" ht="15.0" customHeight="1">
      <c r="A1" s="91"/>
      <c r="B1" s="91"/>
      <c r="C1" s="91"/>
      <c r="D1" s="91"/>
      <c r="E1" s="91"/>
      <c r="F1" s="91"/>
      <c r="G1" s="91"/>
      <c r="H1" s="91"/>
      <c r="I1" s="91"/>
      <c r="J1" s="91"/>
      <c r="K1" s="91"/>
      <c r="L1" s="91"/>
      <c r="M1" s="91"/>
      <c r="N1" s="91"/>
      <c r="O1" s="91"/>
      <c r="P1" s="91"/>
      <c r="Q1" s="91"/>
      <c r="R1" s="91"/>
      <c r="S1" s="91"/>
      <c r="T1" s="91"/>
      <c r="U1" s="91"/>
    </row>
    <row r="2" ht="30.0" customHeight="1">
      <c r="A2" s="92" t="s">
        <v>233</v>
      </c>
      <c r="B2" s="34"/>
      <c r="C2" s="34"/>
      <c r="D2" s="34"/>
      <c r="E2" s="34"/>
      <c r="F2" s="34"/>
      <c r="G2" s="34"/>
      <c r="H2" s="34"/>
      <c r="I2" s="34"/>
      <c r="J2" s="34"/>
      <c r="K2" s="34"/>
      <c r="L2" s="34"/>
      <c r="M2" s="35"/>
      <c r="N2" s="92" t="s">
        <v>233</v>
      </c>
      <c r="O2" s="34"/>
      <c r="P2" s="34"/>
      <c r="Q2" s="34"/>
      <c r="R2" s="34"/>
      <c r="S2" s="34"/>
      <c r="T2" s="34"/>
      <c r="U2" s="34"/>
      <c r="V2" s="34"/>
      <c r="W2" s="34"/>
      <c r="X2" s="34"/>
      <c r="Y2" s="34"/>
      <c r="Z2" s="35"/>
      <c r="AA2" s="92" t="s">
        <v>233</v>
      </c>
      <c r="AB2" s="34"/>
      <c r="AC2" s="34"/>
      <c r="AD2" s="34"/>
      <c r="AE2" s="34"/>
      <c r="AF2" s="34"/>
      <c r="AG2" s="34"/>
      <c r="AH2" s="34"/>
      <c r="AI2" s="34"/>
      <c r="AJ2" s="34"/>
      <c r="AK2" s="34"/>
      <c r="AL2" s="34"/>
      <c r="AM2" s="35"/>
      <c r="AN2" s="92" t="s">
        <v>233</v>
      </c>
      <c r="AO2" s="34"/>
      <c r="AP2" s="34"/>
      <c r="AQ2" s="34"/>
      <c r="AR2" s="34"/>
      <c r="AS2" s="34"/>
      <c r="AT2" s="34"/>
      <c r="AU2" s="34"/>
      <c r="AV2" s="34"/>
      <c r="AW2" s="34"/>
      <c r="AX2" s="34"/>
      <c r="AY2" s="34"/>
      <c r="AZ2" s="35"/>
    </row>
    <row r="3" ht="30.0" customHeight="1">
      <c r="A3" s="92" t="s">
        <v>234</v>
      </c>
      <c r="B3" s="34"/>
      <c r="C3" s="34"/>
      <c r="D3" s="34"/>
      <c r="E3" s="34"/>
      <c r="F3" s="34"/>
      <c r="G3" s="34"/>
      <c r="H3" s="34"/>
      <c r="I3" s="34"/>
      <c r="J3" s="34"/>
      <c r="K3" s="34"/>
      <c r="L3" s="34"/>
      <c r="M3" s="35"/>
      <c r="N3" s="92" t="s">
        <v>234</v>
      </c>
      <c r="O3" s="34"/>
      <c r="P3" s="34"/>
      <c r="Q3" s="34"/>
      <c r="R3" s="34"/>
      <c r="S3" s="34"/>
      <c r="T3" s="34"/>
      <c r="U3" s="34"/>
      <c r="V3" s="34"/>
      <c r="W3" s="34"/>
      <c r="X3" s="34"/>
      <c r="Y3" s="34"/>
      <c r="Z3" s="35"/>
      <c r="AA3" s="92" t="s">
        <v>234</v>
      </c>
      <c r="AB3" s="34"/>
      <c r="AC3" s="34"/>
      <c r="AD3" s="34"/>
      <c r="AE3" s="34"/>
      <c r="AF3" s="34"/>
      <c r="AG3" s="34"/>
      <c r="AH3" s="34"/>
      <c r="AI3" s="34"/>
      <c r="AJ3" s="34"/>
      <c r="AK3" s="34"/>
      <c r="AL3" s="34"/>
      <c r="AM3" s="35"/>
      <c r="AN3" s="92" t="s">
        <v>234</v>
      </c>
      <c r="AO3" s="34"/>
      <c r="AP3" s="34"/>
      <c r="AQ3" s="34"/>
      <c r="AR3" s="34"/>
      <c r="AS3" s="34"/>
      <c r="AT3" s="34"/>
      <c r="AU3" s="34"/>
      <c r="AV3" s="34"/>
      <c r="AW3" s="34"/>
      <c r="AX3" s="34"/>
      <c r="AY3" s="34"/>
      <c r="AZ3" s="35"/>
    </row>
    <row r="4" ht="15.0" customHeight="1">
      <c r="A4" s="91"/>
      <c r="B4" s="91"/>
      <c r="C4" s="91"/>
      <c r="D4" s="91"/>
      <c r="E4" s="91"/>
      <c r="F4" s="91"/>
      <c r="G4" s="91"/>
      <c r="H4" s="91"/>
      <c r="I4" s="91"/>
      <c r="J4" s="91"/>
      <c r="K4" s="91"/>
      <c r="L4" s="91"/>
      <c r="M4" s="91"/>
      <c r="N4" s="91"/>
      <c r="O4" s="91"/>
      <c r="P4" s="91"/>
      <c r="Q4" s="91"/>
      <c r="R4" s="91"/>
      <c r="S4" s="91"/>
      <c r="T4" s="91"/>
      <c r="U4" s="91"/>
    </row>
    <row r="5" ht="15.0" customHeight="1">
      <c r="A5" s="91"/>
      <c r="B5" s="91"/>
      <c r="C5" s="91"/>
      <c r="D5" s="91"/>
      <c r="E5" s="91"/>
      <c r="F5" s="91"/>
      <c r="G5" s="91"/>
      <c r="H5" s="91"/>
      <c r="I5" s="91"/>
      <c r="J5" s="91"/>
      <c r="K5" s="91"/>
      <c r="L5" s="91"/>
      <c r="M5" s="91"/>
      <c r="N5" s="91"/>
      <c r="O5" s="91"/>
      <c r="P5" s="91"/>
      <c r="Q5" s="91"/>
      <c r="R5" s="91"/>
      <c r="S5" s="91"/>
      <c r="T5" s="91"/>
      <c r="U5" s="91"/>
      <c r="V5" s="91"/>
      <c r="W5" s="91"/>
      <c r="X5" s="91"/>
      <c r="Y5" s="91"/>
    </row>
    <row r="6" ht="15.0" customHeight="1">
      <c r="A6" s="91"/>
      <c r="B6" s="91"/>
      <c r="C6" s="91"/>
      <c r="D6" s="91"/>
      <c r="E6" s="91"/>
      <c r="F6" s="91"/>
      <c r="G6" s="91"/>
      <c r="H6" s="91"/>
      <c r="I6" s="91"/>
      <c r="J6" s="93"/>
      <c r="K6" s="94"/>
      <c r="L6" s="94"/>
      <c r="M6" s="94"/>
      <c r="N6" s="94"/>
      <c r="O6" s="94"/>
      <c r="P6" s="94"/>
      <c r="Q6" s="94"/>
      <c r="R6" s="94"/>
      <c r="S6" s="94"/>
      <c r="T6" s="94"/>
      <c r="U6" s="94"/>
      <c r="V6" s="93"/>
      <c r="W6" s="93"/>
      <c r="X6" s="93"/>
      <c r="Y6" s="93"/>
      <c r="Z6" s="91"/>
      <c r="AA6" s="91"/>
      <c r="AB6" s="91"/>
      <c r="AC6" s="91"/>
      <c r="AD6" s="91"/>
      <c r="AE6" s="91"/>
      <c r="AF6" s="91"/>
      <c r="AG6" s="91"/>
      <c r="AH6" s="91"/>
      <c r="AI6" s="91"/>
      <c r="AJ6" s="91"/>
      <c r="AK6" s="91"/>
      <c r="AL6" s="91"/>
      <c r="AM6" s="91"/>
      <c r="AN6" s="91"/>
      <c r="AO6" s="91"/>
    </row>
    <row r="7" ht="15.0" customHeight="1">
      <c r="A7" s="91"/>
      <c r="B7" s="91"/>
      <c r="C7" s="91"/>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row>
    <row r="8" ht="13.5" customHeight="1">
      <c r="B8" s="95">
        <v>43951.0</v>
      </c>
      <c r="C8" s="95">
        <v>43982.0</v>
      </c>
      <c r="D8" s="95">
        <v>44012.0</v>
      </c>
      <c r="E8" s="95">
        <v>44043.0</v>
      </c>
      <c r="F8" s="95">
        <v>44074.0</v>
      </c>
      <c r="G8" s="95">
        <v>44104.0</v>
      </c>
      <c r="H8" s="95">
        <v>44135.0</v>
      </c>
      <c r="I8" s="95">
        <v>44165.0</v>
      </c>
      <c r="J8" s="95">
        <v>44196.0</v>
      </c>
      <c r="K8" s="95">
        <v>44227.0</v>
      </c>
      <c r="L8" s="95">
        <v>44255.0</v>
      </c>
      <c r="M8" s="95">
        <v>44286.0</v>
      </c>
      <c r="N8" s="95">
        <v>44316.0</v>
      </c>
      <c r="O8" s="95">
        <v>44347.0</v>
      </c>
      <c r="P8" s="95">
        <v>44377.0</v>
      </c>
      <c r="Q8" s="95">
        <v>44408.0</v>
      </c>
      <c r="R8" s="95">
        <v>44439.0</v>
      </c>
      <c r="S8" s="95">
        <v>44469.0</v>
      </c>
      <c r="T8" s="95">
        <v>44500.0</v>
      </c>
      <c r="U8" s="95">
        <v>44530.0</v>
      </c>
      <c r="V8" s="95">
        <v>44561.0</v>
      </c>
      <c r="W8" s="95">
        <v>44592.0</v>
      </c>
      <c r="X8" s="95">
        <v>44620.0</v>
      </c>
      <c r="Y8" s="95">
        <v>44651.0</v>
      </c>
      <c r="Z8" s="95">
        <v>44681.0</v>
      </c>
      <c r="AA8" s="95">
        <v>44712.0</v>
      </c>
      <c r="AB8" s="95">
        <v>44742.0</v>
      </c>
      <c r="AC8" s="95">
        <v>44773.0</v>
      </c>
      <c r="AD8" s="95">
        <v>44804.0</v>
      </c>
      <c r="AE8" s="95">
        <v>44834.0</v>
      </c>
      <c r="AF8" s="95">
        <v>44865.0</v>
      </c>
      <c r="AG8" s="95">
        <v>44895.0</v>
      </c>
      <c r="AH8" s="95">
        <v>44926.0</v>
      </c>
      <c r="AI8" s="95">
        <v>44957.0</v>
      </c>
      <c r="AJ8" s="95">
        <v>44985.0</v>
      </c>
      <c r="AK8" s="95">
        <v>45016.0</v>
      </c>
      <c r="AL8" s="95">
        <v>45046.0</v>
      </c>
      <c r="AM8" s="95">
        <v>45077.0</v>
      </c>
      <c r="AN8" s="95">
        <v>45107.0</v>
      </c>
      <c r="AO8" s="95">
        <v>45138.0</v>
      </c>
      <c r="AP8" s="95">
        <v>45169.0</v>
      </c>
      <c r="AQ8" s="95">
        <v>45199.0</v>
      </c>
      <c r="AR8" s="95">
        <v>45230.0</v>
      </c>
      <c r="AS8" s="95">
        <v>45260.0</v>
      </c>
      <c r="AT8" s="95">
        <v>45291.0</v>
      </c>
      <c r="AU8" s="95">
        <v>45322.0</v>
      </c>
      <c r="AV8" s="95">
        <v>45351.0</v>
      </c>
      <c r="AW8" s="95">
        <v>45382.0</v>
      </c>
      <c r="AX8" s="95">
        <v>45412.0</v>
      </c>
      <c r="AY8" s="95">
        <v>45443.0</v>
      </c>
      <c r="AZ8" s="95">
        <v>45473.0</v>
      </c>
      <c r="BA8" s="95">
        <v>45504.0</v>
      </c>
      <c r="BB8" s="95">
        <v>45535.0</v>
      </c>
      <c r="BC8" s="95">
        <v>45565.0</v>
      </c>
      <c r="BD8" s="95">
        <v>45596.0</v>
      </c>
      <c r="BE8" s="95">
        <v>45626.0</v>
      </c>
      <c r="BF8" s="95">
        <v>45657.0</v>
      </c>
      <c r="BG8" s="95">
        <v>45688.0</v>
      </c>
      <c r="BH8" s="95">
        <v>45716.0</v>
      </c>
      <c r="BI8" s="95">
        <v>45747.0</v>
      </c>
      <c r="BJ8" s="95">
        <v>45777.0</v>
      </c>
      <c r="BK8" s="95">
        <v>45808.0</v>
      </c>
      <c r="BL8" s="95">
        <v>45838.0</v>
      </c>
      <c r="BM8" s="95">
        <v>45869.0</v>
      </c>
      <c r="BN8" s="95">
        <v>45900.0</v>
      </c>
      <c r="BO8" s="95">
        <v>45930.0</v>
      </c>
      <c r="BP8" s="95">
        <v>45961.0</v>
      </c>
      <c r="BQ8" s="95">
        <v>45991.0</v>
      </c>
      <c r="BR8" s="95">
        <v>46022.0</v>
      </c>
      <c r="BS8" s="95">
        <v>46053.0</v>
      </c>
      <c r="BT8" s="95">
        <v>46081.0</v>
      </c>
      <c r="BU8" s="95">
        <v>46112.0</v>
      </c>
      <c r="BV8" s="95">
        <v>46142.0</v>
      </c>
      <c r="BW8" s="95">
        <v>46173.0</v>
      </c>
      <c r="BX8" s="95">
        <v>46203.0</v>
      </c>
      <c r="BY8" s="95">
        <v>46234.0</v>
      </c>
      <c r="BZ8" s="95">
        <v>46265.0</v>
      </c>
      <c r="CA8" s="95">
        <v>46295.0</v>
      </c>
      <c r="CB8" s="95">
        <v>46326.0</v>
      </c>
      <c r="CC8" s="95">
        <v>46356.0</v>
      </c>
      <c r="CD8" s="95">
        <v>46387.0</v>
      </c>
      <c r="CE8" s="95">
        <v>46418.0</v>
      </c>
      <c r="CF8" s="95">
        <v>46446.0</v>
      </c>
      <c r="CG8" s="95">
        <v>46477.0</v>
      </c>
      <c r="CH8" s="95">
        <v>46507.0</v>
      </c>
      <c r="CI8" s="95">
        <v>46538.0</v>
      </c>
      <c r="CJ8" s="95">
        <v>46568.0</v>
      </c>
      <c r="CK8" s="95">
        <v>46599.0</v>
      </c>
      <c r="CL8" s="95">
        <v>46630.0</v>
      </c>
      <c r="CM8" s="95">
        <v>46660.0</v>
      </c>
      <c r="CN8" s="95">
        <v>46691.0</v>
      </c>
      <c r="CO8" s="95">
        <v>46721.0</v>
      </c>
      <c r="CP8" s="95">
        <v>46752.0</v>
      </c>
      <c r="CQ8" s="95">
        <v>46753.0</v>
      </c>
      <c r="CR8" s="95">
        <v>46754.0</v>
      </c>
      <c r="CS8" s="95">
        <v>46755.0</v>
      </c>
    </row>
    <row r="9" ht="12.75" customHeight="1">
      <c r="A9" s="91"/>
      <c r="B9" s="96"/>
      <c r="C9" s="96"/>
      <c r="D9" s="96"/>
      <c r="E9" s="96"/>
      <c r="F9" s="96"/>
      <c r="G9" s="96"/>
      <c r="H9" s="96"/>
      <c r="I9" s="96"/>
      <c r="J9" s="96"/>
      <c r="K9" s="96"/>
      <c r="L9" s="96"/>
      <c r="M9" s="96"/>
      <c r="N9" s="96"/>
      <c r="O9" s="96"/>
      <c r="P9" s="96"/>
      <c r="Q9" s="96"/>
      <c r="R9" s="96"/>
      <c r="S9" s="96"/>
      <c r="T9" s="96"/>
      <c r="U9" s="96"/>
      <c r="V9" s="96"/>
      <c r="W9" s="96"/>
      <c r="X9" s="96"/>
      <c r="Y9" s="96"/>
      <c r="Z9" s="96"/>
      <c r="AA9" s="96"/>
      <c r="AB9" s="96"/>
      <c r="AC9" s="96"/>
      <c r="AD9" s="96"/>
      <c r="AE9" s="96"/>
      <c r="AF9" s="96"/>
      <c r="AG9" s="96"/>
      <c r="AH9" s="96"/>
      <c r="AI9" s="96"/>
      <c r="AJ9" s="96"/>
      <c r="AK9" s="96"/>
      <c r="AL9" s="96"/>
      <c r="AM9" s="96"/>
      <c r="AN9" s="96"/>
      <c r="AO9" s="96"/>
      <c r="AP9" s="96"/>
      <c r="AQ9" s="96"/>
      <c r="AR9" s="96"/>
      <c r="AS9" s="96"/>
      <c r="AT9" s="96"/>
      <c r="AU9" s="96"/>
      <c r="AV9" s="96"/>
      <c r="AW9" s="96"/>
      <c r="AX9" s="96"/>
      <c r="AY9" s="96"/>
      <c r="AZ9" s="96"/>
      <c r="BA9" s="96"/>
      <c r="BB9" s="96"/>
      <c r="BC9" s="96"/>
      <c r="BD9" s="96"/>
      <c r="BE9" s="96"/>
      <c r="BF9" s="96"/>
      <c r="BG9" s="96"/>
      <c r="BH9" s="96"/>
      <c r="BI9" s="96"/>
      <c r="BJ9" s="96"/>
      <c r="BK9" s="96"/>
      <c r="BL9" s="96"/>
      <c r="BM9" s="96"/>
      <c r="BN9" s="96"/>
      <c r="BO9" s="96"/>
      <c r="BP9" s="96"/>
      <c r="BQ9" s="96"/>
      <c r="BR9" s="96"/>
      <c r="BS9" s="96"/>
      <c r="BT9" s="96"/>
      <c r="BU9" s="96"/>
      <c r="BV9" s="96"/>
      <c r="BW9" s="96"/>
      <c r="BX9" s="96"/>
      <c r="BY9" s="96"/>
      <c r="BZ9" s="96"/>
      <c r="CA9" s="96"/>
      <c r="CB9" s="96"/>
      <c r="CC9" s="96"/>
      <c r="CD9" s="96"/>
      <c r="CE9" s="96"/>
      <c r="CF9" s="96"/>
      <c r="CG9" s="96"/>
      <c r="CH9" s="96"/>
      <c r="CI9" s="96"/>
      <c r="CJ9" s="96"/>
      <c r="CK9" s="96"/>
      <c r="CL9" s="96"/>
      <c r="CM9" s="96"/>
      <c r="CN9" s="96"/>
      <c r="CO9" s="96"/>
      <c r="CP9" s="96"/>
      <c r="CQ9" s="96"/>
      <c r="CR9" s="96"/>
      <c r="CS9" s="96"/>
    </row>
    <row r="10" ht="12.75" hidden="1" customHeight="1">
      <c r="A10" s="97" t="s">
        <v>107</v>
      </c>
    </row>
    <row r="11" ht="12.75" hidden="1" customHeight="1">
      <c r="A11" s="97" t="s">
        <v>108</v>
      </c>
      <c r="B11" s="98"/>
      <c r="C11" s="98">
        <f>+'Rev 2'!V13</f>
        <v>65.08498677</v>
      </c>
      <c r="D11" s="98">
        <f>+'Rev 2'!W13</f>
        <v>782.6959509</v>
      </c>
      <c r="E11" s="98">
        <f>+'Rev 2'!X13</f>
        <v>1192.759359</v>
      </c>
      <c r="F11" s="98">
        <f>+'Rev 2'!Y13</f>
        <v>1545.461656</v>
      </c>
      <c r="G11" s="98">
        <f>+'Rev 2'!Z13</f>
        <v>1523.211089</v>
      </c>
      <c r="H11" s="98">
        <f>+'Rev 2'!AA13</f>
        <v>2184.172078</v>
      </c>
      <c r="I11" s="98">
        <f>+'Rev 2'!AB13</f>
        <v>4280.354996</v>
      </c>
      <c r="J11" s="98">
        <f>+'Rev 2'!AC13</f>
        <v>4144.122108</v>
      </c>
      <c r="K11" s="98">
        <f>+'Rev 2'!AD13</f>
        <v>6693.538286</v>
      </c>
      <c r="L11" s="98">
        <f>+'Rev 2'!AE13</f>
        <v>8429.584441</v>
      </c>
      <c r="M11" s="98">
        <f>+'Rev 2'!AF13</f>
        <v>11986.61825</v>
      </c>
      <c r="N11" s="98">
        <f>+'Rev 2'!AG13</f>
        <v>11989.17714</v>
      </c>
      <c r="O11" s="98">
        <f>+'Rev 2'!AH13</f>
        <v>10556.8553</v>
      </c>
      <c r="P11" s="98">
        <f>+'Rev 2'!AI13</f>
        <v>9124.533447</v>
      </c>
      <c r="Q11" s="98">
        <f>+'Rev 2'!AJ13</f>
        <v>8443.369006</v>
      </c>
      <c r="R11" s="98">
        <f>+'Rev 2'!AK13</f>
        <v>9697.856912</v>
      </c>
      <c r="S11" s="98">
        <f>+'Rev 2'!AL13</f>
        <v>11977.50334</v>
      </c>
      <c r="T11" s="98">
        <f>+'Rev 2'!AM13</f>
        <v>16307.46681</v>
      </c>
      <c r="U11" s="98">
        <f>+'Rev 2'!AN13</f>
        <v>15047.78396</v>
      </c>
      <c r="V11" s="98">
        <f>+'Rev 2'!AO13</f>
        <v>12832.81882</v>
      </c>
      <c r="W11" s="98">
        <f>+'Rev 2'!AP13</f>
        <v>9392.048262</v>
      </c>
      <c r="X11" s="98">
        <f>+'Rev 2'!AQ13</f>
        <v>10103.12956</v>
      </c>
      <c r="Y11" s="98">
        <f>+'Rev 2'!AR13</f>
        <v>10800.14854</v>
      </c>
      <c r="Z11" s="98">
        <f>+'Rev 2'!AS13</f>
        <v>10959.16634</v>
      </c>
      <c r="AA11" s="98">
        <f>+'Rev 2'!AT13</f>
        <v>11019.74793</v>
      </c>
      <c r="AB11" s="98">
        <f>+'Rev 2'!AU13</f>
        <v>10195.79417</v>
      </c>
      <c r="AC11" s="98">
        <f>+'Rev 2'!AV13</f>
        <v>9162.663446</v>
      </c>
      <c r="AD11" s="98">
        <f>+'Rev 2'!AW13</f>
        <v>8712.987625</v>
      </c>
      <c r="AE11" s="98">
        <f>+'Rev 2'!AX13</f>
        <v>10609.02756</v>
      </c>
      <c r="AF11" s="98">
        <f>+'Rev 2'!AY13</f>
        <v>12563.07455</v>
      </c>
      <c r="AG11" s="98">
        <f>+'Rev 2'!AZ13</f>
        <v>12545.24413</v>
      </c>
      <c r="AH11" s="98">
        <f>+'Rev 2'!BA13</f>
        <v>11231.58732</v>
      </c>
      <c r="AI11" s="98">
        <f>+'Rev 2'!BB13</f>
        <v>9730.175075</v>
      </c>
      <c r="AJ11" s="98">
        <f>+'Rev 2'!BC13</f>
        <v>8793.188823</v>
      </c>
      <c r="AK11" s="98">
        <f>+'Rev 2'!BD13</f>
        <v>7779.255186</v>
      </c>
      <c r="AL11" s="98">
        <f>+'Rev 2'!BE13</f>
        <v>6787.022019</v>
      </c>
      <c r="AM11" s="98">
        <f>+'Rev 2'!BF13</f>
        <v>6960.335181</v>
      </c>
      <c r="AN11" s="98">
        <f>+'Rev 2'!BG13</f>
        <v>7200.006367</v>
      </c>
      <c r="AO11" s="98">
        <f>+'Rev 2'!BH13</f>
        <v>7439.991906</v>
      </c>
      <c r="AP11" s="98">
        <f>+'Rev 2'!BI13</f>
        <v>7419.213556</v>
      </c>
      <c r="AQ11" s="98">
        <f>+'Rev 2'!BJ13</f>
        <v>7398.435206</v>
      </c>
      <c r="AR11" s="98">
        <f>+'Rev 2'!BK13</f>
        <v>7282.112875</v>
      </c>
      <c r="AS11" s="98">
        <f>+'Rev 2'!BL13</f>
        <v>7059.869187</v>
      </c>
      <c r="AT11" s="98">
        <f>+'Rev 2'!BM13</f>
        <v>6624.026379</v>
      </c>
      <c r="AU11" s="98">
        <f>+'Rev 2'!BN13</f>
        <v>6606.725002</v>
      </c>
      <c r="AV11" s="98">
        <f>+'Rev 2'!BO13</f>
        <v>7190.559931</v>
      </c>
      <c r="AW11" s="98">
        <f>+'Rev 2'!BP13</f>
        <v>8993.549349</v>
      </c>
      <c r="AX11" s="98">
        <f>+'Rev 2'!BQ13</f>
        <v>10356.9611</v>
      </c>
      <c r="AY11" s="98">
        <f>+'Rev 2'!BR13</f>
        <v>11774.36032</v>
      </c>
      <c r="AZ11" s="98">
        <f>+'Rev 2'!BS13</f>
        <v>12230.77441</v>
      </c>
      <c r="BA11" s="98">
        <f>+'Rev 2'!BT13</f>
        <v>13033.35983</v>
      </c>
      <c r="BB11" s="98">
        <f>+'Rev 2'!BU13</f>
        <v>14099.50194</v>
      </c>
      <c r="BC11" s="98">
        <f>+'Rev 2'!BV13</f>
        <v>13583.97091</v>
      </c>
      <c r="BD11" s="98">
        <f>+'Rev 2'!BW13</f>
        <v>12736.22332</v>
      </c>
      <c r="BE11" s="98">
        <f>+'Rev 2'!BX13</f>
        <v>11145.11389</v>
      </c>
      <c r="BF11" s="98">
        <f>+'Rev 2'!BY13</f>
        <v>10991.94538</v>
      </c>
      <c r="BG11" s="98">
        <f>+'Rev 2'!BZ13</f>
        <v>12707.52167</v>
      </c>
      <c r="BH11" s="98">
        <f>+'Rev 2'!CA13</f>
        <v>12282.89959</v>
      </c>
      <c r="BI11" s="98">
        <f>+'Rev 2'!CB13</f>
        <v>11800.6528</v>
      </c>
      <c r="BJ11" s="98">
        <f>+'Rev 2'!CC13</f>
        <v>9627.903039</v>
      </c>
      <c r="BK11" s="98">
        <f>+'Rev 2'!CD13</f>
        <v>9671.088656</v>
      </c>
      <c r="BL11" s="98">
        <f>+'Rev 2'!CE13</f>
        <v>9733.2584</v>
      </c>
      <c r="BM11" s="98">
        <f>+'Rev 2'!CF13</f>
        <v>9767.093267</v>
      </c>
      <c r="BN11" s="98">
        <f>+'Rev 2'!CG13</f>
        <v>9785.355714</v>
      </c>
      <c r="BO11" s="98">
        <f>+'Rev 2'!CH13</f>
        <v>9727.681653</v>
      </c>
      <c r="BP11" s="98">
        <f>+'Rev 2'!CI13</f>
        <v>10460.84417</v>
      </c>
      <c r="BQ11" s="98">
        <f>+'Rev 2'!CJ13</f>
        <v>11163.95487</v>
      </c>
      <c r="BR11" s="98">
        <f>+'Rev 2'!CK13</f>
        <v>11878.23967</v>
      </c>
      <c r="BS11" s="98">
        <f>+'Rev 2'!CL13</f>
        <v>11859.29751</v>
      </c>
      <c r="BT11" s="98">
        <f>+'Rev 2'!CM13</f>
        <v>11799.75067</v>
      </c>
      <c r="BU11" s="98">
        <f>+'Rev 2'!CN13</f>
        <v>12623.87738</v>
      </c>
      <c r="BV11" s="98">
        <f>+'Rev 2'!CO13</f>
        <v>14238.84067</v>
      </c>
      <c r="BW11" s="98">
        <f>+'Rev 2'!CP13</f>
        <v>15894.90552</v>
      </c>
      <c r="BX11" s="98">
        <f>+'Rev 2'!CQ13</f>
        <v>16857.54775</v>
      </c>
      <c r="BY11" s="98">
        <f>+'Rev 2'!CR13</f>
        <v>17768.54224</v>
      </c>
      <c r="BZ11" s="98">
        <f>+'Rev 2'!CS13</f>
        <v>18831.88367</v>
      </c>
      <c r="CA11" s="98">
        <f>+'Rev 2'!CT13</f>
        <v>19859.39177</v>
      </c>
      <c r="CB11" s="98">
        <f>+'Rev 2'!CU13</f>
        <v>20184.51892</v>
      </c>
      <c r="CC11" s="98">
        <f>+'Rev 2'!CV13</f>
        <v>20496.67535</v>
      </c>
      <c r="CD11" s="98">
        <f>+'Rev 2'!CW13</f>
        <v>20808.83179</v>
      </c>
      <c r="CE11" s="98">
        <f>+'Rev 2'!CX13</f>
        <v>21205.89216</v>
      </c>
      <c r="CF11" s="98">
        <f>+'Rev 2'!CY13</f>
        <v>21586.95551</v>
      </c>
      <c r="CG11" s="98">
        <f>+'Rev 2'!CZ13</f>
        <v>22711.19134</v>
      </c>
      <c r="CH11" s="98">
        <f>+'Rev 2'!DA13</f>
        <v>23693.38919</v>
      </c>
      <c r="CI11" s="98">
        <f>+'Rev 2'!DB13</f>
        <v>24686.69375</v>
      </c>
      <c r="CJ11" s="98">
        <f>+'Rev 2'!DC13</f>
        <v>25760.41399</v>
      </c>
      <c r="CK11" s="98">
        <f>+'Rev 2'!DD13</f>
        <v>26768.82002</v>
      </c>
      <c r="CL11" s="98">
        <f>+'Rev 2'!DE13</f>
        <v>28539.95976</v>
      </c>
      <c r="CM11" s="98">
        <f>+'Rev 2'!DF13</f>
        <v>29630.20778</v>
      </c>
      <c r="CN11" s="98">
        <f>+'Rev 2'!DG13</f>
        <v>30666.21543</v>
      </c>
      <c r="CO11" s="98">
        <f>+'Rev 2'!DH13</f>
        <v>31084.28752</v>
      </c>
      <c r="CP11" s="98">
        <f>+'Rev 2'!DI13</f>
        <v>31502.35961</v>
      </c>
      <c r="CQ11" s="98"/>
      <c r="CR11" s="98"/>
      <c r="CS11" s="98"/>
    </row>
    <row r="12" ht="12.75" hidden="1" customHeight="1">
      <c r="A12" s="99" t="s">
        <v>109</v>
      </c>
      <c r="B12" s="100">
        <v>2770.21</v>
      </c>
      <c r="C12" s="100">
        <v>3324.68</v>
      </c>
      <c r="D12" s="100">
        <v>5292.33</v>
      </c>
      <c r="E12" s="100">
        <v>10996.11</v>
      </c>
      <c r="F12" s="100">
        <v>17836.54</v>
      </c>
      <c r="G12" s="100">
        <v>20272.6</v>
      </c>
      <c r="H12" s="100">
        <v>20869.28</v>
      </c>
      <c r="I12" s="100">
        <v>34588.0</v>
      </c>
      <c r="J12" s="101">
        <v>22500.0</v>
      </c>
      <c r="K12" s="101">
        <v>25500.0</v>
      </c>
      <c r="L12" s="101">
        <f>+'Rev 2'!AE18</f>
        <v>59003.59109</v>
      </c>
      <c r="M12" s="101">
        <f>+'Rev 2'!AF18</f>
        <v>83902.82775</v>
      </c>
      <c r="N12" s="101">
        <f>+'Rev 2'!AG18</f>
        <v>83920.74001</v>
      </c>
      <c r="O12" s="101">
        <f>+'Rev 2'!AH18</f>
        <v>73894.48707</v>
      </c>
      <c r="P12" s="101">
        <f>+'Rev 2'!AI18</f>
        <v>63868.23413</v>
      </c>
      <c r="Q12" s="101">
        <f>+'Rev 2'!AJ18</f>
        <v>59100.08304</v>
      </c>
      <c r="R12" s="101">
        <f>+'Rev 2'!AK18</f>
        <v>67881.49838</v>
      </c>
      <c r="S12" s="101">
        <f>+'Rev 2'!AL18</f>
        <v>83839.02337</v>
      </c>
      <c r="T12" s="101">
        <f>+'Rev 2'!AM18</f>
        <v>114148.7676</v>
      </c>
      <c r="U12" s="101">
        <f>+'Rev 2'!AN18</f>
        <v>105330.9877</v>
      </c>
      <c r="V12" s="101">
        <f>+'Rev 2'!AO18</f>
        <v>89826.23172</v>
      </c>
      <c r="W12" s="101">
        <f>+'Rev 2'!AP18</f>
        <v>65740.83783</v>
      </c>
      <c r="X12" s="101">
        <f>+'Rev 2'!AQ18</f>
        <v>70718.40691</v>
      </c>
      <c r="Y12" s="101">
        <f>+'Rev 2'!AR18</f>
        <v>75597.53977</v>
      </c>
      <c r="Z12" s="101">
        <f>+'Rev 2'!AS18</f>
        <v>76710.6644</v>
      </c>
      <c r="AA12" s="101">
        <f>+'Rev 2'!AT18</f>
        <v>77134.73554</v>
      </c>
      <c r="AB12" s="101">
        <f>+'Rev 2'!AU18</f>
        <v>71367.05917</v>
      </c>
      <c r="AC12" s="101">
        <f>+'Rev 2'!AV18</f>
        <v>64135.14412</v>
      </c>
      <c r="AD12" s="101">
        <f>+'Rev 2'!AW18</f>
        <v>60987.41337</v>
      </c>
      <c r="AE12" s="101">
        <f>+'Rev 2'!AX18</f>
        <v>74259.69292</v>
      </c>
      <c r="AF12" s="101">
        <f>+'Rev 2'!AY18</f>
        <v>87938.02184</v>
      </c>
      <c r="AG12" s="101">
        <f>+'Rev 2'!AZ18</f>
        <v>87813.20891</v>
      </c>
      <c r="AH12" s="101">
        <f>+'Rev 2'!BA18</f>
        <v>78617.61126</v>
      </c>
      <c r="AI12" s="101">
        <f>+'Rev 2'!BB18</f>
        <v>68107.72553</v>
      </c>
      <c r="AJ12" s="101">
        <f>+'Rev 2'!BC18</f>
        <v>61548.82176</v>
      </c>
      <c r="AK12" s="101">
        <f>+'Rev 2'!BD18</f>
        <v>54451.2863</v>
      </c>
      <c r="AL12" s="101">
        <f>+'Rev 2'!BE18</f>
        <v>47505.65414</v>
      </c>
      <c r="AM12" s="101">
        <f>+'Rev 2'!BF18</f>
        <v>48718.84627</v>
      </c>
      <c r="AN12" s="101">
        <f>+'Rev 2'!BG18</f>
        <v>50396.54457</v>
      </c>
      <c r="AO12" s="101">
        <f>+'Rev 2'!BH18</f>
        <v>52076.44334</v>
      </c>
      <c r="AP12" s="101">
        <f>+'Rev 2'!BI18</f>
        <v>51930.99489</v>
      </c>
      <c r="AQ12" s="101">
        <f>+'Rev 2'!BJ18</f>
        <v>51785.54644</v>
      </c>
      <c r="AR12" s="101">
        <f>+'Rev 2'!BK18</f>
        <v>50971.29012</v>
      </c>
      <c r="AS12" s="101">
        <f>+'Rev 2'!BL18</f>
        <v>49415.58431</v>
      </c>
      <c r="AT12" s="101">
        <f>+'Rev 2'!BM18</f>
        <v>46364.68466</v>
      </c>
      <c r="AU12" s="101">
        <f>+'Rev 2'!BN18</f>
        <v>46243.57501</v>
      </c>
      <c r="AV12" s="101">
        <f>+'Rev 2'!BO18</f>
        <v>50330.41952</v>
      </c>
      <c r="AW12" s="101">
        <f>+'Rev 2'!BP18</f>
        <v>62951.34544</v>
      </c>
      <c r="AX12" s="101">
        <f>+'Rev 2'!BQ18</f>
        <v>72495.22772</v>
      </c>
      <c r="AY12" s="101">
        <f>+'Rev 2'!BR18</f>
        <v>82417.02225</v>
      </c>
      <c r="AZ12" s="101">
        <f>+'Rev 2'!BS18</f>
        <v>85611.92084</v>
      </c>
      <c r="BA12" s="101">
        <f>+'Rev 2'!BT18</f>
        <v>91230.01883</v>
      </c>
      <c r="BB12" s="101">
        <f>+'Rev 2'!BU18</f>
        <v>98693.01361</v>
      </c>
      <c r="BC12" s="101">
        <f>+'Rev 2'!BV18</f>
        <v>95084.29636</v>
      </c>
      <c r="BD12" s="101">
        <f>+'Rev 2'!BW18</f>
        <v>89150.06324</v>
      </c>
      <c r="BE12" s="101">
        <f>+'Rev 2'!BX18</f>
        <v>78012.29726</v>
      </c>
      <c r="BF12" s="101">
        <f>+'Rev 2'!BY18</f>
        <v>76940.11769</v>
      </c>
      <c r="BG12" s="101">
        <f>+'Rev 2'!BZ18</f>
        <v>88949.15171</v>
      </c>
      <c r="BH12" s="101">
        <f>+'Rev 2'!CA18</f>
        <v>85976.79715</v>
      </c>
      <c r="BI12" s="101">
        <f>+'Rev 2'!CB18</f>
        <v>82601.06957</v>
      </c>
      <c r="BJ12" s="101">
        <f>+'Rev 2'!CC18</f>
        <v>67391.82127</v>
      </c>
      <c r="BK12" s="101">
        <f>+'Rev 2'!CD18</f>
        <v>67694.12059</v>
      </c>
      <c r="BL12" s="101">
        <f>+'Rev 2'!CE18</f>
        <v>68129.3088</v>
      </c>
      <c r="BM12" s="101">
        <f>+'Rev 2'!CF18</f>
        <v>68366.15287</v>
      </c>
      <c r="BN12" s="101">
        <f>+'Rev 2'!CG18</f>
        <v>68493.99</v>
      </c>
      <c r="BO12" s="101">
        <f>+'Rev 2'!CH18</f>
        <v>68090.27157</v>
      </c>
      <c r="BP12" s="101">
        <f>+'Rev 2'!CI18</f>
        <v>73222.40916</v>
      </c>
      <c r="BQ12" s="101">
        <f>+'Rev 2'!CJ18</f>
        <v>78144.18408</v>
      </c>
      <c r="BR12" s="101">
        <f>+'Rev 2'!CK18</f>
        <v>83144.17771</v>
      </c>
      <c r="BS12" s="101">
        <f>+'Rev 2'!CL18</f>
        <v>83011.58259</v>
      </c>
      <c r="BT12" s="101">
        <f>+'Rev 2'!CM18</f>
        <v>82594.75468</v>
      </c>
      <c r="BU12" s="101">
        <f>+'Rev 2'!CN18</f>
        <v>88363.64168</v>
      </c>
      <c r="BV12" s="101">
        <f>+'Rev 2'!CO18</f>
        <v>99668.38468</v>
      </c>
      <c r="BW12" s="101">
        <f>+'Rev 2'!CP18</f>
        <v>111260.8386</v>
      </c>
      <c r="BX12" s="101">
        <f>+'Rev 2'!CQ18</f>
        <v>117999.3342</v>
      </c>
      <c r="BY12" s="101">
        <f>+'Rev 2'!CR18</f>
        <v>124376.2957</v>
      </c>
      <c r="BZ12" s="101">
        <f>+'Rev 2'!CS18</f>
        <v>131819.6857</v>
      </c>
      <c r="CA12" s="101">
        <f>+'Rev 2'!CT18</f>
        <v>139012.2424</v>
      </c>
      <c r="CB12" s="101">
        <f>+'Rev 2'!CU18</f>
        <v>141288.1324</v>
      </c>
      <c r="CC12" s="101">
        <f>+'Rev 2'!CV18</f>
        <v>143473.2275</v>
      </c>
      <c r="CD12" s="101">
        <f>+'Rev 2'!CW18</f>
        <v>145658.3225</v>
      </c>
      <c r="CE12" s="101">
        <f>+'Rev 2'!CX18</f>
        <v>148437.7451</v>
      </c>
      <c r="CF12" s="101">
        <f>+'Rev 2'!CY18</f>
        <v>151105.1886</v>
      </c>
      <c r="CG12" s="101">
        <f>+'Rev 2'!CZ18</f>
        <v>158974.8394</v>
      </c>
      <c r="CH12" s="101">
        <f>+'Rev 2'!DA18</f>
        <v>165850.2243</v>
      </c>
      <c r="CI12" s="101">
        <f>+'Rev 2'!DB18</f>
        <v>172803.3562</v>
      </c>
      <c r="CJ12" s="101">
        <f>+'Rev 2'!DC18</f>
        <v>180319.3979</v>
      </c>
      <c r="CK12" s="101">
        <f>+'Rev 2'!DD18</f>
        <v>187378.2402</v>
      </c>
      <c r="CL12" s="101">
        <f>+'Rev 2'!DE18</f>
        <v>199776.2183</v>
      </c>
      <c r="CM12" s="101">
        <f>+'Rev 2'!DF18</f>
        <v>207407.9545</v>
      </c>
      <c r="CN12" s="101">
        <f>+'Rev 2'!DG18</f>
        <v>214660.008</v>
      </c>
      <c r="CO12" s="101">
        <f>+'Rev 2'!DH18</f>
        <v>217586.5127</v>
      </c>
      <c r="CP12" s="101">
        <f>+'Rev 2'!DI18</f>
        <v>220513.0173</v>
      </c>
      <c r="CQ12" s="101"/>
      <c r="CR12" s="101"/>
      <c r="CS12" s="101"/>
    </row>
    <row r="13" ht="12.75" hidden="1" customHeight="1">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94"/>
      <c r="CR13" s="94"/>
      <c r="CS13" s="94"/>
    </row>
    <row r="14" ht="12.75" hidden="1" customHeight="1">
      <c r="B14" s="94"/>
      <c r="C14" s="94"/>
      <c r="D14" s="94"/>
      <c r="E14" s="94"/>
      <c r="F14" s="94"/>
      <c r="G14" s="94"/>
      <c r="H14" s="94"/>
      <c r="I14" s="94"/>
    </row>
    <row r="15" ht="12.75" customHeight="1">
      <c r="A15" s="91" t="s">
        <v>107</v>
      </c>
      <c r="B15" s="94">
        <f t="shared" ref="B15:CS15" si="1">SUM(B11:B13)</f>
        <v>2770.21</v>
      </c>
      <c r="C15" s="94">
        <f t="shared" si="1"/>
        <v>3389.764987</v>
      </c>
      <c r="D15" s="94">
        <f t="shared" si="1"/>
        <v>6075.025951</v>
      </c>
      <c r="E15" s="94">
        <f t="shared" si="1"/>
        <v>12188.86936</v>
      </c>
      <c r="F15" s="94">
        <f t="shared" si="1"/>
        <v>19382.00166</v>
      </c>
      <c r="G15" s="94">
        <f t="shared" si="1"/>
        <v>21795.81109</v>
      </c>
      <c r="H15" s="94">
        <f t="shared" si="1"/>
        <v>23053.45208</v>
      </c>
      <c r="I15" s="94">
        <f t="shared" si="1"/>
        <v>38868.355</v>
      </c>
      <c r="J15" s="94">
        <f t="shared" si="1"/>
        <v>26644.12211</v>
      </c>
      <c r="K15" s="94">
        <f t="shared" si="1"/>
        <v>32193.53829</v>
      </c>
      <c r="L15" s="94">
        <f t="shared" si="1"/>
        <v>67433.17553</v>
      </c>
      <c r="M15" s="94">
        <f t="shared" si="1"/>
        <v>95889.446</v>
      </c>
      <c r="N15" s="94">
        <f t="shared" si="1"/>
        <v>95909.91715</v>
      </c>
      <c r="O15" s="94">
        <f t="shared" si="1"/>
        <v>84451.34236</v>
      </c>
      <c r="P15" s="94">
        <f t="shared" si="1"/>
        <v>72992.76757</v>
      </c>
      <c r="Q15" s="94">
        <f t="shared" si="1"/>
        <v>67543.45205</v>
      </c>
      <c r="R15" s="94">
        <f t="shared" si="1"/>
        <v>77579.3553</v>
      </c>
      <c r="S15" s="94">
        <f t="shared" si="1"/>
        <v>95816.52671</v>
      </c>
      <c r="T15" s="94">
        <f t="shared" si="1"/>
        <v>130456.2344</v>
      </c>
      <c r="U15" s="94">
        <f t="shared" si="1"/>
        <v>120378.7717</v>
      </c>
      <c r="V15" s="94">
        <f t="shared" si="1"/>
        <v>102659.0505</v>
      </c>
      <c r="W15" s="94">
        <f t="shared" si="1"/>
        <v>75132.88609</v>
      </c>
      <c r="X15" s="94">
        <f t="shared" si="1"/>
        <v>80821.53647</v>
      </c>
      <c r="Y15" s="94">
        <f t="shared" si="1"/>
        <v>86397.68831</v>
      </c>
      <c r="Z15" s="94">
        <f t="shared" si="1"/>
        <v>87669.83075</v>
      </c>
      <c r="AA15" s="94">
        <f t="shared" si="1"/>
        <v>88154.48347</v>
      </c>
      <c r="AB15" s="94">
        <f t="shared" si="1"/>
        <v>81562.85334</v>
      </c>
      <c r="AC15" s="94">
        <f t="shared" si="1"/>
        <v>73297.80757</v>
      </c>
      <c r="AD15" s="94">
        <f t="shared" si="1"/>
        <v>69700.401</v>
      </c>
      <c r="AE15" s="94">
        <f t="shared" si="1"/>
        <v>84868.72048</v>
      </c>
      <c r="AF15" s="94">
        <f t="shared" si="1"/>
        <v>100501.0964</v>
      </c>
      <c r="AG15" s="94">
        <f t="shared" si="1"/>
        <v>100358.453</v>
      </c>
      <c r="AH15" s="94">
        <f t="shared" si="1"/>
        <v>89849.19858</v>
      </c>
      <c r="AI15" s="94">
        <f t="shared" si="1"/>
        <v>77837.9006</v>
      </c>
      <c r="AJ15" s="94">
        <f t="shared" si="1"/>
        <v>70342.01058</v>
      </c>
      <c r="AK15" s="94">
        <f t="shared" si="1"/>
        <v>62230.54149</v>
      </c>
      <c r="AL15" s="94">
        <f t="shared" si="1"/>
        <v>54292.67616</v>
      </c>
      <c r="AM15" s="94">
        <f t="shared" si="1"/>
        <v>55679.18145</v>
      </c>
      <c r="AN15" s="94">
        <f t="shared" si="1"/>
        <v>57596.55094</v>
      </c>
      <c r="AO15" s="94">
        <f t="shared" si="1"/>
        <v>59516.43525</v>
      </c>
      <c r="AP15" s="94">
        <f t="shared" si="1"/>
        <v>59350.20845</v>
      </c>
      <c r="AQ15" s="94">
        <f t="shared" si="1"/>
        <v>59183.98165</v>
      </c>
      <c r="AR15" s="94">
        <f t="shared" si="1"/>
        <v>58253.403</v>
      </c>
      <c r="AS15" s="94">
        <f t="shared" si="1"/>
        <v>56475.4535</v>
      </c>
      <c r="AT15" s="94">
        <f t="shared" si="1"/>
        <v>52988.71103</v>
      </c>
      <c r="AU15" s="94">
        <f t="shared" si="1"/>
        <v>52850.30002</v>
      </c>
      <c r="AV15" s="94">
        <f t="shared" si="1"/>
        <v>57520.97945</v>
      </c>
      <c r="AW15" s="94">
        <f t="shared" si="1"/>
        <v>71944.89479</v>
      </c>
      <c r="AX15" s="94">
        <f t="shared" si="1"/>
        <v>82852.18882</v>
      </c>
      <c r="AY15" s="94">
        <f t="shared" si="1"/>
        <v>94191.38257</v>
      </c>
      <c r="AZ15" s="94">
        <f t="shared" si="1"/>
        <v>97842.69525</v>
      </c>
      <c r="BA15" s="94">
        <f t="shared" si="1"/>
        <v>104263.3787</v>
      </c>
      <c r="BB15" s="94">
        <f t="shared" si="1"/>
        <v>112792.5155</v>
      </c>
      <c r="BC15" s="94">
        <f t="shared" si="1"/>
        <v>108668.2673</v>
      </c>
      <c r="BD15" s="94">
        <f t="shared" si="1"/>
        <v>101886.2866</v>
      </c>
      <c r="BE15" s="94">
        <f t="shared" si="1"/>
        <v>89157.41115</v>
      </c>
      <c r="BF15" s="94">
        <f t="shared" si="1"/>
        <v>87932.06308</v>
      </c>
      <c r="BG15" s="94">
        <f t="shared" si="1"/>
        <v>101656.6734</v>
      </c>
      <c r="BH15" s="94">
        <f t="shared" si="1"/>
        <v>98259.69674</v>
      </c>
      <c r="BI15" s="94">
        <f t="shared" si="1"/>
        <v>94401.72237</v>
      </c>
      <c r="BJ15" s="94">
        <f t="shared" si="1"/>
        <v>77019.72431</v>
      </c>
      <c r="BK15" s="94">
        <f t="shared" si="1"/>
        <v>77365.20925</v>
      </c>
      <c r="BL15" s="94">
        <f t="shared" si="1"/>
        <v>77862.5672</v>
      </c>
      <c r="BM15" s="94">
        <f t="shared" si="1"/>
        <v>78133.24614</v>
      </c>
      <c r="BN15" s="94">
        <f t="shared" si="1"/>
        <v>78279.34572</v>
      </c>
      <c r="BO15" s="94">
        <f t="shared" si="1"/>
        <v>77817.95323</v>
      </c>
      <c r="BP15" s="94">
        <f t="shared" si="1"/>
        <v>83683.25332</v>
      </c>
      <c r="BQ15" s="94">
        <f t="shared" si="1"/>
        <v>89308.13895</v>
      </c>
      <c r="BR15" s="94">
        <f t="shared" si="1"/>
        <v>95022.41738</v>
      </c>
      <c r="BS15" s="94">
        <f t="shared" si="1"/>
        <v>94870.88011</v>
      </c>
      <c r="BT15" s="94">
        <f t="shared" si="1"/>
        <v>94394.50534</v>
      </c>
      <c r="BU15" s="94">
        <f t="shared" si="1"/>
        <v>100987.5191</v>
      </c>
      <c r="BV15" s="94">
        <f t="shared" si="1"/>
        <v>113907.2254</v>
      </c>
      <c r="BW15" s="94">
        <f t="shared" si="1"/>
        <v>127155.7441</v>
      </c>
      <c r="BX15" s="94">
        <f t="shared" si="1"/>
        <v>134856.882</v>
      </c>
      <c r="BY15" s="94">
        <f t="shared" si="1"/>
        <v>142144.8379</v>
      </c>
      <c r="BZ15" s="94">
        <f t="shared" si="1"/>
        <v>150651.5694</v>
      </c>
      <c r="CA15" s="94">
        <f t="shared" si="1"/>
        <v>158871.6342</v>
      </c>
      <c r="CB15" s="94">
        <f t="shared" si="1"/>
        <v>161472.6513</v>
      </c>
      <c r="CC15" s="94">
        <f t="shared" si="1"/>
        <v>163969.9028</v>
      </c>
      <c r="CD15" s="94">
        <f t="shared" si="1"/>
        <v>166467.1543</v>
      </c>
      <c r="CE15" s="94">
        <f t="shared" si="1"/>
        <v>169643.6373</v>
      </c>
      <c r="CF15" s="94">
        <f t="shared" si="1"/>
        <v>172692.1441</v>
      </c>
      <c r="CG15" s="94">
        <f t="shared" si="1"/>
        <v>181686.0307</v>
      </c>
      <c r="CH15" s="94">
        <f t="shared" si="1"/>
        <v>189543.6135</v>
      </c>
      <c r="CI15" s="94">
        <f t="shared" si="1"/>
        <v>197490.05</v>
      </c>
      <c r="CJ15" s="94">
        <f t="shared" si="1"/>
        <v>206079.8119</v>
      </c>
      <c r="CK15" s="94">
        <f t="shared" si="1"/>
        <v>214147.0602</v>
      </c>
      <c r="CL15" s="94">
        <f t="shared" si="1"/>
        <v>228316.1781</v>
      </c>
      <c r="CM15" s="94">
        <f t="shared" si="1"/>
        <v>237038.1622</v>
      </c>
      <c r="CN15" s="94">
        <f t="shared" si="1"/>
        <v>245326.2235</v>
      </c>
      <c r="CO15" s="94">
        <f t="shared" si="1"/>
        <v>248670.8002</v>
      </c>
      <c r="CP15" s="94">
        <f t="shared" si="1"/>
        <v>252015.3769</v>
      </c>
      <c r="CQ15" s="94">
        <f t="shared" si="1"/>
        <v>0</v>
      </c>
      <c r="CR15" s="94">
        <f t="shared" si="1"/>
        <v>0</v>
      </c>
      <c r="CS15" s="94">
        <f t="shared" si="1"/>
        <v>0</v>
      </c>
    </row>
    <row r="16" ht="12.75" customHeight="1">
      <c r="B16" s="94"/>
      <c r="C16" s="94"/>
      <c r="D16" s="94"/>
      <c r="E16" s="94"/>
      <c r="F16" s="94"/>
      <c r="G16" s="94"/>
      <c r="H16" s="94"/>
      <c r="I16" s="94"/>
    </row>
    <row r="17" ht="12.75" customHeight="1">
      <c r="A17" s="91" t="s">
        <v>110</v>
      </c>
      <c r="B17" s="102">
        <f>+'Rev 2'!U21*COGS!B28</f>
        <v>0</v>
      </c>
      <c r="C17" s="102">
        <f>+'Rev 2'!V21*COGS!B28</f>
        <v>440.9001764</v>
      </c>
      <c r="D17" s="102">
        <f>+COGS!B23</f>
        <v>5339.791025</v>
      </c>
      <c r="E17" s="102">
        <f>+COGS!C23</f>
        <v>8139.157224</v>
      </c>
      <c r="F17" s="102">
        <f>+COGS!D23</f>
        <v>9928.953576</v>
      </c>
      <c r="G17" s="102">
        <f>+COGS!E23</f>
        <v>9785.956599</v>
      </c>
      <c r="H17" s="102">
        <f>+COGS!F23</f>
        <v>14033.73256</v>
      </c>
      <c r="I17" s="102">
        <f>+COGS!G23</f>
        <v>24081.31744</v>
      </c>
      <c r="J17" s="102">
        <f>+COGS!H23</f>
        <v>23314.78039</v>
      </c>
      <c r="K17" s="102">
        <f>+COGS!I23</f>
        <v>37659.49542</v>
      </c>
      <c r="L17" s="102">
        <f>+COGS!J23</f>
        <v>47427.64845</v>
      </c>
      <c r="M17" s="102">
        <f>+COGS!K23</f>
        <v>67441.89202</v>
      </c>
      <c r="N17" s="102">
        <f>+COGS!L23</f>
        <v>67456.29006</v>
      </c>
      <c r="O17" s="102">
        <f>+COGS!M23</f>
        <v>59397.09246</v>
      </c>
      <c r="P17" s="102">
        <f>+COGS!N23</f>
        <v>51337.89486</v>
      </c>
      <c r="Q17" s="102">
        <f>+COGS!O23</f>
        <v>47505.2096</v>
      </c>
      <c r="R17" s="102">
        <f>+COGS!P23</f>
        <v>54563.79489</v>
      </c>
      <c r="S17" s="102">
        <f>+COGS!Q23</f>
        <v>67390.60545</v>
      </c>
      <c r="T17" s="102">
        <f>+COGS!R23</f>
        <v>91753.86656</v>
      </c>
      <c r="U17" s="102">
        <f>+COGS!S23</f>
        <v>84666.0511</v>
      </c>
      <c r="V17" s="102">
        <f>+COGS!T23</f>
        <v>72203.18054</v>
      </c>
      <c r="W17" s="102">
        <f>+COGS!U23</f>
        <v>52843.11155</v>
      </c>
      <c r="X17" s="102">
        <f>+COGS!V23</f>
        <v>56844.12898</v>
      </c>
      <c r="Y17" s="102">
        <f>+COGS!W23</f>
        <v>60766.02244</v>
      </c>
      <c r="Z17" s="102">
        <f>+COGS!X23</f>
        <v>61660.76263</v>
      </c>
      <c r="AA17" s="102">
        <f>+COGS!Y23</f>
        <v>62001.63504</v>
      </c>
      <c r="AB17" s="102">
        <f>+COGS!Z23</f>
        <v>57365.52185</v>
      </c>
      <c r="AC17" s="102">
        <f>+COGS!AA23</f>
        <v>51552.43966</v>
      </c>
      <c r="AD17" s="102">
        <f>+COGS!AB23</f>
        <v>49022.2637</v>
      </c>
      <c r="AE17" s="102">
        <f>+COGS!AC23</f>
        <v>59690.6484</v>
      </c>
      <c r="AF17" s="102">
        <f>+COGS!AD23</f>
        <v>70685.41946</v>
      </c>
      <c r="AG17" s="102">
        <f>+COGS!AE23</f>
        <v>70585.09364</v>
      </c>
      <c r="AH17" s="102">
        <f>+COGS!AF23</f>
        <v>63193.58467</v>
      </c>
      <c r="AI17" s="102">
        <f>+COGS!AG23</f>
        <v>46961.89836</v>
      </c>
      <c r="AJ17" s="102">
        <f>+COGS!AH23</f>
        <v>42439.37805</v>
      </c>
      <c r="AK17" s="102">
        <f>+COGS!AI23</f>
        <v>37545.45836</v>
      </c>
      <c r="AL17" s="102">
        <f>+COGS!AJ23</f>
        <v>32756.27961</v>
      </c>
      <c r="AM17" s="102">
        <f>+COGS!AK23</f>
        <v>33592.80447</v>
      </c>
      <c r="AN17" s="102">
        <f>+COGS!AL23</f>
        <v>34749.6174</v>
      </c>
      <c r="AO17" s="102">
        <f>+COGS!AM23</f>
        <v>35907.9476</v>
      </c>
      <c r="AP17" s="102">
        <f>+COGS!AN23</f>
        <v>35807.65743</v>
      </c>
      <c r="AQ17" s="102">
        <f>+COGS!AO23</f>
        <v>35707.36726</v>
      </c>
      <c r="AR17" s="102">
        <f>+COGS!AP23</f>
        <v>35145.91814</v>
      </c>
      <c r="AS17" s="102">
        <f>+COGS!AQ23</f>
        <v>34073.22194</v>
      </c>
      <c r="AT17" s="102">
        <f>+COGS!AR23</f>
        <v>31969.55399</v>
      </c>
      <c r="AU17" s="102">
        <f>+COGS!AS23</f>
        <v>31886.04601</v>
      </c>
      <c r="AV17" s="102">
        <f>+COGS!AT23</f>
        <v>34704.0226</v>
      </c>
      <c r="AW17" s="102">
        <f>+COGS!AU23</f>
        <v>43406.45152</v>
      </c>
      <c r="AX17" s="102">
        <f>+COGS!AV23</f>
        <v>49987.18559</v>
      </c>
      <c r="AY17" s="102">
        <f>+COGS!AW23</f>
        <v>56828.49915</v>
      </c>
      <c r="AZ17" s="102">
        <f>+COGS!AX23</f>
        <v>59031.4578</v>
      </c>
      <c r="BA17" s="102">
        <f>+COGS!AY23</f>
        <v>62905.27013</v>
      </c>
      <c r="BB17" s="102">
        <f>+COGS!AZ23</f>
        <v>68051.18271</v>
      </c>
      <c r="BC17" s="102">
        <f>+COGS!BA23</f>
        <v>65562.88625</v>
      </c>
      <c r="BD17" s="102">
        <f>+COGS!BB23</f>
        <v>61471.09122</v>
      </c>
      <c r="BE17" s="102">
        <f>+COGS!BC23</f>
        <v>53791.33639</v>
      </c>
      <c r="BF17" s="102">
        <f>+COGS!BD23</f>
        <v>53052.04306</v>
      </c>
      <c r="BG17" s="102">
        <f>+COGS!BE23</f>
        <v>61332.55794</v>
      </c>
      <c r="BH17" s="102">
        <f>+COGS!BF23</f>
        <v>59283.0487</v>
      </c>
      <c r="BI17" s="102">
        <f>+COGS!BG23</f>
        <v>49639.30943</v>
      </c>
      <c r="BJ17" s="102">
        <f>+COGS!BH23</f>
        <v>40499.27545</v>
      </c>
      <c r="BK17" s="102">
        <f>+COGS!BI23</f>
        <v>40680.94295</v>
      </c>
      <c r="BL17" s="102">
        <f>+COGS!BJ23</f>
        <v>40942.47034</v>
      </c>
      <c r="BM17" s="102">
        <f>+COGS!BK23</f>
        <v>41084.80235</v>
      </c>
      <c r="BN17" s="102">
        <f>+COGS!BL23</f>
        <v>41161.62637</v>
      </c>
      <c r="BO17" s="102">
        <f>+COGS!BM23</f>
        <v>34174.83154</v>
      </c>
      <c r="BP17" s="102">
        <f>+COGS!BN23</f>
        <v>36750.67583</v>
      </c>
      <c r="BQ17" s="102">
        <f>+COGS!BO23</f>
        <v>39220.93811</v>
      </c>
      <c r="BR17" s="102">
        <f>+COGS!BP23</f>
        <v>41730.45871</v>
      </c>
      <c r="BS17" s="102">
        <f>+COGS!BQ23</f>
        <v>41663.9086</v>
      </c>
      <c r="BT17" s="102">
        <f>+COGS!BR23</f>
        <v>41454.70068</v>
      </c>
      <c r="BU17" s="102">
        <f>+COGS!BS23</f>
        <v>44350.13254</v>
      </c>
      <c r="BV17" s="102">
        <f>+COGS!BT23</f>
        <v>50024.03688</v>
      </c>
      <c r="BW17" s="102">
        <f>+COGS!BU23</f>
        <v>55842.34472</v>
      </c>
      <c r="BX17" s="102">
        <f>+COGS!BV23</f>
        <v>59224.42775</v>
      </c>
      <c r="BY17" s="102">
        <f>+COGS!BW23</f>
        <v>62425.05507</v>
      </c>
      <c r="BZ17" s="102">
        <f>+COGS!BX23</f>
        <v>66160.92797</v>
      </c>
      <c r="CA17" s="102">
        <f>+COGS!BY23</f>
        <v>69770.90642</v>
      </c>
      <c r="CB17" s="102">
        <f>+COGS!BZ23</f>
        <v>70913.18646</v>
      </c>
      <c r="CC17" s="102">
        <f>+COGS!CA23</f>
        <v>72009.89607</v>
      </c>
      <c r="CD17" s="102">
        <f>+COGS!CB23</f>
        <v>73106.60568</v>
      </c>
      <c r="CE17" s="102">
        <f>+COGS!CC23</f>
        <v>74501.61113</v>
      </c>
      <c r="CF17" s="102">
        <f>+COGS!CD23</f>
        <v>75840.4137</v>
      </c>
      <c r="CG17" s="102">
        <f>+COGS!CE23</f>
        <v>79790.22891</v>
      </c>
      <c r="CH17" s="102">
        <f>+COGS!CF23</f>
        <v>83241.01734</v>
      </c>
      <c r="CI17" s="102">
        <f>+COGS!CG23</f>
        <v>86730.82737</v>
      </c>
      <c r="CJ17" s="102">
        <f>+COGS!CH23</f>
        <v>90503.16448</v>
      </c>
      <c r="CK17" s="102">
        <f>+COGS!CI23</f>
        <v>94046.03102</v>
      </c>
      <c r="CL17" s="102">
        <f>+COGS!CJ23</f>
        <v>100268.6353</v>
      </c>
      <c r="CM17" s="102">
        <f>+COGS!CK23</f>
        <v>104099.04</v>
      </c>
      <c r="CN17" s="102">
        <f>+COGS!CL23</f>
        <v>107738.8802</v>
      </c>
      <c r="CO17" s="102">
        <f>+COGS!CM23</f>
        <v>109207.7068</v>
      </c>
      <c r="CP17" s="102">
        <f>+COGS!CN23</f>
        <v>110676.5334</v>
      </c>
      <c r="CQ17" s="94"/>
      <c r="CR17" s="94"/>
      <c r="CS17" s="94"/>
    </row>
    <row r="18" ht="12.75" customHeight="1">
      <c r="B18" s="94"/>
      <c r="C18" s="94"/>
      <c r="D18" s="94"/>
      <c r="E18" s="94"/>
      <c r="F18" s="94"/>
      <c r="G18" s="94"/>
      <c r="H18" s="94"/>
      <c r="I18" s="94"/>
    </row>
    <row r="19" ht="12.75" customHeight="1">
      <c r="A19" s="91" t="s">
        <v>111</v>
      </c>
      <c r="B19" s="94">
        <f t="shared" ref="B19:CP19" si="2">+B15-B17</f>
        <v>2770.21</v>
      </c>
      <c r="C19" s="94">
        <f t="shared" si="2"/>
        <v>2948.86481</v>
      </c>
      <c r="D19" s="94">
        <f t="shared" si="2"/>
        <v>735.234926</v>
      </c>
      <c r="E19" s="94">
        <f t="shared" si="2"/>
        <v>4049.712135</v>
      </c>
      <c r="F19" s="94">
        <f t="shared" si="2"/>
        <v>9453.04808</v>
      </c>
      <c r="G19" s="94">
        <f t="shared" si="2"/>
        <v>12009.85449</v>
      </c>
      <c r="H19" s="94">
        <f t="shared" si="2"/>
        <v>9019.719521</v>
      </c>
      <c r="I19" s="94">
        <f t="shared" si="2"/>
        <v>14787.03755</v>
      </c>
      <c r="J19" s="94">
        <f t="shared" si="2"/>
        <v>3329.341715</v>
      </c>
      <c r="K19" s="94">
        <f t="shared" si="2"/>
        <v>-5465.957138</v>
      </c>
      <c r="L19" s="94">
        <f t="shared" si="2"/>
        <v>20005.52707</v>
      </c>
      <c r="M19" s="94">
        <f t="shared" si="2"/>
        <v>28447.55398</v>
      </c>
      <c r="N19" s="94">
        <f t="shared" si="2"/>
        <v>28453.62709</v>
      </c>
      <c r="O19" s="94">
        <f t="shared" si="2"/>
        <v>25054.2499</v>
      </c>
      <c r="P19" s="94">
        <f t="shared" si="2"/>
        <v>21654.87271</v>
      </c>
      <c r="Q19" s="94">
        <f t="shared" si="2"/>
        <v>20038.24244</v>
      </c>
      <c r="R19" s="94">
        <f t="shared" si="2"/>
        <v>23015.5604</v>
      </c>
      <c r="S19" s="94">
        <f t="shared" si="2"/>
        <v>28425.92126</v>
      </c>
      <c r="T19" s="94">
        <f t="shared" si="2"/>
        <v>38702.36788</v>
      </c>
      <c r="U19" s="94">
        <f t="shared" si="2"/>
        <v>35712.72061</v>
      </c>
      <c r="V19" s="94">
        <f t="shared" si="2"/>
        <v>30455.86999</v>
      </c>
      <c r="W19" s="94">
        <f t="shared" si="2"/>
        <v>22289.77454</v>
      </c>
      <c r="X19" s="94">
        <f t="shared" si="2"/>
        <v>23977.40748</v>
      </c>
      <c r="Y19" s="94">
        <f t="shared" si="2"/>
        <v>25631.66587</v>
      </c>
      <c r="Z19" s="94">
        <f t="shared" si="2"/>
        <v>26009.06812</v>
      </c>
      <c r="AA19" s="94">
        <f t="shared" si="2"/>
        <v>26152.84843</v>
      </c>
      <c r="AB19" s="94">
        <f t="shared" si="2"/>
        <v>24197.33149</v>
      </c>
      <c r="AC19" s="94">
        <f t="shared" si="2"/>
        <v>21745.36791</v>
      </c>
      <c r="AD19" s="94">
        <f t="shared" si="2"/>
        <v>20678.1373</v>
      </c>
      <c r="AE19" s="94">
        <f t="shared" si="2"/>
        <v>25178.07207</v>
      </c>
      <c r="AF19" s="94">
        <f t="shared" si="2"/>
        <v>29815.67693</v>
      </c>
      <c r="AG19" s="94">
        <f t="shared" si="2"/>
        <v>29773.3594</v>
      </c>
      <c r="AH19" s="94">
        <f t="shared" si="2"/>
        <v>26655.61391</v>
      </c>
      <c r="AI19" s="94">
        <f t="shared" si="2"/>
        <v>30876.00224</v>
      </c>
      <c r="AJ19" s="94">
        <f t="shared" si="2"/>
        <v>27902.63253</v>
      </c>
      <c r="AK19" s="94">
        <f t="shared" si="2"/>
        <v>24685.08312</v>
      </c>
      <c r="AL19" s="94">
        <f t="shared" si="2"/>
        <v>21536.39654</v>
      </c>
      <c r="AM19" s="94">
        <f t="shared" si="2"/>
        <v>22086.37697</v>
      </c>
      <c r="AN19" s="94">
        <f t="shared" si="2"/>
        <v>22846.93354</v>
      </c>
      <c r="AO19" s="94">
        <f t="shared" si="2"/>
        <v>23608.48765</v>
      </c>
      <c r="AP19" s="94">
        <f t="shared" si="2"/>
        <v>23542.55102</v>
      </c>
      <c r="AQ19" s="94">
        <f t="shared" si="2"/>
        <v>23476.61439</v>
      </c>
      <c r="AR19" s="94">
        <f t="shared" si="2"/>
        <v>23107.48486</v>
      </c>
      <c r="AS19" s="94">
        <f t="shared" si="2"/>
        <v>22402.23155</v>
      </c>
      <c r="AT19" s="94">
        <f t="shared" si="2"/>
        <v>21019.15704</v>
      </c>
      <c r="AU19" s="94">
        <f t="shared" si="2"/>
        <v>20964.25401</v>
      </c>
      <c r="AV19" s="94">
        <f t="shared" si="2"/>
        <v>22816.95685</v>
      </c>
      <c r="AW19" s="94">
        <f t="shared" si="2"/>
        <v>28538.44327</v>
      </c>
      <c r="AX19" s="94">
        <f t="shared" si="2"/>
        <v>32865.00323</v>
      </c>
      <c r="AY19" s="94">
        <f t="shared" si="2"/>
        <v>37362.88342</v>
      </c>
      <c r="AZ19" s="94">
        <f t="shared" si="2"/>
        <v>38811.23745</v>
      </c>
      <c r="BA19" s="94">
        <f t="shared" si="2"/>
        <v>41358.10854</v>
      </c>
      <c r="BB19" s="94">
        <f t="shared" si="2"/>
        <v>44741.33283</v>
      </c>
      <c r="BC19" s="94">
        <f t="shared" si="2"/>
        <v>43105.38102</v>
      </c>
      <c r="BD19" s="94">
        <f t="shared" si="2"/>
        <v>40415.19534</v>
      </c>
      <c r="BE19" s="94">
        <f t="shared" si="2"/>
        <v>35366.07476</v>
      </c>
      <c r="BF19" s="94">
        <f t="shared" si="2"/>
        <v>34880.02002</v>
      </c>
      <c r="BG19" s="94">
        <f t="shared" si="2"/>
        <v>40324.11544</v>
      </c>
      <c r="BH19" s="94">
        <f t="shared" si="2"/>
        <v>38976.64804</v>
      </c>
      <c r="BI19" s="94">
        <f t="shared" si="2"/>
        <v>44762.41294</v>
      </c>
      <c r="BJ19" s="94">
        <f t="shared" si="2"/>
        <v>36520.44886</v>
      </c>
      <c r="BK19" s="94">
        <f t="shared" si="2"/>
        <v>36684.2663</v>
      </c>
      <c r="BL19" s="94">
        <f t="shared" si="2"/>
        <v>36920.09686</v>
      </c>
      <c r="BM19" s="94">
        <f t="shared" si="2"/>
        <v>37048.44379</v>
      </c>
      <c r="BN19" s="94">
        <f t="shared" si="2"/>
        <v>37117.71934</v>
      </c>
      <c r="BO19" s="94">
        <f t="shared" si="2"/>
        <v>43643.12168</v>
      </c>
      <c r="BP19" s="94">
        <f t="shared" si="2"/>
        <v>46932.57749</v>
      </c>
      <c r="BQ19" s="94">
        <f t="shared" si="2"/>
        <v>50087.20085</v>
      </c>
      <c r="BR19" s="94">
        <f t="shared" si="2"/>
        <v>53291.95866</v>
      </c>
      <c r="BS19" s="94">
        <f t="shared" si="2"/>
        <v>53206.97151</v>
      </c>
      <c r="BT19" s="94">
        <f t="shared" si="2"/>
        <v>52939.80466</v>
      </c>
      <c r="BU19" s="94">
        <f t="shared" si="2"/>
        <v>56637.38652</v>
      </c>
      <c r="BV19" s="94">
        <f t="shared" si="2"/>
        <v>63883.18847</v>
      </c>
      <c r="BW19" s="94">
        <f t="shared" si="2"/>
        <v>71313.39942</v>
      </c>
      <c r="BX19" s="94">
        <f t="shared" si="2"/>
        <v>75632.45423</v>
      </c>
      <c r="BY19" s="94">
        <f t="shared" si="2"/>
        <v>79719.78285</v>
      </c>
      <c r="BZ19" s="94">
        <f t="shared" si="2"/>
        <v>84490.64141</v>
      </c>
      <c r="CA19" s="94">
        <f t="shared" si="2"/>
        <v>89100.72774</v>
      </c>
      <c r="CB19" s="94">
        <f t="shared" si="2"/>
        <v>90559.46487</v>
      </c>
      <c r="CC19" s="94">
        <f t="shared" si="2"/>
        <v>91960.00675</v>
      </c>
      <c r="CD19" s="94">
        <f t="shared" si="2"/>
        <v>93360.54862</v>
      </c>
      <c r="CE19" s="94">
        <f t="shared" si="2"/>
        <v>95142.02617</v>
      </c>
      <c r="CF19" s="94">
        <f t="shared" si="2"/>
        <v>96851.7304</v>
      </c>
      <c r="CG19" s="94">
        <f t="shared" si="2"/>
        <v>101895.8018</v>
      </c>
      <c r="CH19" s="94">
        <f t="shared" si="2"/>
        <v>106302.5961</v>
      </c>
      <c r="CI19" s="94">
        <f t="shared" si="2"/>
        <v>110759.2226</v>
      </c>
      <c r="CJ19" s="94">
        <f t="shared" si="2"/>
        <v>115576.6474</v>
      </c>
      <c r="CK19" s="94">
        <f t="shared" si="2"/>
        <v>120101.0292</v>
      </c>
      <c r="CL19" s="94">
        <f t="shared" si="2"/>
        <v>128047.5428</v>
      </c>
      <c r="CM19" s="94">
        <f t="shared" si="2"/>
        <v>132939.1222</v>
      </c>
      <c r="CN19" s="94">
        <f t="shared" si="2"/>
        <v>137587.3432</v>
      </c>
      <c r="CO19" s="94">
        <f t="shared" si="2"/>
        <v>139463.0934</v>
      </c>
      <c r="CP19" s="94">
        <f t="shared" si="2"/>
        <v>141338.8435</v>
      </c>
      <c r="CQ19" s="94"/>
      <c r="CR19" s="94"/>
      <c r="CS19" s="94"/>
    </row>
    <row r="20" ht="12.75" customHeight="1">
      <c r="B20" s="94"/>
      <c r="C20" s="94"/>
      <c r="D20" s="94"/>
      <c r="E20" s="94"/>
      <c r="F20" s="94"/>
      <c r="G20" s="94"/>
      <c r="H20" s="94"/>
      <c r="I20" s="94"/>
    </row>
    <row r="21" ht="12.75" customHeight="1">
      <c r="A21" s="91" t="s">
        <v>112</v>
      </c>
      <c r="B21" s="102">
        <f>+'Expenses 2'!B102</f>
        <v>29693.7035</v>
      </c>
      <c r="C21" s="102">
        <f>+'Expenses 2'!C102</f>
        <v>26720.25143</v>
      </c>
      <c r="D21" s="102">
        <f>+'Expenses 2'!D102</f>
        <v>26835.31486</v>
      </c>
      <c r="E21" s="102">
        <f>+'Expenses 2'!E102</f>
        <v>25597.29305</v>
      </c>
      <c r="F21" s="102">
        <f>+'Expenses 2'!F102</f>
        <v>25905.51877</v>
      </c>
      <c r="G21" s="102">
        <f>+'Expenses 2'!G102</f>
        <v>27008.95051</v>
      </c>
      <c r="H21" s="102">
        <f>+'Expenses 2'!H102</f>
        <v>32062.84042</v>
      </c>
      <c r="I21" s="102">
        <f>+'Expenses 2'!I102</f>
        <v>40740.50901</v>
      </c>
      <c r="J21" s="102">
        <f>+'Expenses 2'!J102</f>
        <v>28216.70063</v>
      </c>
      <c r="K21" s="102">
        <f>+'Expenses 2'!K102</f>
        <v>41454.49312</v>
      </c>
      <c r="L21" s="102">
        <f>+'Expenses 2'!L102</f>
        <v>44964.51157</v>
      </c>
      <c r="M21" s="102">
        <f>+'Expenses 2'!M102</f>
        <v>46683.86276</v>
      </c>
      <c r="N21" s="102">
        <f>+'Expenses 2'!N102</f>
        <v>44684.73995</v>
      </c>
      <c r="O21" s="102">
        <f>+'Expenses 2'!O102</f>
        <v>39193.74002</v>
      </c>
      <c r="P21" s="102">
        <f>+'Expenses 2'!P102</f>
        <v>41702.74009</v>
      </c>
      <c r="Q21" s="102">
        <f>+'Expenses 2'!Q102</f>
        <v>50249.88569</v>
      </c>
      <c r="R21" s="102">
        <f>+'Expenses 2'!R102</f>
        <v>86984.59156</v>
      </c>
      <c r="S21" s="102">
        <f>+'Expenses 2'!S102</f>
        <v>65136.88664</v>
      </c>
      <c r="T21" s="102">
        <f>+'Expenses 2'!T102</f>
        <v>81124.36012</v>
      </c>
      <c r="U21" s="102">
        <f>+'Expenses 2'!U102</f>
        <v>57382.47069</v>
      </c>
      <c r="V21" s="102">
        <f>+'Expenses 2'!V102</f>
        <v>55319.61688</v>
      </c>
      <c r="W21" s="102">
        <f>+'Expenses 2'!W102</f>
        <v>88561.71936</v>
      </c>
      <c r="X21" s="102">
        <f>+'Expenses 2'!X102</f>
        <v>59545.00258</v>
      </c>
      <c r="Y21" s="102">
        <f>+'Expenses 2'!Y102</f>
        <v>49508.84042</v>
      </c>
      <c r="Z21" s="102">
        <f>+'Expenses 2'!Z102</f>
        <v>43228.73024</v>
      </c>
      <c r="AA21" s="102">
        <f>+'Expenses 2'!AA102</f>
        <v>42037.50247</v>
      </c>
      <c r="AB21" s="102">
        <f>+'Expenses 2'!AB102</f>
        <v>35898.1392</v>
      </c>
      <c r="AC21" s="102">
        <f>+'Expenses 2'!AC102</f>
        <v>34469.52604</v>
      </c>
      <c r="AD21" s="102">
        <f>+'Expenses 2'!AD102</f>
        <v>36847.71431</v>
      </c>
      <c r="AE21" s="102">
        <f>+'Expenses 2'!AE102</f>
        <v>53469.55833</v>
      </c>
      <c r="AF21" s="102">
        <f>+'Expenses 2'!AF102</f>
        <v>119171.6145</v>
      </c>
      <c r="AG21" s="102">
        <f>+'Expenses 2'!AG102</f>
        <v>57600.35971</v>
      </c>
      <c r="AH21" s="102">
        <f>+'Expenses 2'!AH102</f>
        <v>28150.03816</v>
      </c>
      <c r="AI21" s="102">
        <f>+'Expenses 2'!AI102</f>
        <v>32135.35404</v>
      </c>
      <c r="AJ21" s="102">
        <f>+'Expenses 2'!AJ102</f>
        <v>26814.15515</v>
      </c>
      <c r="AK21" s="102">
        <f>+'Expenses 2'!AK102</f>
        <v>26466.5787</v>
      </c>
      <c r="AL21" s="102">
        <f>+'Expenses 2'!AL102</f>
        <v>26126.44117</v>
      </c>
      <c r="AM21" s="102">
        <f>+'Expenses 2'!AM102</f>
        <v>29885.85292</v>
      </c>
      <c r="AN21" s="102">
        <f>+'Expenses 2'!AN102</f>
        <v>29968.01221</v>
      </c>
      <c r="AO21" s="102">
        <f>+'Expenses 2'!AO102</f>
        <v>30050.27925</v>
      </c>
      <c r="AP21" s="102">
        <f>+'Expenses 2'!AP102</f>
        <v>40043.15643</v>
      </c>
      <c r="AQ21" s="102">
        <f>+'Expenses 2'!AQ102</f>
        <v>31036.03361</v>
      </c>
      <c r="AR21" s="102">
        <f>+'Expenses 2'!AR102</f>
        <v>31996.15832</v>
      </c>
      <c r="AS21" s="102">
        <f>+'Expenses 2'!AS102</f>
        <v>30919.97318</v>
      </c>
      <c r="AT21" s="102">
        <f>+'Expenses 2'!AT102</f>
        <v>29770.56627</v>
      </c>
      <c r="AU21" s="102">
        <f>+'Expenses 2'!AU102</f>
        <v>35764.63536</v>
      </c>
      <c r="AV21" s="102">
        <f>+'Expenses 2'!AV102</f>
        <v>44964.77397</v>
      </c>
      <c r="AW21" s="102">
        <f>+'Expenses 2'!AW102</f>
        <v>55582.83874</v>
      </c>
      <c r="AX21" s="102">
        <f>+'Expenses 2'!AX102</f>
        <v>56050.21629</v>
      </c>
      <c r="AY21" s="102">
        <f>+'Expenses 2'!AY102</f>
        <v>56536.10074</v>
      </c>
      <c r="AZ21" s="102">
        <f>+'Expenses 2'!AZ102</f>
        <v>56692.55949</v>
      </c>
      <c r="BA21" s="102">
        <f>+'Expenses 2'!BA102</f>
        <v>56967.68578</v>
      </c>
      <c r="BB21" s="102">
        <f>+'Expenses 2'!BB102</f>
        <v>60333.15929</v>
      </c>
      <c r="BC21" s="102">
        <f>+'Expenses 2'!BC102</f>
        <v>50156.43525</v>
      </c>
      <c r="BD21" s="102">
        <f>+'Expenses 2'!BD102</f>
        <v>49865.82738</v>
      </c>
      <c r="BE21" s="102">
        <f>+'Expenses 2'!BE102</f>
        <v>49320.39507</v>
      </c>
      <c r="BF21" s="102">
        <f>+'Expenses 2'!BF102</f>
        <v>49267.8889</v>
      </c>
      <c r="BG21" s="102">
        <f>+'Expenses 2'!BG102</f>
        <v>64455.98845</v>
      </c>
      <c r="BH21" s="102">
        <f>+'Expenses 2'!BH102</f>
        <v>47310.42801</v>
      </c>
      <c r="BI21" s="102">
        <f>+'Expenses 2'!BI102</f>
        <v>49145.1138</v>
      </c>
      <c r="BJ21" s="102">
        <f>+'Expenses 2'!BJ102</f>
        <v>44400.29519</v>
      </c>
      <c r="BK21" s="102">
        <f>+'Expenses 2'!BK102</f>
        <v>46415.09922</v>
      </c>
      <c r="BL21" s="102">
        <f>+'Expenses 2'!BL102</f>
        <v>44436.411</v>
      </c>
      <c r="BM21" s="102">
        <f>+'Expenses 2'!BM102</f>
        <v>46448.0096</v>
      </c>
      <c r="BN21" s="102">
        <f>+'Expenses 2'!BN102</f>
        <v>44454.26996</v>
      </c>
      <c r="BO21" s="102">
        <f>+'Expenses 2'!BO102</f>
        <v>46434.4993</v>
      </c>
      <c r="BP21" s="102">
        <f>+'Expenses 2'!BP102</f>
        <v>51685.8274</v>
      </c>
      <c r="BQ21" s="102">
        <f>+'Expenses 2'!BQ102</f>
        <v>59326.85375</v>
      </c>
      <c r="BR21" s="102">
        <f>+'Expenses 2'!BR102</f>
        <v>59571.71058</v>
      </c>
      <c r="BS21" s="102">
        <f>+'Expenses 2'!BS102</f>
        <v>62665.21721</v>
      </c>
      <c r="BT21" s="102">
        <f>+'Expenses 2'!BT102</f>
        <v>62644.80455</v>
      </c>
      <c r="BU21" s="102">
        <f>+'Expenses 2'!BU102</f>
        <v>67927.31519</v>
      </c>
      <c r="BV21" s="102">
        <f>+'Expenses 2'!BV102</f>
        <v>73480.92461</v>
      </c>
      <c r="BW21" s="102">
        <f>+'Expenses 2'!BW102</f>
        <v>74048.62364</v>
      </c>
      <c r="BX21" s="102">
        <f>+'Expenses 2'!BX102</f>
        <v>75378.61739</v>
      </c>
      <c r="BY21" s="102">
        <f>+'Expenses 2'!BY102</f>
        <v>80690.9063</v>
      </c>
      <c r="BZ21" s="102">
        <f>+'Expenses 2'!BZ102</f>
        <v>81055.41975</v>
      </c>
      <c r="CA21" s="102">
        <f>+'Expenses 2'!CA102</f>
        <v>80407.64952</v>
      </c>
      <c r="CB21" s="102">
        <f>+'Expenses 2'!CB102</f>
        <v>80519.10311</v>
      </c>
      <c r="CC21" s="102">
        <f>+'Expenses 2'!CC102</f>
        <v>81626.11034</v>
      </c>
      <c r="CD21" s="102">
        <f>+'Expenses 2'!CD102</f>
        <v>81733.11756</v>
      </c>
      <c r="CE21" s="102">
        <f>+'Expenses 2'!CE102</f>
        <v>89869.22986</v>
      </c>
      <c r="CF21" s="102">
        <f>+'Expenses 2'!CF102</f>
        <v>90999.85837</v>
      </c>
      <c r="CG21" s="102">
        <f>+'Expenses 2'!CG102</f>
        <v>96385.24642</v>
      </c>
      <c r="CH21" s="102">
        <f>+'Expenses 2'!CH102</f>
        <v>102721.9438</v>
      </c>
      <c r="CI21" s="102">
        <f>+'Expenses 2'!CI102</f>
        <v>104062.4486</v>
      </c>
      <c r="CJ21" s="102">
        <f>+'Expenses 2'!CJ102</f>
        <v>111430.5199</v>
      </c>
      <c r="CK21" s="102">
        <f>+'Expenses 2'!CK102</f>
        <v>111776.2015</v>
      </c>
      <c r="CL21" s="102">
        <f>+'Expenses 2'!CL102</f>
        <v>117383.3482</v>
      </c>
      <c r="CM21" s="102">
        <f>+'Expenses 2'!CM102</f>
        <v>117757.0853</v>
      </c>
      <c r="CN21" s="102">
        <f>+'Expenses 2'!CN102</f>
        <v>118112.2287</v>
      </c>
      <c r="CO21" s="102">
        <f>+'Expenses 2'!CO102</f>
        <v>118255.5438</v>
      </c>
      <c r="CP21" s="102">
        <f>+'Expenses 2'!CP102</f>
        <v>118398.8589</v>
      </c>
      <c r="CQ21" s="94"/>
      <c r="CR21" s="94"/>
      <c r="CS21" s="94"/>
    </row>
    <row r="22" ht="12.75" customHeight="1">
      <c r="B22" s="94"/>
      <c r="C22" s="94"/>
      <c r="D22" s="94"/>
      <c r="E22" s="94"/>
      <c r="F22" s="94"/>
      <c r="G22" s="94"/>
      <c r="H22" s="94"/>
      <c r="I22" s="94"/>
    </row>
    <row r="23" ht="12.75" customHeight="1">
      <c r="A23" s="91" t="s">
        <v>113</v>
      </c>
      <c r="B23" s="103">
        <f t="shared" ref="B23:CP23" si="3">+B19-B21</f>
        <v>-26923.4935</v>
      </c>
      <c r="C23" s="103">
        <f t="shared" si="3"/>
        <v>-23771.38662</v>
      </c>
      <c r="D23" s="103">
        <f t="shared" si="3"/>
        <v>-26100.07994</v>
      </c>
      <c r="E23" s="103">
        <f t="shared" si="3"/>
        <v>-21547.58092</v>
      </c>
      <c r="F23" s="103">
        <f t="shared" si="3"/>
        <v>-16452.47069</v>
      </c>
      <c r="G23" s="103">
        <f t="shared" si="3"/>
        <v>-14999.09602</v>
      </c>
      <c r="H23" s="103">
        <f t="shared" si="3"/>
        <v>-23043.1209</v>
      </c>
      <c r="I23" s="103">
        <f t="shared" si="3"/>
        <v>-25953.47146</v>
      </c>
      <c r="J23" s="103">
        <f t="shared" si="3"/>
        <v>-24887.35892</v>
      </c>
      <c r="K23" s="103">
        <f t="shared" si="3"/>
        <v>-46920.45025</v>
      </c>
      <c r="L23" s="103">
        <f t="shared" si="3"/>
        <v>-24958.9845</v>
      </c>
      <c r="M23" s="103">
        <f t="shared" si="3"/>
        <v>-18236.30878</v>
      </c>
      <c r="N23" s="103">
        <f t="shared" si="3"/>
        <v>-16231.11286</v>
      </c>
      <c r="O23" s="103">
        <f t="shared" si="3"/>
        <v>-14139.49012</v>
      </c>
      <c r="P23" s="103">
        <f t="shared" si="3"/>
        <v>-20047.86738</v>
      </c>
      <c r="Q23" s="103">
        <f t="shared" si="3"/>
        <v>-30211.64325</v>
      </c>
      <c r="R23" s="103">
        <f t="shared" si="3"/>
        <v>-63969.03116</v>
      </c>
      <c r="S23" s="103">
        <f t="shared" si="3"/>
        <v>-36710.96538</v>
      </c>
      <c r="T23" s="103">
        <f t="shared" si="3"/>
        <v>-42421.99224</v>
      </c>
      <c r="U23" s="103">
        <f t="shared" si="3"/>
        <v>-21669.75008</v>
      </c>
      <c r="V23" s="103">
        <f t="shared" si="3"/>
        <v>-24863.74689</v>
      </c>
      <c r="W23" s="103">
        <f t="shared" si="3"/>
        <v>-66271.94482</v>
      </c>
      <c r="X23" s="103">
        <f t="shared" si="3"/>
        <v>-35567.59509</v>
      </c>
      <c r="Y23" s="103">
        <f t="shared" si="3"/>
        <v>-23877.17456</v>
      </c>
      <c r="Z23" s="103">
        <f t="shared" si="3"/>
        <v>-17219.66212</v>
      </c>
      <c r="AA23" s="103">
        <f t="shared" si="3"/>
        <v>-15884.65404</v>
      </c>
      <c r="AB23" s="103">
        <f t="shared" si="3"/>
        <v>-11700.80771</v>
      </c>
      <c r="AC23" s="103">
        <f t="shared" si="3"/>
        <v>-12724.15813</v>
      </c>
      <c r="AD23" s="103">
        <f t="shared" si="3"/>
        <v>-16169.57702</v>
      </c>
      <c r="AE23" s="103">
        <f t="shared" si="3"/>
        <v>-28291.48626</v>
      </c>
      <c r="AF23" s="103">
        <f t="shared" si="3"/>
        <v>-89355.93758</v>
      </c>
      <c r="AG23" s="103">
        <f t="shared" si="3"/>
        <v>-27827.00031</v>
      </c>
      <c r="AH23" s="103">
        <f t="shared" si="3"/>
        <v>-1494.424247</v>
      </c>
      <c r="AI23" s="103">
        <f t="shared" si="3"/>
        <v>-1259.351801</v>
      </c>
      <c r="AJ23" s="103">
        <f t="shared" si="3"/>
        <v>1088.477377</v>
      </c>
      <c r="AK23" s="103">
        <f t="shared" si="3"/>
        <v>-1781.49558</v>
      </c>
      <c r="AL23" s="103">
        <f t="shared" si="3"/>
        <v>-4590.044632</v>
      </c>
      <c r="AM23" s="103">
        <f t="shared" si="3"/>
        <v>-7799.475951</v>
      </c>
      <c r="AN23" s="103">
        <f t="shared" si="3"/>
        <v>-7121.07867</v>
      </c>
      <c r="AO23" s="103">
        <f t="shared" si="3"/>
        <v>-6441.791602</v>
      </c>
      <c r="AP23" s="103">
        <f t="shared" si="3"/>
        <v>-16500.60541</v>
      </c>
      <c r="AQ23" s="103">
        <f t="shared" si="3"/>
        <v>-7559.419226</v>
      </c>
      <c r="AR23" s="103">
        <f t="shared" si="3"/>
        <v>-8888.673463</v>
      </c>
      <c r="AS23" s="103">
        <f t="shared" si="3"/>
        <v>-8517.741629</v>
      </c>
      <c r="AT23" s="103">
        <f t="shared" si="3"/>
        <v>-8751.409224</v>
      </c>
      <c r="AU23" s="103">
        <f t="shared" si="3"/>
        <v>-14800.38135</v>
      </c>
      <c r="AV23" s="103">
        <f t="shared" si="3"/>
        <v>-22147.81712</v>
      </c>
      <c r="AW23" s="103">
        <f t="shared" si="3"/>
        <v>-27044.39547</v>
      </c>
      <c r="AX23" s="103">
        <f t="shared" si="3"/>
        <v>-23185.21306</v>
      </c>
      <c r="AY23" s="103">
        <f t="shared" si="3"/>
        <v>-19173.21732</v>
      </c>
      <c r="AZ23" s="103">
        <f t="shared" si="3"/>
        <v>-17881.32204</v>
      </c>
      <c r="BA23" s="103">
        <f t="shared" si="3"/>
        <v>-15609.57724</v>
      </c>
      <c r="BB23" s="103">
        <f t="shared" si="3"/>
        <v>-15591.82646</v>
      </c>
      <c r="BC23" s="103">
        <f t="shared" si="3"/>
        <v>-7051.054236</v>
      </c>
      <c r="BD23" s="103">
        <f t="shared" si="3"/>
        <v>-9450.632044</v>
      </c>
      <c r="BE23" s="103">
        <f t="shared" si="3"/>
        <v>-13954.32031</v>
      </c>
      <c r="BF23" s="103">
        <f t="shared" si="3"/>
        <v>-14387.86888</v>
      </c>
      <c r="BG23" s="103">
        <f t="shared" si="3"/>
        <v>-24131.87301</v>
      </c>
      <c r="BH23" s="103">
        <f t="shared" si="3"/>
        <v>-8333.779965</v>
      </c>
      <c r="BI23" s="103">
        <f t="shared" si="3"/>
        <v>-4382.700865</v>
      </c>
      <c r="BJ23" s="103">
        <f t="shared" si="3"/>
        <v>-7879.846326</v>
      </c>
      <c r="BK23" s="103">
        <f t="shared" si="3"/>
        <v>-9730.832915</v>
      </c>
      <c r="BL23" s="103">
        <f t="shared" si="3"/>
        <v>-7516.314141</v>
      </c>
      <c r="BM23" s="103">
        <f t="shared" si="3"/>
        <v>-9399.565803</v>
      </c>
      <c r="BN23" s="103">
        <f t="shared" si="3"/>
        <v>-7336.550621</v>
      </c>
      <c r="BO23" s="103">
        <f t="shared" si="3"/>
        <v>-2791.377611</v>
      </c>
      <c r="BP23" s="103">
        <f t="shared" si="3"/>
        <v>-4753.249918</v>
      </c>
      <c r="BQ23" s="103">
        <f t="shared" si="3"/>
        <v>-9239.652909</v>
      </c>
      <c r="BR23" s="103">
        <f t="shared" si="3"/>
        <v>-6279.751922</v>
      </c>
      <c r="BS23" s="103">
        <f t="shared" si="3"/>
        <v>-9458.245703</v>
      </c>
      <c r="BT23" s="103">
        <f t="shared" si="3"/>
        <v>-9704.99989</v>
      </c>
      <c r="BU23" s="103">
        <f t="shared" si="3"/>
        <v>-11289.92867</v>
      </c>
      <c r="BV23" s="103">
        <f t="shared" si="3"/>
        <v>-9597.736137</v>
      </c>
      <c r="BW23" s="103">
        <f t="shared" si="3"/>
        <v>-2735.224213</v>
      </c>
      <c r="BX23" s="103">
        <f t="shared" si="3"/>
        <v>253.8368333</v>
      </c>
      <c r="BY23" s="103">
        <f t="shared" si="3"/>
        <v>-971.1234535</v>
      </c>
      <c r="BZ23" s="103">
        <f t="shared" si="3"/>
        <v>3435.221661</v>
      </c>
      <c r="CA23" s="103">
        <f t="shared" si="3"/>
        <v>8693.07822</v>
      </c>
      <c r="CB23" s="103">
        <f t="shared" si="3"/>
        <v>10040.36176</v>
      </c>
      <c r="CC23" s="103">
        <f t="shared" si="3"/>
        <v>10333.89641</v>
      </c>
      <c r="CD23" s="103">
        <f t="shared" si="3"/>
        <v>11627.43106</v>
      </c>
      <c r="CE23" s="103">
        <f t="shared" si="3"/>
        <v>5272.796309</v>
      </c>
      <c r="CF23" s="103">
        <f t="shared" si="3"/>
        <v>5851.872024</v>
      </c>
      <c r="CG23" s="103">
        <f t="shared" si="3"/>
        <v>5510.555396</v>
      </c>
      <c r="CH23" s="103">
        <f t="shared" si="3"/>
        <v>3580.652309</v>
      </c>
      <c r="CI23" s="103">
        <f t="shared" si="3"/>
        <v>6696.77398</v>
      </c>
      <c r="CJ23" s="103">
        <f t="shared" si="3"/>
        <v>4146.127484</v>
      </c>
      <c r="CK23" s="103">
        <f t="shared" si="3"/>
        <v>8324.827649</v>
      </c>
      <c r="CL23" s="103">
        <f t="shared" si="3"/>
        <v>10664.19458</v>
      </c>
      <c r="CM23" s="103">
        <f t="shared" si="3"/>
        <v>15182.03699</v>
      </c>
      <c r="CN23" s="103">
        <f t="shared" si="3"/>
        <v>19475.11457</v>
      </c>
      <c r="CO23" s="103">
        <f t="shared" si="3"/>
        <v>21207.54957</v>
      </c>
      <c r="CP23" s="103">
        <f t="shared" si="3"/>
        <v>22939.98456</v>
      </c>
      <c r="CQ23" s="103"/>
      <c r="CR23" s="103"/>
      <c r="CS23" s="103"/>
    </row>
    <row r="24" ht="12.75" customHeight="1">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t="s">
        <v>235</v>
      </c>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c r="CI24" s="103"/>
      <c r="CJ24" s="103"/>
      <c r="CK24" s="103"/>
      <c r="CL24" s="103"/>
      <c r="CM24" s="103"/>
      <c r="CN24" s="103"/>
      <c r="CO24" s="103"/>
      <c r="CP24" s="103"/>
      <c r="CQ24" s="103"/>
      <c r="CR24" s="103"/>
      <c r="CS24" s="103"/>
    </row>
    <row r="25" ht="12.75" customHeight="1">
      <c r="A25" s="91" t="s">
        <v>114</v>
      </c>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c r="CJ25" s="103"/>
      <c r="CK25" s="103"/>
      <c r="CL25" s="103"/>
      <c r="CM25" s="103"/>
      <c r="CN25" s="103"/>
      <c r="CO25" s="103"/>
      <c r="CP25" s="103"/>
      <c r="CQ25" s="103"/>
      <c r="CR25" s="103"/>
      <c r="CS25" s="103"/>
    </row>
    <row r="26" ht="12.75" customHeight="1">
      <c r="A26" s="91" t="s">
        <v>115</v>
      </c>
      <c r="B26" s="103">
        <f t="shared" ref="B26:CP26" si="4">+B17</f>
        <v>0</v>
      </c>
      <c r="C26" s="103">
        <f t="shared" si="4"/>
        <v>440.9001764</v>
      </c>
      <c r="D26" s="103">
        <f t="shared" si="4"/>
        <v>5339.791025</v>
      </c>
      <c r="E26" s="103">
        <f t="shared" si="4"/>
        <v>8139.157224</v>
      </c>
      <c r="F26" s="103">
        <f t="shared" si="4"/>
        <v>9928.953576</v>
      </c>
      <c r="G26" s="103">
        <f t="shared" si="4"/>
        <v>9785.956599</v>
      </c>
      <c r="H26" s="103">
        <f t="shared" si="4"/>
        <v>14033.73256</v>
      </c>
      <c r="I26" s="103">
        <f t="shared" si="4"/>
        <v>24081.31744</v>
      </c>
      <c r="J26" s="103">
        <f t="shared" si="4"/>
        <v>23314.78039</v>
      </c>
      <c r="K26" s="103">
        <f t="shared" si="4"/>
        <v>37659.49542</v>
      </c>
      <c r="L26" s="103">
        <f t="shared" si="4"/>
        <v>47427.64845</v>
      </c>
      <c r="M26" s="103">
        <f t="shared" si="4"/>
        <v>67441.89202</v>
      </c>
      <c r="N26" s="103">
        <f t="shared" si="4"/>
        <v>67456.29006</v>
      </c>
      <c r="O26" s="103">
        <f t="shared" si="4"/>
        <v>59397.09246</v>
      </c>
      <c r="P26" s="103">
        <f t="shared" si="4"/>
        <v>51337.89486</v>
      </c>
      <c r="Q26" s="103">
        <f t="shared" si="4"/>
        <v>47505.2096</v>
      </c>
      <c r="R26" s="103">
        <f t="shared" si="4"/>
        <v>54563.79489</v>
      </c>
      <c r="S26" s="103">
        <f t="shared" si="4"/>
        <v>67390.60545</v>
      </c>
      <c r="T26" s="103">
        <f t="shared" si="4"/>
        <v>91753.86656</v>
      </c>
      <c r="U26" s="103">
        <f t="shared" si="4"/>
        <v>84666.0511</v>
      </c>
      <c r="V26" s="103">
        <f t="shared" si="4"/>
        <v>72203.18054</v>
      </c>
      <c r="W26" s="103">
        <f t="shared" si="4"/>
        <v>52843.11155</v>
      </c>
      <c r="X26" s="103">
        <f t="shared" si="4"/>
        <v>56844.12898</v>
      </c>
      <c r="Y26" s="103">
        <f t="shared" si="4"/>
        <v>60766.02244</v>
      </c>
      <c r="Z26" s="103">
        <f t="shared" si="4"/>
        <v>61660.76263</v>
      </c>
      <c r="AA26" s="103">
        <f t="shared" si="4"/>
        <v>62001.63504</v>
      </c>
      <c r="AB26" s="103">
        <f t="shared" si="4"/>
        <v>57365.52185</v>
      </c>
      <c r="AC26" s="103">
        <f t="shared" si="4"/>
        <v>51552.43966</v>
      </c>
      <c r="AD26" s="103">
        <f t="shared" si="4"/>
        <v>49022.2637</v>
      </c>
      <c r="AE26" s="103">
        <f t="shared" si="4"/>
        <v>59690.6484</v>
      </c>
      <c r="AF26" s="103">
        <f t="shared" si="4"/>
        <v>70685.41946</v>
      </c>
      <c r="AG26" s="103">
        <f t="shared" si="4"/>
        <v>70585.09364</v>
      </c>
      <c r="AH26" s="103">
        <f t="shared" si="4"/>
        <v>63193.58467</v>
      </c>
      <c r="AI26" s="103">
        <f t="shared" si="4"/>
        <v>46961.89836</v>
      </c>
      <c r="AJ26" s="103">
        <f t="shared" si="4"/>
        <v>42439.37805</v>
      </c>
      <c r="AK26" s="103">
        <f t="shared" si="4"/>
        <v>37545.45836</v>
      </c>
      <c r="AL26" s="103">
        <f t="shared" si="4"/>
        <v>32756.27961</v>
      </c>
      <c r="AM26" s="103">
        <f t="shared" si="4"/>
        <v>33592.80447</v>
      </c>
      <c r="AN26" s="103">
        <f t="shared" si="4"/>
        <v>34749.6174</v>
      </c>
      <c r="AO26" s="103">
        <f t="shared" si="4"/>
        <v>35907.9476</v>
      </c>
      <c r="AP26" s="103">
        <f t="shared" si="4"/>
        <v>35807.65743</v>
      </c>
      <c r="AQ26" s="103">
        <f t="shared" si="4"/>
        <v>35707.36726</v>
      </c>
      <c r="AR26" s="103">
        <f t="shared" si="4"/>
        <v>35145.91814</v>
      </c>
      <c r="AS26" s="103">
        <f t="shared" si="4"/>
        <v>34073.22194</v>
      </c>
      <c r="AT26" s="103">
        <f t="shared" si="4"/>
        <v>31969.55399</v>
      </c>
      <c r="AU26" s="103">
        <f t="shared" si="4"/>
        <v>31886.04601</v>
      </c>
      <c r="AV26" s="103">
        <f t="shared" si="4"/>
        <v>34704.0226</v>
      </c>
      <c r="AW26" s="103">
        <f t="shared" si="4"/>
        <v>43406.45152</v>
      </c>
      <c r="AX26" s="103">
        <f t="shared" si="4"/>
        <v>49987.18559</v>
      </c>
      <c r="AY26" s="103">
        <f t="shared" si="4"/>
        <v>56828.49915</v>
      </c>
      <c r="AZ26" s="103">
        <f t="shared" si="4"/>
        <v>59031.4578</v>
      </c>
      <c r="BA26" s="103">
        <f t="shared" si="4"/>
        <v>62905.27013</v>
      </c>
      <c r="BB26" s="103">
        <f t="shared" si="4"/>
        <v>68051.18271</v>
      </c>
      <c r="BC26" s="103">
        <f t="shared" si="4"/>
        <v>65562.88625</v>
      </c>
      <c r="BD26" s="103">
        <f t="shared" si="4"/>
        <v>61471.09122</v>
      </c>
      <c r="BE26" s="103">
        <f t="shared" si="4"/>
        <v>53791.33639</v>
      </c>
      <c r="BF26" s="103">
        <f t="shared" si="4"/>
        <v>53052.04306</v>
      </c>
      <c r="BG26" s="103">
        <f t="shared" si="4"/>
        <v>61332.55794</v>
      </c>
      <c r="BH26" s="103">
        <f t="shared" si="4"/>
        <v>59283.0487</v>
      </c>
      <c r="BI26" s="103">
        <f t="shared" si="4"/>
        <v>49639.30943</v>
      </c>
      <c r="BJ26" s="103">
        <f t="shared" si="4"/>
        <v>40499.27545</v>
      </c>
      <c r="BK26" s="103">
        <f t="shared" si="4"/>
        <v>40680.94295</v>
      </c>
      <c r="BL26" s="103">
        <f t="shared" si="4"/>
        <v>40942.47034</v>
      </c>
      <c r="BM26" s="103">
        <f t="shared" si="4"/>
        <v>41084.80235</v>
      </c>
      <c r="BN26" s="103">
        <f t="shared" si="4"/>
        <v>41161.62637</v>
      </c>
      <c r="BO26" s="103">
        <f t="shared" si="4"/>
        <v>34174.83154</v>
      </c>
      <c r="BP26" s="103">
        <f t="shared" si="4"/>
        <v>36750.67583</v>
      </c>
      <c r="BQ26" s="103">
        <f t="shared" si="4"/>
        <v>39220.93811</v>
      </c>
      <c r="BR26" s="103">
        <f t="shared" si="4"/>
        <v>41730.45871</v>
      </c>
      <c r="BS26" s="103">
        <f t="shared" si="4"/>
        <v>41663.9086</v>
      </c>
      <c r="BT26" s="103">
        <f t="shared" si="4"/>
        <v>41454.70068</v>
      </c>
      <c r="BU26" s="103">
        <f t="shared" si="4"/>
        <v>44350.13254</v>
      </c>
      <c r="BV26" s="103">
        <f t="shared" si="4"/>
        <v>50024.03688</v>
      </c>
      <c r="BW26" s="103">
        <f t="shared" si="4"/>
        <v>55842.34472</v>
      </c>
      <c r="BX26" s="103">
        <f t="shared" si="4"/>
        <v>59224.42775</v>
      </c>
      <c r="BY26" s="103">
        <f t="shared" si="4"/>
        <v>62425.05507</v>
      </c>
      <c r="BZ26" s="103">
        <f t="shared" si="4"/>
        <v>66160.92797</v>
      </c>
      <c r="CA26" s="103">
        <f t="shared" si="4"/>
        <v>69770.90642</v>
      </c>
      <c r="CB26" s="103">
        <f t="shared" si="4"/>
        <v>70913.18646</v>
      </c>
      <c r="CC26" s="103">
        <f t="shared" si="4"/>
        <v>72009.89607</v>
      </c>
      <c r="CD26" s="103">
        <f t="shared" si="4"/>
        <v>73106.60568</v>
      </c>
      <c r="CE26" s="103">
        <f t="shared" si="4"/>
        <v>74501.61113</v>
      </c>
      <c r="CF26" s="103">
        <f t="shared" si="4"/>
        <v>75840.4137</v>
      </c>
      <c r="CG26" s="103">
        <f t="shared" si="4"/>
        <v>79790.22891</v>
      </c>
      <c r="CH26" s="103">
        <f t="shared" si="4"/>
        <v>83241.01734</v>
      </c>
      <c r="CI26" s="103">
        <f t="shared" si="4"/>
        <v>86730.82737</v>
      </c>
      <c r="CJ26" s="103">
        <f t="shared" si="4"/>
        <v>90503.16448</v>
      </c>
      <c r="CK26" s="103">
        <f t="shared" si="4"/>
        <v>94046.03102</v>
      </c>
      <c r="CL26" s="103">
        <f t="shared" si="4"/>
        <v>100268.6353</v>
      </c>
      <c r="CM26" s="103">
        <f t="shared" si="4"/>
        <v>104099.04</v>
      </c>
      <c r="CN26" s="103">
        <f t="shared" si="4"/>
        <v>107738.8802</v>
      </c>
      <c r="CO26" s="103">
        <f t="shared" si="4"/>
        <v>109207.7068</v>
      </c>
      <c r="CP26" s="103">
        <f t="shared" si="4"/>
        <v>110676.5334</v>
      </c>
      <c r="CQ26" s="103"/>
      <c r="CR26" s="103"/>
      <c r="CS26" s="103"/>
    </row>
    <row r="27" ht="12.75" customHeight="1">
      <c r="A27" s="91" t="s">
        <v>116</v>
      </c>
      <c r="B27" s="103">
        <f>-COGS!B32-COGS!B23</f>
        <v>-6120.482226</v>
      </c>
      <c r="C27" s="103">
        <f>-COGS!C23</f>
        <v>-8139.157224</v>
      </c>
      <c r="D27" s="103">
        <f>-COGS!D23</f>
        <v>-9928.953576</v>
      </c>
      <c r="E27" s="103">
        <f>-COGS!E23</f>
        <v>-9785.956599</v>
      </c>
      <c r="F27" s="103">
        <f>-COGS!F23</f>
        <v>-14033.73256</v>
      </c>
      <c r="G27" s="103">
        <f>-COGS!G23</f>
        <v>-24081.31744</v>
      </c>
      <c r="H27" s="103">
        <f>-COGS!H23</f>
        <v>-23314.78039</v>
      </c>
      <c r="I27" s="103">
        <f>-COGS!I23</f>
        <v>-37659.49542</v>
      </c>
      <c r="J27" s="103">
        <f>-COGS!J23</f>
        <v>-47427.64845</v>
      </c>
      <c r="K27" s="103">
        <f>-COGS!K23</f>
        <v>-67441.89202</v>
      </c>
      <c r="L27" s="103">
        <f>-COGS!L23</f>
        <v>-67456.29006</v>
      </c>
      <c r="M27" s="103">
        <f>-COGS!M23</f>
        <v>-59397.09246</v>
      </c>
      <c r="N27" s="103">
        <f>-COGS!N23</f>
        <v>-51337.89486</v>
      </c>
      <c r="O27" s="103">
        <f>-COGS!O23</f>
        <v>-47505.2096</v>
      </c>
      <c r="P27" s="103">
        <f>-COGS!P23</f>
        <v>-54563.79489</v>
      </c>
      <c r="Q27" s="103">
        <f>-COGS!Q23</f>
        <v>-67390.60545</v>
      </c>
      <c r="R27" s="103">
        <f>-COGS!R23</f>
        <v>-91753.86656</v>
      </c>
      <c r="S27" s="103">
        <f>-COGS!S23</f>
        <v>-84666.0511</v>
      </c>
      <c r="T27" s="103">
        <f>-COGS!T23</f>
        <v>-72203.18054</v>
      </c>
      <c r="U27" s="103">
        <f>-COGS!U23</f>
        <v>-52843.11155</v>
      </c>
      <c r="V27" s="103">
        <f>-COGS!V23</f>
        <v>-56844.12898</v>
      </c>
      <c r="W27" s="103">
        <f>-COGS!W23</f>
        <v>-60766.02244</v>
      </c>
      <c r="X27" s="103">
        <f>-COGS!X23</f>
        <v>-61660.76263</v>
      </c>
      <c r="Y27" s="103">
        <f>-COGS!Y23</f>
        <v>-62001.63504</v>
      </c>
      <c r="Z27" s="103">
        <f>-COGS!Z23</f>
        <v>-57365.52185</v>
      </c>
      <c r="AA27" s="103">
        <f>-COGS!AA23</f>
        <v>-51552.43966</v>
      </c>
      <c r="AB27" s="103">
        <f>-COGS!AB23</f>
        <v>-49022.2637</v>
      </c>
      <c r="AC27" s="103">
        <f>-COGS!AC23</f>
        <v>-59690.6484</v>
      </c>
      <c r="AD27" s="103">
        <f>-COGS!AD23</f>
        <v>-70685.41946</v>
      </c>
      <c r="AE27" s="103">
        <f>-COGS!AE23</f>
        <v>-70585.09364</v>
      </c>
      <c r="AF27" s="103">
        <f>-COGS!AF23</f>
        <v>-63193.58467</v>
      </c>
      <c r="AG27" s="103">
        <f>-COGS!AG23</f>
        <v>-46961.89836</v>
      </c>
      <c r="AH27" s="103">
        <f>-COGS!AH23</f>
        <v>-42439.37805</v>
      </c>
      <c r="AI27" s="103">
        <f>-COGS!AI23</f>
        <v>-37545.45836</v>
      </c>
      <c r="AJ27" s="103">
        <f>-COGS!AJ23</f>
        <v>-32756.27961</v>
      </c>
      <c r="AK27" s="103">
        <f>-COGS!AK23</f>
        <v>-33592.80447</v>
      </c>
      <c r="AL27" s="103">
        <f>-COGS!AL23</f>
        <v>-34749.6174</v>
      </c>
      <c r="AM27" s="103">
        <f>-COGS!AM23</f>
        <v>-35907.9476</v>
      </c>
      <c r="AN27" s="103">
        <f>-COGS!AN23</f>
        <v>-35807.65743</v>
      </c>
      <c r="AO27" s="103">
        <f>-COGS!AO23</f>
        <v>-35707.36726</v>
      </c>
      <c r="AP27" s="103">
        <f>-COGS!AP23</f>
        <v>-35145.91814</v>
      </c>
      <c r="AQ27" s="103">
        <f>-COGS!AQ23</f>
        <v>-34073.22194</v>
      </c>
      <c r="AR27" s="103">
        <f>-COGS!AR23</f>
        <v>-31969.55399</v>
      </c>
      <c r="AS27" s="103">
        <f>-COGS!AS23</f>
        <v>-31886.04601</v>
      </c>
      <c r="AT27" s="103">
        <f>-COGS!AT23</f>
        <v>-34704.0226</v>
      </c>
      <c r="AU27" s="103">
        <f>-COGS!AU23</f>
        <v>-43406.45152</v>
      </c>
      <c r="AV27" s="103">
        <f>-COGS!AV23</f>
        <v>-49987.18559</v>
      </c>
      <c r="AW27" s="103">
        <f>-COGS!AW23</f>
        <v>-56828.49915</v>
      </c>
      <c r="AX27" s="103">
        <f>-COGS!AX23</f>
        <v>-59031.4578</v>
      </c>
      <c r="AY27" s="103">
        <f>-COGS!AY23</f>
        <v>-62905.27013</v>
      </c>
      <c r="AZ27" s="103">
        <f>-COGS!AZ23</f>
        <v>-68051.18271</v>
      </c>
      <c r="BA27" s="103">
        <f>-COGS!BA23</f>
        <v>-65562.88625</v>
      </c>
      <c r="BB27" s="103">
        <f>-COGS!BB23</f>
        <v>-61471.09122</v>
      </c>
      <c r="BC27" s="103">
        <f>-COGS!BC23</f>
        <v>-53791.33639</v>
      </c>
      <c r="BD27" s="103">
        <f>-COGS!BD23</f>
        <v>-53052.04306</v>
      </c>
      <c r="BE27" s="103">
        <f>-COGS!BE23</f>
        <v>-61332.55794</v>
      </c>
      <c r="BF27" s="103">
        <f>-COGS!BF23</f>
        <v>-59283.0487</v>
      </c>
      <c r="BG27" s="103">
        <f>-COGS!BG23</f>
        <v>-49639.30943</v>
      </c>
      <c r="BH27" s="103">
        <f>-COGS!BH23</f>
        <v>-40499.27545</v>
      </c>
      <c r="BI27" s="103">
        <f>-COGS!BI23</f>
        <v>-40680.94295</v>
      </c>
      <c r="BJ27" s="103">
        <f>-COGS!BJ23</f>
        <v>-40942.47034</v>
      </c>
      <c r="BK27" s="103">
        <f>-COGS!BK23</f>
        <v>-41084.80235</v>
      </c>
      <c r="BL27" s="103">
        <f>-COGS!BL23</f>
        <v>-41161.62637</v>
      </c>
      <c r="BM27" s="103">
        <f>-COGS!BM23</f>
        <v>-34174.83154</v>
      </c>
      <c r="BN27" s="103">
        <f>-COGS!BN23</f>
        <v>-36750.67583</v>
      </c>
      <c r="BO27" s="103">
        <f>-COGS!BO23</f>
        <v>-39220.93811</v>
      </c>
      <c r="BP27" s="103">
        <f>-COGS!BP23</f>
        <v>-41730.45871</v>
      </c>
      <c r="BQ27" s="103">
        <f>-COGS!BQ23</f>
        <v>-41663.9086</v>
      </c>
      <c r="BR27" s="103">
        <f>-COGS!BR23</f>
        <v>-41454.70068</v>
      </c>
      <c r="BS27" s="103">
        <f>-COGS!BS23</f>
        <v>-44350.13254</v>
      </c>
      <c r="BT27" s="103">
        <f>-COGS!BT23</f>
        <v>-50024.03688</v>
      </c>
      <c r="BU27" s="103">
        <f>-COGS!BU23</f>
        <v>-55842.34472</v>
      </c>
      <c r="BV27" s="103">
        <f>-COGS!BV23</f>
        <v>-59224.42775</v>
      </c>
      <c r="BW27" s="103">
        <f>-COGS!BW23</f>
        <v>-62425.05507</v>
      </c>
      <c r="BX27" s="103">
        <f>-COGS!BX23</f>
        <v>-66160.92797</v>
      </c>
      <c r="BY27" s="103">
        <f>-COGS!BY23</f>
        <v>-69770.90642</v>
      </c>
      <c r="BZ27" s="103">
        <f>-COGS!BZ23</f>
        <v>-70913.18646</v>
      </c>
      <c r="CA27" s="103">
        <f>-COGS!CA23</f>
        <v>-72009.89607</v>
      </c>
      <c r="CB27" s="103">
        <f>-COGS!CB23</f>
        <v>-73106.60568</v>
      </c>
      <c r="CC27" s="103">
        <f>-COGS!CC23</f>
        <v>-74501.61113</v>
      </c>
      <c r="CD27" s="103">
        <f>-COGS!CD23</f>
        <v>-75840.4137</v>
      </c>
      <c r="CE27" s="103">
        <f>-COGS!CE23</f>
        <v>-79790.22891</v>
      </c>
      <c r="CF27" s="103">
        <f>-COGS!CF23</f>
        <v>-83241.01734</v>
      </c>
      <c r="CG27" s="103">
        <f>-COGS!CG23</f>
        <v>-86730.82737</v>
      </c>
      <c r="CH27" s="103">
        <f>-COGS!CH23</f>
        <v>-90503.16448</v>
      </c>
      <c r="CI27" s="103">
        <f>-COGS!CI23</f>
        <v>-94046.03102</v>
      </c>
      <c r="CJ27" s="103">
        <f>-COGS!CJ23</f>
        <v>-100268.6353</v>
      </c>
      <c r="CK27" s="103">
        <f>-COGS!CK23</f>
        <v>-104099.04</v>
      </c>
      <c r="CL27" s="103">
        <f>-COGS!CL23</f>
        <v>-107738.8802</v>
      </c>
      <c r="CM27" s="103">
        <f>-COGS!CM23</f>
        <v>-109207.7068</v>
      </c>
      <c r="CN27" s="103">
        <f>-COGS!CN23</f>
        <v>-110676.5334</v>
      </c>
      <c r="CO27" s="103">
        <f>-COGS!CO23</f>
        <v>-110676.5334</v>
      </c>
      <c r="CP27" s="103">
        <f>-COGS!CP23</f>
        <v>-110676.5334</v>
      </c>
      <c r="CQ27" s="103"/>
      <c r="CR27" s="103"/>
      <c r="CS27" s="103"/>
    </row>
    <row r="28" ht="12.75" customHeight="1">
      <c r="A28" s="91" t="s">
        <v>117</v>
      </c>
      <c r="B28" s="103">
        <f>'Expenses 2'!B89</f>
        <v>1500</v>
      </c>
      <c r="C28" s="103">
        <f>'Expenses 2'!C89</f>
        <v>3500</v>
      </c>
      <c r="D28" s="103">
        <f>'Expenses 2'!D89</f>
        <v>3500</v>
      </c>
      <c r="E28" s="103">
        <f>'Expenses 2'!E89</f>
        <v>2000</v>
      </c>
      <c r="F28" s="103">
        <f>'Expenses 2'!F89</f>
        <v>2000</v>
      </c>
      <c r="G28" s="103">
        <f>'Expenses 2'!G89</f>
        <v>3000</v>
      </c>
      <c r="H28" s="103">
        <f>'Expenses 2'!H89</f>
        <v>5000</v>
      </c>
      <c r="I28" s="103">
        <f>'Expenses 2'!I89</f>
        <v>12000</v>
      </c>
      <c r="J28" s="103">
        <f>'Expenses 2'!J89</f>
        <v>2000</v>
      </c>
      <c r="K28" s="103">
        <f>'Expenses 2'!K89</f>
        <v>15000</v>
      </c>
      <c r="L28" s="103">
        <f>'Expenses 2'!L89</f>
        <v>17000</v>
      </c>
      <c r="M28" s="103">
        <f>'Expenses 2'!M89</f>
        <v>17000</v>
      </c>
      <c r="N28" s="103">
        <f>'Expenses 2'!N89</f>
        <v>15000</v>
      </c>
      <c r="O28" s="103">
        <f>'Expenses 2'!O89</f>
        <v>10000</v>
      </c>
      <c r="P28" s="103">
        <f>'Expenses 2'!P89</f>
        <v>10000</v>
      </c>
      <c r="Q28" s="103">
        <f>'Expenses 2'!Q89</f>
        <v>10000</v>
      </c>
      <c r="R28" s="103">
        <f>'Expenses 2'!R89</f>
        <v>15000</v>
      </c>
      <c r="S28" s="103">
        <f>'Expenses 2'!S89</f>
        <v>20000</v>
      </c>
      <c r="T28" s="103">
        <f>'Expenses 2'!T89</f>
        <v>30000</v>
      </c>
      <c r="U28" s="103">
        <f>'Expenses 2'!U89</f>
        <v>8000</v>
      </c>
      <c r="V28" s="103">
        <f>'Expenses 2'!V89</f>
        <v>8000</v>
      </c>
      <c r="W28" s="103">
        <f>'Expenses 2'!W89</f>
        <v>10000</v>
      </c>
      <c r="X28" s="103">
        <f>'Expenses 2'!X89</f>
        <v>10000</v>
      </c>
      <c r="Y28" s="103">
        <f>'Expenses 2'!Y89</f>
        <v>10000</v>
      </c>
      <c r="Z28" s="103">
        <f>'Expenses 2'!Z89</f>
        <v>10000</v>
      </c>
      <c r="AA28" s="103">
        <f>'Expenses 2'!AA89</f>
        <v>10000</v>
      </c>
      <c r="AB28" s="103">
        <f>'Expenses 2'!AB89</f>
        <v>5000</v>
      </c>
      <c r="AC28" s="103">
        <f>'Expenses 2'!AC89</f>
        <v>5000</v>
      </c>
      <c r="AD28" s="103">
        <f>'Expenses 2'!AD89</f>
        <v>8000</v>
      </c>
      <c r="AE28" s="103">
        <f>'Expenses 2'!AE89</f>
        <v>15000</v>
      </c>
      <c r="AF28" s="103">
        <f>'Expenses 2'!AF89</f>
        <v>15000</v>
      </c>
      <c r="AG28" s="103">
        <f>'Expenses 2'!AG89</f>
        <v>10000</v>
      </c>
      <c r="AH28" s="103">
        <f>'Expenses 2'!AH28</f>
        <v>10000</v>
      </c>
      <c r="AI28" s="103">
        <f>'Expenses 2'!AI28</f>
        <v>10000</v>
      </c>
      <c r="AJ28" s="103">
        <f>'Expenses 2'!AJ28</f>
        <v>5000</v>
      </c>
      <c r="AK28" s="103">
        <f>'Expenses 2'!AK28</f>
        <v>5000</v>
      </c>
      <c r="AL28" s="103">
        <f>'Expenses 2'!AL28</f>
        <v>5000</v>
      </c>
      <c r="AM28" s="103">
        <f>'Expenses 2'!AM28</f>
        <v>7000</v>
      </c>
      <c r="AN28" s="103">
        <f>'Expenses 2'!AN28</f>
        <v>7000</v>
      </c>
      <c r="AO28" s="103">
        <f>'Expenses 2'!AO28</f>
        <v>7000</v>
      </c>
      <c r="AP28" s="103">
        <f>'Expenses 2'!AP28</f>
        <v>7000</v>
      </c>
      <c r="AQ28" s="103">
        <f>'Expenses 2'!AQ28</f>
        <v>7000</v>
      </c>
      <c r="AR28" s="103">
        <f>'Expenses 2'!AR28</f>
        <v>7000</v>
      </c>
      <c r="AS28" s="103">
        <f>'Expenses 2'!AS28</f>
        <v>7000</v>
      </c>
      <c r="AT28" s="103">
        <f>'Expenses 2'!AT28</f>
        <v>5000</v>
      </c>
      <c r="AU28" s="103">
        <f>'Expenses 2'!AU28</f>
        <v>8000</v>
      </c>
      <c r="AV28" s="103">
        <f>'Expenses 2'!AV28</f>
        <v>15000</v>
      </c>
      <c r="AW28" s="103">
        <f>'Expenses 2'!AW28</f>
        <v>25000</v>
      </c>
      <c r="AX28" s="103">
        <f>'Expenses 2'!AX28</f>
        <v>25000</v>
      </c>
      <c r="AY28" s="103">
        <f>'Expenses 2'!AY28</f>
        <v>25000</v>
      </c>
      <c r="AZ28" s="103">
        <f>'Expenses 2'!AZ28</f>
        <v>25000</v>
      </c>
      <c r="BA28" s="103">
        <f>'Expenses 2'!BA28</f>
        <v>25000</v>
      </c>
      <c r="BB28" s="103">
        <f>'Expenses 2'!BB28</f>
        <v>25000</v>
      </c>
      <c r="BC28" s="103">
        <f>'Expenses 2'!BC28</f>
        <v>15000</v>
      </c>
      <c r="BD28" s="103">
        <f>'Expenses 2'!BD28</f>
        <v>15000</v>
      </c>
      <c r="BE28" s="103">
        <f>'Expenses 2'!BE28</f>
        <v>15000</v>
      </c>
      <c r="BF28" s="103">
        <f>'Expenses 2'!BF28</f>
        <v>15000</v>
      </c>
      <c r="BG28" s="103">
        <f>'Expenses 2'!BG28</f>
        <v>25000</v>
      </c>
      <c r="BH28" s="103">
        <f>'Expenses 2'!BH28</f>
        <v>10000</v>
      </c>
      <c r="BI28" s="103">
        <f>'Expenses 2'!BI28</f>
        <v>10000</v>
      </c>
      <c r="BJ28" s="103">
        <f>'Expenses 2'!BJ28</f>
        <v>10000</v>
      </c>
      <c r="BK28" s="103">
        <f>'Expenses 2'!BK28</f>
        <v>10000</v>
      </c>
      <c r="BL28" s="103">
        <f>'Expenses 2'!BL28</f>
        <v>10000</v>
      </c>
      <c r="BM28" s="103">
        <f>'Expenses 2'!BM28</f>
        <v>10000</v>
      </c>
      <c r="BN28" s="103">
        <f>'Expenses 2'!BN28</f>
        <v>10000</v>
      </c>
      <c r="BO28" s="103">
        <f>'Expenses 2'!BO28</f>
        <v>10000</v>
      </c>
      <c r="BP28" s="103">
        <f>'Expenses 2'!BP28</f>
        <v>15000</v>
      </c>
      <c r="BQ28" s="103">
        <f>'Expenses 2'!BQ28</f>
        <v>15000</v>
      </c>
      <c r="BR28" s="103">
        <f>'Expenses 2'!BR28</f>
        <v>15000</v>
      </c>
      <c r="BS28" s="103">
        <f>'Expenses 2'!BS28</f>
        <v>15000</v>
      </c>
      <c r="BT28" s="103">
        <f>'Expenses 2'!BT28</f>
        <v>15000</v>
      </c>
      <c r="BU28" s="103">
        <f>'Expenses 2'!BU28</f>
        <v>20000</v>
      </c>
      <c r="BV28" s="103">
        <f>'Expenses 2'!BV28</f>
        <v>25000</v>
      </c>
      <c r="BW28" s="103">
        <f>'Expenses 2'!BW28</f>
        <v>25000</v>
      </c>
      <c r="BX28" s="103">
        <f>'Expenses 2'!BX28</f>
        <v>25000</v>
      </c>
      <c r="BY28" s="103">
        <f>'Expenses 2'!BY28</f>
        <v>30000</v>
      </c>
      <c r="BZ28" s="103">
        <f>'Expenses 2'!BZ28</f>
        <v>30000</v>
      </c>
      <c r="CA28" s="103">
        <f>'Expenses 2'!CA28</f>
        <v>30000</v>
      </c>
      <c r="CB28" s="103">
        <f>'Expenses 2'!CB28</f>
        <v>30000</v>
      </c>
      <c r="CC28" s="103">
        <f>'Expenses 2'!CC28</f>
        <v>30000</v>
      </c>
      <c r="CD28" s="103">
        <f>'Expenses 2'!CD28</f>
        <v>30000</v>
      </c>
      <c r="CE28" s="103">
        <f>'Expenses 2'!CE28</f>
        <v>35000</v>
      </c>
      <c r="CF28" s="103">
        <f>'Expenses 2'!CF28</f>
        <v>35000</v>
      </c>
      <c r="CG28" s="103">
        <f>'Expenses 2'!CG28</f>
        <v>40000</v>
      </c>
      <c r="CH28" s="103">
        <f>'Expenses 2'!CH28</f>
        <v>40000</v>
      </c>
      <c r="CI28" s="103">
        <f>'Expenses 2'!CI28</f>
        <v>40000</v>
      </c>
      <c r="CJ28" s="103">
        <f>'Expenses 2'!CJ28</f>
        <v>45000</v>
      </c>
      <c r="CK28" s="103">
        <f>'Expenses 2'!CK28</f>
        <v>45000</v>
      </c>
      <c r="CL28" s="103">
        <f>'Expenses 2'!CL28</f>
        <v>50000</v>
      </c>
      <c r="CM28" s="103">
        <f>'Expenses 2'!CM28</f>
        <v>50000</v>
      </c>
      <c r="CN28" s="103">
        <f>'Expenses 2'!CN28</f>
        <v>50000</v>
      </c>
      <c r="CO28" s="103">
        <f>'Expenses 2'!CO28</f>
        <v>50000</v>
      </c>
      <c r="CP28" s="103">
        <f>'Expenses 2'!CP28</f>
        <v>50000</v>
      </c>
      <c r="CQ28" s="103"/>
      <c r="CR28" s="103"/>
      <c r="CS28" s="103"/>
    </row>
    <row r="29" ht="12.75" customHeight="1">
      <c r="A29" s="91" t="s">
        <v>118</v>
      </c>
      <c r="B29" s="103">
        <f>-'Expenses 2'!C89</f>
        <v>-3500</v>
      </c>
      <c r="C29" s="103">
        <f>-'Expenses 2'!D89</f>
        <v>-3500</v>
      </c>
      <c r="D29" s="103">
        <f>-'Expenses 2'!E89</f>
        <v>-2000</v>
      </c>
      <c r="E29" s="103">
        <f>-'Expenses 2'!F89</f>
        <v>-2000</v>
      </c>
      <c r="F29" s="103">
        <f>-'Expenses 2'!G89</f>
        <v>-3000</v>
      </c>
      <c r="G29" s="103">
        <f>-'Expenses 2'!H89</f>
        <v>-5000</v>
      </c>
      <c r="H29" s="103">
        <f>-'Expenses 2'!I89</f>
        <v>-12000</v>
      </c>
      <c r="I29" s="103">
        <f>-'Expenses 2'!J89</f>
        <v>-2000</v>
      </c>
      <c r="J29" s="103">
        <f>-'Expenses 2'!K89</f>
        <v>-15000</v>
      </c>
      <c r="K29" s="103">
        <f>-'Expenses 2'!L89</f>
        <v>-17000</v>
      </c>
      <c r="L29" s="103">
        <f>-'Expenses 2'!M89</f>
        <v>-17000</v>
      </c>
      <c r="M29" s="103">
        <f>-'Expenses 2'!N89</f>
        <v>-15000</v>
      </c>
      <c r="N29" s="103">
        <f>-'Expenses 2'!O89</f>
        <v>-10000</v>
      </c>
      <c r="O29" s="103">
        <f>-'Expenses 2'!P89</f>
        <v>-10000</v>
      </c>
      <c r="P29" s="103">
        <f>-'Expenses 2'!Q89</f>
        <v>-10000</v>
      </c>
      <c r="Q29" s="103">
        <f>-'Expenses 2'!R89</f>
        <v>-15000</v>
      </c>
      <c r="R29" s="103">
        <f>-'Expenses 2'!S89</f>
        <v>-20000</v>
      </c>
      <c r="S29" s="103">
        <f>-'Expenses 2'!T89</f>
        <v>-30000</v>
      </c>
      <c r="T29" s="103">
        <f>-'Expenses 2'!U89</f>
        <v>-8000</v>
      </c>
      <c r="U29" s="103">
        <f>-'Expenses 2'!V89</f>
        <v>-8000</v>
      </c>
      <c r="V29" s="103">
        <f>-'Expenses 2'!W89</f>
        <v>-10000</v>
      </c>
      <c r="W29" s="103">
        <f>-'Expenses 2'!X89</f>
        <v>-10000</v>
      </c>
      <c r="X29" s="103">
        <f>-'Expenses 2'!Y89</f>
        <v>-10000</v>
      </c>
      <c r="Y29" s="103">
        <f>-'Expenses 2'!Z89</f>
        <v>-10000</v>
      </c>
      <c r="Z29" s="103">
        <f>-'Expenses 2'!AA89</f>
        <v>-10000</v>
      </c>
      <c r="AA29" s="103">
        <f>-'Expenses 2'!AB89</f>
        <v>-5000</v>
      </c>
      <c r="AB29" s="103">
        <f>-'Expenses 2'!AC89</f>
        <v>-5000</v>
      </c>
      <c r="AC29" s="103">
        <f>-'Expenses 2'!AD89</f>
        <v>-8000</v>
      </c>
      <c r="AD29" s="103">
        <f>-'Expenses 2'!AE89</f>
        <v>-15000</v>
      </c>
      <c r="AE29" s="103">
        <f>-'Expenses 2'!AF89</f>
        <v>-15000</v>
      </c>
      <c r="AF29" s="103">
        <f>-'Expenses 2'!AG89</f>
        <v>-10000</v>
      </c>
      <c r="AG29" s="103">
        <f>-'Expenses 2'!AH28</f>
        <v>-10000</v>
      </c>
      <c r="AH29" s="103">
        <f>-'Expenses 2'!AI28</f>
        <v>-10000</v>
      </c>
      <c r="AI29" s="103">
        <f>-'Expenses 2'!AJ28</f>
        <v>-5000</v>
      </c>
      <c r="AJ29" s="103">
        <f>-'Expenses 2'!AK28</f>
        <v>-5000</v>
      </c>
      <c r="AK29" s="103">
        <f>-'Expenses 2'!AL28</f>
        <v>-5000</v>
      </c>
      <c r="AL29" s="103">
        <f>-'Expenses 2'!AM28</f>
        <v>-7000</v>
      </c>
      <c r="AM29" s="103">
        <f>-'Expenses 2'!AN28</f>
        <v>-7000</v>
      </c>
      <c r="AN29" s="103">
        <f>-'Expenses 2'!AO28</f>
        <v>-7000</v>
      </c>
      <c r="AO29" s="103">
        <f>-'Expenses 2'!AP28</f>
        <v>-7000</v>
      </c>
      <c r="AP29" s="103">
        <f>-'Expenses 2'!AQ28</f>
        <v>-7000</v>
      </c>
      <c r="AQ29" s="103">
        <f>-'Expenses 2'!AR28</f>
        <v>-7000</v>
      </c>
      <c r="AR29" s="103">
        <f>-'Expenses 2'!AS28</f>
        <v>-7000</v>
      </c>
      <c r="AS29" s="103">
        <f>-'Expenses 2'!AT28</f>
        <v>-5000</v>
      </c>
      <c r="AT29" s="103">
        <f>-'Expenses 2'!AU28</f>
        <v>-8000</v>
      </c>
      <c r="AU29" s="103">
        <f>-'Expenses 2'!AV28</f>
        <v>-15000</v>
      </c>
      <c r="AV29" s="103">
        <f>-'Expenses 2'!AW28</f>
        <v>-25000</v>
      </c>
      <c r="AW29" s="103">
        <f>-'Expenses 2'!AX28</f>
        <v>-25000</v>
      </c>
      <c r="AX29" s="103">
        <f>-'Expenses 2'!AY28</f>
        <v>-25000</v>
      </c>
      <c r="AY29" s="103">
        <f>-'Expenses 2'!AZ28</f>
        <v>-25000</v>
      </c>
      <c r="AZ29" s="103">
        <f>-'Expenses 2'!BA28</f>
        <v>-25000</v>
      </c>
      <c r="BA29" s="103">
        <f>-'Expenses 2'!BB28</f>
        <v>-25000</v>
      </c>
      <c r="BB29" s="103">
        <f>-'Expenses 2'!BC28</f>
        <v>-15000</v>
      </c>
      <c r="BC29" s="103">
        <f>-'Expenses 2'!BD28</f>
        <v>-15000</v>
      </c>
      <c r="BD29" s="103">
        <f>-'Expenses 2'!BE28</f>
        <v>-15000</v>
      </c>
      <c r="BE29" s="103">
        <f>-'Expenses 2'!BF28</f>
        <v>-15000</v>
      </c>
      <c r="BF29" s="103">
        <f>-'Expenses 2'!BG28</f>
        <v>-25000</v>
      </c>
      <c r="BG29" s="103">
        <f>-'Expenses 2'!BH28</f>
        <v>-10000</v>
      </c>
      <c r="BH29" s="103">
        <f>-'Expenses 2'!BI28</f>
        <v>-10000</v>
      </c>
      <c r="BI29" s="103">
        <f>-'Expenses 2'!BJ28</f>
        <v>-10000</v>
      </c>
      <c r="BJ29" s="103">
        <f>-'Expenses 2'!BK28</f>
        <v>-10000</v>
      </c>
      <c r="BK29" s="103">
        <f>-'Expenses 2'!BL28</f>
        <v>-10000</v>
      </c>
      <c r="BL29" s="103">
        <f>-'Expenses 2'!BM28</f>
        <v>-10000</v>
      </c>
      <c r="BM29" s="103">
        <f>-'Expenses 2'!BN28</f>
        <v>-10000</v>
      </c>
      <c r="BN29" s="103">
        <f>-'Expenses 2'!BO28</f>
        <v>-10000</v>
      </c>
      <c r="BO29" s="103">
        <f>-'Expenses 2'!BP28</f>
        <v>-15000</v>
      </c>
      <c r="BP29" s="103">
        <f>-'Expenses 2'!BQ28</f>
        <v>-15000</v>
      </c>
      <c r="BQ29" s="103">
        <f>-'Expenses 2'!BR28</f>
        <v>-15000</v>
      </c>
      <c r="BR29" s="103">
        <f>-'Expenses 2'!BS28</f>
        <v>-15000</v>
      </c>
      <c r="BS29" s="103">
        <f>-'Expenses 2'!BT28</f>
        <v>-15000</v>
      </c>
      <c r="BT29" s="103">
        <f>-'Expenses 2'!BU28</f>
        <v>-20000</v>
      </c>
      <c r="BU29" s="103">
        <f>-'Expenses 2'!BV28</f>
        <v>-25000</v>
      </c>
      <c r="BV29" s="103">
        <f>-'Expenses 2'!BW28</f>
        <v>-25000</v>
      </c>
      <c r="BW29" s="103">
        <f>-'Expenses 2'!BX28</f>
        <v>-25000</v>
      </c>
      <c r="BX29" s="103">
        <f>-'Expenses 2'!BY28</f>
        <v>-30000</v>
      </c>
      <c r="BY29" s="103">
        <f>-'Expenses 2'!BZ28</f>
        <v>-30000</v>
      </c>
      <c r="BZ29" s="103">
        <f>-'Expenses 2'!CA28</f>
        <v>-30000</v>
      </c>
      <c r="CA29" s="103">
        <f>-'Expenses 2'!CB28</f>
        <v>-30000</v>
      </c>
      <c r="CB29" s="103">
        <f>-'Expenses 2'!CC28</f>
        <v>-30000</v>
      </c>
      <c r="CC29" s="103">
        <f>-'Expenses 2'!CD28</f>
        <v>-30000</v>
      </c>
      <c r="CD29" s="103">
        <f>-'Expenses 2'!CE28</f>
        <v>-35000</v>
      </c>
      <c r="CE29" s="103">
        <f>-'Expenses 2'!CF28</f>
        <v>-35000</v>
      </c>
      <c r="CF29" s="103">
        <f>-'Expenses 2'!CG28</f>
        <v>-40000</v>
      </c>
      <c r="CG29" s="103">
        <f>-'Expenses 2'!CH28</f>
        <v>-40000</v>
      </c>
      <c r="CH29" s="103">
        <f>-'Expenses 2'!CI28</f>
        <v>-40000</v>
      </c>
      <c r="CI29" s="103">
        <f>-'Expenses 2'!CJ28</f>
        <v>-45000</v>
      </c>
      <c r="CJ29" s="103">
        <f>-'Expenses 2'!CK28</f>
        <v>-45000</v>
      </c>
      <c r="CK29" s="103">
        <f>-'Expenses 2'!CL28</f>
        <v>-50000</v>
      </c>
      <c r="CL29" s="103">
        <f>-'Expenses 2'!CM28</f>
        <v>-50000</v>
      </c>
      <c r="CM29" s="103">
        <f>-'Expenses 2'!CN28</f>
        <v>-50000</v>
      </c>
      <c r="CN29" s="103">
        <f>-'Expenses 2'!CO28</f>
        <v>-50000</v>
      </c>
      <c r="CO29" s="103">
        <f>-'Expenses 2'!CP28</f>
        <v>-50000</v>
      </c>
      <c r="CP29" s="103">
        <f>-'Expenses 2'!CQ89</f>
        <v>0</v>
      </c>
      <c r="CQ29" s="103"/>
      <c r="CR29" s="103"/>
      <c r="CS29" s="103"/>
    </row>
    <row r="30" ht="12.75" customHeight="1">
      <c r="A30" s="91" t="s">
        <v>119</v>
      </c>
      <c r="B30" s="103">
        <f>-'Up front costs'!B20</f>
        <v>0</v>
      </c>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103"/>
      <c r="CE30" s="103"/>
      <c r="CF30" s="103"/>
      <c r="CG30" s="103"/>
      <c r="CH30" s="103"/>
      <c r="CI30" s="103"/>
      <c r="CJ30" s="103"/>
      <c r="CK30" s="103"/>
      <c r="CL30" s="103"/>
      <c r="CM30" s="103"/>
      <c r="CN30" s="103"/>
      <c r="CO30" s="103"/>
      <c r="CP30" s="103"/>
      <c r="CQ30" s="103"/>
      <c r="CR30" s="103"/>
      <c r="CS30" s="103"/>
    </row>
    <row r="31" ht="12.75" customHeight="1">
      <c r="A31" s="91" t="s">
        <v>120</v>
      </c>
      <c r="B31" s="103"/>
      <c r="C31" s="103"/>
      <c r="D31" s="103"/>
      <c r="E31" s="103"/>
      <c r="F31" s="103"/>
      <c r="G31" s="103"/>
      <c r="H31" s="103"/>
      <c r="I31" s="103"/>
      <c r="J31" s="103"/>
      <c r="K31" s="103">
        <f>-Taxes!D32</f>
        <v>0</v>
      </c>
      <c r="L31" s="103">
        <f>-Taxes!E32</f>
        <v>0</v>
      </c>
      <c r="M31" s="103">
        <f>-Taxes!F32</f>
        <v>0</v>
      </c>
      <c r="N31" s="103">
        <f>-Taxes!G32</f>
        <v>0</v>
      </c>
      <c r="O31" s="103">
        <f>-Taxes!H32</f>
        <v>0</v>
      </c>
      <c r="P31" s="103">
        <f>-Taxes!I32</f>
        <v>0</v>
      </c>
      <c r="Q31" s="103">
        <f>-Taxes!J32</f>
        <v>0</v>
      </c>
      <c r="R31" s="103">
        <f>-Taxes!K32</f>
        <v>0</v>
      </c>
      <c r="S31" s="103">
        <f>-Taxes!L32</f>
        <v>0</v>
      </c>
      <c r="T31" s="103">
        <f>-Taxes!M32</f>
        <v>0</v>
      </c>
      <c r="U31" s="103">
        <f>-Taxes!N32</f>
        <v>0</v>
      </c>
      <c r="V31" s="103">
        <f>-Taxes!O32</f>
        <v>0</v>
      </c>
      <c r="W31" s="103">
        <f>-Taxes!P32</f>
        <v>0</v>
      </c>
      <c r="X31" s="103">
        <f>-Taxes!Q32</f>
        <v>0</v>
      </c>
      <c r="Y31" s="103">
        <f>-Taxes!R32</f>
        <v>0</v>
      </c>
      <c r="Z31" s="103">
        <f>-Taxes!S32</f>
        <v>0</v>
      </c>
      <c r="AA31" s="103">
        <f>-Taxes!T32</f>
        <v>0</v>
      </c>
      <c r="AB31" s="103">
        <f>-Taxes!U32</f>
        <v>0</v>
      </c>
      <c r="AC31" s="103">
        <f>-Taxes!V32</f>
        <v>0</v>
      </c>
      <c r="AD31" s="103">
        <f>-Taxes!W32</f>
        <v>0</v>
      </c>
      <c r="AE31" s="103">
        <f>-Taxes!X32</f>
        <v>0</v>
      </c>
      <c r="AF31" s="103">
        <f>-Taxes!Y32</f>
        <v>0</v>
      </c>
      <c r="AG31" s="103">
        <f>-Taxes!Z32</f>
        <v>0</v>
      </c>
      <c r="AH31" s="103">
        <f>-Taxes!AA32</f>
        <v>0</v>
      </c>
      <c r="AI31" s="103">
        <f>-Taxes!AB32</f>
        <v>0</v>
      </c>
      <c r="AJ31" s="103">
        <f>-Taxes!AC32</f>
        <v>0</v>
      </c>
      <c r="AK31" s="103">
        <f>-Taxes!AD32</f>
        <v>0</v>
      </c>
      <c r="AL31" s="103">
        <f>-Taxes!AE32</f>
        <v>0</v>
      </c>
      <c r="AM31" s="103">
        <f>-Taxes!AF32</f>
        <v>0</v>
      </c>
      <c r="AN31" s="103">
        <f>-Taxes!AG32</f>
        <v>0</v>
      </c>
      <c r="AO31" s="103">
        <f>-Taxes!AH32</f>
        <v>0</v>
      </c>
      <c r="AP31" s="103">
        <f>-Taxes!AI32</f>
        <v>0</v>
      </c>
      <c r="AQ31" s="103">
        <f>-Taxes!AJ32</f>
        <v>0</v>
      </c>
      <c r="AR31" s="103">
        <f>-Taxes!AK32</f>
        <v>0</v>
      </c>
      <c r="AS31" s="103">
        <f>-Taxes!AL32</f>
        <v>0</v>
      </c>
      <c r="AT31" s="103">
        <f>-Taxes!AM32</f>
        <v>0</v>
      </c>
      <c r="AU31" s="103">
        <f>-Taxes!AN32</f>
        <v>0</v>
      </c>
      <c r="AV31" s="103">
        <f>-Taxes!AO32</f>
        <v>0</v>
      </c>
      <c r="AW31" s="103">
        <f>-Taxes!AP32</f>
        <v>0</v>
      </c>
      <c r="AX31" s="103">
        <f>-Taxes!AQ32</f>
        <v>0</v>
      </c>
      <c r="AY31" s="103">
        <f>-Taxes!AR32</f>
        <v>0</v>
      </c>
      <c r="AZ31" s="103">
        <f>-Taxes!AS32</f>
        <v>0</v>
      </c>
      <c r="BA31" s="103">
        <f>-Taxes!AT32</f>
        <v>0</v>
      </c>
      <c r="BB31" s="103">
        <f>-Taxes!AU32</f>
        <v>0</v>
      </c>
      <c r="BC31" s="103">
        <f>-Taxes!AV32</f>
        <v>0</v>
      </c>
      <c r="BD31" s="103">
        <f>-Taxes!AW32</f>
        <v>0</v>
      </c>
      <c r="BE31" s="103">
        <f>-Taxes!AX32</f>
        <v>0</v>
      </c>
      <c r="BF31" s="103">
        <f>-Taxes!AY32</f>
        <v>0</v>
      </c>
      <c r="BG31" s="103">
        <f>-Taxes!AZ32</f>
        <v>0</v>
      </c>
      <c r="BH31" s="103">
        <f>-Taxes!BA32</f>
        <v>0</v>
      </c>
      <c r="BI31" s="103">
        <f>-Taxes!BB32</f>
        <v>0</v>
      </c>
      <c r="BJ31" s="103">
        <f>-Taxes!BC32</f>
        <v>0</v>
      </c>
      <c r="BK31" s="103">
        <f>-Taxes!BD32</f>
        <v>0</v>
      </c>
      <c r="BL31" s="103">
        <f>-Taxes!BE32</f>
        <v>0</v>
      </c>
      <c r="BM31" s="103">
        <f>-Taxes!BF32</f>
        <v>0</v>
      </c>
      <c r="BN31" s="103">
        <f>-Taxes!BG32</f>
        <v>0</v>
      </c>
      <c r="BO31" s="103">
        <f>-Taxes!BH32</f>
        <v>0</v>
      </c>
      <c r="BP31" s="103">
        <f>-Taxes!BI32</f>
        <v>0</v>
      </c>
      <c r="BQ31" s="103">
        <f>-Taxes!BJ32</f>
        <v>0</v>
      </c>
      <c r="BR31" s="103">
        <f>-Taxes!BK32</f>
        <v>0</v>
      </c>
      <c r="BS31" s="103">
        <f>-Taxes!BL32</f>
        <v>0</v>
      </c>
      <c r="BT31" s="103">
        <f>-Taxes!BM32</f>
        <v>0</v>
      </c>
      <c r="BU31" s="103">
        <f>-Taxes!BN32</f>
        <v>0</v>
      </c>
      <c r="BV31" s="103">
        <f>-Taxes!BO32</f>
        <v>0</v>
      </c>
      <c r="BW31" s="103">
        <f>-Taxes!BP32</f>
        <v>0</v>
      </c>
      <c r="BX31" s="103">
        <f>-Taxes!BQ32</f>
        <v>0</v>
      </c>
      <c r="BY31" s="103">
        <f>-Taxes!BR32</f>
        <v>0</v>
      </c>
      <c r="BZ31" s="103">
        <f>-Taxes!BS32</f>
        <v>0</v>
      </c>
      <c r="CA31" s="103">
        <f>-Taxes!BT32</f>
        <v>0</v>
      </c>
      <c r="CB31" s="103">
        <f>-Taxes!BU32</f>
        <v>0</v>
      </c>
      <c r="CC31" s="103">
        <f>-Taxes!BV32</f>
        <v>0</v>
      </c>
      <c r="CD31" s="103">
        <f>-Taxes!BW32</f>
        <v>0</v>
      </c>
      <c r="CE31" s="103">
        <f>-Taxes!BX32</f>
        <v>0</v>
      </c>
      <c r="CF31" s="103">
        <f>-Taxes!BY32</f>
        <v>0</v>
      </c>
      <c r="CG31" s="103">
        <f>-Taxes!BZ32</f>
        <v>0</v>
      </c>
      <c r="CH31" s="103">
        <f>-Taxes!CA32</f>
        <v>0</v>
      </c>
      <c r="CI31" s="103">
        <f>-Taxes!CB32</f>
        <v>0</v>
      </c>
      <c r="CJ31" s="103">
        <f>-Taxes!CC32</f>
        <v>0</v>
      </c>
      <c r="CK31" s="103">
        <f>-Taxes!CD32</f>
        <v>0</v>
      </c>
      <c r="CL31" s="103">
        <f>-Taxes!CE32</f>
        <v>0</v>
      </c>
      <c r="CM31" s="103">
        <f>-Taxes!CF32</f>
        <v>0</v>
      </c>
      <c r="CN31" s="103">
        <f>-Taxes!CG32</f>
        <v>0</v>
      </c>
      <c r="CO31" s="103">
        <f>-Taxes!CH32</f>
        <v>0</v>
      </c>
      <c r="CP31" s="103">
        <f>-Taxes!CI32</f>
        <v>0</v>
      </c>
      <c r="CQ31" s="103"/>
      <c r="CR31" s="103"/>
      <c r="CS31" s="103"/>
    </row>
    <row r="32" ht="12.75" customHeight="1">
      <c r="A32" s="91" t="s">
        <v>121</v>
      </c>
      <c r="B32" s="104">
        <v>375000.0</v>
      </c>
      <c r="C32" s="105"/>
      <c r="D32" s="105"/>
      <c r="E32" s="105"/>
      <c r="F32" s="105"/>
      <c r="G32" s="105"/>
      <c r="H32" s="105"/>
      <c r="I32" s="105"/>
      <c r="J32" s="105">
        <v>100000.0</v>
      </c>
      <c r="K32" s="105"/>
      <c r="L32" s="105"/>
      <c r="M32" s="105"/>
      <c r="N32" s="105">
        <v>10000.0</v>
      </c>
      <c r="O32" s="105">
        <v>50000.0</v>
      </c>
      <c r="P32" s="105">
        <v>80000.0</v>
      </c>
      <c r="Q32" s="105"/>
      <c r="R32" s="105">
        <v>260000.0</v>
      </c>
      <c r="S32" s="105"/>
      <c r="T32" s="105"/>
      <c r="U32" s="105"/>
      <c r="V32" s="105"/>
      <c r="W32" s="105">
        <v>150000.0</v>
      </c>
      <c r="X32" s="105"/>
      <c r="Y32" s="105"/>
      <c r="Z32" s="105"/>
      <c r="AA32" s="105">
        <v>35000.0</v>
      </c>
      <c r="AB32" s="105">
        <v>100000.0</v>
      </c>
      <c r="AC32" s="105"/>
      <c r="AD32" s="105"/>
      <c r="AE32" s="105"/>
      <c r="AF32" s="105"/>
      <c r="AG32" s="105"/>
      <c r="AH32" s="105"/>
      <c r="AI32" s="105"/>
      <c r="AJ32" s="105"/>
      <c r="AK32" s="105"/>
      <c r="AL32" s="105">
        <v>25000.0</v>
      </c>
      <c r="AM32" s="105"/>
      <c r="AN32" s="105">
        <v>-139589.0</v>
      </c>
      <c r="AO32" s="106">
        <v>25000.0</v>
      </c>
      <c r="AP32" s="105"/>
      <c r="AQ32" s="105"/>
      <c r="AR32" s="105">
        <v>25000.0</v>
      </c>
      <c r="AS32" s="105"/>
      <c r="AT32" s="105">
        <v>50000.0</v>
      </c>
      <c r="AU32" s="105">
        <v>100000.0</v>
      </c>
      <c r="AV32" s="105">
        <v>150000.0</v>
      </c>
      <c r="AW32" s="105">
        <v>0.0</v>
      </c>
      <c r="AX32" s="105">
        <v>0.0</v>
      </c>
      <c r="AY32" s="105">
        <v>0.0</v>
      </c>
      <c r="AZ32" s="105">
        <v>0.0</v>
      </c>
      <c r="BA32" s="105">
        <v>0.0</v>
      </c>
      <c r="BB32" s="105"/>
      <c r="BC32" s="105">
        <v>-15000.0</v>
      </c>
      <c r="BD32" s="105">
        <v>80000.0</v>
      </c>
      <c r="BE32" s="105">
        <v>100000.0</v>
      </c>
      <c r="BF32" s="105">
        <v>-15000.0</v>
      </c>
      <c r="BG32" s="105">
        <v>-15000.0</v>
      </c>
      <c r="BH32" s="105">
        <v>-15000.0</v>
      </c>
      <c r="BI32" s="105">
        <v>-15000.0</v>
      </c>
      <c r="BJ32" s="105">
        <v>-15000.0</v>
      </c>
      <c r="BK32" s="105">
        <v>-15000.0</v>
      </c>
      <c r="BL32" s="105">
        <v>-15000.0</v>
      </c>
      <c r="BM32" s="105">
        <v>-15000.0</v>
      </c>
      <c r="BN32" s="105">
        <v>-15000.0</v>
      </c>
      <c r="BO32" s="105">
        <v>-15000.0</v>
      </c>
      <c r="BP32" s="105">
        <v>-15000.0</v>
      </c>
      <c r="BQ32" s="105">
        <v>-15000.0</v>
      </c>
      <c r="BR32" s="105">
        <v>150000.0</v>
      </c>
      <c r="BS32" s="105"/>
      <c r="BT32" s="105">
        <v>0.0</v>
      </c>
      <c r="BU32" s="105">
        <v>0.0</v>
      </c>
      <c r="BV32" s="105">
        <v>0.0</v>
      </c>
      <c r="BW32" s="105">
        <v>0.0</v>
      </c>
      <c r="BX32" s="105">
        <v>0.0</v>
      </c>
      <c r="BY32" s="105">
        <v>0.0</v>
      </c>
      <c r="BZ32" s="105">
        <v>0.0</v>
      </c>
      <c r="CA32" s="105">
        <v>0.0</v>
      </c>
      <c r="CB32" s="105">
        <v>0.0</v>
      </c>
      <c r="CC32" s="105">
        <v>0.0</v>
      </c>
      <c r="CD32" s="105">
        <v>0.0</v>
      </c>
      <c r="CE32" s="105">
        <v>0.0</v>
      </c>
      <c r="CF32" s="105">
        <v>0.0</v>
      </c>
      <c r="CG32" s="105">
        <v>0.0</v>
      </c>
      <c r="CH32" s="105">
        <v>0.0</v>
      </c>
      <c r="CI32" s="105">
        <v>0.0</v>
      </c>
      <c r="CJ32" s="105">
        <v>0.0</v>
      </c>
      <c r="CK32" s="105"/>
      <c r="CL32" s="105"/>
      <c r="CM32" s="105"/>
      <c r="CN32" s="105"/>
      <c r="CO32" s="105"/>
      <c r="CP32" s="105"/>
      <c r="CQ32" s="105"/>
      <c r="CR32" s="105"/>
      <c r="CS32" s="105"/>
    </row>
    <row r="33" ht="12.75" customHeight="1">
      <c r="B33" s="107"/>
      <c r="C33" s="107"/>
      <c r="D33" s="107"/>
      <c r="E33" s="107"/>
      <c r="F33" s="107"/>
      <c r="G33" s="107"/>
      <c r="H33" s="107"/>
      <c r="I33" s="107"/>
      <c r="J33" s="107"/>
      <c r="K33" s="107"/>
      <c r="L33" s="108" t="s">
        <v>236</v>
      </c>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3"/>
      <c r="CR33" s="103"/>
      <c r="CS33" s="103"/>
    </row>
    <row r="34" ht="12.75" customHeight="1">
      <c r="A34" s="91"/>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103"/>
      <c r="CE34" s="103"/>
      <c r="CF34" s="103"/>
      <c r="CG34" s="103"/>
      <c r="CH34" s="103"/>
      <c r="CI34" s="103"/>
      <c r="CJ34" s="103"/>
      <c r="CK34" s="103"/>
      <c r="CL34" s="103"/>
      <c r="CM34" s="103"/>
      <c r="CN34" s="103"/>
      <c r="CO34" s="103"/>
      <c r="CP34" s="103"/>
      <c r="CQ34" s="103"/>
      <c r="CR34" s="103"/>
      <c r="CS34" s="103"/>
    </row>
    <row r="35" ht="12.75" customHeight="1">
      <c r="A35" s="91" t="s">
        <v>237</v>
      </c>
      <c r="B35" s="103">
        <f t="shared" ref="B35:CP35" si="5">SUM(B23:B33)</f>
        <v>339956.0243</v>
      </c>
      <c r="C35" s="103">
        <f t="shared" si="5"/>
        <v>-31469.64367</v>
      </c>
      <c r="D35" s="103">
        <f t="shared" si="5"/>
        <v>-29189.24249</v>
      </c>
      <c r="E35" s="103">
        <f t="shared" si="5"/>
        <v>-23194.38029</v>
      </c>
      <c r="F35" s="103">
        <f t="shared" si="5"/>
        <v>-21557.24967</v>
      </c>
      <c r="G35" s="103">
        <f t="shared" si="5"/>
        <v>-31294.45686</v>
      </c>
      <c r="H35" s="103">
        <f t="shared" si="5"/>
        <v>-39324.16874</v>
      </c>
      <c r="I35" s="103">
        <f t="shared" si="5"/>
        <v>-29531.64944</v>
      </c>
      <c r="J35" s="103">
        <f t="shared" si="5"/>
        <v>37999.77302</v>
      </c>
      <c r="K35" s="103">
        <f t="shared" si="5"/>
        <v>-78702.84685</v>
      </c>
      <c r="L35" s="103">
        <f t="shared" si="5"/>
        <v>-44987.62611</v>
      </c>
      <c r="M35" s="103">
        <f t="shared" si="5"/>
        <v>-8191.509224</v>
      </c>
      <c r="N35" s="103">
        <f t="shared" si="5"/>
        <v>14887.28234</v>
      </c>
      <c r="O35" s="103">
        <f t="shared" si="5"/>
        <v>47752.39274</v>
      </c>
      <c r="P35" s="103">
        <f t="shared" si="5"/>
        <v>56726.23259</v>
      </c>
      <c r="Q35" s="103">
        <f t="shared" si="5"/>
        <v>-55097.03909</v>
      </c>
      <c r="R35" s="103">
        <f t="shared" si="5"/>
        <v>153840.8972</v>
      </c>
      <c r="S35" s="103">
        <f t="shared" si="5"/>
        <v>-63986.41103</v>
      </c>
      <c r="T35" s="103">
        <f t="shared" si="5"/>
        <v>-871.3062231</v>
      </c>
      <c r="U35" s="103">
        <f t="shared" si="5"/>
        <v>10153.18946</v>
      </c>
      <c r="V35" s="103">
        <f t="shared" si="5"/>
        <v>-11504.69533</v>
      </c>
      <c r="W35" s="103">
        <f t="shared" si="5"/>
        <v>75805.14429</v>
      </c>
      <c r="X35" s="103">
        <f t="shared" si="5"/>
        <v>-40384.22874</v>
      </c>
      <c r="Y35" s="103">
        <f t="shared" si="5"/>
        <v>-25112.78716</v>
      </c>
      <c r="Z35" s="103">
        <f t="shared" si="5"/>
        <v>-12924.42135</v>
      </c>
      <c r="AA35" s="103">
        <f t="shared" si="5"/>
        <v>34564.54135</v>
      </c>
      <c r="AB35" s="103">
        <f t="shared" si="5"/>
        <v>96642.45044</v>
      </c>
      <c r="AC35" s="103">
        <f t="shared" si="5"/>
        <v>-23862.36687</v>
      </c>
      <c r="AD35" s="103">
        <f t="shared" si="5"/>
        <v>-44832.73277</v>
      </c>
      <c r="AE35" s="103">
        <f t="shared" si="5"/>
        <v>-39185.9315</v>
      </c>
      <c r="AF35" s="103">
        <f t="shared" si="5"/>
        <v>-76864.10279</v>
      </c>
      <c r="AG35" s="103">
        <f t="shared" si="5"/>
        <v>-4203.805037</v>
      </c>
      <c r="AH35" s="103">
        <f t="shared" si="5"/>
        <v>19259.78237</v>
      </c>
      <c r="AI35" s="103">
        <f t="shared" si="5"/>
        <v>13157.0882</v>
      </c>
      <c r="AJ35" s="103">
        <f t="shared" si="5"/>
        <v>10771.57581</v>
      </c>
      <c r="AK35" s="103">
        <f t="shared" si="5"/>
        <v>2171.158311</v>
      </c>
      <c r="AL35" s="103">
        <f t="shared" si="5"/>
        <v>16416.61758</v>
      </c>
      <c r="AM35" s="103">
        <f t="shared" si="5"/>
        <v>-10114.61908</v>
      </c>
      <c r="AN35" s="103">
        <f t="shared" si="5"/>
        <v>-147768.1187</v>
      </c>
      <c r="AO35" s="103">
        <f t="shared" si="5"/>
        <v>18758.78874</v>
      </c>
      <c r="AP35" s="103">
        <f t="shared" si="5"/>
        <v>-15838.86613</v>
      </c>
      <c r="AQ35" s="103">
        <f t="shared" si="5"/>
        <v>-5925.273908</v>
      </c>
      <c r="AR35" s="103">
        <f t="shared" si="5"/>
        <v>19287.69069</v>
      </c>
      <c r="AS35" s="103">
        <f t="shared" si="5"/>
        <v>-4330.565695</v>
      </c>
      <c r="AT35" s="103">
        <f t="shared" si="5"/>
        <v>35514.12217</v>
      </c>
      <c r="AU35" s="103">
        <f t="shared" si="5"/>
        <v>66679.21314</v>
      </c>
      <c r="AV35" s="103">
        <f t="shared" si="5"/>
        <v>102569.0199</v>
      </c>
      <c r="AW35" s="103">
        <f t="shared" si="5"/>
        <v>-40466.4431</v>
      </c>
      <c r="AX35" s="103">
        <f t="shared" si="5"/>
        <v>-32229.48527</v>
      </c>
      <c r="AY35" s="103">
        <f t="shared" si="5"/>
        <v>-25249.9883</v>
      </c>
      <c r="AZ35" s="103">
        <f t="shared" si="5"/>
        <v>-26901.04696</v>
      </c>
      <c r="BA35" s="103">
        <f t="shared" si="5"/>
        <v>-18267.19336</v>
      </c>
      <c r="BB35" s="103">
        <f t="shared" si="5"/>
        <v>988.2650332</v>
      </c>
      <c r="BC35" s="103">
        <f t="shared" si="5"/>
        <v>-10279.50438</v>
      </c>
      <c r="BD35" s="103">
        <f t="shared" si="5"/>
        <v>78968.41612</v>
      </c>
      <c r="BE35" s="103">
        <f t="shared" si="5"/>
        <v>78504.45814</v>
      </c>
      <c r="BF35" s="103">
        <f t="shared" si="5"/>
        <v>-45618.87452</v>
      </c>
      <c r="BG35" s="103">
        <f t="shared" si="5"/>
        <v>-12438.6245</v>
      </c>
      <c r="BH35" s="103">
        <f t="shared" si="5"/>
        <v>-4550.006716</v>
      </c>
      <c r="BI35" s="103">
        <f t="shared" si="5"/>
        <v>-10424.33438</v>
      </c>
      <c r="BJ35" s="103">
        <f t="shared" si="5"/>
        <v>-23323.04121</v>
      </c>
      <c r="BK35" s="103">
        <f t="shared" si="5"/>
        <v>-25134.69231</v>
      </c>
      <c r="BL35" s="103">
        <f t="shared" si="5"/>
        <v>-22735.47018</v>
      </c>
      <c r="BM35" s="103">
        <f t="shared" si="5"/>
        <v>-17489.595</v>
      </c>
      <c r="BN35" s="103">
        <f t="shared" si="5"/>
        <v>-17925.60008</v>
      </c>
      <c r="BO35" s="103">
        <f t="shared" si="5"/>
        <v>-27837.48418</v>
      </c>
      <c r="BP35" s="103">
        <f t="shared" si="5"/>
        <v>-24733.0328</v>
      </c>
      <c r="BQ35" s="103">
        <f t="shared" si="5"/>
        <v>-26682.6234</v>
      </c>
      <c r="BR35" s="103">
        <f t="shared" si="5"/>
        <v>143996.0061</v>
      </c>
      <c r="BS35" s="103">
        <f t="shared" si="5"/>
        <v>-12144.46964</v>
      </c>
      <c r="BT35" s="103">
        <f t="shared" si="5"/>
        <v>-23274.33609</v>
      </c>
      <c r="BU35" s="103">
        <f t="shared" si="5"/>
        <v>-27782.14085</v>
      </c>
      <c r="BV35" s="103">
        <f t="shared" si="5"/>
        <v>-18798.127</v>
      </c>
      <c r="BW35" s="103">
        <f t="shared" si="5"/>
        <v>-9317.934565</v>
      </c>
      <c r="BX35" s="103">
        <f t="shared" si="5"/>
        <v>-11682.66338</v>
      </c>
      <c r="BY35" s="103">
        <f t="shared" si="5"/>
        <v>-8316.974803</v>
      </c>
      <c r="BZ35" s="103">
        <f t="shared" si="5"/>
        <v>-1317.036831</v>
      </c>
      <c r="CA35" s="103">
        <f t="shared" si="5"/>
        <v>6454.08857</v>
      </c>
      <c r="CB35" s="103">
        <f t="shared" si="5"/>
        <v>7846.942543</v>
      </c>
      <c r="CC35" s="103">
        <f t="shared" si="5"/>
        <v>7842.181353</v>
      </c>
      <c r="CD35" s="103">
        <f t="shared" si="5"/>
        <v>3893.623041</v>
      </c>
      <c r="CE35" s="103">
        <f t="shared" si="5"/>
        <v>-15.82146992</v>
      </c>
      <c r="CF35" s="103">
        <f t="shared" si="5"/>
        <v>-6548.731615</v>
      </c>
      <c r="CG35" s="103">
        <f t="shared" si="5"/>
        <v>-1430.043069</v>
      </c>
      <c r="CH35" s="103">
        <f t="shared" si="5"/>
        <v>-3681.494827</v>
      </c>
      <c r="CI35" s="103">
        <f t="shared" si="5"/>
        <v>-5618.429668</v>
      </c>
      <c r="CJ35" s="103">
        <f t="shared" si="5"/>
        <v>-5619.343345</v>
      </c>
      <c r="CK35" s="103">
        <f t="shared" si="5"/>
        <v>-6728.181331</v>
      </c>
      <c r="CL35" s="103">
        <f t="shared" si="5"/>
        <v>3193.949659</v>
      </c>
      <c r="CM35" s="103">
        <f t="shared" si="5"/>
        <v>10073.37016</v>
      </c>
      <c r="CN35" s="103">
        <f t="shared" si="5"/>
        <v>16537.46135</v>
      </c>
      <c r="CO35" s="103">
        <f t="shared" si="5"/>
        <v>19738.72296</v>
      </c>
      <c r="CP35" s="103">
        <f t="shared" si="5"/>
        <v>72939.98456</v>
      </c>
      <c r="CQ35" s="103"/>
      <c r="CR35" s="103"/>
      <c r="CS35" s="103"/>
    </row>
    <row r="36" ht="12.75" customHeight="1">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c r="AA36" s="103"/>
      <c r="AB36" s="103"/>
      <c r="AC36" s="103"/>
      <c r="AD36" s="103"/>
      <c r="AE36" s="103"/>
      <c r="AF36" s="103"/>
      <c r="AG36" s="103"/>
      <c r="AH36" s="103"/>
      <c r="AI36" s="103"/>
      <c r="AJ36" s="103"/>
      <c r="AK36" s="103"/>
      <c r="AL36" s="103"/>
      <c r="AM36" s="103"/>
      <c r="AN36" s="103"/>
      <c r="AO36" s="103"/>
      <c r="AP36" s="103"/>
      <c r="AQ36" s="103"/>
      <c r="AR36" s="103"/>
      <c r="AS36" s="103"/>
      <c r="AT36" s="103"/>
      <c r="AU36" s="103"/>
      <c r="AV36" s="103"/>
      <c r="AW36" s="103"/>
      <c r="AX36" s="103"/>
      <c r="AY36" s="103"/>
      <c r="AZ36" s="103"/>
      <c r="BA36" s="103"/>
      <c r="BB36" s="103"/>
      <c r="BC36" s="103"/>
      <c r="BD36" s="103"/>
      <c r="BE36" s="103"/>
      <c r="BF36" s="103"/>
      <c r="BG36" s="103"/>
      <c r="BH36" s="103"/>
      <c r="BI36" s="103"/>
      <c r="BJ36" s="103"/>
      <c r="BK36" s="103"/>
      <c r="BL36" s="103"/>
      <c r="BM36" s="103"/>
      <c r="BN36" s="103"/>
      <c r="BO36" s="103"/>
      <c r="BP36" s="103"/>
      <c r="BQ36" s="103"/>
      <c r="BR36" s="103"/>
      <c r="BS36" s="103"/>
      <c r="BT36" s="103"/>
      <c r="BU36" s="103"/>
      <c r="BV36" s="103"/>
      <c r="BW36" s="103"/>
      <c r="BX36" s="103"/>
      <c r="BY36" s="103"/>
      <c r="BZ36" s="103"/>
      <c r="CA36" s="103"/>
      <c r="CB36" s="103"/>
      <c r="CC36" s="103"/>
      <c r="CD36" s="103"/>
      <c r="CE36" s="103"/>
      <c r="CF36" s="103"/>
      <c r="CG36" s="103"/>
      <c r="CH36" s="103"/>
      <c r="CI36" s="103"/>
      <c r="CJ36" s="103"/>
      <c r="CK36" s="103"/>
      <c r="CL36" s="103"/>
      <c r="CM36" s="103"/>
      <c r="CN36" s="103"/>
      <c r="CO36" s="103"/>
      <c r="CP36" s="103"/>
      <c r="CQ36" s="103"/>
      <c r="CR36" s="103"/>
      <c r="CS36" s="103"/>
    </row>
    <row r="37" ht="12.75" customHeight="1">
      <c r="A37" s="91" t="s">
        <v>238</v>
      </c>
      <c r="B37" s="109">
        <v>6965.0</v>
      </c>
      <c r="C37" s="107">
        <f t="shared" ref="C37:CP37" si="6">+B39</f>
        <v>346921.0243</v>
      </c>
      <c r="D37" s="107">
        <f t="shared" si="6"/>
        <v>315451.3806</v>
      </c>
      <c r="E37" s="107">
        <f t="shared" si="6"/>
        <v>286262.1381</v>
      </c>
      <c r="F37" s="107">
        <f t="shared" si="6"/>
        <v>263067.7578</v>
      </c>
      <c r="G37" s="107">
        <f t="shared" si="6"/>
        <v>241510.5082</v>
      </c>
      <c r="H37" s="107">
        <f t="shared" si="6"/>
        <v>210216.0513</v>
      </c>
      <c r="I37" s="107">
        <f t="shared" si="6"/>
        <v>170891.8826</v>
      </c>
      <c r="J37" s="107">
        <f t="shared" si="6"/>
        <v>141360.2331</v>
      </c>
      <c r="K37" s="107">
        <f t="shared" si="6"/>
        <v>179360.0061</v>
      </c>
      <c r="L37" s="107">
        <f t="shared" si="6"/>
        <v>100657.1593</v>
      </c>
      <c r="M37" s="107">
        <f t="shared" si="6"/>
        <v>55669.53319</v>
      </c>
      <c r="N37" s="107">
        <f t="shared" si="6"/>
        <v>47478.02396</v>
      </c>
      <c r="O37" s="107">
        <f t="shared" si="6"/>
        <v>62365.3063</v>
      </c>
      <c r="P37" s="107">
        <f t="shared" si="6"/>
        <v>110117.699</v>
      </c>
      <c r="Q37" s="107">
        <f t="shared" si="6"/>
        <v>166843.9316</v>
      </c>
      <c r="R37" s="107">
        <f t="shared" si="6"/>
        <v>111746.8925</v>
      </c>
      <c r="S37" s="107">
        <f t="shared" si="6"/>
        <v>265587.7897</v>
      </c>
      <c r="T37" s="107">
        <f t="shared" si="6"/>
        <v>201601.3787</v>
      </c>
      <c r="U37" s="107">
        <f t="shared" si="6"/>
        <v>200730.0725</v>
      </c>
      <c r="V37" s="107">
        <f t="shared" si="6"/>
        <v>210883.2619</v>
      </c>
      <c r="W37" s="107">
        <f t="shared" si="6"/>
        <v>199378.5666</v>
      </c>
      <c r="X37" s="107">
        <f t="shared" si="6"/>
        <v>275183.7109</v>
      </c>
      <c r="Y37" s="107">
        <f t="shared" si="6"/>
        <v>234799.4821</v>
      </c>
      <c r="Z37" s="107">
        <f t="shared" si="6"/>
        <v>209686.695</v>
      </c>
      <c r="AA37" s="107">
        <f t="shared" si="6"/>
        <v>196762.2736</v>
      </c>
      <c r="AB37" s="107">
        <f t="shared" si="6"/>
        <v>231326.815</v>
      </c>
      <c r="AC37" s="107">
        <f t="shared" si="6"/>
        <v>327969.2654</v>
      </c>
      <c r="AD37" s="107">
        <f t="shared" si="6"/>
        <v>304106.8986</v>
      </c>
      <c r="AE37" s="107">
        <f t="shared" si="6"/>
        <v>259274.1658</v>
      </c>
      <c r="AF37" s="107">
        <f t="shared" si="6"/>
        <v>220088.2343</v>
      </c>
      <c r="AG37" s="107">
        <f t="shared" si="6"/>
        <v>143224.1315</v>
      </c>
      <c r="AH37" s="107">
        <f t="shared" si="6"/>
        <v>139020.3265</v>
      </c>
      <c r="AI37" s="107">
        <f t="shared" si="6"/>
        <v>158280.1088</v>
      </c>
      <c r="AJ37" s="107">
        <f t="shared" si="6"/>
        <v>171437.197</v>
      </c>
      <c r="AK37" s="107">
        <f t="shared" si="6"/>
        <v>182208.7728</v>
      </c>
      <c r="AL37" s="107">
        <f t="shared" si="6"/>
        <v>184379.9311</v>
      </c>
      <c r="AM37" s="107">
        <f t="shared" si="6"/>
        <v>200796.5487</v>
      </c>
      <c r="AN37" s="107">
        <f t="shared" si="6"/>
        <v>190681.9297</v>
      </c>
      <c r="AO37" s="107">
        <f t="shared" si="6"/>
        <v>42913.81095</v>
      </c>
      <c r="AP37" s="107">
        <f t="shared" si="6"/>
        <v>61672.59969</v>
      </c>
      <c r="AQ37" s="107">
        <f t="shared" si="6"/>
        <v>45833.73356</v>
      </c>
      <c r="AR37" s="107">
        <f t="shared" si="6"/>
        <v>39908.45965</v>
      </c>
      <c r="AS37" s="107">
        <f t="shared" si="6"/>
        <v>59196.15034</v>
      </c>
      <c r="AT37" s="107">
        <f t="shared" si="6"/>
        <v>54865.58465</v>
      </c>
      <c r="AU37" s="107">
        <f t="shared" si="6"/>
        <v>90379.70681</v>
      </c>
      <c r="AV37" s="107">
        <f t="shared" si="6"/>
        <v>157058.9199</v>
      </c>
      <c r="AW37" s="107">
        <f t="shared" si="6"/>
        <v>259627.9398</v>
      </c>
      <c r="AX37" s="107">
        <f t="shared" si="6"/>
        <v>219161.4967</v>
      </c>
      <c r="AY37" s="107">
        <f t="shared" si="6"/>
        <v>186932.0115</v>
      </c>
      <c r="AZ37" s="107">
        <f t="shared" si="6"/>
        <v>161682.0232</v>
      </c>
      <c r="BA37" s="107">
        <f t="shared" si="6"/>
        <v>134780.9762</v>
      </c>
      <c r="BB37" s="107">
        <f t="shared" si="6"/>
        <v>116513.7828</v>
      </c>
      <c r="BC37" s="107">
        <f t="shared" si="6"/>
        <v>117502.0479</v>
      </c>
      <c r="BD37" s="107">
        <f t="shared" si="6"/>
        <v>107222.5435</v>
      </c>
      <c r="BE37" s="107">
        <f t="shared" si="6"/>
        <v>186190.9596</v>
      </c>
      <c r="BF37" s="107">
        <f t="shared" si="6"/>
        <v>264695.4178</v>
      </c>
      <c r="BG37" s="107">
        <f t="shared" si="6"/>
        <v>219076.5432</v>
      </c>
      <c r="BH37" s="107">
        <f t="shared" si="6"/>
        <v>206637.9187</v>
      </c>
      <c r="BI37" s="107">
        <f t="shared" si="6"/>
        <v>202087.912</v>
      </c>
      <c r="BJ37" s="107">
        <f t="shared" si="6"/>
        <v>191663.5776</v>
      </c>
      <c r="BK37" s="107">
        <f t="shared" si="6"/>
        <v>168340.5364</v>
      </c>
      <c r="BL37" s="107">
        <f t="shared" si="6"/>
        <v>143205.8441</v>
      </c>
      <c r="BM37" s="107">
        <f t="shared" si="6"/>
        <v>120470.3739</v>
      </c>
      <c r="BN37" s="107">
        <f t="shared" si="6"/>
        <v>102980.7789</v>
      </c>
      <c r="BO37" s="107">
        <f t="shared" si="6"/>
        <v>85055.17886</v>
      </c>
      <c r="BP37" s="107">
        <f t="shared" si="6"/>
        <v>57217.69468</v>
      </c>
      <c r="BQ37" s="107">
        <f t="shared" si="6"/>
        <v>32484.66188</v>
      </c>
      <c r="BR37" s="107">
        <f t="shared" si="6"/>
        <v>5802.038484</v>
      </c>
      <c r="BS37" s="107">
        <f t="shared" si="6"/>
        <v>149798.0446</v>
      </c>
      <c r="BT37" s="107">
        <f t="shared" si="6"/>
        <v>137653.575</v>
      </c>
      <c r="BU37" s="107">
        <f t="shared" si="6"/>
        <v>114379.2389</v>
      </c>
      <c r="BV37" s="107">
        <f t="shared" si="6"/>
        <v>86597.09801</v>
      </c>
      <c r="BW37" s="107">
        <f t="shared" si="6"/>
        <v>67798.971</v>
      </c>
      <c r="BX37" s="107">
        <f t="shared" si="6"/>
        <v>58481.03644</v>
      </c>
      <c r="BY37" s="107">
        <f t="shared" si="6"/>
        <v>46798.37306</v>
      </c>
      <c r="BZ37" s="107">
        <f t="shared" si="6"/>
        <v>38481.39825</v>
      </c>
      <c r="CA37" s="107">
        <f t="shared" si="6"/>
        <v>37164.36142</v>
      </c>
      <c r="CB37" s="107">
        <f t="shared" si="6"/>
        <v>43618.44999</v>
      </c>
      <c r="CC37" s="107">
        <f t="shared" si="6"/>
        <v>51465.39253</v>
      </c>
      <c r="CD37" s="107">
        <f t="shared" si="6"/>
        <v>59307.57389</v>
      </c>
      <c r="CE37" s="107">
        <f t="shared" si="6"/>
        <v>63201.19693</v>
      </c>
      <c r="CF37" s="107">
        <f t="shared" si="6"/>
        <v>63185.37546</v>
      </c>
      <c r="CG37" s="107">
        <f t="shared" si="6"/>
        <v>56636.64384</v>
      </c>
      <c r="CH37" s="107">
        <f t="shared" si="6"/>
        <v>55206.60077</v>
      </c>
      <c r="CI37" s="107">
        <f t="shared" si="6"/>
        <v>51525.10595</v>
      </c>
      <c r="CJ37" s="107">
        <f t="shared" si="6"/>
        <v>45906.67628</v>
      </c>
      <c r="CK37" s="107">
        <f t="shared" si="6"/>
        <v>40287.33293</v>
      </c>
      <c r="CL37" s="107">
        <f t="shared" si="6"/>
        <v>33559.1516</v>
      </c>
      <c r="CM37" s="107">
        <f t="shared" si="6"/>
        <v>36753.10126</v>
      </c>
      <c r="CN37" s="107">
        <f t="shared" si="6"/>
        <v>46826.47142</v>
      </c>
      <c r="CO37" s="107">
        <f t="shared" si="6"/>
        <v>63363.93277</v>
      </c>
      <c r="CP37" s="107">
        <f t="shared" si="6"/>
        <v>83102.65572</v>
      </c>
      <c r="CQ37" s="103"/>
      <c r="CR37" s="103"/>
      <c r="CS37" s="103"/>
    </row>
    <row r="38" ht="12.75" customHeight="1">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c r="CE38" s="103"/>
      <c r="CF38" s="103"/>
      <c r="CG38" s="103"/>
      <c r="CH38" s="103"/>
      <c r="CI38" s="103"/>
      <c r="CJ38" s="103"/>
      <c r="CK38" s="103"/>
      <c r="CL38" s="103"/>
      <c r="CM38" s="103"/>
      <c r="CN38" s="103"/>
      <c r="CO38" s="103"/>
      <c r="CP38" s="103"/>
      <c r="CQ38" s="103"/>
      <c r="CR38" s="103"/>
      <c r="CS38" s="103"/>
    </row>
    <row r="39" ht="12.75" customHeight="1">
      <c r="A39" s="91" t="s">
        <v>239</v>
      </c>
      <c r="B39" s="110">
        <f t="shared" ref="B39:CP39" si="7">SUM(B35:B37)</f>
        <v>346921.0243</v>
      </c>
      <c r="C39" s="110">
        <f t="shared" si="7"/>
        <v>315451.3806</v>
      </c>
      <c r="D39" s="110">
        <f t="shared" si="7"/>
        <v>286262.1381</v>
      </c>
      <c r="E39" s="110">
        <f t="shared" si="7"/>
        <v>263067.7578</v>
      </c>
      <c r="F39" s="110">
        <f t="shared" si="7"/>
        <v>241510.5082</v>
      </c>
      <c r="G39" s="110">
        <f t="shared" si="7"/>
        <v>210216.0513</v>
      </c>
      <c r="H39" s="110">
        <f t="shared" si="7"/>
        <v>170891.8826</v>
      </c>
      <c r="I39" s="110">
        <f t="shared" si="7"/>
        <v>141360.2331</v>
      </c>
      <c r="J39" s="110">
        <f t="shared" si="7"/>
        <v>179360.0061</v>
      </c>
      <c r="K39" s="110">
        <f t="shared" si="7"/>
        <v>100657.1593</v>
      </c>
      <c r="L39" s="110">
        <f t="shared" si="7"/>
        <v>55669.53319</v>
      </c>
      <c r="M39" s="110">
        <f t="shared" si="7"/>
        <v>47478.02396</v>
      </c>
      <c r="N39" s="110">
        <f t="shared" si="7"/>
        <v>62365.3063</v>
      </c>
      <c r="O39" s="110">
        <f t="shared" si="7"/>
        <v>110117.699</v>
      </c>
      <c r="P39" s="110">
        <f t="shared" si="7"/>
        <v>166843.9316</v>
      </c>
      <c r="Q39" s="110">
        <f t="shared" si="7"/>
        <v>111746.8925</v>
      </c>
      <c r="R39" s="110">
        <f t="shared" si="7"/>
        <v>265587.7897</v>
      </c>
      <c r="S39" s="110">
        <f t="shared" si="7"/>
        <v>201601.3787</v>
      </c>
      <c r="T39" s="110">
        <f t="shared" si="7"/>
        <v>200730.0725</v>
      </c>
      <c r="U39" s="110">
        <f t="shared" si="7"/>
        <v>210883.2619</v>
      </c>
      <c r="V39" s="110">
        <f t="shared" si="7"/>
        <v>199378.5666</v>
      </c>
      <c r="W39" s="110">
        <f t="shared" si="7"/>
        <v>275183.7109</v>
      </c>
      <c r="X39" s="110">
        <f t="shared" si="7"/>
        <v>234799.4821</v>
      </c>
      <c r="Y39" s="110">
        <f t="shared" si="7"/>
        <v>209686.695</v>
      </c>
      <c r="Z39" s="110">
        <f t="shared" si="7"/>
        <v>196762.2736</v>
      </c>
      <c r="AA39" s="110">
        <f t="shared" si="7"/>
        <v>231326.815</v>
      </c>
      <c r="AB39" s="110">
        <f t="shared" si="7"/>
        <v>327969.2654</v>
      </c>
      <c r="AC39" s="110">
        <f t="shared" si="7"/>
        <v>304106.8986</v>
      </c>
      <c r="AD39" s="110">
        <f t="shared" si="7"/>
        <v>259274.1658</v>
      </c>
      <c r="AE39" s="110">
        <f t="shared" si="7"/>
        <v>220088.2343</v>
      </c>
      <c r="AF39" s="110">
        <f t="shared" si="7"/>
        <v>143224.1315</v>
      </c>
      <c r="AG39" s="110">
        <f t="shared" si="7"/>
        <v>139020.3265</v>
      </c>
      <c r="AH39" s="110">
        <f t="shared" si="7"/>
        <v>158280.1088</v>
      </c>
      <c r="AI39" s="110">
        <f t="shared" si="7"/>
        <v>171437.197</v>
      </c>
      <c r="AJ39" s="110">
        <f t="shared" si="7"/>
        <v>182208.7728</v>
      </c>
      <c r="AK39" s="110">
        <f t="shared" si="7"/>
        <v>184379.9311</v>
      </c>
      <c r="AL39" s="110">
        <f t="shared" si="7"/>
        <v>200796.5487</v>
      </c>
      <c r="AM39" s="110">
        <f t="shared" si="7"/>
        <v>190681.9297</v>
      </c>
      <c r="AN39" s="110">
        <f t="shared" si="7"/>
        <v>42913.81095</v>
      </c>
      <c r="AO39" s="110">
        <f t="shared" si="7"/>
        <v>61672.59969</v>
      </c>
      <c r="AP39" s="110">
        <f t="shared" si="7"/>
        <v>45833.73356</v>
      </c>
      <c r="AQ39" s="110">
        <f t="shared" si="7"/>
        <v>39908.45965</v>
      </c>
      <c r="AR39" s="110">
        <f t="shared" si="7"/>
        <v>59196.15034</v>
      </c>
      <c r="AS39" s="110">
        <f t="shared" si="7"/>
        <v>54865.58465</v>
      </c>
      <c r="AT39" s="110">
        <f t="shared" si="7"/>
        <v>90379.70681</v>
      </c>
      <c r="AU39" s="110">
        <f t="shared" si="7"/>
        <v>157058.9199</v>
      </c>
      <c r="AV39" s="110">
        <f t="shared" si="7"/>
        <v>259627.9398</v>
      </c>
      <c r="AW39" s="110">
        <f t="shared" si="7"/>
        <v>219161.4967</v>
      </c>
      <c r="AX39" s="110">
        <f t="shared" si="7"/>
        <v>186932.0115</v>
      </c>
      <c r="AY39" s="110">
        <f t="shared" si="7"/>
        <v>161682.0232</v>
      </c>
      <c r="AZ39" s="110">
        <f t="shared" si="7"/>
        <v>134780.9762</v>
      </c>
      <c r="BA39" s="110">
        <f t="shared" si="7"/>
        <v>116513.7828</v>
      </c>
      <c r="BB39" s="110">
        <f t="shared" si="7"/>
        <v>117502.0479</v>
      </c>
      <c r="BC39" s="110">
        <f t="shared" si="7"/>
        <v>107222.5435</v>
      </c>
      <c r="BD39" s="110">
        <f t="shared" si="7"/>
        <v>186190.9596</v>
      </c>
      <c r="BE39" s="110">
        <f t="shared" si="7"/>
        <v>264695.4178</v>
      </c>
      <c r="BF39" s="110">
        <f t="shared" si="7"/>
        <v>219076.5432</v>
      </c>
      <c r="BG39" s="110">
        <f t="shared" si="7"/>
        <v>206637.9187</v>
      </c>
      <c r="BH39" s="110">
        <f t="shared" si="7"/>
        <v>202087.912</v>
      </c>
      <c r="BI39" s="110">
        <f t="shared" si="7"/>
        <v>191663.5776</v>
      </c>
      <c r="BJ39" s="110">
        <f t="shared" si="7"/>
        <v>168340.5364</v>
      </c>
      <c r="BK39" s="110">
        <f t="shared" si="7"/>
        <v>143205.8441</v>
      </c>
      <c r="BL39" s="110">
        <f t="shared" si="7"/>
        <v>120470.3739</v>
      </c>
      <c r="BM39" s="110">
        <f t="shared" si="7"/>
        <v>102980.7789</v>
      </c>
      <c r="BN39" s="110">
        <f t="shared" si="7"/>
        <v>85055.17886</v>
      </c>
      <c r="BO39" s="110">
        <f t="shared" si="7"/>
        <v>57217.69468</v>
      </c>
      <c r="BP39" s="110">
        <f t="shared" si="7"/>
        <v>32484.66188</v>
      </c>
      <c r="BQ39" s="110">
        <f t="shared" si="7"/>
        <v>5802.038484</v>
      </c>
      <c r="BR39" s="110">
        <f t="shared" si="7"/>
        <v>149798.0446</v>
      </c>
      <c r="BS39" s="110">
        <f t="shared" si="7"/>
        <v>137653.575</v>
      </c>
      <c r="BT39" s="110">
        <f t="shared" si="7"/>
        <v>114379.2389</v>
      </c>
      <c r="BU39" s="110">
        <f t="shared" si="7"/>
        <v>86597.09801</v>
      </c>
      <c r="BV39" s="110">
        <f t="shared" si="7"/>
        <v>67798.971</v>
      </c>
      <c r="BW39" s="110">
        <f t="shared" si="7"/>
        <v>58481.03644</v>
      </c>
      <c r="BX39" s="110">
        <f t="shared" si="7"/>
        <v>46798.37306</v>
      </c>
      <c r="BY39" s="110">
        <f t="shared" si="7"/>
        <v>38481.39825</v>
      </c>
      <c r="BZ39" s="110">
        <f t="shared" si="7"/>
        <v>37164.36142</v>
      </c>
      <c r="CA39" s="110">
        <f t="shared" si="7"/>
        <v>43618.44999</v>
      </c>
      <c r="CB39" s="110">
        <f t="shared" si="7"/>
        <v>51465.39253</v>
      </c>
      <c r="CC39" s="110">
        <f t="shared" si="7"/>
        <v>59307.57389</v>
      </c>
      <c r="CD39" s="110">
        <f t="shared" si="7"/>
        <v>63201.19693</v>
      </c>
      <c r="CE39" s="110">
        <f t="shared" si="7"/>
        <v>63185.37546</v>
      </c>
      <c r="CF39" s="110">
        <f t="shared" si="7"/>
        <v>56636.64384</v>
      </c>
      <c r="CG39" s="110">
        <f t="shared" si="7"/>
        <v>55206.60077</v>
      </c>
      <c r="CH39" s="110">
        <f t="shared" si="7"/>
        <v>51525.10595</v>
      </c>
      <c r="CI39" s="110">
        <f t="shared" si="7"/>
        <v>45906.67628</v>
      </c>
      <c r="CJ39" s="110">
        <f t="shared" si="7"/>
        <v>40287.33293</v>
      </c>
      <c r="CK39" s="110">
        <f t="shared" si="7"/>
        <v>33559.1516</v>
      </c>
      <c r="CL39" s="110">
        <f t="shared" si="7"/>
        <v>36753.10126</v>
      </c>
      <c r="CM39" s="110">
        <f t="shared" si="7"/>
        <v>46826.47142</v>
      </c>
      <c r="CN39" s="110">
        <f t="shared" si="7"/>
        <v>63363.93277</v>
      </c>
      <c r="CO39" s="110">
        <f t="shared" si="7"/>
        <v>83102.65572</v>
      </c>
      <c r="CP39" s="110">
        <f t="shared" si="7"/>
        <v>156042.6403</v>
      </c>
      <c r="CQ39" s="111"/>
      <c r="CR39" s="111"/>
      <c r="CS39" s="111"/>
    </row>
    <row r="40" ht="12.75" customHeight="1">
      <c r="B40" s="98"/>
      <c r="C40" s="98"/>
      <c r="D40" s="98"/>
      <c r="E40" s="98"/>
      <c r="F40" s="98"/>
      <c r="G40" s="98"/>
      <c r="H40" s="98"/>
      <c r="I40" s="98"/>
    </row>
    <row r="41" ht="12.75" customHeight="1">
      <c r="B41" s="94"/>
      <c r="C41" s="94"/>
      <c r="D41" s="94"/>
      <c r="E41" s="94"/>
      <c r="F41" s="94"/>
      <c r="G41" s="94"/>
      <c r="H41" s="94"/>
      <c r="I41" s="94"/>
    </row>
    <row r="42" ht="12.75" customHeight="1">
      <c r="A42" s="97" t="s">
        <v>125</v>
      </c>
      <c r="B42" s="112">
        <f t="shared" ref="B42:CP42" si="8">B19/B15</f>
        <v>1</v>
      </c>
      <c r="C42" s="112">
        <f t="shared" si="8"/>
        <v>0.8699319339</v>
      </c>
      <c r="D42" s="112">
        <f t="shared" si="8"/>
        <v>0.1210258083</v>
      </c>
      <c r="E42" s="112">
        <f t="shared" si="8"/>
        <v>0.3322467421</v>
      </c>
      <c r="F42" s="112">
        <f t="shared" si="8"/>
        <v>0.4877230045</v>
      </c>
      <c r="G42" s="112">
        <f t="shared" si="8"/>
        <v>0.5510166353</v>
      </c>
      <c r="H42" s="112">
        <f t="shared" si="8"/>
        <v>0.3912524463</v>
      </c>
      <c r="I42" s="112">
        <f t="shared" si="8"/>
        <v>0.3804389857</v>
      </c>
      <c r="J42" s="112">
        <f t="shared" si="8"/>
        <v>0.1249559547</v>
      </c>
      <c r="K42" s="112">
        <f t="shared" si="8"/>
        <v>-0.169784293</v>
      </c>
      <c r="L42" s="112">
        <f t="shared" si="8"/>
        <v>0.2966718817</v>
      </c>
      <c r="M42" s="112">
        <f t="shared" si="8"/>
        <v>0.2966703341</v>
      </c>
      <c r="N42" s="112">
        <f t="shared" si="8"/>
        <v>0.2966703333</v>
      </c>
      <c r="O42" s="112">
        <f t="shared" si="8"/>
        <v>0.2966708308</v>
      </c>
      <c r="P42" s="112">
        <f t="shared" si="8"/>
        <v>0.2966714845</v>
      </c>
      <c r="Q42" s="112">
        <f t="shared" si="8"/>
        <v>0.2966718732</v>
      </c>
      <c r="R42" s="112">
        <f t="shared" si="8"/>
        <v>0.2966711997</v>
      </c>
      <c r="S42" s="112">
        <f t="shared" si="8"/>
        <v>0.2966703369</v>
      </c>
      <c r="T42" s="112">
        <f t="shared" si="8"/>
        <v>0.2966693623</v>
      </c>
      <c r="U42" s="112">
        <f t="shared" si="8"/>
        <v>0.296669588</v>
      </c>
      <c r="V42" s="112">
        <f t="shared" si="8"/>
        <v>0.2966700922</v>
      </c>
      <c r="W42" s="112">
        <f t="shared" si="8"/>
        <v>0.2966713473</v>
      </c>
      <c r="X42" s="112">
        <f t="shared" si="8"/>
        <v>0.2966710178</v>
      </c>
      <c r="Y42" s="112">
        <f t="shared" si="8"/>
        <v>0.296670737</v>
      </c>
      <c r="Z42" s="112">
        <f t="shared" si="8"/>
        <v>0.2966706779</v>
      </c>
      <c r="AA42" s="112">
        <f t="shared" si="8"/>
        <v>0.2966706559</v>
      </c>
      <c r="AB42" s="112">
        <f t="shared" si="8"/>
        <v>0.2966709783</v>
      </c>
      <c r="AC42" s="112">
        <f t="shared" si="8"/>
        <v>0.2966714644</v>
      </c>
      <c r="AD42" s="112">
        <f t="shared" si="8"/>
        <v>0.2966717121</v>
      </c>
      <c r="AE42" s="112">
        <f t="shared" si="8"/>
        <v>0.2966708103</v>
      </c>
      <c r="AF42" s="112">
        <f t="shared" si="8"/>
        <v>0.2966701658</v>
      </c>
      <c r="AG42" s="112">
        <f t="shared" si="8"/>
        <v>0.2966701708</v>
      </c>
      <c r="AH42" s="112">
        <f t="shared" si="8"/>
        <v>0.2966705806</v>
      </c>
      <c r="AI42" s="112">
        <f t="shared" si="8"/>
        <v>0.3966705422</v>
      </c>
      <c r="AJ42" s="112">
        <f t="shared" si="8"/>
        <v>0.3966709552</v>
      </c>
      <c r="AK42" s="112">
        <f t="shared" si="8"/>
        <v>0.3966715142</v>
      </c>
      <c r="AL42" s="112">
        <f t="shared" si="8"/>
        <v>0.396672223</v>
      </c>
      <c r="AM42" s="112">
        <f t="shared" si="8"/>
        <v>0.3966720846</v>
      </c>
      <c r="AN42" s="112">
        <f t="shared" si="8"/>
        <v>0.3966719042</v>
      </c>
      <c r="AO42" s="112">
        <f t="shared" si="8"/>
        <v>0.3966717353</v>
      </c>
      <c r="AP42" s="112">
        <f t="shared" si="8"/>
        <v>0.3966717495</v>
      </c>
      <c r="AQ42" s="112">
        <f t="shared" si="8"/>
        <v>0.3966717638</v>
      </c>
      <c r="AR42" s="112">
        <f t="shared" si="8"/>
        <v>0.3966718452</v>
      </c>
      <c r="AS42" s="112">
        <f t="shared" si="8"/>
        <v>0.3966720082</v>
      </c>
      <c r="AT42" s="112">
        <f t="shared" si="8"/>
        <v>0.3966723597</v>
      </c>
      <c r="AU42" s="112">
        <f t="shared" si="8"/>
        <v>0.3966723746</v>
      </c>
      <c r="AV42" s="112">
        <f t="shared" si="8"/>
        <v>0.3966719111</v>
      </c>
      <c r="AW42" s="112">
        <f t="shared" si="8"/>
        <v>0.3966708597</v>
      </c>
      <c r="AX42" s="112">
        <f t="shared" si="8"/>
        <v>0.3966703077</v>
      </c>
      <c r="AY42" s="112">
        <f t="shared" si="8"/>
        <v>0.3966698694</v>
      </c>
      <c r="AZ42" s="112">
        <f t="shared" si="8"/>
        <v>0.3966697498</v>
      </c>
      <c r="BA42" s="112">
        <f t="shared" si="8"/>
        <v>0.39666956</v>
      </c>
      <c r="BB42" s="112">
        <f t="shared" si="8"/>
        <v>0.3966693412</v>
      </c>
      <c r="BC42" s="112">
        <f t="shared" si="8"/>
        <v>0.3966694427</v>
      </c>
      <c r="BD42" s="112">
        <f t="shared" si="8"/>
        <v>0.3966696275</v>
      </c>
      <c r="BE42" s="112">
        <f t="shared" si="8"/>
        <v>0.3966700502</v>
      </c>
      <c r="BF42" s="112">
        <f t="shared" si="8"/>
        <v>0.3966700973</v>
      </c>
      <c r="BG42" s="112">
        <f t="shared" si="8"/>
        <v>0.3966696342</v>
      </c>
      <c r="BH42" s="112">
        <f t="shared" si="8"/>
        <v>0.3966697368</v>
      </c>
      <c r="BI42" s="112">
        <f t="shared" si="8"/>
        <v>0.4741694518</v>
      </c>
      <c r="BJ42" s="112">
        <f t="shared" si="8"/>
        <v>0.4741700803</v>
      </c>
      <c r="BK42" s="112">
        <f t="shared" si="8"/>
        <v>0.4741700651</v>
      </c>
      <c r="BL42" s="112">
        <f t="shared" si="8"/>
        <v>0.4741700433</v>
      </c>
      <c r="BM42" s="112">
        <f t="shared" si="8"/>
        <v>0.4741700316</v>
      </c>
      <c r="BN42" s="112">
        <f t="shared" si="8"/>
        <v>0.4741700254</v>
      </c>
      <c r="BO42" s="112">
        <f t="shared" si="8"/>
        <v>0.5608361551</v>
      </c>
      <c r="BP42" s="112">
        <f t="shared" si="8"/>
        <v>0.5608359573</v>
      </c>
      <c r="BQ42" s="112">
        <f t="shared" si="8"/>
        <v>0.560835792</v>
      </c>
      <c r="BR42" s="112">
        <f t="shared" si="8"/>
        <v>0.5608356442</v>
      </c>
      <c r="BS42" s="112">
        <f t="shared" si="8"/>
        <v>0.5608356479</v>
      </c>
      <c r="BT42" s="112">
        <f t="shared" si="8"/>
        <v>0.5608356596</v>
      </c>
      <c r="BU42" s="112">
        <f t="shared" si="8"/>
        <v>0.5608355077</v>
      </c>
      <c r="BV42" s="112">
        <f t="shared" si="8"/>
        <v>0.5608352611</v>
      </c>
      <c r="BW42" s="112">
        <f t="shared" si="8"/>
        <v>0.5608350602</v>
      </c>
      <c r="BX42" s="112">
        <f t="shared" si="8"/>
        <v>0.5608349616</v>
      </c>
      <c r="BY42" s="112">
        <f t="shared" si="8"/>
        <v>0.5608348781</v>
      </c>
      <c r="BZ42" s="112">
        <f t="shared" si="8"/>
        <v>0.5608347909</v>
      </c>
      <c r="CA42" s="112">
        <f t="shared" si="8"/>
        <v>0.5608347155</v>
      </c>
      <c r="CB42" s="112">
        <f t="shared" si="8"/>
        <v>0.5608346932</v>
      </c>
      <c r="CC42" s="112">
        <f t="shared" si="8"/>
        <v>0.5608346725</v>
      </c>
      <c r="CD42" s="112">
        <f t="shared" si="8"/>
        <v>0.5608346524</v>
      </c>
      <c r="CE42" s="112">
        <f t="shared" si="8"/>
        <v>0.5608346277</v>
      </c>
      <c r="CF42" s="112">
        <f t="shared" si="8"/>
        <v>0.5608346049</v>
      </c>
      <c r="CG42" s="112">
        <f t="shared" si="8"/>
        <v>0.5608345419</v>
      </c>
      <c r="CH42" s="112">
        <f t="shared" si="8"/>
        <v>0.5608344918</v>
      </c>
      <c r="CI42" s="112">
        <f t="shared" si="8"/>
        <v>0.5608344452</v>
      </c>
      <c r="CJ42" s="112">
        <f t="shared" si="8"/>
        <v>0.5608343989</v>
      </c>
      <c r="CK42" s="112">
        <f t="shared" si="8"/>
        <v>0.5608343587</v>
      </c>
      <c r="CL42" s="112">
        <f t="shared" si="8"/>
        <v>0.5608342951</v>
      </c>
      <c r="CM42" s="112">
        <f t="shared" si="8"/>
        <v>0.5608342597</v>
      </c>
      <c r="CN42" s="112">
        <f t="shared" si="8"/>
        <v>0.5608342284</v>
      </c>
      <c r="CO42" s="112">
        <f t="shared" si="8"/>
        <v>0.5608342164</v>
      </c>
      <c r="CP42" s="112">
        <f t="shared" si="8"/>
        <v>0.5608342046</v>
      </c>
      <c r="CQ42" s="112"/>
      <c r="CR42" s="112"/>
      <c r="CS42" s="112"/>
    </row>
    <row r="43" ht="12.75" customHeight="1">
      <c r="B43" s="94"/>
      <c r="C43" s="94"/>
      <c r="D43" s="94"/>
      <c r="E43" s="94"/>
      <c r="F43" s="94"/>
      <c r="G43" s="94"/>
      <c r="H43" s="94"/>
      <c r="I43" s="94"/>
    </row>
    <row r="44" ht="12.75" customHeight="1">
      <c r="A44" s="97" t="s">
        <v>126</v>
      </c>
      <c r="B44" s="112">
        <f t="shared" ref="B44:CP44" si="9">B23/B15</f>
        <v>-9.718935929</v>
      </c>
      <c r="C44" s="112">
        <f t="shared" si="9"/>
        <v>-7.0126946</v>
      </c>
      <c r="D44" s="112">
        <f t="shared" si="9"/>
        <v>-4.296291102</v>
      </c>
      <c r="E44" s="112">
        <f t="shared" si="9"/>
        <v>-1.767808013</v>
      </c>
      <c r="F44" s="112">
        <f t="shared" si="9"/>
        <v>-0.8488530226</v>
      </c>
      <c r="G44" s="112">
        <f t="shared" si="9"/>
        <v>-0.6881641593</v>
      </c>
      <c r="H44" s="112">
        <f t="shared" si="9"/>
        <v>-0.9995518598</v>
      </c>
      <c r="I44" s="112">
        <f t="shared" si="9"/>
        <v>-0.6677275501</v>
      </c>
      <c r="J44" s="112">
        <f t="shared" si="9"/>
        <v>-0.9340656381</v>
      </c>
      <c r="K44" s="112">
        <f t="shared" si="9"/>
        <v>-1.457449313</v>
      </c>
      <c r="L44" s="112">
        <f t="shared" si="9"/>
        <v>-0.3701291583</v>
      </c>
      <c r="M44" s="112">
        <f t="shared" si="9"/>
        <v>-0.1901805625</v>
      </c>
      <c r="N44" s="112">
        <f t="shared" si="9"/>
        <v>-0.1692328942</v>
      </c>
      <c r="O44" s="112">
        <f t="shared" si="9"/>
        <v>-0.1674276539</v>
      </c>
      <c r="P44" s="112">
        <f t="shared" si="9"/>
        <v>-0.2746555315</v>
      </c>
      <c r="Q44" s="112">
        <f t="shared" si="9"/>
        <v>-0.4472919629</v>
      </c>
      <c r="R44" s="112">
        <f t="shared" si="9"/>
        <v>-0.8245625517</v>
      </c>
      <c r="S44" s="112">
        <f t="shared" si="9"/>
        <v>-0.3831381354</v>
      </c>
      <c r="T44" s="112">
        <f t="shared" si="9"/>
        <v>-0.3251817931</v>
      </c>
      <c r="U44" s="112">
        <f t="shared" si="9"/>
        <v>-0.1800130519</v>
      </c>
      <c r="V44" s="112">
        <f t="shared" si="9"/>
        <v>-0.2421973198</v>
      </c>
      <c r="W44" s="112">
        <f t="shared" si="9"/>
        <v>-0.8820630787</v>
      </c>
      <c r="X44" s="112">
        <f t="shared" si="9"/>
        <v>-0.4400757106</v>
      </c>
      <c r="Y44" s="112">
        <f t="shared" si="9"/>
        <v>-0.2763635813</v>
      </c>
      <c r="Z44" s="112">
        <f t="shared" si="9"/>
        <v>-0.1964149124</v>
      </c>
      <c r="AA44" s="112">
        <f t="shared" si="9"/>
        <v>-0.1801911078</v>
      </c>
      <c r="AB44" s="112">
        <f t="shared" si="9"/>
        <v>-0.1434575573</v>
      </c>
      <c r="AC44" s="112">
        <f t="shared" si="9"/>
        <v>-0.1735953441</v>
      </c>
      <c r="AD44" s="112">
        <f t="shared" si="9"/>
        <v>-0.2319868578</v>
      </c>
      <c r="AE44" s="112">
        <f t="shared" si="9"/>
        <v>-0.3333558713</v>
      </c>
      <c r="AF44" s="112">
        <f t="shared" si="9"/>
        <v>-0.8891041072</v>
      </c>
      <c r="AG44" s="112">
        <f t="shared" si="9"/>
        <v>-0.2772760985</v>
      </c>
      <c r="AH44" s="112">
        <f t="shared" si="9"/>
        <v>-0.01663258294</v>
      </c>
      <c r="AI44" s="112">
        <f t="shared" si="9"/>
        <v>-0.0161791594</v>
      </c>
      <c r="AJ44" s="112">
        <f t="shared" si="9"/>
        <v>0.01547407258</v>
      </c>
      <c r="AK44" s="112">
        <f t="shared" si="9"/>
        <v>-0.02862735141</v>
      </c>
      <c r="AL44" s="112">
        <f t="shared" si="9"/>
        <v>-0.08454261157</v>
      </c>
      <c r="AM44" s="112">
        <f t="shared" si="9"/>
        <v>-0.1400788544</v>
      </c>
      <c r="AN44" s="112">
        <f t="shared" si="9"/>
        <v>-0.1236372414</v>
      </c>
      <c r="AO44" s="112">
        <f t="shared" si="9"/>
        <v>-0.108235508</v>
      </c>
      <c r="AP44" s="112">
        <f t="shared" si="9"/>
        <v>-0.2780210187</v>
      </c>
      <c r="AQ44" s="112">
        <f t="shared" si="9"/>
        <v>-0.1277274529</v>
      </c>
      <c r="AR44" s="112">
        <f t="shared" si="9"/>
        <v>-0.1525863384</v>
      </c>
      <c r="AS44" s="112">
        <f t="shared" si="9"/>
        <v>-0.1508220138</v>
      </c>
      <c r="AT44" s="112">
        <f t="shared" si="9"/>
        <v>-0.1651561069</v>
      </c>
      <c r="AU44" s="112">
        <f t="shared" si="9"/>
        <v>-0.2800434689</v>
      </c>
      <c r="AV44" s="112">
        <f t="shared" si="9"/>
        <v>-0.3850389429</v>
      </c>
      <c r="AW44" s="112">
        <f t="shared" si="9"/>
        <v>-0.3759043022</v>
      </c>
      <c r="AX44" s="112">
        <f t="shared" si="9"/>
        <v>-0.2798382685</v>
      </c>
      <c r="AY44" s="112">
        <f t="shared" si="9"/>
        <v>-0.2035559602</v>
      </c>
      <c r="AZ44" s="112">
        <f t="shared" si="9"/>
        <v>-0.1827558204</v>
      </c>
      <c r="BA44" s="112">
        <f t="shared" si="9"/>
        <v>-0.1497129427</v>
      </c>
      <c r="BB44" s="112">
        <f t="shared" si="9"/>
        <v>-0.1382345839</v>
      </c>
      <c r="BC44" s="112">
        <f t="shared" si="9"/>
        <v>-0.06488604644</v>
      </c>
      <c r="BD44" s="112">
        <f t="shared" si="9"/>
        <v>-0.09275666395</v>
      </c>
      <c r="BE44" s="112">
        <f t="shared" si="9"/>
        <v>-0.1565132963</v>
      </c>
      <c r="BF44" s="112">
        <f t="shared" si="9"/>
        <v>-0.1636248301</v>
      </c>
      <c r="BG44" s="112">
        <f t="shared" si="9"/>
        <v>-0.2373860192</v>
      </c>
      <c r="BH44" s="112">
        <f t="shared" si="9"/>
        <v>-0.08481381728</v>
      </c>
      <c r="BI44" s="112">
        <f t="shared" si="9"/>
        <v>-0.04642606888</v>
      </c>
      <c r="BJ44" s="112">
        <f t="shared" si="9"/>
        <v>-0.102309459</v>
      </c>
      <c r="BK44" s="112">
        <f t="shared" si="9"/>
        <v>-0.1257778918</v>
      </c>
      <c r="BL44" s="112">
        <f t="shared" si="9"/>
        <v>-0.09653308915</v>
      </c>
      <c r="BM44" s="112">
        <f t="shared" si="9"/>
        <v>-0.1203017444</v>
      </c>
      <c r="BN44" s="112">
        <f t="shared" si="9"/>
        <v>-0.09372268705</v>
      </c>
      <c r="BO44" s="112">
        <f t="shared" si="9"/>
        <v>-0.03587061205</v>
      </c>
      <c r="BP44" s="112">
        <f t="shared" si="9"/>
        <v>-0.05680049148</v>
      </c>
      <c r="BQ44" s="112">
        <f t="shared" si="9"/>
        <v>-0.1034581284</v>
      </c>
      <c r="BR44" s="112">
        <f t="shared" si="9"/>
        <v>-0.06608705709</v>
      </c>
      <c r="BS44" s="112">
        <f t="shared" si="9"/>
        <v>-0.09969598355</v>
      </c>
      <c r="BT44" s="112">
        <f t="shared" si="9"/>
        <v>-0.1028131866</v>
      </c>
      <c r="BU44" s="112">
        <f t="shared" si="9"/>
        <v>-0.1117952869</v>
      </c>
      <c r="BV44" s="112">
        <f t="shared" si="9"/>
        <v>-0.08425923911</v>
      </c>
      <c r="BW44" s="112">
        <f t="shared" si="9"/>
        <v>-0.02151081913</v>
      </c>
      <c r="BX44" s="112">
        <f t="shared" si="9"/>
        <v>0.001882268295</v>
      </c>
      <c r="BY44" s="112">
        <f t="shared" si="9"/>
        <v>-0.006831929092</v>
      </c>
      <c r="BZ44" s="112">
        <f t="shared" si="9"/>
        <v>0.02280242865</v>
      </c>
      <c r="CA44" s="112">
        <f t="shared" si="9"/>
        <v>0.05471762323</v>
      </c>
      <c r="CB44" s="112">
        <f t="shared" si="9"/>
        <v>0.06217995233</v>
      </c>
      <c r="CC44" s="112">
        <f t="shared" si="9"/>
        <v>0.06302312945</v>
      </c>
      <c r="CD44" s="112">
        <f t="shared" si="9"/>
        <v>0.06984819983</v>
      </c>
      <c r="CE44" s="112">
        <f t="shared" si="9"/>
        <v>0.03108160372</v>
      </c>
      <c r="CF44" s="112">
        <f t="shared" si="9"/>
        <v>0.03388615073</v>
      </c>
      <c r="CG44" s="112">
        <f t="shared" si="9"/>
        <v>0.03033009954</v>
      </c>
      <c r="CH44" s="112">
        <f t="shared" si="9"/>
        <v>0.0188909151</v>
      </c>
      <c r="CI44" s="112">
        <f t="shared" si="9"/>
        <v>0.0339094247</v>
      </c>
      <c r="CJ44" s="112">
        <f t="shared" si="9"/>
        <v>0.0201190376</v>
      </c>
      <c r="CK44" s="112">
        <f t="shared" si="9"/>
        <v>0.03887434943</v>
      </c>
      <c r="CL44" s="112">
        <f t="shared" si="9"/>
        <v>0.04670801108</v>
      </c>
      <c r="CM44" s="112">
        <f t="shared" si="9"/>
        <v>0.0640489145</v>
      </c>
      <c r="CN44" s="112">
        <f t="shared" si="9"/>
        <v>0.07938456106</v>
      </c>
      <c r="CO44" s="112">
        <f t="shared" si="9"/>
        <v>0.08528363422</v>
      </c>
      <c r="CP44" s="112">
        <f t="shared" si="9"/>
        <v>0.09102613041</v>
      </c>
      <c r="CQ44" s="112"/>
      <c r="CR44" s="112"/>
      <c r="CS44" s="112"/>
    </row>
    <row r="45" ht="12.75" customHeight="1">
      <c r="B45" s="94"/>
      <c r="C45" s="94"/>
      <c r="D45" s="94"/>
      <c r="E45" s="94"/>
      <c r="F45" s="94"/>
      <c r="G45" s="94"/>
      <c r="H45" s="94"/>
      <c r="I45" s="94"/>
    </row>
    <row r="46" ht="12.75" customHeight="1">
      <c r="B46" s="94"/>
      <c r="C46" s="94"/>
      <c r="D46" s="94"/>
      <c r="E46" s="94"/>
      <c r="F46" s="94"/>
      <c r="G46" s="94"/>
      <c r="H46" s="94"/>
      <c r="I46" s="94"/>
    </row>
    <row r="47" ht="12.75" customHeight="1">
      <c r="B47" s="94"/>
      <c r="C47" s="94"/>
      <c r="D47" s="94"/>
      <c r="E47" s="94"/>
      <c r="F47" s="94"/>
      <c r="G47" s="94"/>
      <c r="H47" s="94"/>
      <c r="I47" s="94"/>
    </row>
    <row r="48" ht="12.75" customHeight="1">
      <c r="B48" s="94"/>
      <c r="C48" s="94"/>
      <c r="D48" s="94"/>
      <c r="E48" s="94"/>
      <c r="F48" s="94"/>
      <c r="G48" s="94"/>
      <c r="H48" s="94"/>
      <c r="I48" s="94"/>
    </row>
    <row r="49" ht="12.75" customHeight="1">
      <c r="B49" s="94"/>
      <c r="C49" s="94"/>
      <c r="D49" s="94"/>
      <c r="E49" s="94"/>
      <c r="F49" s="94"/>
      <c r="G49" s="94"/>
      <c r="H49" s="94"/>
      <c r="I49" s="94"/>
      <c r="BQ49" s="113">
        <f>SUM(BF32,BG32,BH32,BJ32,BK32,BL32,BM31,BM31,BM32,BN32,BO32,BP32,BQ32,)</f>
        <v>-165000</v>
      </c>
    </row>
    <row r="50" ht="12.75" customHeight="1">
      <c r="B50" s="94"/>
      <c r="C50" s="94"/>
      <c r="D50" s="94"/>
      <c r="E50" s="94"/>
      <c r="F50" s="94"/>
      <c r="G50" s="94"/>
      <c r="H50" s="94"/>
      <c r="I50" s="94"/>
    </row>
    <row r="51" ht="12.75" customHeight="1">
      <c r="B51" s="94"/>
      <c r="C51" s="94"/>
      <c r="D51" s="94"/>
      <c r="E51" s="94"/>
      <c r="F51" s="94"/>
      <c r="G51" s="94"/>
      <c r="H51" s="94"/>
      <c r="I51" s="94"/>
    </row>
    <row r="52" ht="12.75" customHeight="1">
      <c r="B52" s="94"/>
      <c r="C52" s="94"/>
      <c r="D52" s="94"/>
      <c r="E52" s="94"/>
      <c r="F52" s="94"/>
      <c r="G52" s="94"/>
      <c r="H52" s="94"/>
      <c r="I52" s="94"/>
    </row>
    <row r="53" ht="12.75" customHeight="1">
      <c r="B53" s="94"/>
      <c r="C53" s="94"/>
      <c r="D53" s="94"/>
      <c r="E53" s="94"/>
      <c r="F53" s="94"/>
      <c r="G53" s="94"/>
      <c r="H53" s="94"/>
      <c r="I53" s="94"/>
    </row>
    <row r="54" ht="12.75" customHeight="1">
      <c r="B54" s="94"/>
      <c r="C54" s="94"/>
      <c r="D54" s="94"/>
      <c r="E54" s="94"/>
      <c r="F54" s="94"/>
      <c r="G54" s="94"/>
      <c r="H54" s="94"/>
      <c r="I54" s="94"/>
    </row>
    <row r="55" ht="12.75" customHeight="1">
      <c r="B55" s="94"/>
      <c r="C55" s="94"/>
      <c r="D55" s="94"/>
      <c r="E55" s="94"/>
      <c r="F55" s="94"/>
      <c r="G55" s="94"/>
      <c r="H55" s="94"/>
      <c r="I55" s="94"/>
    </row>
    <row r="56" ht="12.75" customHeight="1">
      <c r="B56" s="94"/>
      <c r="C56" s="94"/>
      <c r="D56" s="94"/>
      <c r="E56" s="94"/>
      <c r="F56" s="94"/>
      <c r="G56" s="94"/>
      <c r="H56" s="94"/>
      <c r="I56" s="94"/>
    </row>
    <row r="57" ht="12.75" customHeight="1">
      <c r="B57" s="94"/>
      <c r="C57" s="94"/>
      <c r="D57" s="94"/>
      <c r="E57" s="94"/>
      <c r="F57" s="94"/>
      <c r="G57" s="94"/>
      <c r="H57" s="94"/>
      <c r="I57" s="94"/>
    </row>
    <row r="58" ht="12.75" customHeight="1">
      <c r="B58" s="94"/>
      <c r="C58" s="94"/>
      <c r="D58" s="94"/>
      <c r="E58" s="94"/>
      <c r="F58" s="94"/>
      <c r="G58" s="94"/>
      <c r="H58" s="94"/>
      <c r="I58" s="94"/>
    </row>
    <row r="59" ht="12.75" customHeight="1">
      <c r="B59" s="94"/>
      <c r="C59" s="94"/>
      <c r="D59" s="94"/>
      <c r="E59" s="94"/>
      <c r="F59" s="94"/>
      <c r="G59" s="94"/>
      <c r="H59" s="94"/>
      <c r="I59" s="94"/>
    </row>
    <row r="60" ht="12.75" customHeight="1">
      <c r="B60" s="94"/>
      <c r="C60" s="94"/>
      <c r="D60" s="94"/>
      <c r="E60" s="94"/>
      <c r="F60" s="94"/>
      <c r="G60" s="94"/>
      <c r="H60" s="94"/>
      <c r="I60" s="94"/>
    </row>
    <row r="61" ht="12.75" customHeight="1">
      <c r="B61" s="94"/>
      <c r="C61" s="94"/>
      <c r="D61" s="94"/>
      <c r="E61" s="94"/>
      <c r="F61" s="94"/>
      <c r="G61" s="94"/>
      <c r="H61" s="94"/>
      <c r="I61" s="94"/>
    </row>
    <row r="62" ht="12.75" customHeight="1">
      <c r="B62" s="94"/>
      <c r="C62" s="94"/>
      <c r="D62" s="94"/>
      <c r="E62" s="94"/>
      <c r="F62" s="94"/>
      <c r="G62" s="94"/>
      <c r="H62" s="94"/>
      <c r="I62" s="94"/>
    </row>
    <row r="63" ht="12.75" customHeight="1">
      <c r="B63" s="94"/>
      <c r="C63" s="94"/>
      <c r="D63" s="94"/>
      <c r="E63" s="94"/>
      <c r="F63" s="94"/>
      <c r="G63" s="94"/>
      <c r="H63" s="94"/>
      <c r="I63" s="94"/>
    </row>
    <row r="64" ht="12.75" customHeight="1">
      <c r="B64" s="94"/>
      <c r="C64" s="94"/>
      <c r="D64" s="94"/>
      <c r="E64" s="94"/>
      <c r="F64" s="94"/>
      <c r="G64" s="94"/>
      <c r="H64" s="94"/>
      <c r="I64" s="94"/>
    </row>
    <row r="65" ht="12.75" customHeight="1">
      <c r="B65" s="94"/>
      <c r="C65" s="94"/>
      <c r="D65" s="94"/>
      <c r="E65" s="94"/>
      <c r="F65" s="94"/>
      <c r="G65" s="94"/>
      <c r="H65" s="94"/>
      <c r="I65" s="94"/>
    </row>
    <row r="66" ht="12.75" customHeight="1">
      <c r="B66" s="94"/>
      <c r="C66" s="94"/>
      <c r="D66" s="94"/>
      <c r="E66" s="94"/>
      <c r="F66" s="94"/>
      <c r="G66" s="94"/>
      <c r="H66" s="94"/>
      <c r="I66" s="94"/>
    </row>
    <row r="67" ht="12.75" customHeight="1">
      <c r="B67" s="94"/>
      <c r="C67" s="94"/>
      <c r="D67" s="94"/>
      <c r="E67" s="94"/>
      <c r="F67" s="94"/>
      <c r="G67" s="94"/>
      <c r="H67" s="94"/>
      <c r="I67" s="94"/>
    </row>
    <row r="68" ht="12.75" customHeight="1">
      <c r="B68" s="94"/>
      <c r="C68" s="94"/>
      <c r="D68" s="94"/>
      <c r="E68" s="94"/>
      <c r="F68" s="94"/>
      <c r="G68" s="94"/>
      <c r="H68" s="94"/>
      <c r="I68" s="94"/>
    </row>
    <row r="69" ht="12.75" customHeight="1">
      <c r="B69" s="94"/>
      <c r="C69" s="94"/>
      <c r="D69" s="94"/>
      <c r="E69" s="94"/>
      <c r="F69" s="94"/>
      <c r="G69" s="94"/>
      <c r="H69" s="94"/>
      <c r="I69" s="94"/>
    </row>
    <row r="70" ht="12.75" customHeight="1">
      <c r="B70" s="94"/>
      <c r="C70" s="94"/>
      <c r="D70" s="94"/>
      <c r="E70" s="94"/>
      <c r="F70" s="94"/>
      <c r="G70" s="94"/>
      <c r="H70" s="94"/>
      <c r="I70" s="94"/>
    </row>
    <row r="71" ht="12.75" customHeight="1">
      <c r="B71" s="94"/>
      <c r="C71" s="94"/>
      <c r="D71" s="94"/>
      <c r="E71" s="94"/>
      <c r="F71" s="94"/>
      <c r="G71" s="94"/>
      <c r="H71" s="94"/>
      <c r="I71" s="94"/>
    </row>
    <row r="72" ht="12.75" customHeight="1">
      <c r="B72" s="94"/>
      <c r="C72" s="94"/>
      <c r="D72" s="94"/>
      <c r="E72" s="94"/>
      <c r="F72" s="94"/>
      <c r="G72" s="94"/>
      <c r="H72" s="94"/>
      <c r="I72" s="94"/>
    </row>
    <row r="73" ht="12.75" customHeight="1">
      <c r="B73" s="94"/>
      <c r="C73" s="94"/>
      <c r="D73" s="94"/>
      <c r="E73" s="94"/>
      <c r="F73" s="94"/>
      <c r="G73" s="94"/>
      <c r="H73" s="94"/>
      <c r="I73" s="94"/>
    </row>
    <row r="74" ht="12.75" customHeight="1">
      <c r="B74" s="94"/>
      <c r="C74" s="94"/>
      <c r="D74" s="94"/>
      <c r="E74" s="94"/>
      <c r="F74" s="94"/>
      <c r="G74" s="94"/>
      <c r="H74" s="94"/>
      <c r="I74" s="94"/>
    </row>
    <row r="75" ht="12.75" customHeight="1">
      <c r="B75" s="94"/>
      <c r="C75" s="94"/>
      <c r="D75" s="94"/>
      <c r="E75" s="94"/>
      <c r="F75" s="94"/>
      <c r="G75" s="94"/>
      <c r="H75" s="94"/>
      <c r="I75" s="94"/>
    </row>
    <row r="76" ht="12.75" customHeight="1">
      <c r="B76" s="94"/>
      <c r="C76" s="94"/>
      <c r="D76" s="94"/>
      <c r="E76" s="94"/>
      <c r="F76" s="94"/>
      <c r="G76" s="94"/>
      <c r="H76" s="94"/>
      <c r="I76" s="94"/>
    </row>
    <row r="77" ht="12.75" customHeight="1">
      <c r="B77" s="94"/>
      <c r="C77" s="94"/>
      <c r="D77" s="94"/>
      <c r="E77" s="94"/>
      <c r="F77" s="94"/>
      <c r="G77" s="94"/>
      <c r="H77" s="94"/>
      <c r="I77" s="94"/>
    </row>
    <row r="78" ht="12.75" customHeight="1">
      <c r="B78" s="94"/>
      <c r="C78" s="94"/>
      <c r="D78" s="94"/>
      <c r="E78" s="94"/>
      <c r="F78" s="94"/>
      <c r="G78" s="94"/>
      <c r="H78" s="94"/>
      <c r="I78" s="94"/>
    </row>
    <row r="79" ht="12.75" customHeight="1">
      <c r="B79" s="94"/>
      <c r="C79" s="94"/>
      <c r="D79" s="94"/>
      <c r="E79" s="94"/>
      <c r="F79" s="94"/>
      <c r="G79" s="94"/>
      <c r="H79" s="94"/>
      <c r="I79" s="94"/>
    </row>
    <row r="80" ht="12.75" customHeight="1">
      <c r="B80" s="94"/>
      <c r="C80" s="94"/>
      <c r="D80" s="94"/>
      <c r="E80" s="94"/>
      <c r="F80" s="94"/>
      <c r="G80" s="94"/>
      <c r="H80" s="94"/>
      <c r="I80" s="94"/>
    </row>
    <row r="81" ht="12.75" customHeight="1">
      <c r="B81" s="94"/>
      <c r="C81" s="94"/>
      <c r="D81" s="94"/>
      <c r="E81" s="94"/>
      <c r="F81" s="94"/>
      <c r="G81" s="94"/>
      <c r="H81" s="94"/>
      <c r="I81" s="94"/>
    </row>
    <row r="82" ht="12.75" customHeight="1">
      <c r="B82" s="94"/>
      <c r="C82" s="94"/>
      <c r="D82" s="94"/>
      <c r="E82" s="94"/>
      <c r="F82" s="94"/>
      <c r="G82" s="94"/>
      <c r="H82" s="94"/>
      <c r="I82" s="94"/>
    </row>
    <row r="83" ht="12.75" customHeight="1">
      <c r="B83" s="94"/>
      <c r="C83" s="94"/>
      <c r="D83" s="94"/>
      <c r="E83" s="94"/>
      <c r="F83" s="94"/>
      <c r="G83" s="94"/>
      <c r="H83" s="94"/>
      <c r="I83" s="94"/>
    </row>
    <row r="84" ht="12.75" customHeight="1">
      <c r="B84" s="94"/>
      <c r="C84" s="94"/>
      <c r="D84" s="94"/>
      <c r="E84" s="94"/>
      <c r="F84" s="94"/>
      <c r="G84" s="94"/>
      <c r="H84" s="94"/>
      <c r="I84" s="94"/>
    </row>
    <row r="85" ht="12.75" customHeight="1">
      <c r="B85" s="94"/>
      <c r="C85" s="94"/>
      <c r="D85" s="94"/>
      <c r="E85" s="94"/>
      <c r="F85" s="94"/>
      <c r="G85" s="94"/>
      <c r="H85" s="94"/>
      <c r="I85" s="94"/>
    </row>
    <row r="86" ht="12.75" customHeight="1">
      <c r="B86" s="94"/>
      <c r="C86" s="94"/>
      <c r="D86" s="94"/>
      <c r="E86" s="94"/>
      <c r="F86" s="94"/>
      <c r="G86" s="94"/>
      <c r="H86" s="94"/>
      <c r="I86" s="94"/>
    </row>
    <row r="87" ht="12.75" customHeight="1">
      <c r="B87" s="94"/>
      <c r="C87" s="94"/>
      <c r="D87" s="94"/>
      <c r="E87" s="94"/>
      <c r="F87" s="94"/>
      <c r="G87" s="94"/>
      <c r="H87" s="94"/>
      <c r="I87" s="94"/>
    </row>
    <row r="88" ht="12.75" customHeight="1">
      <c r="B88" s="94"/>
      <c r="C88" s="94"/>
      <c r="D88" s="94"/>
      <c r="E88" s="94"/>
      <c r="F88" s="94"/>
      <c r="G88" s="94"/>
      <c r="H88" s="94"/>
      <c r="I88" s="94"/>
    </row>
    <row r="89" ht="12.75" customHeight="1">
      <c r="B89" s="94"/>
      <c r="C89" s="94"/>
      <c r="D89" s="94"/>
      <c r="E89" s="94"/>
      <c r="F89" s="94"/>
      <c r="G89" s="94"/>
      <c r="H89" s="94"/>
      <c r="I89" s="94"/>
    </row>
    <row r="90" ht="12.75" customHeight="1">
      <c r="B90" s="94"/>
      <c r="C90" s="94"/>
      <c r="D90" s="94"/>
      <c r="E90" s="94"/>
      <c r="F90" s="94"/>
      <c r="G90" s="94"/>
      <c r="H90" s="94"/>
      <c r="I90" s="94"/>
    </row>
    <row r="91" ht="12.75" customHeight="1">
      <c r="B91" s="94"/>
      <c r="C91" s="94"/>
      <c r="D91" s="94"/>
      <c r="E91" s="94"/>
      <c r="F91" s="94"/>
      <c r="G91" s="94"/>
      <c r="H91" s="94"/>
      <c r="I91" s="94"/>
    </row>
    <row r="92" ht="12.75" customHeight="1">
      <c r="B92" s="94"/>
      <c r="C92" s="94"/>
      <c r="D92" s="94"/>
      <c r="E92" s="94"/>
      <c r="F92" s="94"/>
      <c r="G92" s="94"/>
      <c r="H92" s="94"/>
      <c r="I92" s="94"/>
    </row>
    <row r="93" ht="12.75" customHeight="1">
      <c r="B93" s="94"/>
      <c r="C93" s="94"/>
      <c r="D93" s="94"/>
      <c r="E93" s="94"/>
      <c r="F93" s="94"/>
      <c r="G93" s="94"/>
      <c r="H93" s="94"/>
      <c r="I93" s="94"/>
    </row>
    <row r="94" ht="12.75" customHeight="1">
      <c r="B94" s="94"/>
      <c r="C94" s="94"/>
      <c r="D94" s="94"/>
      <c r="E94" s="94"/>
      <c r="F94" s="94"/>
      <c r="G94" s="94"/>
      <c r="H94" s="94"/>
      <c r="I94" s="94"/>
    </row>
    <row r="95" ht="12.75" customHeight="1">
      <c r="B95" s="94"/>
      <c r="C95" s="94"/>
      <c r="D95" s="94"/>
      <c r="E95" s="94"/>
      <c r="F95" s="94"/>
      <c r="G95" s="94"/>
      <c r="H95" s="94"/>
      <c r="I95" s="94"/>
    </row>
    <row r="96" ht="12.75" customHeight="1">
      <c r="B96" s="94"/>
      <c r="C96" s="94"/>
      <c r="D96" s="94"/>
      <c r="E96" s="94"/>
      <c r="F96" s="94"/>
      <c r="G96" s="94"/>
      <c r="H96" s="94"/>
      <c r="I96" s="94"/>
    </row>
    <row r="97" ht="12.75" customHeight="1">
      <c r="B97" s="94"/>
      <c r="C97" s="94"/>
      <c r="D97" s="94"/>
      <c r="E97" s="94"/>
      <c r="F97" s="94"/>
      <c r="G97" s="94"/>
      <c r="H97" s="94"/>
      <c r="I97" s="94"/>
    </row>
    <row r="98" ht="12.75" customHeight="1">
      <c r="B98" s="94"/>
      <c r="C98" s="94"/>
      <c r="D98" s="94"/>
      <c r="E98" s="94"/>
      <c r="F98" s="94"/>
      <c r="G98" s="94"/>
      <c r="H98" s="94"/>
      <c r="I98" s="94"/>
    </row>
    <row r="99" ht="12.75" customHeight="1">
      <c r="B99" s="94"/>
      <c r="C99" s="94"/>
      <c r="D99" s="94"/>
      <c r="E99" s="94"/>
      <c r="F99" s="94"/>
      <c r="G99" s="94"/>
      <c r="H99" s="94"/>
      <c r="I99" s="94"/>
    </row>
    <row r="100" ht="12.75" customHeight="1">
      <c r="B100" s="94"/>
      <c r="C100" s="94"/>
      <c r="D100" s="94"/>
      <c r="E100" s="94"/>
      <c r="F100" s="94"/>
      <c r="G100" s="94"/>
      <c r="H100" s="94"/>
      <c r="I100" s="94"/>
    </row>
    <row r="101" ht="12.75" customHeight="1">
      <c r="B101" s="94"/>
      <c r="C101" s="94"/>
      <c r="D101" s="94"/>
      <c r="E101" s="94"/>
      <c r="F101" s="94"/>
      <c r="G101" s="94"/>
      <c r="H101" s="94"/>
      <c r="I101" s="94"/>
    </row>
    <row r="102" ht="12.75" customHeight="1">
      <c r="B102" s="94"/>
      <c r="C102" s="94"/>
      <c r="D102" s="94"/>
      <c r="E102" s="94"/>
      <c r="F102" s="94"/>
      <c r="G102" s="94"/>
      <c r="H102" s="94"/>
      <c r="I102" s="94"/>
    </row>
    <row r="103" ht="12.75" customHeight="1">
      <c r="B103" s="94"/>
      <c r="C103" s="94"/>
      <c r="D103" s="94"/>
      <c r="E103" s="94"/>
      <c r="F103" s="94"/>
      <c r="G103" s="94"/>
      <c r="H103" s="94"/>
      <c r="I103" s="94"/>
    </row>
    <row r="104" ht="12.75" customHeight="1">
      <c r="B104" s="94"/>
      <c r="C104" s="94"/>
      <c r="D104" s="94"/>
      <c r="E104" s="94"/>
      <c r="F104" s="94"/>
      <c r="G104" s="94"/>
      <c r="H104" s="94"/>
      <c r="I104" s="94"/>
    </row>
    <row r="105" ht="12.75" customHeight="1">
      <c r="B105" s="94"/>
      <c r="C105" s="94"/>
      <c r="D105" s="94"/>
      <c r="E105" s="94"/>
      <c r="F105" s="94"/>
      <c r="G105" s="94"/>
      <c r="H105" s="94"/>
      <c r="I105" s="94"/>
    </row>
    <row r="106" ht="12.75" customHeight="1">
      <c r="B106" s="94"/>
      <c r="C106" s="94"/>
      <c r="D106" s="94"/>
      <c r="E106" s="94"/>
      <c r="F106" s="94"/>
      <c r="G106" s="94"/>
      <c r="H106" s="94"/>
      <c r="I106" s="94"/>
    </row>
    <row r="107" ht="12.75" customHeight="1">
      <c r="B107" s="94"/>
      <c r="C107" s="94"/>
      <c r="D107" s="94"/>
      <c r="E107" s="94"/>
      <c r="F107" s="94"/>
      <c r="G107" s="94"/>
      <c r="H107" s="94"/>
      <c r="I107" s="94"/>
    </row>
    <row r="108" ht="12.75" customHeight="1">
      <c r="B108" s="94"/>
      <c r="C108" s="94"/>
      <c r="D108" s="94"/>
      <c r="E108" s="94"/>
      <c r="F108" s="94"/>
      <c r="G108" s="94"/>
      <c r="H108" s="94"/>
      <c r="I108" s="94"/>
    </row>
    <row r="109" ht="12.75" customHeight="1">
      <c r="B109" s="94"/>
      <c r="C109" s="94"/>
      <c r="D109" s="94"/>
      <c r="E109" s="94"/>
      <c r="F109" s="94"/>
      <c r="G109" s="94"/>
      <c r="H109" s="94"/>
      <c r="I109" s="94"/>
    </row>
    <row r="110" ht="12.75" customHeight="1">
      <c r="B110" s="94"/>
      <c r="C110" s="94"/>
      <c r="D110" s="94"/>
      <c r="E110" s="94"/>
      <c r="F110" s="94"/>
      <c r="G110" s="94"/>
      <c r="H110" s="94"/>
      <c r="I110" s="94"/>
    </row>
    <row r="111" ht="12.75" customHeight="1">
      <c r="B111" s="94"/>
      <c r="C111" s="94"/>
      <c r="D111" s="94"/>
      <c r="E111" s="94"/>
      <c r="F111" s="94"/>
      <c r="G111" s="94"/>
      <c r="H111" s="94"/>
      <c r="I111" s="94"/>
    </row>
    <row r="112" ht="12.75" customHeight="1">
      <c r="B112" s="94"/>
      <c r="C112" s="94"/>
      <c r="D112" s="94"/>
      <c r="E112" s="94"/>
      <c r="F112" s="94"/>
      <c r="G112" s="94"/>
      <c r="H112" s="94"/>
      <c r="I112" s="94"/>
    </row>
    <row r="113" ht="12.75" customHeight="1">
      <c r="B113" s="94"/>
      <c r="C113" s="94"/>
      <c r="D113" s="94"/>
      <c r="E113" s="94"/>
      <c r="F113" s="94"/>
      <c r="G113" s="94"/>
      <c r="H113" s="94"/>
      <c r="I113" s="94"/>
    </row>
    <row r="114" ht="12.75" customHeight="1">
      <c r="B114" s="94"/>
      <c r="C114" s="94"/>
      <c r="D114" s="94"/>
      <c r="E114" s="94"/>
      <c r="F114" s="94"/>
      <c r="G114" s="94"/>
      <c r="H114" s="94"/>
      <c r="I114" s="94"/>
    </row>
    <row r="115" ht="12.75" customHeight="1">
      <c r="B115" s="94"/>
      <c r="C115" s="94"/>
      <c r="D115" s="94"/>
      <c r="E115" s="94"/>
      <c r="F115" s="94"/>
      <c r="G115" s="94"/>
      <c r="H115" s="94"/>
      <c r="I115" s="94"/>
    </row>
    <row r="116" ht="12.75" customHeight="1">
      <c r="B116" s="94"/>
      <c r="C116" s="94"/>
      <c r="D116" s="94"/>
      <c r="E116" s="94"/>
      <c r="F116" s="94"/>
      <c r="G116" s="94"/>
      <c r="H116" s="94"/>
      <c r="I116" s="94"/>
    </row>
    <row r="117" ht="12.75" customHeight="1">
      <c r="B117" s="94"/>
      <c r="C117" s="94"/>
      <c r="D117" s="94"/>
      <c r="E117" s="94"/>
      <c r="F117" s="94"/>
      <c r="G117" s="94"/>
      <c r="H117" s="94"/>
      <c r="I117" s="94"/>
    </row>
    <row r="118" ht="12.75" customHeight="1">
      <c r="B118" s="94"/>
      <c r="C118" s="94"/>
      <c r="D118" s="94"/>
      <c r="E118" s="94"/>
      <c r="F118" s="94"/>
      <c r="G118" s="94"/>
      <c r="H118" s="94"/>
      <c r="I118" s="94"/>
    </row>
    <row r="119" ht="12.75" customHeight="1">
      <c r="B119" s="94"/>
      <c r="C119" s="94"/>
      <c r="D119" s="94"/>
      <c r="E119" s="94"/>
      <c r="F119" s="94"/>
      <c r="G119" s="94"/>
      <c r="H119" s="94"/>
      <c r="I119" s="94"/>
    </row>
    <row r="120" ht="12.75" customHeight="1">
      <c r="B120" s="94"/>
      <c r="C120" s="94"/>
      <c r="D120" s="94"/>
      <c r="E120" s="94"/>
      <c r="F120" s="94"/>
      <c r="G120" s="94"/>
      <c r="H120" s="94"/>
      <c r="I120" s="94"/>
    </row>
    <row r="121" ht="12.75" customHeight="1">
      <c r="B121" s="94"/>
      <c r="C121" s="94"/>
      <c r="D121" s="94"/>
      <c r="E121" s="94"/>
      <c r="F121" s="94"/>
      <c r="G121" s="94"/>
      <c r="H121" s="94"/>
      <c r="I121" s="94"/>
    </row>
    <row r="122" ht="12.75" customHeight="1">
      <c r="B122" s="94"/>
      <c r="C122" s="94"/>
      <c r="D122" s="94"/>
      <c r="E122" s="94"/>
      <c r="F122" s="94"/>
      <c r="G122" s="94"/>
      <c r="H122" s="94"/>
      <c r="I122" s="94"/>
    </row>
    <row r="123" ht="12.75" customHeight="1">
      <c r="B123" s="94"/>
      <c r="C123" s="94"/>
      <c r="D123" s="94"/>
      <c r="E123" s="94"/>
      <c r="F123" s="94"/>
      <c r="G123" s="94"/>
      <c r="H123" s="94"/>
      <c r="I123" s="94"/>
    </row>
    <row r="124" ht="12.75" customHeight="1">
      <c r="B124" s="94"/>
      <c r="C124" s="94"/>
      <c r="D124" s="94"/>
      <c r="E124" s="94"/>
      <c r="F124" s="94"/>
      <c r="G124" s="94"/>
      <c r="H124" s="94"/>
      <c r="I124" s="94"/>
    </row>
    <row r="125" ht="12.75" customHeight="1">
      <c r="B125" s="94"/>
      <c r="C125" s="94"/>
      <c r="D125" s="94"/>
      <c r="E125" s="94"/>
      <c r="F125" s="94"/>
      <c r="G125" s="94"/>
      <c r="H125" s="94"/>
      <c r="I125" s="94"/>
    </row>
    <row r="126" ht="12.75" customHeight="1">
      <c r="B126" s="94"/>
      <c r="C126" s="94"/>
      <c r="D126" s="94"/>
      <c r="E126" s="94"/>
      <c r="F126" s="94"/>
      <c r="G126" s="94"/>
      <c r="H126" s="94"/>
      <c r="I126" s="94"/>
    </row>
    <row r="127" ht="12.75" customHeight="1">
      <c r="B127" s="94"/>
      <c r="C127" s="94"/>
      <c r="D127" s="94"/>
      <c r="E127" s="94"/>
      <c r="F127" s="94"/>
      <c r="G127" s="94"/>
      <c r="H127" s="94"/>
      <c r="I127" s="94"/>
    </row>
    <row r="128" ht="12.75" customHeight="1">
      <c r="B128" s="94"/>
      <c r="C128" s="94"/>
      <c r="D128" s="94"/>
      <c r="E128" s="94"/>
      <c r="F128" s="94"/>
      <c r="G128" s="94"/>
      <c r="H128" s="94"/>
      <c r="I128" s="94"/>
    </row>
    <row r="129" ht="12.75" customHeight="1">
      <c r="B129" s="94"/>
      <c r="C129" s="94"/>
      <c r="D129" s="94"/>
      <c r="E129" s="94"/>
      <c r="F129" s="94"/>
      <c r="G129" s="94"/>
      <c r="H129" s="94"/>
      <c r="I129" s="94"/>
    </row>
    <row r="130" ht="12.75" customHeight="1">
      <c r="B130" s="94"/>
      <c r="C130" s="94"/>
      <c r="D130" s="94"/>
      <c r="E130" s="94"/>
      <c r="F130" s="94"/>
      <c r="G130" s="94"/>
      <c r="H130" s="94"/>
      <c r="I130" s="94"/>
    </row>
    <row r="131" ht="12.75" customHeight="1">
      <c r="B131" s="94"/>
      <c r="C131" s="94"/>
      <c r="D131" s="94"/>
      <c r="E131" s="94"/>
      <c r="F131" s="94"/>
      <c r="G131" s="94"/>
      <c r="H131" s="94"/>
      <c r="I131" s="94"/>
    </row>
    <row r="132" ht="12.75" customHeight="1">
      <c r="B132" s="94"/>
      <c r="C132" s="94"/>
      <c r="D132" s="94"/>
      <c r="E132" s="94"/>
      <c r="F132" s="94"/>
      <c r="G132" s="94"/>
      <c r="H132" s="94"/>
      <c r="I132" s="94"/>
    </row>
    <row r="133" ht="12.75" customHeight="1">
      <c r="B133" s="94"/>
      <c r="C133" s="94"/>
      <c r="D133" s="94"/>
      <c r="E133" s="94"/>
      <c r="F133" s="94"/>
      <c r="G133" s="94"/>
      <c r="H133" s="94"/>
      <c r="I133" s="94"/>
    </row>
    <row r="134" ht="12.75" customHeight="1">
      <c r="B134" s="94"/>
      <c r="C134" s="94"/>
      <c r="D134" s="94"/>
      <c r="E134" s="94"/>
      <c r="F134" s="94"/>
      <c r="G134" s="94"/>
      <c r="H134" s="94"/>
      <c r="I134" s="94"/>
    </row>
    <row r="135" ht="12.75" customHeight="1">
      <c r="B135" s="94"/>
      <c r="C135" s="94"/>
      <c r="D135" s="94"/>
      <c r="E135" s="94"/>
      <c r="F135" s="94"/>
      <c r="G135" s="94"/>
      <c r="H135" s="94"/>
      <c r="I135" s="94"/>
    </row>
    <row r="136" ht="12.75" customHeight="1">
      <c r="B136" s="94"/>
      <c r="C136" s="94"/>
      <c r="D136" s="94"/>
      <c r="E136" s="94"/>
      <c r="F136" s="94"/>
      <c r="G136" s="94"/>
      <c r="H136" s="94"/>
      <c r="I136" s="94"/>
    </row>
    <row r="137" ht="12.75" customHeight="1">
      <c r="B137" s="94"/>
      <c r="C137" s="94"/>
      <c r="D137" s="94"/>
      <c r="E137" s="94"/>
      <c r="F137" s="94"/>
      <c r="G137" s="94"/>
      <c r="H137" s="94"/>
      <c r="I137" s="94"/>
    </row>
    <row r="138" ht="12.75" customHeight="1">
      <c r="B138" s="94"/>
      <c r="C138" s="94"/>
      <c r="D138" s="94"/>
      <c r="E138" s="94"/>
      <c r="F138" s="94"/>
      <c r="G138" s="94"/>
      <c r="H138" s="94"/>
      <c r="I138" s="94"/>
    </row>
    <row r="139" ht="12.75" customHeight="1">
      <c r="B139" s="94"/>
      <c r="C139" s="94"/>
      <c r="D139" s="94"/>
      <c r="E139" s="94"/>
      <c r="F139" s="94"/>
      <c r="G139" s="94"/>
      <c r="H139" s="94"/>
      <c r="I139" s="94"/>
    </row>
    <row r="140" ht="12.75" customHeight="1">
      <c r="B140" s="94"/>
      <c r="C140" s="94"/>
      <c r="D140" s="94"/>
      <c r="E140" s="94"/>
      <c r="F140" s="94"/>
      <c r="G140" s="94"/>
      <c r="H140" s="94"/>
      <c r="I140" s="94"/>
    </row>
    <row r="141" ht="12.75" customHeight="1">
      <c r="B141" s="94"/>
      <c r="C141" s="94"/>
      <c r="D141" s="94"/>
      <c r="E141" s="94"/>
      <c r="F141" s="94"/>
      <c r="G141" s="94"/>
      <c r="H141" s="94"/>
      <c r="I141" s="94"/>
    </row>
    <row r="142" ht="12.75" customHeight="1">
      <c r="B142" s="94"/>
      <c r="C142" s="94"/>
      <c r="D142" s="94"/>
      <c r="E142" s="94"/>
      <c r="F142" s="94"/>
      <c r="G142" s="94"/>
      <c r="H142" s="94"/>
      <c r="I142" s="94"/>
    </row>
    <row r="143" ht="12.75" customHeight="1">
      <c r="B143" s="94"/>
      <c r="C143" s="94"/>
      <c r="D143" s="94"/>
      <c r="E143" s="94"/>
      <c r="F143" s="94"/>
      <c r="G143" s="94"/>
      <c r="H143" s="94"/>
      <c r="I143" s="94"/>
    </row>
    <row r="144" ht="12.75" customHeight="1">
      <c r="B144" s="94"/>
      <c r="C144" s="94"/>
      <c r="D144" s="94"/>
      <c r="E144" s="94"/>
      <c r="F144" s="94"/>
      <c r="G144" s="94"/>
      <c r="H144" s="94"/>
      <c r="I144" s="94"/>
    </row>
    <row r="145" ht="12.75" customHeight="1">
      <c r="B145" s="94"/>
      <c r="C145" s="94"/>
      <c r="D145" s="94"/>
      <c r="E145" s="94"/>
      <c r="F145" s="94"/>
      <c r="G145" s="94"/>
      <c r="H145" s="94"/>
      <c r="I145" s="94"/>
    </row>
    <row r="146" ht="12.75" customHeight="1">
      <c r="B146" s="94"/>
      <c r="C146" s="94"/>
      <c r="D146" s="94"/>
      <c r="E146" s="94"/>
      <c r="F146" s="94"/>
      <c r="G146" s="94"/>
      <c r="H146" s="94"/>
      <c r="I146" s="94"/>
    </row>
    <row r="147" ht="12.75" customHeight="1">
      <c r="B147" s="94"/>
      <c r="C147" s="94"/>
      <c r="D147" s="94"/>
      <c r="E147" s="94"/>
      <c r="F147" s="94"/>
      <c r="G147" s="94"/>
      <c r="H147" s="94"/>
      <c r="I147" s="94"/>
    </row>
    <row r="148" ht="12.75" customHeight="1">
      <c r="B148" s="94"/>
      <c r="C148" s="94"/>
      <c r="D148" s="94"/>
      <c r="E148" s="94"/>
      <c r="F148" s="94"/>
      <c r="G148" s="94"/>
      <c r="H148" s="94"/>
      <c r="I148" s="94"/>
    </row>
    <row r="149" ht="12.75" customHeight="1">
      <c r="B149" s="94"/>
      <c r="C149" s="94"/>
      <c r="D149" s="94"/>
      <c r="E149" s="94"/>
      <c r="F149" s="94"/>
      <c r="G149" s="94"/>
      <c r="H149" s="94"/>
      <c r="I149" s="94"/>
    </row>
    <row r="150" ht="12.75" customHeight="1">
      <c r="B150" s="94"/>
      <c r="C150" s="94"/>
      <c r="D150" s="94"/>
      <c r="E150" s="94"/>
      <c r="F150" s="94"/>
      <c r="G150" s="94"/>
      <c r="H150" s="94"/>
      <c r="I150" s="94"/>
    </row>
    <row r="151" ht="12.75" customHeight="1">
      <c r="B151" s="94"/>
      <c r="C151" s="94"/>
      <c r="D151" s="94"/>
      <c r="E151" s="94"/>
      <c r="F151" s="94"/>
      <c r="G151" s="94"/>
      <c r="H151" s="94"/>
      <c r="I151" s="94"/>
    </row>
    <row r="152" ht="12.75" customHeight="1">
      <c r="B152" s="94"/>
      <c r="C152" s="94"/>
      <c r="D152" s="94"/>
      <c r="E152" s="94"/>
      <c r="F152" s="94"/>
      <c r="G152" s="94"/>
      <c r="H152" s="94"/>
      <c r="I152" s="94"/>
    </row>
    <row r="153" ht="12.75" customHeight="1">
      <c r="B153" s="94"/>
      <c r="C153" s="94"/>
      <c r="D153" s="94"/>
      <c r="E153" s="94"/>
      <c r="F153" s="94"/>
      <c r="G153" s="94"/>
      <c r="H153" s="94"/>
      <c r="I153" s="94"/>
    </row>
    <row r="154" ht="12.75" customHeight="1">
      <c r="B154" s="94"/>
      <c r="C154" s="94"/>
      <c r="D154" s="94"/>
      <c r="E154" s="94"/>
      <c r="F154" s="94"/>
      <c r="G154" s="94"/>
      <c r="H154" s="94"/>
      <c r="I154" s="94"/>
    </row>
    <row r="155" ht="12.75" customHeight="1">
      <c r="B155" s="94"/>
      <c r="C155" s="94"/>
      <c r="D155" s="94"/>
      <c r="E155" s="94"/>
      <c r="F155" s="94"/>
      <c r="G155" s="94"/>
      <c r="H155" s="94"/>
      <c r="I155" s="94"/>
    </row>
    <row r="156" ht="12.75" customHeight="1">
      <c r="B156" s="94"/>
      <c r="C156" s="94"/>
      <c r="D156" s="94"/>
      <c r="E156" s="94"/>
      <c r="F156" s="94"/>
      <c r="G156" s="94"/>
      <c r="H156" s="94"/>
      <c r="I156" s="94"/>
    </row>
    <row r="157" ht="12.75" customHeight="1">
      <c r="B157" s="94"/>
      <c r="C157" s="94"/>
      <c r="D157" s="94"/>
      <c r="E157" s="94"/>
      <c r="F157" s="94"/>
      <c r="G157" s="94"/>
      <c r="H157" s="94"/>
      <c r="I157" s="94"/>
    </row>
    <row r="158" ht="12.75" customHeight="1">
      <c r="B158" s="94"/>
      <c r="C158" s="94"/>
      <c r="D158" s="94"/>
      <c r="E158" s="94"/>
      <c r="F158" s="94"/>
      <c r="G158" s="94"/>
      <c r="H158" s="94"/>
      <c r="I158" s="94"/>
    </row>
    <row r="159" ht="12.75" customHeight="1">
      <c r="B159" s="94"/>
      <c r="C159" s="94"/>
      <c r="D159" s="94"/>
      <c r="E159" s="94"/>
      <c r="F159" s="94"/>
      <c r="G159" s="94"/>
      <c r="H159" s="94"/>
      <c r="I159" s="94"/>
    </row>
    <row r="160" ht="12.75" customHeight="1">
      <c r="B160" s="94"/>
      <c r="C160" s="94"/>
      <c r="D160" s="94"/>
      <c r="E160" s="94"/>
      <c r="F160" s="94"/>
      <c r="G160" s="94"/>
      <c r="H160" s="94"/>
      <c r="I160" s="94"/>
    </row>
    <row r="161" ht="12.75" customHeight="1">
      <c r="B161" s="94"/>
      <c r="C161" s="94"/>
      <c r="D161" s="94"/>
      <c r="E161" s="94"/>
      <c r="F161" s="94"/>
      <c r="G161" s="94"/>
      <c r="H161" s="94"/>
      <c r="I161" s="94"/>
    </row>
    <row r="162" ht="12.75" customHeight="1">
      <c r="B162" s="94"/>
      <c r="C162" s="94"/>
      <c r="D162" s="94"/>
      <c r="E162" s="94"/>
      <c r="F162" s="94"/>
      <c r="G162" s="94"/>
      <c r="H162" s="94"/>
      <c r="I162" s="94"/>
    </row>
    <row r="163" ht="12.75" customHeight="1">
      <c r="B163" s="94"/>
      <c r="C163" s="94"/>
      <c r="D163" s="94"/>
      <c r="E163" s="94"/>
      <c r="F163" s="94"/>
      <c r="G163" s="94"/>
      <c r="H163" s="94"/>
      <c r="I163" s="94"/>
    </row>
    <row r="164" ht="12.75" customHeight="1">
      <c r="B164" s="94"/>
      <c r="C164" s="94"/>
      <c r="D164" s="94"/>
      <c r="E164" s="94"/>
      <c r="F164" s="94"/>
      <c r="G164" s="94"/>
      <c r="H164" s="94"/>
      <c r="I164" s="94"/>
    </row>
    <row r="165" ht="12.75" customHeight="1">
      <c r="B165" s="94"/>
      <c r="C165" s="94"/>
      <c r="D165" s="94"/>
      <c r="E165" s="94"/>
      <c r="F165" s="94"/>
      <c r="G165" s="94"/>
      <c r="H165" s="94"/>
      <c r="I165" s="94"/>
    </row>
    <row r="166" ht="12.75" customHeight="1">
      <c r="B166" s="94"/>
      <c r="C166" s="94"/>
      <c r="D166" s="94"/>
      <c r="E166" s="94"/>
      <c r="F166" s="94"/>
      <c r="G166" s="94"/>
      <c r="H166" s="94"/>
      <c r="I166" s="94"/>
    </row>
    <row r="167" ht="12.75" customHeight="1">
      <c r="B167" s="94"/>
      <c r="C167" s="94"/>
      <c r="D167" s="94"/>
      <c r="E167" s="94"/>
      <c r="F167" s="94"/>
      <c r="G167" s="94"/>
      <c r="H167" s="94"/>
      <c r="I167" s="94"/>
    </row>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M2"/>
    <mergeCell ref="N2:Z2"/>
    <mergeCell ref="AA2:AM2"/>
    <mergeCell ref="AN2:AZ2"/>
    <mergeCell ref="A3:M3"/>
    <mergeCell ref="N3:Z3"/>
    <mergeCell ref="AA3:AM3"/>
    <mergeCell ref="AN3:AZ3"/>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50.71"/>
    <col customWidth="1" min="3" max="11" width="8.71"/>
    <col customWidth="1" min="12" max="12" width="20.43"/>
    <col customWidth="1" min="13" max="19" width="8.71"/>
    <col customWidth="1" min="20" max="20" width="12.71"/>
    <col customWidth="1" hidden="1" min="21" max="21" width="12.71"/>
    <col customWidth="1" hidden="1" min="22" max="24" width="14.71"/>
    <col customWidth="1" hidden="1" min="25" max="25" width="18.71"/>
    <col customWidth="1" hidden="1" min="26" max="65" width="14.71"/>
    <col customWidth="1" min="66" max="107" width="14.71"/>
  </cols>
  <sheetData>
    <row r="1" ht="15.0" customHeight="1">
      <c r="A1" s="91"/>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c r="BI1" s="91"/>
      <c r="BJ1" s="91"/>
      <c r="BK1" s="91"/>
      <c r="BL1" s="91"/>
      <c r="BM1" s="91"/>
      <c r="BN1" s="91"/>
      <c r="BO1" s="91"/>
      <c r="BP1" s="91"/>
      <c r="BQ1" s="91"/>
      <c r="BR1" s="91"/>
      <c r="BS1" s="91"/>
      <c r="BT1" s="91"/>
      <c r="BU1" s="91"/>
      <c r="BV1" s="91"/>
      <c r="BW1" s="91"/>
      <c r="BX1" s="91"/>
      <c r="BY1" s="91"/>
      <c r="BZ1" s="91"/>
      <c r="CA1" s="91"/>
      <c r="CB1" s="91"/>
    </row>
    <row r="2" ht="30.0" customHeight="1">
      <c r="A2" s="92" t="s">
        <v>233</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5"/>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c r="BN2" s="91"/>
      <c r="BO2" s="91"/>
      <c r="BP2" s="91"/>
      <c r="BQ2" s="91"/>
      <c r="BR2" s="91"/>
      <c r="BS2" s="91"/>
      <c r="BT2" s="91"/>
      <c r="BU2" s="91"/>
      <c r="BV2" s="91"/>
      <c r="BW2" s="91"/>
      <c r="BX2" s="91"/>
      <c r="BY2" s="91"/>
      <c r="BZ2" s="91"/>
      <c r="CA2" s="91"/>
      <c r="CB2" s="91"/>
    </row>
    <row r="3" ht="30.0" customHeight="1">
      <c r="A3" s="92" t="s">
        <v>240</v>
      </c>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5"/>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row>
    <row r="4" ht="15.0" customHeight="1">
      <c r="A4" s="91"/>
      <c r="B4" s="91"/>
      <c r="C4" s="91"/>
      <c r="D4" s="91"/>
      <c r="E4" s="91"/>
      <c r="F4" s="91"/>
      <c r="G4" s="91"/>
      <c r="H4" s="91"/>
      <c r="I4" s="91"/>
      <c r="J4" s="91"/>
      <c r="K4" s="91"/>
      <c r="L4" s="91"/>
      <c r="M4" s="91"/>
      <c r="N4" s="91"/>
      <c r="O4" s="91"/>
      <c r="P4" s="91"/>
      <c r="Q4" s="91"/>
      <c r="R4" s="91"/>
      <c r="S4" s="91"/>
      <c r="T4" s="91"/>
      <c r="U4" s="91"/>
      <c r="V4" s="91"/>
      <c r="W4" s="114"/>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c r="BP4" s="91"/>
      <c r="BQ4" s="91"/>
      <c r="BR4" s="91"/>
      <c r="BS4" s="91"/>
      <c r="BT4" s="91"/>
      <c r="BU4" s="91"/>
      <c r="BV4" s="91"/>
      <c r="BW4" s="91"/>
      <c r="BX4" s="91"/>
      <c r="BY4" s="91"/>
      <c r="BZ4" s="91"/>
      <c r="CA4" s="91"/>
      <c r="CB4" s="91"/>
    </row>
    <row r="5" ht="12.75" customHeight="1"/>
    <row r="6" ht="12.75" customHeight="1">
      <c r="A6" s="115"/>
      <c r="B6" s="116"/>
      <c r="C6" s="116"/>
      <c r="D6" s="115"/>
      <c r="E6" s="115"/>
      <c r="F6" s="115"/>
      <c r="G6" s="115"/>
      <c r="H6" s="115"/>
      <c r="I6" s="115"/>
      <c r="J6" s="115"/>
      <c r="K6" s="115"/>
      <c r="L6" s="115"/>
      <c r="M6" s="115"/>
      <c r="N6" s="115"/>
      <c r="O6" s="115"/>
      <c r="P6" s="115"/>
      <c r="Q6" s="115"/>
      <c r="R6" s="115"/>
      <c r="S6" s="115"/>
      <c r="T6" s="115"/>
      <c r="U6" s="115"/>
      <c r="V6" s="115"/>
      <c r="W6" s="115"/>
      <c r="X6" s="115"/>
      <c r="Y6" s="115"/>
      <c r="Z6" s="115"/>
      <c r="AA6" s="115"/>
      <c r="AB6" s="115"/>
      <c r="AC6" s="115"/>
    </row>
    <row r="7" ht="12.75" customHeight="1"/>
    <row r="8" ht="12.75" customHeight="1">
      <c r="A8" s="117" t="s">
        <v>235</v>
      </c>
      <c r="B8" s="118"/>
      <c r="C8" s="118"/>
      <c r="D8" s="118" t="s">
        <v>241</v>
      </c>
      <c r="E8" s="118" t="s">
        <v>242</v>
      </c>
      <c r="F8" s="118" t="s">
        <v>243</v>
      </c>
      <c r="G8" s="118" t="s">
        <v>244</v>
      </c>
      <c r="H8" s="118" t="s">
        <v>245</v>
      </c>
      <c r="I8" s="118" t="s">
        <v>246</v>
      </c>
      <c r="J8" s="118" t="s">
        <v>247</v>
      </c>
      <c r="K8" s="118" t="s">
        <v>248</v>
      </c>
      <c r="L8" s="118" t="s">
        <v>249</v>
      </c>
      <c r="M8" s="118" t="s">
        <v>250</v>
      </c>
      <c r="N8" s="118" t="s">
        <v>251</v>
      </c>
      <c r="O8" s="118" t="s">
        <v>252</v>
      </c>
      <c r="P8" s="118" t="s">
        <v>241</v>
      </c>
      <c r="Q8" s="118" t="s">
        <v>242</v>
      </c>
      <c r="R8" s="118" t="s">
        <v>243</v>
      </c>
      <c r="S8" s="118" t="s">
        <v>244</v>
      </c>
      <c r="T8" s="119">
        <v>43647.0</v>
      </c>
      <c r="U8" s="120">
        <f>+'P&amp;L Cash Flow Monthly'!B8</f>
        <v>43951</v>
      </c>
      <c r="V8" s="120">
        <f>+'P&amp;L Cash Flow Monthly'!C8</f>
        <v>43982</v>
      </c>
      <c r="W8" s="120">
        <f>+'P&amp;L Cash Flow Monthly'!D8</f>
        <v>44012</v>
      </c>
      <c r="X8" s="120">
        <f>+'P&amp;L Cash Flow Monthly'!E8</f>
        <v>44043</v>
      </c>
      <c r="Y8" s="120">
        <f>+'P&amp;L Cash Flow Monthly'!F8</f>
        <v>44074</v>
      </c>
      <c r="Z8" s="120">
        <f>+'P&amp;L Cash Flow Monthly'!G8</f>
        <v>44104</v>
      </c>
      <c r="AA8" s="120">
        <f>+'P&amp;L Cash Flow Monthly'!H8</f>
        <v>44135</v>
      </c>
      <c r="AB8" s="120">
        <f>+'P&amp;L Cash Flow Monthly'!I8</f>
        <v>44165</v>
      </c>
      <c r="AC8" s="120">
        <f>+'P&amp;L Cash Flow Monthly'!J8</f>
        <v>44196</v>
      </c>
      <c r="AD8" s="120">
        <f>+'P&amp;L Cash Flow Monthly'!K8</f>
        <v>44227</v>
      </c>
      <c r="AE8" s="120">
        <f>+'P&amp;L Cash Flow Monthly'!L8</f>
        <v>44255</v>
      </c>
      <c r="AF8" s="120">
        <f>+'P&amp;L Cash Flow Monthly'!M8</f>
        <v>44286</v>
      </c>
      <c r="AG8" s="120">
        <f>+'P&amp;L Cash Flow Monthly'!N8</f>
        <v>44316</v>
      </c>
      <c r="AH8" s="120">
        <f>+'P&amp;L Cash Flow Monthly'!O8</f>
        <v>44347</v>
      </c>
      <c r="AI8" s="120">
        <f>+'P&amp;L Cash Flow Monthly'!P8</f>
        <v>44377</v>
      </c>
      <c r="AJ8" s="120">
        <f>+'P&amp;L Cash Flow Monthly'!Q8</f>
        <v>44408</v>
      </c>
      <c r="AK8" s="120">
        <f>+'P&amp;L Cash Flow Monthly'!R8</f>
        <v>44439</v>
      </c>
      <c r="AL8" s="120">
        <f>+'P&amp;L Cash Flow Monthly'!S8</f>
        <v>44469</v>
      </c>
      <c r="AM8" s="120">
        <f>+'P&amp;L Cash Flow Monthly'!T8</f>
        <v>44500</v>
      </c>
      <c r="AN8" s="120">
        <f>+'P&amp;L Cash Flow Monthly'!U8</f>
        <v>44530</v>
      </c>
      <c r="AO8" s="120">
        <f>+'P&amp;L Cash Flow Monthly'!V8</f>
        <v>44561</v>
      </c>
      <c r="AP8" s="120">
        <f>+'P&amp;L Cash Flow Monthly'!W8</f>
        <v>44592</v>
      </c>
      <c r="AQ8" s="120">
        <f>+'P&amp;L Cash Flow Monthly'!X8</f>
        <v>44620</v>
      </c>
      <c r="AR8" s="120">
        <f>+'P&amp;L Cash Flow Monthly'!Y8</f>
        <v>44651</v>
      </c>
      <c r="AS8" s="120">
        <f>+'P&amp;L Cash Flow Monthly'!Z8</f>
        <v>44681</v>
      </c>
      <c r="AT8" s="120">
        <f>+'P&amp;L Cash Flow Monthly'!AA8</f>
        <v>44712</v>
      </c>
      <c r="AU8" s="120">
        <f>+'P&amp;L Cash Flow Monthly'!AB8</f>
        <v>44742</v>
      </c>
      <c r="AV8" s="120">
        <f>+'P&amp;L Cash Flow Monthly'!AC8</f>
        <v>44773</v>
      </c>
      <c r="AW8" s="120">
        <f>+'P&amp;L Cash Flow Monthly'!AD8</f>
        <v>44804</v>
      </c>
      <c r="AX8" s="120">
        <f>+'P&amp;L Cash Flow Monthly'!AE8</f>
        <v>44834</v>
      </c>
      <c r="AY8" s="120">
        <f>+'P&amp;L Cash Flow Monthly'!AF8</f>
        <v>44865</v>
      </c>
      <c r="AZ8" s="120">
        <f>+'P&amp;L Cash Flow Monthly'!AG8</f>
        <v>44895</v>
      </c>
      <c r="BA8" s="120">
        <f>+'P&amp;L Cash Flow Monthly'!AH8</f>
        <v>44926</v>
      </c>
      <c r="BB8" s="120">
        <f>+'P&amp;L Cash Flow Monthly'!AI8</f>
        <v>44957</v>
      </c>
      <c r="BC8" s="120">
        <f>+'P&amp;L Cash Flow Monthly'!AJ8</f>
        <v>44985</v>
      </c>
      <c r="BD8" s="120">
        <f>+'P&amp;L Cash Flow Monthly'!AK8</f>
        <v>45016</v>
      </c>
      <c r="BE8" s="120">
        <f>+'P&amp;L Cash Flow Monthly'!AL8</f>
        <v>45046</v>
      </c>
      <c r="BF8" s="120">
        <f>+'P&amp;L Cash Flow Monthly'!AM8</f>
        <v>45077</v>
      </c>
      <c r="BG8" s="121">
        <f>+'P&amp;L Cash Flow Monthly'!AN8</f>
        <v>45107</v>
      </c>
      <c r="BH8" s="121">
        <f>+'P&amp;L Cash Flow Monthly'!AO8</f>
        <v>45138</v>
      </c>
      <c r="BI8" s="121">
        <f>+'P&amp;L Cash Flow Monthly'!AP8</f>
        <v>45169</v>
      </c>
      <c r="BJ8" s="121">
        <f>+'P&amp;L Cash Flow Monthly'!AQ8</f>
        <v>45199</v>
      </c>
      <c r="BK8" s="121">
        <f>+'P&amp;L Cash Flow Monthly'!AR8</f>
        <v>45230</v>
      </c>
      <c r="BL8" s="121">
        <f>+'P&amp;L Cash Flow Monthly'!AS8</f>
        <v>45260</v>
      </c>
      <c r="BM8" s="121">
        <f>+'P&amp;L Cash Flow Monthly'!AT8</f>
        <v>45291</v>
      </c>
      <c r="BN8" s="121">
        <f>+'P&amp;L Cash Flow Monthly'!AU8</f>
        <v>45322</v>
      </c>
      <c r="BO8" s="121">
        <f>+'P&amp;L Cash Flow Monthly'!AV8</f>
        <v>45351</v>
      </c>
      <c r="BP8" s="121">
        <f>+'P&amp;L Cash Flow Monthly'!AW8</f>
        <v>45382</v>
      </c>
      <c r="BQ8" s="121">
        <f>+'P&amp;L Cash Flow Monthly'!AX8</f>
        <v>45412</v>
      </c>
      <c r="BR8" s="121">
        <f>+'P&amp;L Cash Flow Monthly'!AY8</f>
        <v>45443</v>
      </c>
      <c r="BS8" s="121">
        <f>+'P&amp;L Cash Flow Monthly'!AZ8</f>
        <v>45473</v>
      </c>
      <c r="BT8" s="121">
        <f>+'P&amp;L Cash Flow Monthly'!BA8</f>
        <v>45504</v>
      </c>
      <c r="BU8" s="121">
        <f>+'P&amp;L Cash Flow Monthly'!BB8</f>
        <v>45535</v>
      </c>
      <c r="BV8" s="121">
        <f>+'P&amp;L Cash Flow Monthly'!BC8</f>
        <v>45565</v>
      </c>
      <c r="BW8" s="121">
        <f>+'P&amp;L Cash Flow Monthly'!BD8</f>
        <v>45596</v>
      </c>
      <c r="BX8" s="121">
        <f>+'P&amp;L Cash Flow Monthly'!BE8</f>
        <v>45626</v>
      </c>
      <c r="BY8" s="121">
        <f>+'P&amp;L Cash Flow Monthly'!BF8</f>
        <v>45657</v>
      </c>
      <c r="BZ8" s="121">
        <f>+'P&amp;L Cash Flow Monthly'!BG8</f>
        <v>45688</v>
      </c>
      <c r="CA8" s="121">
        <f>+'P&amp;L Cash Flow Monthly'!BH8</f>
        <v>45716</v>
      </c>
      <c r="CB8" s="121">
        <f>+'P&amp;L Cash Flow Monthly'!BI8</f>
        <v>45747</v>
      </c>
      <c r="CC8" s="121">
        <f>+'P&amp;L Cash Flow Monthly'!BJ8</f>
        <v>45777</v>
      </c>
      <c r="CD8" s="121">
        <f>+'P&amp;L Cash Flow Monthly'!BK8</f>
        <v>45808</v>
      </c>
      <c r="CE8" s="121">
        <f>+'P&amp;L Cash Flow Monthly'!BL8</f>
        <v>45838</v>
      </c>
      <c r="CF8" s="121">
        <f>+'P&amp;L Cash Flow Monthly'!BM8</f>
        <v>45869</v>
      </c>
      <c r="CG8" s="121">
        <f>+'P&amp;L Cash Flow Monthly'!BN8</f>
        <v>45900</v>
      </c>
      <c r="CH8" s="121">
        <f>+'P&amp;L Cash Flow Monthly'!BO8</f>
        <v>45930</v>
      </c>
      <c r="CI8" s="121">
        <f>+'P&amp;L Cash Flow Monthly'!BP8</f>
        <v>45961</v>
      </c>
      <c r="CJ8" s="121">
        <f>+'P&amp;L Cash Flow Monthly'!BQ8</f>
        <v>45991</v>
      </c>
      <c r="CK8" s="121">
        <f>+'P&amp;L Cash Flow Monthly'!BR8</f>
        <v>46022</v>
      </c>
      <c r="CL8" s="121">
        <f>+'P&amp;L Cash Flow Monthly'!BS8</f>
        <v>46053</v>
      </c>
      <c r="CM8" s="121">
        <f>+'P&amp;L Cash Flow Monthly'!BT8</f>
        <v>46081</v>
      </c>
      <c r="CN8" s="121">
        <f>+'P&amp;L Cash Flow Monthly'!BU8</f>
        <v>46112</v>
      </c>
      <c r="CO8" s="121">
        <f>+'P&amp;L Cash Flow Monthly'!BV8</f>
        <v>46142</v>
      </c>
      <c r="CP8" s="121">
        <f>+'P&amp;L Cash Flow Monthly'!BW8</f>
        <v>46173</v>
      </c>
      <c r="CQ8" s="121">
        <f>+'P&amp;L Cash Flow Monthly'!BX8</f>
        <v>46203</v>
      </c>
      <c r="CR8" s="121">
        <f>+'P&amp;L Cash Flow Monthly'!BY8</f>
        <v>46234</v>
      </c>
      <c r="CS8" s="121">
        <f>+'P&amp;L Cash Flow Monthly'!BZ8</f>
        <v>46265</v>
      </c>
      <c r="CT8" s="121">
        <f>+'P&amp;L Cash Flow Monthly'!CA8</f>
        <v>46295</v>
      </c>
      <c r="CU8" s="121">
        <f>+'P&amp;L Cash Flow Monthly'!CB8</f>
        <v>46326</v>
      </c>
      <c r="CV8" s="121">
        <f>+'P&amp;L Cash Flow Monthly'!CC8</f>
        <v>46356</v>
      </c>
      <c r="CW8" s="121">
        <f>+'P&amp;L Cash Flow Monthly'!CD8</f>
        <v>46387</v>
      </c>
      <c r="CX8" s="121">
        <f>+'P&amp;L Cash Flow Monthly'!CE8</f>
        <v>46418</v>
      </c>
      <c r="CY8" s="121">
        <f>+'P&amp;L Cash Flow Monthly'!CF8</f>
        <v>46446</v>
      </c>
      <c r="CZ8" s="121">
        <f>+'P&amp;L Cash Flow Monthly'!CG8</f>
        <v>46477</v>
      </c>
      <c r="DA8" s="121">
        <f>+'P&amp;L Cash Flow Monthly'!CH8</f>
        <v>46507</v>
      </c>
      <c r="DB8" s="121">
        <f>+'P&amp;L Cash Flow Monthly'!CI8</f>
        <v>46538</v>
      </c>
      <c r="DC8" s="121">
        <f>+'P&amp;L Cash Flow Monthly'!CJ8</f>
        <v>46568</v>
      </c>
      <c r="DD8" s="121">
        <f>+'P&amp;L Cash Flow Monthly'!CK8</f>
        <v>46599</v>
      </c>
      <c r="DE8" s="121">
        <f>+'P&amp;L Cash Flow Monthly'!CL8</f>
        <v>46630</v>
      </c>
      <c r="DF8" s="121">
        <f>+'P&amp;L Cash Flow Monthly'!CM8</f>
        <v>46660</v>
      </c>
      <c r="DG8" s="121">
        <f>+'P&amp;L Cash Flow Monthly'!CN8</f>
        <v>46691</v>
      </c>
      <c r="DH8" s="121">
        <f>+'P&amp;L Cash Flow Monthly'!CO8</f>
        <v>46721</v>
      </c>
      <c r="DI8" s="121">
        <f>+'P&amp;L Cash Flow Monthly'!CP8</f>
        <v>46752</v>
      </c>
      <c r="DJ8" s="121">
        <v>46783.0</v>
      </c>
      <c r="DK8" s="121">
        <v>46811.0</v>
      </c>
      <c r="DL8" s="121">
        <v>46843.0</v>
      </c>
      <c r="DM8" s="121"/>
      <c r="DN8" s="121"/>
      <c r="DO8" s="121"/>
      <c r="DP8" s="121"/>
    </row>
    <row r="9" ht="12.75" customHeight="1">
      <c r="A9" s="115"/>
      <c r="B9" s="115"/>
      <c r="C9" s="115"/>
      <c r="D9" s="122"/>
      <c r="E9" s="122"/>
      <c r="F9" s="122"/>
      <c r="G9" s="122"/>
      <c r="H9" s="122"/>
      <c r="I9" s="122"/>
      <c r="J9" s="122"/>
      <c r="K9" s="122"/>
      <c r="L9" s="122"/>
      <c r="M9" s="122"/>
      <c r="N9" s="122"/>
      <c r="O9" s="122"/>
      <c r="P9" s="122"/>
      <c r="Q9" s="122"/>
      <c r="R9" s="122"/>
      <c r="S9" s="122"/>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row>
    <row r="10" ht="12.75" customHeight="1">
      <c r="A10" s="124"/>
      <c r="B10" s="115"/>
      <c r="C10" s="115"/>
      <c r="D10" s="122"/>
      <c r="E10" s="122"/>
      <c r="F10" s="122"/>
      <c r="G10" s="122"/>
      <c r="H10" s="122"/>
      <c r="I10" s="122"/>
      <c r="J10" s="122"/>
      <c r="K10" s="122"/>
      <c r="L10" s="122"/>
      <c r="M10" s="122"/>
      <c r="N10" s="122"/>
      <c r="O10" s="122"/>
      <c r="P10" s="122"/>
      <c r="Q10" s="122"/>
      <c r="R10" s="122"/>
      <c r="S10" s="122"/>
      <c r="T10" s="122"/>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5"/>
      <c r="BK10" s="125"/>
      <c r="BL10" s="125"/>
      <c r="BM10" s="125"/>
      <c r="BN10" s="125"/>
      <c r="BO10" s="125"/>
      <c r="BP10" s="125"/>
      <c r="BQ10" s="125"/>
      <c r="BR10" s="125"/>
      <c r="BS10" s="125"/>
      <c r="BT10" s="125"/>
      <c r="BU10" s="125"/>
      <c r="BV10" s="125"/>
      <c r="BW10" s="125"/>
      <c r="BX10" s="125"/>
      <c r="BY10" s="125"/>
      <c r="BZ10" s="125"/>
      <c r="CA10" s="125"/>
      <c r="CB10" s="125"/>
      <c r="CC10" s="125"/>
      <c r="CD10" s="125"/>
      <c r="CE10" s="125"/>
      <c r="CF10" s="125"/>
      <c r="CG10" s="125"/>
      <c r="CH10" s="125"/>
      <c r="CI10" s="125"/>
      <c r="CJ10" s="125"/>
      <c r="CK10" s="125"/>
      <c r="CL10" s="125"/>
      <c r="CM10" s="125"/>
      <c r="CN10" s="125"/>
      <c r="CO10" s="125"/>
      <c r="CP10" s="125"/>
      <c r="CQ10" s="125"/>
      <c r="CR10" s="125"/>
      <c r="CS10" s="125"/>
      <c r="CT10" s="125"/>
      <c r="CU10" s="125"/>
      <c r="CV10" s="125"/>
      <c r="CW10" s="125"/>
      <c r="CX10" s="125"/>
      <c r="CY10" s="125"/>
      <c r="CZ10" s="125"/>
      <c r="DA10" s="125"/>
      <c r="DB10" s="125"/>
      <c r="DC10" s="125"/>
      <c r="DD10" s="125"/>
      <c r="DE10" s="125"/>
      <c r="DF10" s="125"/>
      <c r="DG10" s="125"/>
      <c r="DH10" s="125"/>
      <c r="DI10" s="125"/>
    </row>
    <row r="11" ht="12.75" customHeight="1">
      <c r="A11" s="115"/>
      <c r="B11" s="115"/>
      <c r="C11" s="115"/>
      <c r="D11" s="122"/>
      <c r="E11" s="122"/>
      <c r="F11" s="122"/>
      <c r="G11" s="122"/>
      <c r="H11" s="122"/>
      <c r="I11" s="122"/>
      <c r="J11" s="122"/>
      <c r="K11" s="126"/>
      <c r="L11" s="126"/>
      <c r="M11" s="126"/>
      <c r="N11" s="126"/>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6"/>
      <c r="AX11" s="126"/>
      <c r="AY11" s="126"/>
      <c r="AZ11" s="126"/>
      <c r="BA11" s="126"/>
      <c r="BB11" s="126"/>
      <c r="BC11" s="126"/>
      <c r="BD11" s="126"/>
      <c r="BE11" s="126"/>
      <c r="BF11" s="126"/>
      <c r="BG11" s="126"/>
      <c r="BH11" s="126"/>
      <c r="BI11" s="126"/>
      <c r="BJ11" s="126"/>
      <c r="BK11" s="126"/>
      <c r="BL11" s="126"/>
      <c r="BM11" s="126"/>
      <c r="BN11" s="126"/>
      <c r="BO11" s="126"/>
      <c r="BP11" s="126"/>
      <c r="BQ11" s="126"/>
      <c r="BR11" s="126"/>
      <c r="BS11" s="126"/>
      <c r="BT11" s="126"/>
      <c r="BU11" s="126"/>
      <c r="BV11" s="126"/>
      <c r="BW11" s="126"/>
      <c r="BX11" s="126"/>
      <c r="BY11" s="126"/>
      <c r="BZ11" s="126"/>
      <c r="CA11" s="126"/>
      <c r="CB11" s="126"/>
      <c r="CC11" s="126"/>
      <c r="CD11" s="126"/>
      <c r="CE11" s="126"/>
      <c r="CF11" s="126"/>
      <c r="CG11" s="126"/>
      <c r="CH11" s="126"/>
      <c r="CI11" s="126"/>
      <c r="CJ11" s="126"/>
      <c r="CK11" s="126"/>
      <c r="CL11" s="126"/>
      <c r="CM11" s="126"/>
      <c r="CN11" s="126"/>
      <c r="CO11" s="126"/>
      <c r="CP11" s="126"/>
      <c r="CQ11" s="126"/>
      <c r="CR11" s="126"/>
      <c r="CS11" s="126"/>
      <c r="CT11" s="126"/>
      <c r="CU11" s="126"/>
      <c r="CV11" s="126"/>
      <c r="CW11" s="126"/>
      <c r="CX11" s="126"/>
      <c r="CY11" s="126"/>
      <c r="CZ11" s="126"/>
      <c r="DA11" s="126"/>
      <c r="DB11" s="126"/>
      <c r="DC11" s="126"/>
      <c r="DD11" s="126"/>
      <c r="DE11" s="126"/>
      <c r="DF11" s="126"/>
      <c r="DG11" s="126"/>
      <c r="DH11" s="126"/>
      <c r="DI11" s="126"/>
    </row>
    <row r="12" ht="12.75" customHeight="1">
      <c r="A12" s="115"/>
      <c r="B12" s="115"/>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c r="AA12" s="115"/>
      <c r="AB12" s="115"/>
      <c r="AC12" s="127"/>
      <c r="AD12" s="127"/>
      <c r="AE12" s="127"/>
      <c r="AF12" s="127"/>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7"/>
      <c r="BK12" s="127"/>
      <c r="BL12" s="127"/>
      <c r="BM12" s="127"/>
      <c r="BN12" s="127"/>
      <c r="BO12" s="127"/>
      <c r="BP12" s="127"/>
      <c r="BQ12" s="127"/>
      <c r="BR12" s="127"/>
      <c r="BS12" s="127"/>
      <c r="BT12" s="127"/>
      <c r="BU12" s="127"/>
      <c r="BV12" s="127"/>
      <c r="BW12" s="127"/>
      <c r="BX12" s="127"/>
      <c r="BY12" s="127"/>
      <c r="BZ12" s="127"/>
      <c r="CA12" s="127"/>
      <c r="CB12" s="127"/>
      <c r="CC12" s="127"/>
      <c r="CD12" s="127"/>
      <c r="CE12" s="127"/>
      <c r="CF12" s="127"/>
      <c r="CG12" s="127"/>
      <c r="CH12" s="127"/>
      <c r="CI12" s="127"/>
      <c r="CJ12" s="127"/>
      <c r="CK12" s="127"/>
      <c r="CL12" s="127"/>
      <c r="CM12" s="127"/>
      <c r="CN12" s="127"/>
      <c r="CO12" s="127"/>
      <c r="CP12" s="127"/>
      <c r="CQ12" s="127"/>
      <c r="CR12" s="127"/>
      <c r="CS12" s="127"/>
      <c r="CT12" s="127"/>
      <c r="CU12" s="127"/>
      <c r="CV12" s="127"/>
      <c r="CW12" s="127"/>
      <c r="CX12" s="127"/>
      <c r="CY12" s="127"/>
      <c r="CZ12" s="127"/>
      <c r="DA12" s="127"/>
      <c r="DB12" s="127"/>
      <c r="DC12" s="127"/>
      <c r="DD12" s="127"/>
      <c r="DE12" s="127"/>
      <c r="DF12" s="127"/>
      <c r="DG12" s="127"/>
      <c r="DH12" s="127"/>
      <c r="DI12" s="127"/>
    </row>
    <row r="13" ht="12.75" customHeight="1">
      <c r="A13" s="115" t="s">
        <v>253</v>
      </c>
      <c r="B13" s="115"/>
      <c r="C13" s="115"/>
      <c r="D13" s="122"/>
      <c r="E13" s="122"/>
      <c r="F13" s="122"/>
      <c r="G13" s="122"/>
      <c r="H13" s="122"/>
      <c r="I13" s="122"/>
      <c r="J13" s="122"/>
      <c r="K13" s="128"/>
      <c r="L13" s="128"/>
      <c r="M13" s="128"/>
      <c r="N13" s="128"/>
      <c r="O13" s="128"/>
      <c r="P13" s="128"/>
      <c r="Q13" s="128"/>
      <c r="R13" s="128"/>
      <c r="S13" s="128"/>
      <c r="T13" s="128"/>
      <c r="U13" s="129"/>
      <c r="V13" s="129">
        <f t="shared" ref="V13:DL13" si="1">+V21*$I25+$J29</f>
        <v>65.08498677</v>
      </c>
      <c r="W13" s="129">
        <f t="shared" si="1"/>
        <v>782.6959509</v>
      </c>
      <c r="X13" s="129">
        <f t="shared" si="1"/>
        <v>1192.759359</v>
      </c>
      <c r="Y13" s="129">
        <f t="shared" si="1"/>
        <v>1545.461656</v>
      </c>
      <c r="Z13" s="129">
        <f t="shared" si="1"/>
        <v>1523.211089</v>
      </c>
      <c r="AA13" s="129">
        <f t="shared" si="1"/>
        <v>2184.172078</v>
      </c>
      <c r="AB13" s="129">
        <f t="shared" si="1"/>
        <v>4280.354996</v>
      </c>
      <c r="AC13" s="129">
        <f t="shared" si="1"/>
        <v>4144.122108</v>
      </c>
      <c r="AD13" s="129">
        <f t="shared" si="1"/>
        <v>6693.538286</v>
      </c>
      <c r="AE13" s="129">
        <f t="shared" si="1"/>
        <v>8429.584441</v>
      </c>
      <c r="AF13" s="129">
        <f t="shared" si="1"/>
        <v>11986.61825</v>
      </c>
      <c r="AG13" s="129">
        <f t="shared" si="1"/>
        <v>11989.17714</v>
      </c>
      <c r="AH13" s="129">
        <f t="shared" si="1"/>
        <v>10556.8553</v>
      </c>
      <c r="AI13" s="129">
        <f t="shared" si="1"/>
        <v>9124.533447</v>
      </c>
      <c r="AJ13" s="129">
        <f t="shared" si="1"/>
        <v>8443.369006</v>
      </c>
      <c r="AK13" s="129">
        <f t="shared" si="1"/>
        <v>9697.856912</v>
      </c>
      <c r="AL13" s="129">
        <f t="shared" si="1"/>
        <v>11977.50334</v>
      </c>
      <c r="AM13" s="129">
        <f t="shared" si="1"/>
        <v>16307.46681</v>
      </c>
      <c r="AN13" s="129">
        <f t="shared" si="1"/>
        <v>15047.78396</v>
      </c>
      <c r="AO13" s="129">
        <f t="shared" si="1"/>
        <v>12832.81882</v>
      </c>
      <c r="AP13" s="129">
        <f t="shared" si="1"/>
        <v>9392.048262</v>
      </c>
      <c r="AQ13" s="129">
        <f t="shared" si="1"/>
        <v>10103.12956</v>
      </c>
      <c r="AR13" s="129">
        <f t="shared" si="1"/>
        <v>10800.14854</v>
      </c>
      <c r="AS13" s="129">
        <f t="shared" si="1"/>
        <v>10959.16634</v>
      </c>
      <c r="AT13" s="129">
        <f t="shared" si="1"/>
        <v>11019.74793</v>
      </c>
      <c r="AU13" s="129">
        <f t="shared" si="1"/>
        <v>10195.79417</v>
      </c>
      <c r="AV13" s="129">
        <f t="shared" si="1"/>
        <v>9162.663446</v>
      </c>
      <c r="AW13" s="129">
        <f t="shared" si="1"/>
        <v>8712.987625</v>
      </c>
      <c r="AX13" s="129">
        <f t="shared" si="1"/>
        <v>10609.02756</v>
      </c>
      <c r="AY13" s="129">
        <f t="shared" si="1"/>
        <v>12563.07455</v>
      </c>
      <c r="AZ13" s="129">
        <f t="shared" si="1"/>
        <v>12545.24413</v>
      </c>
      <c r="BA13" s="129">
        <f t="shared" si="1"/>
        <v>11231.58732</v>
      </c>
      <c r="BB13" s="129">
        <f t="shared" si="1"/>
        <v>9730.175075</v>
      </c>
      <c r="BC13" s="129">
        <f t="shared" si="1"/>
        <v>8793.188823</v>
      </c>
      <c r="BD13" s="129">
        <f t="shared" si="1"/>
        <v>7779.255186</v>
      </c>
      <c r="BE13" s="129">
        <f t="shared" si="1"/>
        <v>6787.022019</v>
      </c>
      <c r="BF13" s="129">
        <f t="shared" si="1"/>
        <v>6960.335181</v>
      </c>
      <c r="BG13" s="129">
        <f t="shared" si="1"/>
        <v>7200.006367</v>
      </c>
      <c r="BH13" s="129">
        <f t="shared" si="1"/>
        <v>7439.991906</v>
      </c>
      <c r="BI13" s="129">
        <f t="shared" si="1"/>
        <v>7419.213556</v>
      </c>
      <c r="BJ13" s="129">
        <f t="shared" si="1"/>
        <v>7398.435206</v>
      </c>
      <c r="BK13" s="129">
        <f t="shared" si="1"/>
        <v>7282.112875</v>
      </c>
      <c r="BL13" s="129">
        <f t="shared" si="1"/>
        <v>7059.869187</v>
      </c>
      <c r="BM13" s="129">
        <f t="shared" si="1"/>
        <v>6624.026379</v>
      </c>
      <c r="BN13" s="129">
        <f t="shared" si="1"/>
        <v>6606.725002</v>
      </c>
      <c r="BO13" s="129">
        <f t="shared" si="1"/>
        <v>7190.559931</v>
      </c>
      <c r="BP13" s="129">
        <f t="shared" si="1"/>
        <v>8993.549349</v>
      </c>
      <c r="BQ13" s="129">
        <f t="shared" si="1"/>
        <v>10356.9611</v>
      </c>
      <c r="BR13" s="129">
        <f t="shared" si="1"/>
        <v>11774.36032</v>
      </c>
      <c r="BS13" s="129">
        <f t="shared" si="1"/>
        <v>12230.77441</v>
      </c>
      <c r="BT13" s="129">
        <f t="shared" si="1"/>
        <v>13033.35983</v>
      </c>
      <c r="BU13" s="129">
        <f t="shared" si="1"/>
        <v>14099.50194</v>
      </c>
      <c r="BV13" s="129">
        <f t="shared" si="1"/>
        <v>13583.97091</v>
      </c>
      <c r="BW13" s="129">
        <f t="shared" si="1"/>
        <v>12736.22332</v>
      </c>
      <c r="BX13" s="129">
        <f t="shared" si="1"/>
        <v>11145.11389</v>
      </c>
      <c r="BY13" s="129">
        <f t="shared" si="1"/>
        <v>10991.94538</v>
      </c>
      <c r="BZ13" s="129">
        <f t="shared" si="1"/>
        <v>12707.52167</v>
      </c>
      <c r="CA13" s="129">
        <f t="shared" si="1"/>
        <v>12282.89959</v>
      </c>
      <c r="CB13" s="129">
        <f t="shared" si="1"/>
        <v>11800.6528</v>
      </c>
      <c r="CC13" s="129">
        <f t="shared" si="1"/>
        <v>9627.903039</v>
      </c>
      <c r="CD13" s="129">
        <f t="shared" si="1"/>
        <v>9671.088656</v>
      </c>
      <c r="CE13" s="129">
        <f t="shared" si="1"/>
        <v>9733.2584</v>
      </c>
      <c r="CF13" s="129">
        <f t="shared" si="1"/>
        <v>9767.093267</v>
      </c>
      <c r="CG13" s="129">
        <f t="shared" si="1"/>
        <v>9785.355714</v>
      </c>
      <c r="CH13" s="129">
        <f t="shared" si="1"/>
        <v>9727.681653</v>
      </c>
      <c r="CI13" s="129">
        <f t="shared" si="1"/>
        <v>10460.84417</v>
      </c>
      <c r="CJ13" s="129">
        <f t="shared" si="1"/>
        <v>11163.95487</v>
      </c>
      <c r="CK13" s="129">
        <f t="shared" si="1"/>
        <v>11878.23967</v>
      </c>
      <c r="CL13" s="129">
        <f t="shared" si="1"/>
        <v>11859.29751</v>
      </c>
      <c r="CM13" s="129">
        <f t="shared" si="1"/>
        <v>11799.75067</v>
      </c>
      <c r="CN13" s="129">
        <f t="shared" si="1"/>
        <v>12623.87738</v>
      </c>
      <c r="CO13" s="129">
        <f t="shared" si="1"/>
        <v>14238.84067</v>
      </c>
      <c r="CP13" s="129">
        <f t="shared" si="1"/>
        <v>15894.90552</v>
      </c>
      <c r="CQ13" s="129">
        <f t="shared" si="1"/>
        <v>16857.54775</v>
      </c>
      <c r="CR13" s="129">
        <f t="shared" si="1"/>
        <v>17768.54224</v>
      </c>
      <c r="CS13" s="129">
        <f t="shared" si="1"/>
        <v>18831.88367</v>
      </c>
      <c r="CT13" s="129">
        <f t="shared" si="1"/>
        <v>19859.39177</v>
      </c>
      <c r="CU13" s="129">
        <f t="shared" si="1"/>
        <v>20184.51892</v>
      </c>
      <c r="CV13" s="129">
        <f t="shared" si="1"/>
        <v>20496.67535</v>
      </c>
      <c r="CW13" s="129">
        <f t="shared" si="1"/>
        <v>20808.83179</v>
      </c>
      <c r="CX13" s="129">
        <f t="shared" si="1"/>
        <v>21205.89216</v>
      </c>
      <c r="CY13" s="129">
        <f t="shared" si="1"/>
        <v>21586.95551</v>
      </c>
      <c r="CZ13" s="129">
        <f t="shared" si="1"/>
        <v>22711.19134</v>
      </c>
      <c r="DA13" s="129">
        <f t="shared" si="1"/>
        <v>23693.38919</v>
      </c>
      <c r="DB13" s="129">
        <f t="shared" si="1"/>
        <v>24686.69375</v>
      </c>
      <c r="DC13" s="129">
        <f t="shared" si="1"/>
        <v>25760.41399</v>
      </c>
      <c r="DD13" s="129">
        <f t="shared" si="1"/>
        <v>26768.82002</v>
      </c>
      <c r="DE13" s="129">
        <f t="shared" si="1"/>
        <v>28539.95976</v>
      </c>
      <c r="DF13" s="129">
        <f t="shared" si="1"/>
        <v>29630.20778</v>
      </c>
      <c r="DG13" s="129">
        <f t="shared" si="1"/>
        <v>30666.21543</v>
      </c>
      <c r="DH13" s="129">
        <f t="shared" si="1"/>
        <v>31084.28752</v>
      </c>
      <c r="DI13" s="129">
        <f t="shared" si="1"/>
        <v>31502.35961</v>
      </c>
      <c r="DJ13" s="129">
        <f t="shared" si="1"/>
        <v>0.5</v>
      </c>
      <c r="DK13" s="129">
        <f t="shared" si="1"/>
        <v>0.5</v>
      </c>
      <c r="DL13" s="129">
        <f t="shared" si="1"/>
        <v>0.5</v>
      </c>
    </row>
    <row r="14" ht="12.75" customHeight="1">
      <c r="A14" s="115"/>
      <c r="B14" s="115"/>
      <c r="C14" s="115"/>
      <c r="D14" s="122"/>
      <c r="E14" s="122"/>
      <c r="F14" s="122"/>
      <c r="G14" s="122"/>
      <c r="H14" s="122"/>
      <c r="I14" s="122"/>
      <c r="J14" s="122"/>
      <c r="K14" s="128"/>
      <c r="L14" s="128"/>
      <c r="M14" s="128"/>
      <c r="N14" s="128"/>
      <c r="O14" s="128"/>
      <c r="P14" s="128"/>
      <c r="Q14" s="128"/>
      <c r="R14" s="128"/>
      <c r="S14" s="128"/>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c r="BZ14" s="130"/>
      <c r="CA14" s="130"/>
      <c r="CB14" s="130"/>
      <c r="CC14" s="130"/>
      <c r="CD14" s="130"/>
      <c r="CE14" s="130"/>
      <c r="CF14" s="130"/>
      <c r="CG14" s="130"/>
      <c r="CH14" s="130"/>
      <c r="CI14" s="130"/>
      <c r="CJ14" s="130"/>
      <c r="CK14" s="130"/>
      <c r="CL14" s="130"/>
      <c r="CM14" s="130"/>
      <c r="CN14" s="130"/>
      <c r="CO14" s="130"/>
      <c r="CP14" s="130"/>
      <c r="CQ14" s="130"/>
      <c r="CR14" s="130"/>
      <c r="CS14" s="130"/>
      <c r="CT14" s="130"/>
      <c r="CU14" s="130"/>
      <c r="CV14" s="130"/>
      <c r="CW14" s="130"/>
      <c r="CX14" s="130"/>
      <c r="CY14" s="130"/>
      <c r="CZ14" s="130"/>
      <c r="DA14" s="130"/>
      <c r="DB14" s="130"/>
      <c r="DC14" s="130"/>
      <c r="DD14" s="130"/>
      <c r="DE14" s="130"/>
      <c r="DF14" s="130"/>
      <c r="DG14" s="130"/>
      <c r="DH14" s="130"/>
      <c r="DI14" s="130"/>
    </row>
    <row r="15" ht="12.75" customHeight="1">
      <c r="A15" s="115"/>
      <c r="B15" s="115"/>
      <c r="C15" s="115"/>
      <c r="D15" s="122"/>
      <c r="E15" s="122"/>
      <c r="F15" s="122"/>
      <c r="G15" s="122"/>
      <c r="H15" s="122"/>
      <c r="I15" s="122"/>
      <c r="J15" s="122"/>
      <c r="K15" s="122"/>
      <c r="L15" s="122"/>
      <c r="M15" s="122"/>
      <c r="N15" s="115"/>
      <c r="O15" s="115"/>
      <c r="P15" s="115"/>
      <c r="Q15" s="115"/>
      <c r="R15" s="115"/>
      <c r="S15" s="115"/>
      <c r="T15" s="115"/>
      <c r="U15" s="115"/>
      <c r="V15" s="115"/>
      <c r="W15" s="115"/>
      <c r="X15" s="115"/>
      <c r="Y15" s="115"/>
      <c r="Z15" s="115"/>
      <c r="AA15" s="115"/>
      <c r="AB15" s="115"/>
      <c r="AC15" s="115"/>
      <c r="BV15" s="131"/>
      <c r="BW15" s="131"/>
      <c r="BX15" s="131"/>
      <c r="BY15" s="131"/>
      <c r="BZ15" s="131"/>
      <c r="CA15" s="131"/>
      <c r="CB15" s="131"/>
      <c r="CC15" s="131"/>
      <c r="CD15" s="131"/>
      <c r="CE15" s="131"/>
      <c r="CF15" s="131"/>
      <c r="CG15" s="131"/>
      <c r="CH15" s="131"/>
      <c r="CI15" s="131"/>
      <c r="CJ15" s="131"/>
      <c r="CK15" s="131"/>
      <c r="CL15" s="131"/>
      <c r="CM15" s="131"/>
      <c r="CN15" s="131"/>
      <c r="CO15" s="131"/>
      <c r="CP15" s="131"/>
      <c r="CQ15" s="131"/>
      <c r="CR15" s="131"/>
      <c r="CS15" s="131"/>
      <c r="CT15" s="131"/>
      <c r="CU15" s="131"/>
      <c r="CV15" s="131"/>
      <c r="CW15" s="131"/>
      <c r="CX15" s="131"/>
      <c r="CY15" s="131"/>
      <c r="CZ15" s="131"/>
      <c r="DA15" s="131"/>
      <c r="DB15" s="131"/>
      <c r="DC15" s="131"/>
      <c r="DD15" s="131"/>
      <c r="DE15" s="131"/>
      <c r="DF15" s="131"/>
      <c r="DG15" s="131"/>
      <c r="DH15" s="131"/>
      <c r="DI15" s="131"/>
    </row>
    <row r="16" ht="12.75" customHeight="1">
      <c r="A16" s="124" t="s">
        <v>254</v>
      </c>
      <c r="B16" s="115"/>
      <c r="C16" s="115"/>
      <c r="D16" s="122"/>
      <c r="E16" s="122"/>
      <c r="F16" s="122"/>
      <c r="G16" s="122"/>
      <c r="H16" s="122"/>
      <c r="I16" s="122"/>
      <c r="J16" s="122"/>
      <c r="K16" s="122"/>
      <c r="L16" s="122"/>
      <c r="M16" s="122"/>
      <c r="N16" s="115"/>
      <c r="O16" s="115"/>
      <c r="P16" s="115"/>
      <c r="Q16" s="115"/>
      <c r="R16" s="115"/>
      <c r="S16" s="115"/>
      <c r="T16" s="115"/>
      <c r="U16" s="115"/>
      <c r="V16" s="115"/>
      <c r="W16" s="115"/>
      <c r="X16" s="115"/>
      <c r="Y16" s="115"/>
      <c r="Z16" s="115"/>
      <c r="AA16" s="115"/>
      <c r="AB16" s="115"/>
      <c r="AC16" s="115"/>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131"/>
      <c r="BW16" s="131"/>
      <c r="BX16" s="131"/>
      <c r="BY16" s="131"/>
      <c r="BZ16" s="131"/>
      <c r="CA16" s="131"/>
      <c r="CB16" s="131"/>
      <c r="CC16" s="131"/>
      <c r="CD16" s="131"/>
      <c r="CE16" s="131"/>
      <c r="CF16" s="131"/>
      <c r="CG16" s="131"/>
      <c r="CH16" s="131"/>
      <c r="CI16" s="131"/>
      <c r="CJ16" s="131"/>
      <c r="CK16" s="131"/>
      <c r="CL16" s="131"/>
      <c r="CM16" s="131"/>
      <c r="CN16" s="131"/>
      <c r="CO16" s="131"/>
      <c r="CP16" s="131"/>
      <c r="CQ16" s="131"/>
      <c r="CR16" s="131"/>
      <c r="CS16" s="131"/>
      <c r="CT16" s="131"/>
      <c r="CU16" s="131"/>
      <c r="CV16" s="131"/>
      <c r="CW16" s="131"/>
      <c r="CX16" s="131"/>
      <c r="CY16" s="131"/>
      <c r="CZ16" s="131"/>
      <c r="DA16" s="131"/>
      <c r="DB16" s="131"/>
      <c r="DC16" s="131"/>
      <c r="DD16" s="131"/>
      <c r="DE16" s="131"/>
      <c r="DF16" s="131"/>
      <c r="DG16" s="131"/>
      <c r="DH16" s="131"/>
      <c r="DI16" s="131"/>
    </row>
    <row r="17">
      <c r="A17" s="115" t="s">
        <v>255</v>
      </c>
      <c r="B17" s="115"/>
      <c r="C17" s="115"/>
      <c r="D17" s="122"/>
      <c r="E17" s="122"/>
      <c r="F17" s="122"/>
      <c r="G17" s="122"/>
      <c r="H17" s="122"/>
      <c r="I17" s="122"/>
      <c r="J17" s="122"/>
      <c r="K17" s="122"/>
      <c r="L17" s="122"/>
      <c r="M17" s="122"/>
      <c r="N17" s="122"/>
      <c r="O17" s="122"/>
      <c r="P17" s="122"/>
      <c r="Q17" s="122"/>
      <c r="R17" s="122"/>
      <c r="S17" s="122"/>
      <c r="T17" s="122">
        <v>80.0</v>
      </c>
      <c r="U17" s="123"/>
      <c r="V17" s="123">
        <f>'Expenses 2'!C89/V42</f>
        <v>11.66666667</v>
      </c>
      <c r="W17" s="123">
        <f>'Expenses 2'!D89/W42</f>
        <v>129.6296296</v>
      </c>
      <c r="X17" s="123">
        <f>'Expenses 2'!E89/X42</f>
        <v>74.07407407</v>
      </c>
      <c r="Y17" s="123">
        <f>'Expenses 2'!F89/Y42</f>
        <v>74.07407407</v>
      </c>
      <c r="Z17" s="123">
        <f>'Expenses 2'!G89/Z42</f>
        <v>111.1111111</v>
      </c>
      <c r="AA17" s="123">
        <f>'Expenses 2'!H89/AA42</f>
        <v>185.1851852</v>
      </c>
      <c r="AB17" s="123">
        <f>'Expenses 2'!I89/AB42</f>
        <v>444.4444444</v>
      </c>
      <c r="AC17" s="123">
        <f>'Expenses 2'!J89/AC42</f>
        <v>74.07407407</v>
      </c>
      <c r="AD17" s="123">
        <f>'Expenses 2'!K89/AD42</f>
        <v>625</v>
      </c>
      <c r="AE17" s="123">
        <f>'Expenses 2'!L89/AE42</f>
        <v>708.3333333</v>
      </c>
      <c r="AF17" s="123">
        <f>'Expenses 2'!M89/AF42</f>
        <v>708.3333333</v>
      </c>
      <c r="AG17" s="123">
        <f>'Expenses 2'!N89/AG42</f>
        <v>555.5555556</v>
      </c>
      <c r="AH17" s="123">
        <f>'Expenses 2'!O89/AH42</f>
        <v>370.3703704</v>
      </c>
      <c r="AI17" s="123">
        <f>'Expenses 2'!P89/AI42</f>
        <v>370.3703704</v>
      </c>
      <c r="AJ17" s="123">
        <f>'Expenses 2'!Q89/AJ42</f>
        <v>370.3703704</v>
      </c>
      <c r="AK17" s="123">
        <f>'Expenses 2'!R89/AK42</f>
        <v>555.5555556</v>
      </c>
      <c r="AL17" s="123">
        <f>'Expenses 2'!S89/AL42</f>
        <v>740.7407407</v>
      </c>
      <c r="AM17" s="123">
        <f>'Expenses 2'!T89/AM42</f>
        <v>1111.111111</v>
      </c>
      <c r="AN17" s="123">
        <f>'Expenses 2'!U89/AN42</f>
        <v>266.6666667</v>
      </c>
      <c r="AO17" s="123">
        <f>'Expenses 2'!V89/AO42</f>
        <v>266.6666667</v>
      </c>
      <c r="AP17" s="123">
        <f>'Expenses 2'!W89/AP42</f>
        <v>370.3703704</v>
      </c>
      <c r="AQ17" s="123">
        <f>'Expenses 2'!X89/AQ42</f>
        <v>370.3703704</v>
      </c>
      <c r="AR17" s="123">
        <f>'Expenses 2'!Y89/AR42</f>
        <v>370.3703704</v>
      </c>
      <c r="AS17" s="123">
        <f>'Expenses 2'!Z89/AS42</f>
        <v>370.3703704</v>
      </c>
      <c r="AT17" s="123">
        <f>'Expenses 2'!AA89/AT42</f>
        <v>370.3703704</v>
      </c>
      <c r="AU17" s="123">
        <f>'Expenses 2'!AB89/AU42</f>
        <v>185.1851852</v>
      </c>
      <c r="AV17" s="123">
        <f>'Expenses 2'!AC89/AV42</f>
        <v>185.1851852</v>
      </c>
      <c r="AW17" s="123">
        <f>'Expenses 2'!AD89/AW42</f>
        <v>296.2962963</v>
      </c>
      <c r="AX17" s="123">
        <f>'Expenses 2'!AE89/AX42</f>
        <v>555.5555556</v>
      </c>
      <c r="AY17" s="123">
        <f>'Expenses 2'!AF89/AY42</f>
        <v>555.5555556</v>
      </c>
      <c r="AZ17" s="123">
        <f>'Expenses 2'!AG89/AZ42</f>
        <v>285.7142857</v>
      </c>
      <c r="BA17" s="123">
        <f>'Expenses 2'!AH28/BA42</f>
        <v>285.7142857</v>
      </c>
      <c r="BB17" s="123">
        <f>'Expenses 2'!AI28/BB42</f>
        <v>250</v>
      </c>
      <c r="BC17" s="123">
        <f>'Expenses 2'!AJ28/BC42</f>
        <v>125</v>
      </c>
      <c r="BD17" s="123">
        <f>'Expenses 2'!AK28/BD42</f>
        <v>125</v>
      </c>
      <c r="BE17" s="123">
        <f>'Expenses 2'!AL28/BE42</f>
        <v>125</v>
      </c>
      <c r="BF17" s="123">
        <f>'Expenses 2'!AM28/BF42</f>
        <v>175</v>
      </c>
      <c r="BG17" s="123">
        <f>'Expenses 2'!AN28/BG42</f>
        <v>175</v>
      </c>
      <c r="BH17" s="123">
        <f>'Expenses 2'!AO28/BH42</f>
        <v>200</v>
      </c>
      <c r="BI17" s="123">
        <f>'Expenses 2'!AP28/BI42</f>
        <v>200</v>
      </c>
      <c r="BJ17" s="123">
        <f>'Expenses 2'!AQ28/BJ42</f>
        <v>200</v>
      </c>
      <c r="BK17" s="123">
        <f>'Expenses 2'!AR28/BK42</f>
        <v>200</v>
      </c>
      <c r="BL17" s="123">
        <f>'Expenses 2'!AS28/BL42</f>
        <v>175</v>
      </c>
      <c r="BM17" s="123">
        <f>'Expenses 2'!AT28/BM42</f>
        <v>125</v>
      </c>
      <c r="BN17" s="123">
        <f>'Expenses 2'!AU28/BN42</f>
        <v>200</v>
      </c>
      <c r="BO17" s="123">
        <f>'Expenses 2'!AV28/BO42</f>
        <v>300</v>
      </c>
      <c r="BP17" s="123">
        <f>'Expenses 2'!AW28/BP42</f>
        <v>500</v>
      </c>
      <c r="BQ17" s="123">
        <f>'Expenses 2'!AX28/BQ42</f>
        <v>500</v>
      </c>
      <c r="BR17" s="123">
        <f>'Expenses 2'!AY28/BR42</f>
        <v>555.5555556</v>
      </c>
      <c r="BS17" s="123">
        <f>'Expenses 2'!AZ28/BS42</f>
        <v>555.5555556</v>
      </c>
      <c r="BT17" s="123">
        <f>'Expenses 2'!BA28/BT42</f>
        <v>625</v>
      </c>
      <c r="BU17" s="123">
        <f>'Expenses 2'!BB28/BU42</f>
        <v>714.2857143</v>
      </c>
      <c r="BV17" s="123">
        <f>'Expenses 2'!BC28/BV42</f>
        <v>428.5714286</v>
      </c>
      <c r="BW17" s="123">
        <f>'Expenses 2'!BD28/BW42</f>
        <v>428.5714286</v>
      </c>
      <c r="BX17" s="123">
        <f>'Expenses 2'!BE28/BX42</f>
        <v>375</v>
      </c>
      <c r="BY17" s="123">
        <f>'Expenses 2'!BF28/BY42</f>
        <v>375</v>
      </c>
      <c r="BZ17" s="123">
        <f>'Expenses 2'!BG28/BZ42</f>
        <v>714.2857143</v>
      </c>
      <c r="CA17" s="123">
        <f>'Expenses 2'!BH28/CA42</f>
        <v>285.7142857</v>
      </c>
      <c r="CB17" s="123">
        <f>'Expenses 2'!BI28/CB42</f>
        <v>285.7142857</v>
      </c>
      <c r="CC17" s="123">
        <f>'Expenses 2'!BJ28/CC42</f>
        <v>285.7142857</v>
      </c>
      <c r="CD17" s="123">
        <f>'Expenses 2'!BK28/CD42</f>
        <v>285.7142857</v>
      </c>
      <c r="CE17" s="123">
        <f>'Expenses 2'!BL28/CE42</f>
        <v>285.7142857</v>
      </c>
      <c r="CF17" s="123">
        <f>'Expenses 2'!BM28/CF42</f>
        <v>285.7142857</v>
      </c>
      <c r="CG17" s="123">
        <f>'Expenses 2'!BN28/CG42</f>
        <v>285.7142857</v>
      </c>
      <c r="CH17" s="123">
        <f>'Expenses 2'!BO28/CH42</f>
        <v>285.7142857</v>
      </c>
      <c r="CI17" s="123">
        <f>'Expenses 2'!BP28/CI42</f>
        <v>428.5714286</v>
      </c>
      <c r="CJ17" s="123">
        <f>'Expenses 2'!BQ28/CJ42</f>
        <v>428.5714286</v>
      </c>
      <c r="CK17" s="123">
        <f>'Expenses 2'!BR28/CK42</f>
        <v>428.5714286</v>
      </c>
      <c r="CL17" s="123">
        <f>'Expenses 2'!BS28/CL42</f>
        <v>428.5714286</v>
      </c>
      <c r="CM17" s="123">
        <f>'Expenses 2'!BT28/CM42</f>
        <v>428.5714286</v>
      </c>
      <c r="CN17" s="123">
        <f>'Expenses 2'!BU28/CN42</f>
        <v>571.4285714</v>
      </c>
      <c r="CO17" s="123">
        <f>'Expenses 2'!BV28/CO42</f>
        <v>714.2857143</v>
      </c>
      <c r="CP17" s="123">
        <f>'Expenses 2'!BW28/CP42</f>
        <v>714.2857143</v>
      </c>
      <c r="CQ17" s="123">
        <f>'Expenses 2'!BX28/CQ42</f>
        <v>714.2857143</v>
      </c>
      <c r="CR17" s="123">
        <f>'Expenses 2'!BY28/CR42</f>
        <v>857.1428571</v>
      </c>
      <c r="CS17" s="123">
        <f>'Expenses 2'!BZ28/CS42</f>
        <v>857.1428571</v>
      </c>
      <c r="CT17" s="123">
        <f>'Expenses 2'!CA28/CT42</f>
        <v>857.1428571</v>
      </c>
      <c r="CU17" s="123">
        <f>'Expenses 2'!CB28/CU42</f>
        <v>857.1428571</v>
      </c>
      <c r="CV17" s="123">
        <f>'Expenses 2'!CC28/CV42</f>
        <v>857.1428571</v>
      </c>
      <c r="CW17" s="123">
        <f>'Expenses 2'!CD28/CW42</f>
        <v>857.1428571</v>
      </c>
      <c r="CX17" s="123">
        <f>'Expenses 2'!CE28/CX42</f>
        <v>875</v>
      </c>
      <c r="CY17" s="123">
        <f>'Expenses 2'!CF28/CY42</f>
        <v>875</v>
      </c>
      <c r="CZ17" s="123">
        <f>'Expenses 2'!CG28/CZ42</f>
        <v>1000</v>
      </c>
      <c r="DA17" s="123">
        <f>'Expenses 2'!CH28/DA42</f>
        <v>1000</v>
      </c>
      <c r="DB17" s="123">
        <f>'Expenses 2'!CI28/DB42</f>
        <v>1000</v>
      </c>
      <c r="DC17" s="123">
        <f>'Expenses 2'!CJ28/DC42</f>
        <v>1125</v>
      </c>
      <c r="DD17" s="123">
        <f>'Expenses 2'!CK28/DD42</f>
        <v>1125</v>
      </c>
      <c r="DE17" s="123">
        <f>'Expenses 2'!CL28/DE42</f>
        <v>1250</v>
      </c>
      <c r="DF17" s="123">
        <f>'Expenses 2'!CM28/DF42</f>
        <v>1250</v>
      </c>
      <c r="DG17" s="123">
        <f>'Expenses 2'!CN28/DG42</f>
        <v>1250</v>
      </c>
      <c r="DH17" s="123">
        <f>'Expenses 2'!CO28/DH42</f>
        <v>1250</v>
      </c>
      <c r="DI17" s="123">
        <f>'Expenses 2'!CP28/DI42</f>
        <v>1250</v>
      </c>
    </row>
    <row r="18" ht="12.75" customHeight="1">
      <c r="A18" s="115" t="s">
        <v>256</v>
      </c>
      <c r="B18" s="132"/>
      <c r="C18" s="132"/>
      <c r="D18" s="133"/>
      <c r="E18" s="133"/>
      <c r="F18" s="133"/>
      <c r="G18" s="133"/>
      <c r="H18" s="133"/>
      <c r="I18" s="133"/>
      <c r="J18" s="133"/>
      <c r="K18" s="133"/>
      <c r="L18" s="133"/>
      <c r="M18" s="133"/>
      <c r="N18" s="133"/>
      <c r="O18" s="133"/>
      <c r="P18" s="133"/>
      <c r="Q18" s="133"/>
      <c r="R18" s="133"/>
      <c r="S18" s="133"/>
      <c r="T18" s="133"/>
      <c r="U18" s="129"/>
      <c r="V18" s="129">
        <f t="shared" ref="V18:DI18" si="2">+V530</f>
        <v>452.0949074</v>
      </c>
      <c r="W18" s="129">
        <f t="shared" si="2"/>
        <v>5475.371656</v>
      </c>
      <c r="X18" s="129">
        <f t="shared" si="2"/>
        <v>8345.815513</v>
      </c>
      <c r="Y18" s="129">
        <f t="shared" si="2"/>
        <v>10814.73159</v>
      </c>
      <c r="Z18" s="129">
        <f t="shared" si="2"/>
        <v>10658.97762</v>
      </c>
      <c r="AA18" s="129">
        <f t="shared" si="2"/>
        <v>15285.70455</v>
      </c>
      <c r="AB18" s="129">
        <f t="shared" si="2"/>
        <v>29958.98497</v>
      </c>
      <c r="AC18" s="129">
        <f t="shared" si="2"/>
        <v>29005.35475</v>
      </c>
      <c r="AD18" s="129">
        <f t="shared" si="2"/>
        <v>46851.268</v>
      </c>
      <c r="AE18" s="129">
        <f t="shared" si="2"/>
        <v>59003.59109</v>
      </c>
      <c r="AF18" s="129">
        <f t="shared" si="2"/>
        <v>83902.82775</v>
      </c>
      <c r="AG18" s="129">
        <f t="shared" si="2"/>
        <v>83920.74001</v>
      </c>
      <c r="AH18" s="129">
        <f t="shared" si="2"/>
        <v>73894.48707</v>
      </c>
      <c r="AI18" s="129">
        <f t="shared" si="2"/>
        <v>63868.23413</v>
      </c>
      <c r="AJ18" s="129">
        <f t="shared" si="2"/>
        <v>59100.08304</v>
      </c>
      <c r="AK18" s="129">
        <f t="shared" si="2"/>
        <v>67881.49838</v>
      </c>
      <c r="AL18" s="129">
        <f t="shared" si="2"/>
        <v>83839.02337</v>
      </c>
      <c r="AM18" s="129">
        <f t="shared" si="2"/>
        <v>114148.7676</v>
      </c>
      <c r="AN18" s="129">
        <f t="shared" si="2"/>
        <v>105330.9877</v>
      </c>
      <c r="AO18" s="129">
        <f t="shared" si="2"/>
        <v>89826.23172</v>
      </c>
      <c r="AP18" s="129">
        <f t="shared" si="2"/>
        <v>65740.83783</v>
      </c>
      <c r="AQ18" s="129">
        <f t="shared" si="2"/>
        <v>70718.40691</v>
      </c>
      <c r="AR18" s="129">
        <f t="shared" si="2"/>
        <v>75597.53977</v>
      </c>
      <c r="AS18" s="129">
        <f t="shared" si="2"/>
        <v>76710.6644</v>
      </c>
      <c r="AT18" s="129">
        <f t="shared" si="2"/>
        <v>77134.73554</v>
      </c>
      <c r="AU18" s="129">
        <f t="shared" si="2"/>
        <v>71367.05917</v>
      </c>
      <c r="AV18" s="129">
        <f t="shared" si="2"/>
        <v>64135.14412</v>
      </c>
      <c r="AW18" s="129">
        <f t="shared" si="2"/>
        <v>60987.41337</v>
      </c>
      <c r="AX18" s="129">
        <f t="shared" si="2"/>
        <v>74259.69292</v>
      </c>
      <c r="AY18" s="129">
        <f t="shared" si="2"/>
        <v>87938.02184</v>
      </c>
      <c r="AZ18" s="129">
        <f t="shared" si="2"/>
        <v>87813.20891</v>
      </c>
      <c r="BA18" s="129">
        <f t="shared" si="2"/>
        <v>78617.61126</v>
      </c>
      <c r="BB18" s="129">
        <f t="shared" si="2"/>
        <v>68107.72553</v>
      </c>
      <c r="BC18" s="129">
        <f t="shared" si="2"/>
        <v>61548.82176</v>
      </c>
      <c r="BD18" s="129">
        <f t="shared" si="2"/>
        <v>54451.2863</v>
      </c>
      <c r="BE18" s="129">
        <f t="shared" si="2"/>
        <v>47505.65414</v>
      </c>
      <c r="BF18" s="129">
        <f t="shared" si="2"/>
        <v>48718.84627</v>
      </c>
      <c r="BG18" s="129">
        <f t="shared" si="2"/>
        <v>50396.54457</v>
      </c>
      <c r="BH18" s="129">
        <f t="shared" si="2"/>
        <v>52076.44334</v>
      </c>
      <c r="BI18" s="129">
        <f t="shared" si="2"/>
        <v>51930.99489</v>
      </c>
      <c r="BJ18" s="129">
        <f t="shared" si="2"/>
        <v>51785.54644</v>
      </c>
      <c r="BK18" s="129">
        <f t="shared" si="2"/>
        <v>50971.29012</v>
      </c>
      <c r="BL18" s="129">
        <f t="shared" si="2"/>
        <v>49415.58431</v>
      </c>
      <c r="BM18" s="129">
        <f t="shared" si="2"/>
        <v>46364.68466</v>
      </c>
      <c r="BN18" s="129">
        <f t="shared" si="2"/>
        <v>46243.57501</v>
      </c>
      <c r="BO18" s="129">
        <f t="shared" si="2"/>
        <v>50330.41952</v>
      </c>
      <c r="BP18" s="129">
        <f t="shared" si="2"/>
        <v>62951.34544</v>
      </c>
      <c r="BQ18" s="129">
        <f t="shared" si="2"/>
        <v>72495.22772</v>
      </c>
      <c r="BR18" s="129">
        <f t="shared" si="2"/>
        <v>82417.02225</v>
      </c>
      <c r="BS18" s="129">
        <f t="shared" si="2"/>
        <v>85611.92084</v>
      </c>
      <c r="BT18" s="129">
        <f t="shared" si="2"/>
        <v>91230.01883</v>
      </c>
      <c r="BU18" s="129">
        <f t="shared" si="2"/>
        <v>98693.01361</v>
      </c>
      <c r="BV18" s="129">
        <f t="shared" si="2"/>
        <v>95084.29636</v>
      </c>
      <c r="BW18" s="129">
        <f t="shared" si="2"/>
        <v>89150.06324</v>
      </c>
      <c r="BX18" s="129">
        <f t="shared" si="2"/>
        <v>78012.29726</v>
      </c>
      <c r="BY18" s="129">
        <f t="shared" si="2"/>
        <v>76940.11769</v>
      </c>
      <c r="BZ18" s="129">
        <f t="shared" si="2"/>
        <v>88949.15171</v>
      </c>
      <c r="CA18" s="129">
        <f t="shared" si="2"/>
        <v>85976.79715</v>
      </c>
      <c r="CB18" s="129">
        <f t="shared" si="2"/>
        <v>82601.06957</v>
      </c>
      <c r="CC18" s="129">
        <f t="shared" si="2"/>
        <v>67391.82127</v>
      </c>
      <c r="CD18" s="129">
        <f t="shared" si="2"/>
        <v>67694.12059</v>
      </c>
      <c r="CE18" s="129">
        <f t="shared" si="2"/>
        <v>68129.3088</v>
      </c>
      <c r="CF18" s="129">
        <f t="shared" si="2"/>
        <v>68366.15287</v>
      </c>
      <c r="CG18" s="129">
        <f t="shared" si="2"/>
        <v>68493.99</v>
      </c>
      <c r="CH18" s="129">
        <f t="shared" si="2"/>
        <v>68090.27157</v>
      </c>
      <c r="CI18" s="129">
        <f t="shared" si="2"/>
        <v>73222.40916</v>
      </c>
      <c r="CJ18" s="129">
        <f t="shared" si="2"/>
        <v>78144.18408</v>
      </c>
      <c r="CK18" s="129">
        <f t="shared" si="2"/>
        <v>83144.17771</v>
      </c>
      <c r="CL18" s="129">
        <f t="shared" si="2"/>
        <v>83011.58259</v>
      </c>
      <c r="CM18" s="129">
        <f t="shared" si="2"/>
        <v>82594.75468</v>
      </c>
      <c r="CN18" s="129">
        <f t="shared" si="2"/>
        <v>88363.64168</v>
      </c>
      <c r="CO18" s="129">
        <f t="shared" si="2"/>
        <v>99668.38468</v>
      </c>
      <c r="CP18" s="129">
        <f t="shared" si="2"/>
        <v>111260.8386</v>
      </c>
      <c r="CQ18" s="129">
        <f t="shared" si="2"/>
        <v>117999.3342</v>
      </c>
      <c r="CR18" s="129">
        <f t="shared" si="2"/>
        <v>124376.2957</v>
      </c>
      <c r="CS18" s="129">
        <f t="shared" si="2"/>
        <v>131819.6857</v>
      </c>
      <c r="CT18" s="129">
        <f t="shared" si="2"/>
        <v>139012.2424</v>
      </c>
      <c r="CU18" s="129">
        <f t="shared" si="2"/>
        <v>141288.1324</v>
      </c>
      <c r="CV18" s="129">
        <f t="shared" si="2"/>
        <v>143473.2275</v>
      </c>
      <c r="CW18" s="129">
        <f t="shared" si="2"/>
        <v>145658.3225</v>
      </c>
      <c r="CX18" s="129">
        <f t="shared" si="2"/>
        <v>148437.7451</v>
      </c>
      <c r="CY18" s="129">
        <f t="shared" si="2"/>
        <v>151105.1886</v>
      </c>
      <c r="CZ18" s="129">
        <f t="shared" si="2"/>
        <v>158974.8394</v>
      </c>
      <c r="DA18" s="129">
        <f t="shared" si="2"/>
        <v>165850.2243</v>
      </c>
      <c r="DB18" s="129">
        <f t="shared" si="2"/>
        <v>172803.3562</v>
      </c>
      <c r="DC18" s="129">
        <f t="shared" si="2"/>
        <v>180319.3979</v>
      </c>
      <c r="DD18" s="129">
        <f t="shared" si="2"/>
        <v>187378.2402</v>
      </c>
      <c r="DE18" s="129">
        <f t="shared" si="2"/>
        <v>199776.2183</v>
      </c>
      <c r="DF18" s="129">
        <f t="shared" si="2"/>
        <v>207407.9545</v>
      </c>
      <c r="DG18" s="129">
        <f t="shared" si="2"/>
        <v>214660.008</v>
      </c>
      <c r="DH18" s="129">
        <f t="shared" si="2"/>
        <v>217586.5127</v>
      </c>
      <c r="DI18" s="129">
        <f t="shared" si="2"/>
        <v>220513.0173</v>
      </c>
    </row>
    <row r="19" ht="12.75" customHeight="1">
      <c r="A19" s="134" t="s">
        <v>257</v>
      </c>
      <c r="B19" s="132"/>
      <c r="C19" s="132"/>
      <c r="D19" s="133"/>
      <c r="E19" s="133"/>
      <c r="F19" s="123"/>
      <c r="G19" s="123"/>
      <c r="H19" s="123"/>
      <c r="I19" s="123"/>
      <c r="J19" s="123"/>
      <c r="K19" s="123"/>
      <c r="L19" s="123"/>
      <c r="M19" s="123"/>
      <c r="N19" s="123"/>
      <c r="O19" s="123"/>
      <c r="P19" s="123"/>
      <c r="Q19" s="123"/>
      <c r="R19" s="123"/>
      <c r="S19" s="123"/>
      <c r="T19" s="123">
        <f>SUM(T17*10)</f>
        <v>800</v>
      </c>
      <c r="U19" s="130"/>
      <c r="V19" s="130">
        <f t="shared" ref="V19:DI19" si="3">+V18*$B32</f>
        <v>129.1699735</v>
      </c>
      <c r="W19" s="130">
        <f t="shared" si="3"/>
        <v>1564.391902</v>
      </c>
      <c r="X19" s="130">
        <f t="shared" si="3"/>
        <v>2384.518718</v>
      </c>
      <c r="Y19" s="130">
        <f t="shared" si="3"/>
        <v>3089.923312</v>
      </c>
      <c r="Z19" s="130">
        <f t="shared" si="3"/>
        <v>3045.422178</v>
      </c>
      <c r="AA19" s="130">
        <f t="shared" si="3"/>
        <v>4367.344157</v>
      </c>
      <c r="AB19" s="130">
        <f t="shared" si="3"/>
        <v>8559.709992</v>
      </c>
      <c r="AC19" s="130">
        <f t="shared" si="3"/>
        <v>8287.244216</v>
      </c>
      <c r="AD19" s="130">
        <f t="shared" si="3"/>
        <v>13386.07657</v>
      </c>
      <c r="AE19" s="130">
        <f t="shared" si="3"/>
        <v>16858.16888</v>
      </c>
      <c r="AF19" s="130">
        <f t="shared" si="3"/>
        <v>23972.2365</v>
      </c>
      <c r="AG19" s="130">
        <f t="shared" si="3"/>
        <v>23977.35429</v>
      </c>
      <c r="AH19" s="130">
        <f t="shared" si="3"/>
        <v>21112.71059</v>
      </c>
      <c r="AI19" s="130">
        <f t="shared" si="3"/>
        <v>18248.06689</v>
      </c>
      <c r="AJ19" s="130">
        <f t="shared" si="3"/>
        <v>16885.73801</v>
      </c>
      <c r="AK19" s="130">
        <f t="shared" si="3"/>
        <v>19394.71382</v>
      </c>
      <c r="AL19" s="130">
        <f t="shared" si="3"/>
        <v>23954.00668</v>
      </c>
      <c r="AM19" s="130">
        <f t="shared" si="3"/>
        <v>32613.93361</v>
      </c>
      <c r="AN19" s="130">
        <f t="shared" si="3"/>
        <v>30094.56793</v>
      </c>
      <c r="AO19" s="130">
        <f t="shared" si="3"/>
        <v>25664.63763</v>
      </c>
      <c r="AP19" s="130">
        <f t="shared" si="3"/>
        <v>18783.09652</v>
      </c>
      <c r="AQ19" s="130">
        <f t="shared" si="3"/>
        <v>20205.25912</v>
      </c>
      <c r="AR19" s="130">
        <f t="shared" si="3"/>
        <v>21599.29708</v>
      </c>
      <c r="AS19" s="130">
        <f t="shared" si="3"/>
        <v>21917.33269</v>
      </c>
      <c r="AT19" s="130">
        <f t="shared" si="3"/>
        <v>22038.49587</v>
      </c>
      <c r="AU19" s="130">
        <f t="shared" si="3"/>
        <v>20390.58833</v>
      </c>
      <c r="AV19" s="130">
        <f t="shared" si="3"/>
        <v>18324.32689</v>
      </c>
      <c r="AW19" s="130">
        <f t="shared" si="3"/>
        <v>17424.97525</v>
      </c>
      <c r="AX19" s="130">
        <f t="shared" si="3"/>
        <v>21217.05512</v>
      </c>
      <c r="AY19" s="130">
        <f t="shared" si="3"/>
        <v>25125.1491</v>
      </c>
      <c r="AZ19" s="130">
        <f t="shared" si="3"/>
        <v>25089.48826</v>
      </c>
      <c r="BA19" s="130">
        <f t="shared" si="3"/>
        <v>22462.17464</v>
      </c>
      <c r="BB19" s="130">
        <f t="shared" si="3"/>
        <v>19459.35015</v>
      </c>
      <c r="BC19" s="130">
        <f t="shared" si="3"/>
        <v>17585.37765</v>
      </c>
      <c r="BD19" s="130">
        <f t="shared" si="3"/>
        <v>15557.51037</v>
      </c>
      <c r="BE19" s="130">
        <f t="shared" si="3"/>
        <v>13573.04404</v>
      </c>
      <c r="BF19" s="130">
        <f t="shared" si="3"/>
        <v>13919.67036</v>
      </c>
      <c r="BG19" s="130">
        <f t="shared" si="3"/>
        <v>14399.01273</v>
      </c>
      <c r="BH19" s="130">
        <f t="shared" si="3"/>
        <v>14878.98381</v>
      </c>
      <c r="BI19" s="130">
        <f t="shared" si="3"/>
        <v>14837.42711</v>
      </c>
      <c r="BJ19" s="130">
        <f t="shared" si="3"/>
        <v>14795.87041</v>
      </c>
      <c r="BK19" s="130">
        <f t="shared" si="3"/>
        <v>14563.22575</v>
      </c>
      <c r="BL19" s="130">
        <f t="shared" si="3"/>
        <v>14118.73837</v>
      </c>
      <c r="BM19" s="130">
        <f t="shared" si="3"/>
        <v>13247.05276</v>
      </c>
      <c r="BN19" s="130">
        <f t="shared" si="3"/>
        <v>13212.45</v>
      </c>
      <c r="BO19" s="130">
        <f t="shared" si="3"/>
        <v>14380.11986</v>
      </c>
      <c r="BP19" s="130">
        <f t="shared" si="3"/>
        <v>17986.0987</v>
      </c>
      <c r="BQ19" s="130">
        <f t="shared" si="3"/>
        <v>20712.92221</v>
      </c>
      <c r="BR19" s="130">
        <f t="shared" si="3"/>
        <v>23547.72064</v>
      </c>
      <c r="BS19" s="130">
        <f t="shared" si="3"/>
        <v>24460.54881</v>
      </c>
      <c r="BT19" s="130">
        <f t="shared" si="3"/>
        <v>26065.71967</v>
      </c>
      <c r="BU19" s="130">
        <f t="shared" si="3"/>
        <v>28198.00389</v>
      </c>
      <c r="BV19" s="130">
        <f t="shared" si="3"/>
        <v>27166.94182</v>
      </c>
      <c r="BW19" s="130">
        <f t="shared" si="3"/>
        <v>25471.44664</v>
      </c>
      <c r="BX19" s="130">
        <f t="shared" si="3"/>
        <v>22289.22779</v>
      </c>
      <c r="BY19" s="130">
        <f t="shared" si="3"/>
        <v>21982.89077</v>
      </c>
      <c r="BZ19" s="130">
        <f t="shared" si="3"/>
        <v>25414.04334</v>
      </c>
      <c r="CA19" s="130">
        <f t="shared" si="3"/>
        <v>24564.79918</v>
      </c>
      <c r="CB19" s="130">
        <f t="shared" si="3"/>
        <v>23600.30559</v>
      </c>
      <c r="CC19" s="130">
        <f t="shared" si="3"/>
        <v>19254.80608</v>
      </c>
      <c r="CD19" s="130">
        <f t="shared" si="3"/>
        <v>19341.17731</v>
      </c>
      <c r="CE19" s="130">
        <f t="shared" si="3"/>
        <v>19465.5168</v>
      </c>
      <c r="CF19" s="130">
        <f t="shared" si="3"/>
        <v>19533.18653</v>
      </c>
      <c r="CG19" s="130">
        <f t="shared" si="3"/>
        <v>19569.71143</v>
      </c>
      <c r="CH19" s="130">
        <f t="shared" si="3"/>
        <v>19454.36331</v>
      </c>
      <c r="CI19" s="130">
        <f t="shared" si="3"/>
        <v>20920.68833</v>
      </c>
      <c r="CJ19" s="130">
        <f t="shared" si="3"/>
        <v>22326.90974</v>
      </c>
      <c r="CK19" s="130">
        <f t="shared" si="3"/>
        <v>23755.47934</v>
      </c>
      <c r="CL19" s="130">
        <f t="shared" si="3"/>
        <v>23717.59503</v>
      </c>
      <c r="CM19" s="130">
        <f t="shared" si="3"/>
        <v>23598.50134</v>
      </c>
      <c r="CN19" s="130">
        <f t="shared" si="3"/>
        <v>25246.75476</v>
      </c>
      <c r="CO19" s="130">
        <f t="shared" si="3"/>
        <v>28476.68134</v>
      </c>
      <c r="CP19" s="130">
        <f t="shared" si="3"/>
        <v>31788.81104</v>
      </c>
      <c r="CQ19" s="130">
        <f t="shared" si="3"/>
        <v>33714.09549</v>
      </c>
      <c r="CR19" s="130">
        <f t="shared" si="3"/>
        <v>35536.08448</v>
      </c>
      <c r="CS19" s="130">
        <f t="shared" si="3"/>
        <v>37662.76734</v>
      </c>
      <c r="CT19" s="130">
        <f t="shared" si="3"/>
        <v>39717.78354</v>
      </c>
      <c r="CU19" s="130">
        <f t="shared" si="3"/>
        <v>40368.03783</v>
      </c>
      <c r="CV19" s="130">
        <f t="shared" si="3"/>
        <v>40992.3507</v>
      </c>
      <c r="CW19" s="130">
        <f t="shared" si="3"/>
        <v>41616.66358</v>
      </c>
      <c r="CX19" s="130">
        <f t="shared" si="3"/>
        <v>42410.78432</v>
      </c>
      <c r="CY19" s="130">
        <f t="shared" si="3"/>
        <v>43172.91102</v>
      </c>
      <c r="CZ19" s="130">
        <f t="shared" si="3"/>
        <v>45421.38268</v>
      </c>
      <c r="DA19" s="130">
        <f t="shared" si="3"/>
        <v>47385.77837</v>
      </c>
      <c r="DB19" s="130">
        <f t="shared" si="3"/>
        <v>49372.3875</v>
      </c>
      <c r="DC19" s="130">
        <f t="shared" si="3"/>
        <v>51519.82797</v>
      </c>
      <c r="DD19" s="130">
        <f t="shared" si="3"/>
        <v>53536.64005</v>
      </c>
      <c r="DE19" s="130">
        <f t="shared" si="3"/>
        <v>57078.91953</v>
      </c>
      <c r="DF19" s="130">
        <f t="shared" si="3"/>
        <v>59259.41556</v>
      </c>
      <c r="DG19" s="130">
        <f t="shared" si="3"/>
        <v>61331.43087</v>
      </c>
      <c r="DH19" s="130">
        <f t="shared" si="3"/>
        <v>62167.57505</v>
      </c>
      <c r="DI19" s="130">
        <f t="shared" si="3"/>
        <v>63003.71923</v>
      </c>
      <c r="DJ19" s="113">
        <f t="shared" ref="DJ19:DL19" si="4">DI19</f>
        <v>63003.71923</v>
      </c>
      <c r="DK19" s="113">
        <f t="shared" si="4"/>
        <v>63003.71923</v>
      </c>
      <c r="DL19" s="113">
        <f t="shared" si="4"/>
        <v>63003.71923</v>
      </c>
    </row>
    <row r="20" ht="12.75" customHeight="1">
      <c r="A20" s="134"/>
      <c r="B20" s="132"/>
      <c r="C20" s="132"/>
      <c r="D20" s="133"/>
      <c r="E20" s="133"/>
      <c r="F20" s="123"/>
      <c r="G20" s="123"/>
      <c r="H20" s="123"/>
      <c r="I20" s="123"/>
      <c r="J20" s="123"/>
      <c r="K20" s="123"/>
      <c r="L20" s="123"/>
      <c r="M20" s="123"/>
      <c r="N20" s="123"/>
      <c r="O20" s="123"/>
      <c r="P20" s="123"/>
      <c r="Q20" s="123"/>
      <c r="R20" s="123"/>
      <c r="S20" s="123"/>
      <c r="T20" s="123"/>
      <c r="U20" s="130"/>
      <c r="V20" s="130"/>
      <c r="W20" s="130"/>
      <c r="X20" s="130"/>
      <c r="Y20" s="130"/>
      <c r="Z20" s="130"/>
      <c r="AA20" s="103"/>
      <c r="AB20" s="103"/>
      <c r="AC20" s="115"/>
      <c r="BV20" s="131"/>
      <c r="BW20" s="131"/>
      <c r="BX20" s="131"/>
      <c r="BY20" s="131"/>
      <c r="BZ20" s="131"/>
      <c r="CA20" s="131"/>
      <c r="CB20" s="131"/>
      <c r="CC20" s="131"/>
      <c r="CD20" s="131"/>
      <c r="CE20" s="131"/>
      <c r="CF20" s="131"/>
      <c r="CG20" s="131"/>
      <c r="CH20" s="131"/>
      <c r="CI20" s="131"/>
      <c r="CJ20" s="131"/>
      <c r="CK20" s="131"/>
      <c r="CL20" s="131"/>
      <c r="CM20" s="131"/>
      <c r="CN20" s="131"/>
      <c r="CO20" s="131"/>
      <c r="CP20" s="131"/>
      <c r="CQ20" s="131"/>
      <c r="CR20" s="131"/>
      <c r="CS20" s="131"/>
      <c r="CT20" s="131"/>
      <c r="CU20" s="131"/>
      <c r="CV20" s="131"/>
      <c r="CW20" s="131"/>
      <c r="CX20" s="131"/>
      <c r="CY20" s="131"/>
      <c r="CZ20" s="131"/>
      <c r="DA20" s="131"/>
      <c r="DB20" s="131"/>
      <c r="DC20" s="131"/>
      <c r="DD20" s="131"/>
      <c r="DE20" s="131"/>
      <c r="DF20" s="131"/>
      <c r="DG20" s="131"/>
      <c r="DH20" s="131"/>
      <c r="DI20" s="131"/>
    </row>
    <row r="21" ht="12.75" customHeight="1">
      <c r="A21" s="115" t="s">
        <v>258</v>
      </c>
      <c r="B21" s="115"/>
      <c r="C21" s="115"/>
      <c r="D21" s="122"/>
      <c r="E21" s="122"/>
      <c r="F21" s="122"/>
      <c r="G21" s="122"/>
      <c r="H21" s="122"/>
      <c r="I21" s="122"/>
      <c r="J21" s="122"/>
      <c r="K21" s="122"/>
      <c r="L21" s="122"/>
      <c r="M21" s="122"/>
      <c r="N21" s="122"/>
      <c r="O21" s="122"/>
      <c r="P21" s="122"/>
      <c r="Q21" s="122"/>
      <c r="R21" s="122"/>
      <c r="S21" s="122"/>
      <c r="T21" s="123"/>
      <c r="U21" s="123"/>
      <c r="V21" s="123">
        <f t="shared" ref="V21:DI21" si="5">+V19+V14</f>
        <v>129.1699735</v>
      </c>
      <c r="W21" s="123">
        <f t="shared" si="5"/>
        <v>1564.391902</v>
      </c>
      <c r="X21" s="123">
        <f t="shared" si="5"/>
        <v>2384.518718</v>
      </c>
      <c r="Y21" s="123">
        <f t="shared" si="5"/>
        <v>3089.923312</v>
      </c>
      <c r="Z21" s="123">
        <f t="shared" si="5"/>
        <v>3045.422178</v>
      </c>
      <c r="AA21" s="123">
        <f t="shared" si="5"/>
        <v>4367.344157</v>
      </c>
      <c r="AB21" s="123">
        <f t="shared" si="5"/>
        <v>8559.709992</v>
      </c>
      <c r="AC21" s="123">
        <f t="shared" si="5"/>
        <v>8287.244216</v>
      </c>
      <c r="AD21" s="123">
        <f t="shared" si="5"/>
        <v>13386.07657</v>
      </c>
      <c r="AE21" s="123">
        <f t="shared" si="5"/>
        <v>16858.16888</v>
      </c>
      <c r="AF21" s="123">
        <f t="shared" si="5"/>
        <v>23972.2365</v>
      </c>
      <c r="AG21" s="123">
        <f t="shared" si="5"/>
        <v>23977.35429</v>
      </c>
      <c r="AH21" s="123">
        <f t="shared" si="5"/>
        <v>21112.71059</v>
      </c>
      <c r="AI21" s="123">
        <f t="shared" si="5"/>
        <v>18248.06689</v>
      </c>
      <c r="AJ21" s="123">
        <f t="shared" si="5"/>
        <v>16885.73801</v>
      </c>
      <c r="AK21" s="123">
        <f t="shared" si="5"/>
        <v>19394.71382</v>
      </c>
      <c r="AL21" s="123">
        <f t="shared" si="5"/>
        <v>23954.00668</v>
      </c>
      <c r="AM21" s="123">
        <f t="shared" si="5"/>
        <v>32613.93361</v>
      </c>
      <c r="AN21" s="123">
        <f t="shared" si="5"/>
        <v>30094.56793</v>
      </c>
      <c r="AO21" s="123">
        <f t="shared" si="5"/>
        <v>25664.63763</v>
      </c>
      <c r="AP21" s="123">
        <f t="shared" si="5"/>
        <v>18783.09652</v>
      </c>
      <c r="AQ21" s="123">
        <f t="shared" si="5"/>
        <v>20205.25912</v>
      </c>
      <c r="AR21" s="123">
        <f t="shared" si="5"/>
        <v>21599.29708</v>
      </c>
      <c r="AS21" s="123">
        <f t="shared" si="5"/>
        <v>21917.33269</v>
      </c>
      <c r="AT21" s="123">
        <f t="shared" si="5"/>
        <v>22038.49587</v>
      </c>
      <c r="AU21" s="123">
        <f t="shared" si="5"/>
        <v>20390.58833</v>
      </c>
      <c r="AV21" s="123">
        <f t="shared" si="5"/>
        <v>18324.32689</v>
      </c>
      <c r="AW21" s="123">
        <f t="shared" si="5"/>
        <v>17424.97525</v>
      </c>
      <c r="AX21" s="123">
        <f t="shared" si="5"/>
        <v>21217.05512</v>
      </c>
      <c r="AY21" s="123">
        <f t="shared" si="5"/>
        <v>25125.1491</v>
      </c>
      <c r="AZ21" s="123">
        <f t="shared" si="5"/>
        <v>25089.48826</v>
      </c>
      <c r="BA21" s="123">
        <f t="shared" si="5"/>
        <v>22462.17464</v>
      </c>
      <c r="BB21" s="123">
        <f t="shared" si="5"/>
        <v>19459.35015</v>
      </c>
      <c r="BC21" s="123">
        <f t="shared" si="5"/>
        <v>17585.37765</v>
      </c>
      <c r="BD21" s="123">
        <f t="shared" si="5"/>
        <v>15557.51037</v>
      </c>
      <c r="BE21" s="123">
        <f t="shared" si="5"/>
        <v>13573.04404</v>
      </c>
      <c r="BF21" s="123">
        <f t="shared" si="5"/>
        <v>13919.67036</v>
      </c>
      <c r="BG21" s="123">
        <f t="shared" si="5"/>
        <v>14399.01273</v>
      </c>
      <c r="BH21" s="123">
        <f t="shared" si="5"/>
        <v>14878.98381</v>
      </c>
      <c r="BI21" s="123">
        <f t="shared" si="5"/>
        <v>14837.42711</v>
      </c>
      <c r="BJ21" s="123">
        <f t="shared" si="5"/>
        <v>14795.87041</v>
      </c>
      <c r="BK21" s="123">
        <f t="shared" si="5"/>
        <v>14563.22575</v>
      </c>
      <c r="BL21" s="123">
        <f t="shared" si="5"/>
        <v>14118.73837</v>
      </c>
      <c r="BM21" s="123">
        <f t="shared" si="5"/>
        <v>13247.05276</v>
      </c>
      <c r="BN21" s="123">
        <f t="shared" si="5"/>
        <v>13212.45</v>
      </c>
      <c r="BO21" s="123">
        <f t="shared" si="5"/>
        <v>14380.11986</v>
      </c>
      <c r="BP21" s="123">
        <f t="shared" si="5"/>
        <v>17986.0987</v>
      </c>
      <c r="BQ21" s="123">
        <f t="shared" si="5"/>
        <v>20712.92221</v>
      </c>
      <c r="BR21" s="123">
        <f t="shared" si="5"/>
        <v>23547.72064</v>
      </c>
      <c r="BS21" s="123">
        <f t="shared" si="5"/>
        <v>24460.54881</v>
      </c>
      <c r="BT21" s="123">
        <f t="shared" si="5"/>
        <v>26065.71967</v>
      </c>
      <c r="BU21" s="123">
        <f t="shared" si="5"/>
        <v>28198.00389</v>
      </c>
      <c r="BV21" s="123">
        <f t="shared" si="5"/>
        <v>27166.94182</v>
      </c>
      <c r="BW21" s="123">
        <f t="shared" si="5"/>
        <v>25471.44664</v>
      </c>
      <c r="BX21" s="123">
        <f t="shared" si="5"/>
        <v>22289.22779</v>
      </c>
      <c r="BY21" s="123">
        <f t="shared" si="5"/>
        <v>21982.89077</v>
      </c>
      <c r="BZ21" s="123">
        <f t="shared" si="5"/>
        <v>25414.04334</v>
      </c>
      <c r="CA21" s="123">
        <f t="shared" si="5"/>
        <v>24564.79918</v>
      </c>
      <c r="CB21" s="123">
        <f t="shared" si="5"/>
        <v>23600.30559</v>
      </c>
      <c r="CC21" s="123">
        <f t="shared" si="5"/>
        <v>19254.80608</v>
      </c>
      <c r="CD21" s="123">
        <f t="shared" si="5"/>
        <v>19341.17731</v>
      </c>
      <c r="CE21" s="123">
        <f t="shared" si="5"/>
        <v>19465.5168</v>
      </c>
      <c r="CF21" s="123">
        <f t="shared" si="5"/>
        <v>19533.18653</v>
      </c>
      <c r="CG21" s="123">
        <f t="shared" si="5"/>
        <v>19569.71143</v>
      </c>
      <c r="CH21" s="123">
        <f t="shared" si="5"/>
        <v>19454.36331</v>
      </c>
      <c r="CI21" s="123">
        <f t="shared" si="5"/>
        <v>20920.68833</v>
      </c>
      <c r="CJ21" s="123">
        <f t="shared" si="5"/>
        <v>22326.90974</v>
      </c>
      <c r="CK21" s="123">
        <f t="shared" si="5"/>
        <v>23755.47934</v>
      </c>
      <c r="CL21" s="123">
        <f t="shared" si="5"/>
        <v>23717.59503</v>
      </c>
      <c r="CM21" s="123">
        <f t="shared" si="5"/>
        <v>23598.50134</v>
      </c>
      <c r="CN21" s="123">
        <f t="shared" si="5"/>
        <v>25246.75476</v>
      </c>
      <c r="CO21" s="123">
        <f t="shared" si="5"/>
        <v>28476.68134</v>
      </c>
      <c r="CP21" s="123">
        <f t="shared" si="5"/>
        <v>31788.81104</v>
      </c>
      <c r="CQ21" s="123">
        <f t="shared" si="5"/>
        <v>33714.09549</v>
      </c>
      <c r="CR21" s="123">
        <f t="shared" si="5"/>
        <v>35536.08448</v>
      </c>
      <c r="CS21" s="123">
        <f t="shared" si="5"/>
        <v>37662.76734</v>
      </c>
      <c r="CT21" s="123">
        <f t="shared" si="5"/>
        <v>39717.78354</v>
      </c>
      <c r="CU21" s="123">
        <f t="shared" si="5"/>
        <v>40368.03783</v>
      </c>
      <c r="CV21" s="123">
        <f t="shared" si="5"/>
        <v>40992.3507</v>
      </c>
      <c r="CW21" s="123">
        <f t="shared" si="5"/>
        <v>41616.66358</v>
      </c>
      <c r="CX21" s="123">
        <f t="shared" si="5"/>
        <v>42410.78432</v>
      </c>
      <c r="CY21" s="123">
        <f t="shared" si="5"/>
        <v>43172.91102</v>
      </c>
      <c r="CZ21" s="123">
        <f t="shared" si="5"/>
        <v>45421.38268</v>
      </c>
      <c r="DA21" s="123">
        <f t="shared" si="5"/>
        <v>47385.77837</v>
      </c>
      <c r="DB21" s="123">
        <f t="shared" si="5"/>
        <v>49372.3875</v>
      </c>
      <c r="DC21" s="123">
        <f t="shared" si="5"/>
        <v>51519.82797</v>
      </c>
      <c r="DD21" s="123">
        <f t="shared" si="5"/>
        <v>53536.64005</v>
      </c>
      <c r="DE21" s="123">
        <f t="shared" si="5"/>
        <v>57078.91953</v>
      </c>
      <c r="DF21" s="123">
        <f t="shared" si="5"/>
        <v>59259.41556</v>
      </c>
      <c r="DG21" s="123">
        <f t="shared" si="5"/>
        <v>61331.43087</v>
      </c>
      <c r="DH21" s="123">
        <f t="shared" si="5"/>
        <v>62167.57505</v>
      </c>
      <c r="DI21" s="123">
        <f t="shared" si="5"/>
        <v>63003.71923</v>
      </c>
    </row>
    <row r="22" ht="12.75" customHeight="1">
      <c r="A22" s="115"/>
      <c r="B22" s="132"/>
      <c r="C22" s="132"/>
      <c r="D22" s="133"/>
      <c r="E22" s="133"/>
      <c r="F22" s="133"/>
      <c r="G22" s="133"/>
      <c r="H22" s="133"/>
      <c r="I22" s="133"/>
      <c r="J22" s="133"/>
      <c r="K22" s="133"/>
      <c r="L22" s="133"/>
      <c r="M22" s="133"/>
      <c r="N22" s="115"/>
      <c r="O22" s="115"/>
      <c r="P22" s="115"/>
      <c r="Q22" s="115"/>
      <c r="R22" s="115"/>
      <c r="S22" s="115"/>
      <c r="T22" s="115"/>
      <c r="U22" s="103"/>
      <c r="V22" s="103"/>
      <c r="W22" s="103"/>
      <c r="X22" s="103"/>
      <c r="Y22" s="103"/>
      <c r="Z22" s="103"/>
      <c r="AA22" s="103"/>
      <c r="AB22" s="103"/>
      <c r="AC22" s="115"/>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91"/>
      <c r="CE22" s="91"/>
      <c r="CF22" s="91"/>
      <c r="CG22" s="91"/>
      <c r="CH22" s="91"/>
      <c r="CI22" s="91"/>
      <c r="CJ22" s="91"/>
      <c r="CK22" s="91"/>
      <c r="CL22" s="91"/>
      <c r="CM22" s="91"/>
      <c r="CN22" s="91"/>
      <c r="CO22" s="91"/>
      <c r="CP22" s="91"/>
      <c r="CQ22" s="91"/>
      <c r="CR22" s="91"/>
      <c r="CS22" s="91"/>
      <c r="CT22" s="91"/>
      <c r="CU22" s="91"/>
      <c r="CV22" s="91"/>
      <c r="CW22" s="91"/>
      <c r="CX22" s="91"/>
      <c r="CY22" s="91"/>
      <c r="CZ22" s="91"/>
      <c r="DA22" s="91"/>
      <c r="DB22" s="91"/>
      <c r="DC22" s="91"/>
      <c r="DD22" s="91"/>
      <c r="DE22" s="91"/>
      <c r="DF22" s="91"/>
      <c r="DG22" s="91"/>
      <c r="DH22" s="91"/>
      <c r="DI22" s="91"/>
    </row>
    <row r="23" ht="12.75" customHeight="1">
      <c r="A23" s="115" t="s">
        <v>259</v>
      </c>
      <c r="B23" s="132"/>
      <c r="C23" s="132"/>
      <c r="D23" s="133"/>
      <c r="E23" s="133"/>
      <c r="F23" s="133"/>
      <c r="G23" s="133"/>
      <c r="H23" s="133"/>
      <c r="I23" s="133" t="s">
        <v>260</v>
      </c>
      <c r="J23" s="133"/>
      <c r="K23" s="133"/>
      <c r="L23" s="133"/>
      <c r="M23" s="133"/>
      <c r="N23" s="133"/>
      <c r="O23" s="133"/>
      <c r="P23" s="133"/>
      <c r="Q23" s="133"/>
      <c r="R23" s="133"/>
      <c r="S23" s="133"/>
      <c r="T23" s="133"/>
      <c r="U23" s="129"/>
      <c r="V23" s="129">
        <f t="shared" ref="V23:DI23" si="6">+V13+V18</f>
        <v>517.1798942</v>
      </c>
      <c r="W23" s="129">
        <f t="shared" si="6"/>
        <v>6258.067607</v>
      </c>
      <c r="X23" s="129">
        <f t="shared" si="6"/>
        <v>9538.574872</v>
      </c>
      <c r="Y23" s="129">
        <f t="shared" si="6"/>
        <v>12360.19325</v>
      </c>
      <c r="Z23" s="129">
        <f t="shared" si="6"/>
        <v>12182.18871</v>
      </c>
      <c r="AA23" s="129">
        <f t="shared" si="6"/>
        <v>17469.87663</v>
      </c>
      <c r="AB23" s="129">
        <f t="shared" si="6"/>
        <v>34239.33997</v>
      </c>
      <c r="AC23" s="129">
        <f t="shared" si="6"/>
        <v>33149.47686</v>
      </c>
      <c r="AD23" s="129">
        <f t="shared" si="6"/>
        <v>53544.80629</v>
      </c>
      <c r="AE23" s="129">
        <f t="shared" si="6"/>
        <v>67433.17553</v>
      </c>
      <c r="AF23" s="129">
        <f t="shared" si="6"/>
        <v>95889.446</v>
      </c>
      <c r="AG23" s="129">
        <f t="shared" si="6"/>
        <v>95909.91715</v>
      </c>
      <c r="AH23" s="129">
        <f t="shared" si="6"/>
        <v>84451.34236</v>
      </c>
      <c r="AI23" s="129">
        <f t="shared" si="6"/>
        <v>72992.76757</v>
      </c>
      <c r="AJ23" s="129">
        <f t="shared" si="6"/>
        <v>67543.45205</v>
      </c>
      <c r="AK23" s="129">
        <f t="shared" si="6"/>
        <v>77579.3553</v>
      </c>
      <c r="AL23" s="129">
        <f t="shared" si="6"/>
        <v>95816.52671</v>
      </c>
      <c r="AM23" s="129">
        <f t="shared" si="6"/>
        <v>130456.2344</v>
      </c>
      <c r="AN23" s="129">
        <f t="shared" si="6"/>
        <v>120378.7717</v>
      </c>
      <c r="AO23" s="129">
        <f t="shared" si="6"/>
        <v>102659.0505</v>
      </c>
      <c r="AP23" s="129">
        <f t="shared" si="6"/>
        <v>75132.88609</v>
      </c>
      <c r="AQ23" s="129">
        <f t="shared" si="6"/>
        <v>80821.53647</v>
      </c>
      <c r="AR23" s="129">
        <f t="shared" si="6"/>
        <v>86397.68831</v>
      </c>
      <c r="AS23" s="129">
        <f t="shared" si="6"/>
        <v>87669.83075</v>
      </c>
      <c r="AT23" s="129">
        <f t="shared" si="6"/>
        <v>88154.48347</v>
      </c>
      <c r="AU23" s="129">
        <f t="shared" si="6"/>
        <v>81562.85334</v>
      </c>
      <c r="AV23" s="129">
        <f t="shared" si="6"/>
        <v>73297.80757</v>
      </c>
      <c r="AW23" s="129">
        <f t="shared" si="6"/>
        <v>69700.401</v>
      </c>
      <c r="AX23" s="129">
        <f t="shared" si="6"/>
        <v>84868.72048</v>
      </c>
      <c r="AY23" s="129">
        <f t="shared" si="6"/>
        <v>100501.0964</v>
      </c>
      <c r="AZ23" s="129">
        <f t="shared" si="6"/>
        <v>100358.453</v>
      </c>
      <c r="BA23" s="129">
        <f t="shared" si="6"/>
        <v>89849.19858</v>
      </c>
      <c r="BB23" s="129">
        <f t="shared" si="6"/>
        <v>77837.9006</v>
      </c>
      <c r="BC23" s="129">
        <f t="shared" si="6"/>
        <v>70342.01058</v>
      </c>
      <c r="BD23" s="129">
        <f t="shared" si="6"/>
        <v>62230.54149</v>
      </c>
      <c r="BE23" s="129">
        <f t="shared" si="6"/>
        <v>54292.67616</v>
      </c>
      <c r="BF23" s="129">
        <f t="shared" si="6"/>
        <v>55679.18145</v>
      </c>
      <c r="BG23" s="129">
        <f t="shared" si="6"/>
        <v>57596.55094</v>
      </c>
      <c r="BH23" s="129">
        <f t="shared" si="6"/>
        <v>59516.43525</v>
      </c>
      <c r="BI23" s="129">
        <f t="shared" si="6"/>
        <v>59350.20845</v>
      </c>
      <c r="BJ23" s="129">
        <f t="shared" si="6"/>
        <v>59183.98165</v>
      </c>
      <c r="BK23" s="129">
        <f t="shared" si="6"/>
        <v>58253.403</v>
      </c>
      <c r="BL23" s="129">
        <f t="shared" si="6"/>
        <v>56475.4535</v>
      </c>
      <c r="BM23" s="129">
        <f t="shared" si="6"/>
        <v>52988.71103</v>
      </c>
      <c r="BN23" s="129">
        <f t="shared" si="6"/>
        <v>52850.30002</v>
      </c>
      <c r="BO23" s="129">
        <f t="shared" si="6"/>
        <v>57520.97945</v>
      </c>
      <c r="BP23" s="129">
        <f t="shared" si="6"/>
        <v>71944.89479</v>
      </c>
      <c r="BQ23" s="129">
        <f t="shared" si="6"/>
        <v>82852.18882</v>
      </c>
      <c r="BR23" s="129">
        <f t="shared" si="6"/>
        <v>94191.38257</v>
      </c>
      <c r="BS23" s="129">
        <f t="shared" si="6"/>
        <v>97842.69525</v>
      </c>
      <c r="BT23" s="129">
        <f t="shared" si="6"/>
        <v>104263.3787</v>
      </c>
      <c r="BU23" s="129">
        <f t="shared" si="6"/>
        <v>112792.5155</v>
      </c>
      <c r="BV23" s="129">
        <f t="shared" si="6"/>
        <v>108668.2673</v>
      </c>
      <c r="BW23" s="129">
        <f t="shared" si="6"/>
        <v>101886.2866</v>
      </c>
      <c r="BX23" s="129">
        <f t="shared" si="6"/>
        <v>89157.41115</v>
      </c>
      <c r="BY23" s="129">
        <f t="shared" si="6"/>
        <v>87932.06308</v>
      </c>
      <c r="BZ23" s="129">
        <f t="shared" si="6"/>
        <v>101656.6734</v>
      </c>
      <c r="CA23" s="129">
        <f t="shared" si="6"/>
        <v>98259.69674</v>
      </c>
      <c r="CB23" s="129">
        <f t="shared" si="6"/>
        <v>94401.72237</v>
      </c>
      <c r="CC23" s="129">
        <f t="shared" si="6"/>
        <v>77019.72431</v>
      </c>
      <c r="CD23" s="129">
        <f t="shared" si="6"/>
        <v>77365.20925</v>
      </c>
      <c r="CE23" s="129">
        <f t="shared" si="6"/>
        <v>77862.5672</v>
      </c>
      <c r="CF23" s="129">
        <f t="shared" si="6"/>
        <v>78133.24614</v>
      </c>
      <c r="CG23" s="129">
        <f t="shared" si="6"/>
        <v>78279.34572</v>
      </c>
      <c r="CH23" s="129">
        <f t="shared" si="6"/>
        <v>77817.95323</v>
      </c>
      <c r="CI23" s="129">
        <f t="shared" si="6"/>
        <v>83683.25332</v>
      </c>
      <c r="CJ23" s="129">
        <f t="shared" si="6"/>
        <v>89308.13895</v>
      </c>
      <c r="CK23" s="129">
        <f t="shared" si="6"/>
        <v>95022.41738</v>
      </c>
      <c r="CL23" s="129">
        <f t="shared" si="6"/>
        <v>94870.88011</v>
      </c>
      <c r="CM23" s="129">
        <f t="shared" si="6"/>
        <v>94394.50534</v>
      </c>
      <c r="CN23" s="129">
        <f t="shared" si="6"/>
        <v>100987.5191</v>
      </c>
      <c r="CO23" s="129">
        <f t="shared" si="6"/>
        <v>113907.2254</v>
      </c>
      <c r="CP23" s="129">
        <f t="shared" si="6"/>
        <v>127155.7441</v>
      </c>
      <c r="CQ23" s="129">
        <f t="shared" si="6"/>
        <v>134856.882</v>
      </c>
      <c r="CR23" s="129">
        <f t="shared" si="6"/>
        <v>142144.8379</v>
      </c>
      <c r="CS23" s="129">
        <f t="shared" si="6"/>
        <v>150651.5694</v>
      </c>
      <c r="CT23" s="129">
        <f t="shared" si="6"/>
        <v>158871.6342</v>
      </c>
      <c r="CU23" s="129">
        <f t="shared" si="6"/>
        <v>161472.6513</v>
      </c>
      <c r="CV23" s="129">
        <f t="shared" si="6"/>
        <v>163969.9028</v>
      </c>
      <c r="CW23" s="129">
        <f t="shared" si="6"/>
        <v>166467.1543</v>
      </c>
      <c r="CX23" s="129">
        <f t="shared" si="6"/>
        <v>169643.6373</v>
      </c>
      <c r="CY23" s="129">
        <f t="shared" si="6"/>
        <v>172692.1441</v>
      </c>
      <c r="CZ23" s="129">
        <f t="shared" si="6"/>
        <v>181686.0307</v>
      </c>
      <c r="DA23" s="129">
        <f t="shared" si="6"/>
        <v>189543.6135</v>
      </c>
      <c r="DB23" s="129">
        <f t="shared" si="6"/>
        <v>197490.05</v>
      </c>
      <c r="DC23" s="129">
        <f t="shared" si="6"/>
        <v>206079.8119</v>
      </c>
      <c r="DD23" s="129">
        <f t="shared" si="6"/>
        <v>214147.0602</v>
      </c>
      <c r="DE23" s="129">
        <f t="shared" si="6"/>
        <v>228316.1781</v>
      </c>
      <c r="DF23" s="129">
        <f t="shared" si="6"/>
        <v>237038.1622</v>
      </c>
      <c r="DG23" s="129">
        <f t="shared" si="6"/>
        <v>245326.2235</v>
      </c>
      <c r="DH23" s="129">
        <f t="shared" si="6"/>
        <v>248670.8002</v>
      </c>
      <c r="DI23" s="129">
        <f t="shared" si="6"/>
        <v>252015.3769</v>
      </c>
      <c r="DJ23" s="135">
        <f t="shared" ref="DJ23:DL23" si="7">DI23</f>
        <v>252015.3769</v>
      </c>
      <c r="DK23" s="135">
        <f t="shared" si="7"/>
        <v>252015.3769</v>
      </c>
      <c r="DL23" s="135">
        <f t="shared" si="7"/>
        <v>252015.3769</v>
      </c>
    </row>
    <row r="24" ht="12.75" customHeight="1">
      <c r="A24" s="115"/>
      <c r="B24" s="132"/>
      <c r="C24" s="132"/>
      <c r="D24" s="132" t="s">
        <v>261</v>
      </c>
      <c r="E24" s="132"/>
      <c r="F24" s="132"/>
      <c r="G24" s="132"/>
      <c r="H24" s="136">
        <f>+B31</f>
        <v>3.5</v>
      </c>
      <c r="I24" s="137">
        <v>0.5</v>
      </c>
      <c r="J24" s="116">
        <f t="shared" ref="J24:J25" si="8">+H24*I24</f>
        <v>1.75</v>
      </c>
      <c r="K24" s="132"/>
      <c r="L24" s="132"/>
      <c r="M24" s="132"/>
      <c r="N24" s="115"/>
      <c r="O24" s="115"/>
      <c r="P24" s="115"/>
      <c r="Q24" s="115"/>
      <c r="R24" s="115"/>
      <c r="S24" s="115"/>
      <c r="T24" s="115"/>
      <c r="U24" s="115"/>
      <c r="V24" s="115"/>
      <c r="W24" s="115"/>
      <c r="X24" s="115"/>
      <c r="Y24" s="115"/>
      <c r="Z24" s="115"/>
      <c r="AA24" s="115"/>
      <c r="AB24" s="115"/>
      <c r="AC24" s="115"/>
    </row>
    <row r="25" ht="12.75" customHeight="1">
      <c r="A25" s="115"/>
      <c r="B25" s="132"/>
      <c r="C25" s="132"/>
      <c r="D25" s="132" t="s">
        <v>262</v>
      </c>
      <c r="E25" s="132"/>
      <c r="F25" s="132"/>
      <c r="G25" s="132"/>
      <c r="H25" s="136">
        <v>4.5</v>
      </c>
      <c r="I25" s="137">
        <v>0.5</v>
      </c>
      <c r="J25" s="116">
        <f t="shared" si="8"/>
        <v>2.25</v>
      </c>
      <c r="K25" s="132"/>
      <c r="L25" s="132"/>
      <c r="M25" s="132"/>
      <c r="N25" s="115"/>
      <c r="O25" s="115"/>
      <c r="P25" s="115"/>
      <c r="Q25" s="115"/>
      <c r="R25" s="115"/>
      <c r="S25" s="115"/>
      <c r="T25" s="115"/>
      <c r="U25" s="116"/>
      <c r="V25" s="138"/>
      <c r="W25" s="138"/>
      <c r="X25" s="138"/>
      <c r="Y25" s="138"/>
      <c r="Z25" s="138"/>
      <c r="AA25" s="138"/>
      <c r="AB25" s="138"/>
      <c r="AC25" s="139"/>
    </row>
    <row r="26" ht="12.75" customHeight="1">
      <c r="A26" s="115"/>
      <c r="B26" s="115"/>
      <c r="C26" s="115"/>
      <c r="D26" s="115"/>
      <c r="E26" s="115"/>
      <c r="F26" s="115"/>
      <c r="G26" s="115"/>
      <c r="H26" s="115">
        <v>0.0</v>
      </c>
      <c r="I26" s="115"/>
      <c r="J26" s="116"/>
      <c r="K26" s="115"/>
      <c r="L26" s="115"/>
      <c r="M26" s="115"/>
      <c r="N26" s="115"/>
      <c r="O26" s="115"/>
      <c r="P26" s="115"/>
      <c r="Q26" s="115"/>
      <c r="R26" s="115"/>
      <c r="S26" s="115"/>
      <c r="T26" s="115"/>
      <c r="U26" s="115"/>
      <c r="V26" s="115"/>
      <c r="W26" s="115"/>
      <c r="X26" s="140"/>
      <c r="Y26" s="141"/>
      <c r="Z26" s="115"/>
      <c r="AA26" s="115"/>
      <c r="AB26" s="115"/>
      <c r="AC26" s="115"/>
    </row>
    <row r="27" ht="28.5" customHeight="1">
      <c r="A27" s="142"/>
      <c r="B27" s="143"/>
      <c r="C27" s="143"/>
      <c r="D27" s="143"/>
      <c r="E27" s="143"/>
      <c r="F27" s="143"/>
      <c r="G27" s="143"/>
      <c r="H27" s="143"/>
      <c r="I27" s="143"/>
      <c r="J27" s="144"/>
      <c r="K27" s="143"/>
      <c r="L27" s="143"/>
      <c r="M27" s="143"/>
      <c r="N27" s="143"/>
      <c r="O27" s="143"/>
      <c r="P27" s="143"/>
      <c r="Q27" s="143"/>
      <c r="R27" s="143"/>
      <c r="S27" s="143"/>
      <c r="T27" s="143"/>
      <c r="U27" s="143"/>
      <c r="V27" s="143"/>
      <c r="W27" s="143"/>
      <c r="X27" s="143"/>
      <c r="Y27" s="143"/>
      <c r="Z27" s="143"/>
      <c r="AA27" s="143"/>
      <c r="AB27" s="143"/>
      <c r="AC27" s="145"/>
      <c r="AD27" s="145"/>
      <c r="AE27" s="145"/>
      <c r="AF27" s="145"/>
      <c r="AG27" s="142"/>
      <c r="AH27" s="142"/>
      <c r="AI27" s="142"/>
      <c r="AJ27" s="142"/>
      <c r="AK27" s="142"/>
      <c r="AL27" s="142"/>
      <c r="AM27" s="142"/>
      <c r="AN27" s="142"/>
      <c r="AO27" s="142"/>
      <c r="AP27" s="146"/>
      <c r="AQ27" s="146"/>
      <c r="AR27" s="146"/>
      <c r="AS27" s="146"/>
      <c r="AT27" s="146"/>
      <c r="AU27" s="146"/>
      <c r="AV27" s="146"/>
      <c r="AW27" s="146"/>
      <c r="AX27" s="146"/>
      <c r="AY27" s="146"/>
      <c r="AZ27" s="146"/>
      <c r="BA27" s="146"/>
      <c r="BB27" s="146"/>
      <c r="BC27" s="146"/>
      <c r="BD27" s="146"/>
      <c r="BE27" s="146"/>
      <c r="BF27" s="146"/>
      <c r="BG27" s="146"/>
      <c r="BH27" s="146"/>
      <c r="BI27" s="146"/>
      <c r="BJ27" s="146"/>
      <c r="BK27" s="146"/>
      <c r="BL27" s="146"/>
      <c r="BM27" s="146"/>
      <c r="BN27" s="146"/>
      <c r="BO27" s="146"/>
      <c r="BP27" s="146"/>
      <c r="BQ27" s="146"/>
      <c r="BR27" s="146"/>
      <c r="BS27" s="146"/>
      <c r="BT27" s="146"/>
      <c r="BU27" s="146"/>
      <c r="BV27" s="146"/>
      <c r="BW27" s="146"/>
      <c r="BX27" s="146"/>
      <c r="BY27" s="146"/>
      <c r="BZ27" s="146"/>
      <c r="CA27" s="146"/>
      <c r="CB27" s="146"/>
      <c r="CC27" s="146"/>
      <c r="CD27" s="146"/>
      <c r="CE27" s="146"/>
      <c r="CF27" s="146"/>
      <c r="CG27" s="146"/>
      <c r="CH27" s="146"/>
      <c r="CI27" s="146"/>
      <c r="CJ27" s="146"/>
      <c r="CK27" s="146"/>
      <c r="CL27" s="146"/>
      <c r="CM27" s="146"/>
      <c r="CN27" s="146"/>
      <c r="CO27" s="146"/>
      <c r="CP27" s="146"/>
      <c r="CQ27" s="146"/>
      <c r="CR27" s="146"/>
      <c r="CS27" s="146"/>
      <c r="CT27" s="146"/>
      <c r="CU27" s="146"/>
      <c r="CV27" s="146"/>
      <c r="CW27" s="146"/>
      <c r="CX27" s="146"/>
      <c r="CY27" s="146"/>
      <c r="CZ27" s="146"/>
      <c r="DA27" s="146"/>
      <c r="DB27" s="146"/>
      <c r="DC27" s="146"/>
      <c r="DD27" s="146"/>
      <c r="DE27" s="146"/>
      <c r="DF27" s="146"/>
      <c r="DG27" s="146"/>
      <c r="DH27" s="146"/>
      <c r="DI27" s="146"/>
      <c r="DJ27" s="146"/>
      <c r="DK27" s="146"/>
      <c r="DL27" s="146"/>
      <c r="DM27" s="146"/>
      <c r="DN27" s="146"/>
      <c r="DO27" s="146"/>
      <c r="DP27" s="146"/>
      <c r="DQ27" s="146"/>
      <c r="DR27" s="146"/>
      <c r="DS27" s="146"/>
      <c r="DT27" s="146"/>
      <c r="DU27" s="146"/>
      <c r="DV27" s="146"/>
      <c r="DW27" s="146"/>
    </row>
    <row r="28" ht="12.75" customHeight="1">
      <c r="A28" s="115"/>
      <c r="B28" s="115"/>
      <c r="C28" s="115"/>
      <c r="D28" s="115" t="s">
        <v>263</v>
      </c>
      <c r="E28" s="115"/>
      <c r="F28" s="115"/>
      <c r="G28" s="115"/>
      <c r="H28" s="116"/>
      <c r="I28" s="115"/>
      <c r="J28" s="116">
        <f>+J24+J25</f>
        <v>4</v>
      </c>
      <c r="K28" s="115"/>
      <c r="L28" s="115"/>
      <c r="M28" s="115"/>
      <c r="N28" s="115"/>
      <c r="O28" s="115"/>
      <c r="P28" s="115"/>
      <c r="Q28" s="115"/>
      <c r="R28" s="115"/>
      <c r="S28" s="115"/>
      <c r="T28" s="115"/>
      <c r="U28" s="115"/>
      <c r="V28" s="115"/>
      <c r="W28" s="115"/>
      <c r="X28" s="115"/>
      <c r="Y28" s="115"/>
      <c r="Z28" s="115"/>
      <c r="AA28" s="115"/>
      <c r="AB28" s="115"/>
      <c r="AC28" s="147"/>
      <c r="AD28" s="148"/>
      <c r="AE28" s="148"/>
      <c r="AF28" s="148"/>
    </row>
    <row r="29" ht="12.75" customHeight="1">
      <c r="A29" s="115"/>
      <c r="B29" s="115"/>
      <c r="C29" s="115"/>
      <c r="D29" s="115" t="s">
        <v>264</v>
      </c>
      <c r="E29" s="115"/>
      <c r="F29" s="115"/>
      <c r="G29" s="115"/>
      <c r="H29" s="115"/>
      <c r="I29" s="115"/>
      <c r="J29" s="116">
        <f>+J28-B31</f>
        <v>0.5</v>
      </c>
      <c r="K29" s="115"/>
      <c r="L29" s="115"/>
      <c r="M29" s="115"/>
      <c r="N29" s="115"/>
      <c r="O29" s="115"/>
      <c r="P29" s="115"/>
      <c r="Q29" s="115"/>
      <c r="R29" s="115"/>
      <c r="S29" s="115"/>
      <c r="T29" s="115"/>
      <c r="U29" s="115"/>
      <c r="V29" s="115"/>
      <c r="W29" s="115"/>
      <c r="X29" s="115"/>
      <c r="Y29" s="115"/>
      <c r="Z29" s="115"/>
      <c r="AA29" s="115"/>
      <c r="AB29" s="115"/>
      <c r="AC29" s="115"/>
    </row>
    <row r="30" ht="12.75" customHeight="1">
      <c r="A30" s="124" t="s">
        <v>265</v>
      </c>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row>
    <row r="31" ht="12.75" customHeight="1">
      <c r="A31" s="115" t="s">
        <v>266</v>
      </c>
      <c r="B31" s="136">
        <v>3.5</v>
      </c>
      <c r="C31" s="149">
        <v>3.7</v>
      </c>
      <c r="D31" s="115"/>
      <c r="E31" s="115"/>
      <c r="F31" s="115"/>
      <c r="G31" s="115"/>
      <c r="H31" s="115"/>
      <c r="I31" s="115"/>
      <c r="J31" s="115"/>
      <c r="K31" s="115"/>
      <c r="L31" s="115"/>
      <c r="M31" s="115"/>
      <c r="N31" s="115"/>
      <c r="O31" s="115"/>
      <c r="P31" s="115"/>
      <c r="Q31" s="115"/>
      <c r="R31" s="115"/>
      <c r="S31" s="115"/>
      <c r="T31" s="115"/>
      <c r="U31" s="115"/>
      <c r="V31" s="150"/>
      <c r="W31" s="115"/>
      <c r="X31" s="115"/>
      <c r="Y31" s="115"/>
      <c r="Z31" s="115"/>
      <c r="AA31" s="115"/>
      <c r="AB31" s="115"/>
      <c r="AC31" s="115"/>
    </row>
    <row r="32" ht="12.75" customHeight="1">
      <c r="A32" s="115" t="s">
        <v>267</v>
      </c>
      <c r="B32" s="151">
        <f>1/B31</f>
        <v>0.2857142857</v>
      </c>
      <c r="C32" s="152"/>
      <c r="D32" s="152"/>
      <c r="E32" s="115"/>
      <c r="F32" s="115"/>
      <c r="G32" s="115"/>
      <c r="H32" s="115"/>
      <c r="I32" s="115"/>
      <c r="J32" s="115"/>
      <c r="K32" s="115"/>
      <c r="L32" s="115"/>
      <c r="M32" s="115"/>
      <c r="N32" s="115"/>
      <c r="O32" s="115"/>
      <c r="P32" s="115"/>
      <c r="Q32" s="115"/>
      <c r="R32" s="115"/>
      <c r="S32" s="115"/>
      <c r="T32" s="115"/>
      <c r="U32" s="115"/>
      <c r="W32" s="115"/>
      <c r="X32" s="115"/>
      <c r="Y32" s="115"/>
      <c r="Z32" s="115"/>
      <c r="AA32" s="115"/>
      <c r="AB32" s="115"/>
      <c r="AC32" s="115"/>
    </row>
    <row r="33" ht="12.75" customHeight="1">
      <c r="A33" s="115"/>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row>
    <row r="34" ht="12.75" customHeight="1">
      <c r="A34" s="115"/>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row>
    <row r="35" ht="12.75" customHeight="1">
      <c r="A35" s="115" t="s">
        <v>268</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row>
    <row r="36" ht="12.75" customHeight="1">
      <c r="A36" s="115" t="s">
        <v>269</v>
      </c>
      <c r="B36" s="153">
        <v>2.5</v>
      </c>
      <c r="C36" s="115"/>
      <c r="D36" s="115"/>
      <c r="E36" s="115"/>
      <c r="F36" s="115"/>
      <c r="G36" s="115"/>
      <c r="H36" s="115"/>
      <c r="I36" s="115"/>
      <c r="J36" s="115"/>
      <c r="K36" s="154"/>
      <c r="L36" s="154"/>
      <c r="M36" s="155"/>
      <c r="N36" s="115"/>
      <c r="O36" s="115"/>
      <c r="P36" s="115"/>
      <c r="Q36" s="115"/>
      <c r="R36" s="115"/>
      <c r="S36" s="115"/>
      <c r="T36" s="115"/>
      <c r="U36" s="115"/>
      <c r="V36" s="115"/>
      <c r="W36" s="115"/>
      <c r="X36" s="115"/>
      <c r="Y36" s="115"/>
      <c r="Z36" s="115"/>
      <c r="AA36" s="115"/>
      <c r="AB36" s="115"/>
      <c r="AC36" s="115"/>
    </row>
    <row r="37" ht="12.75" customHeight="1">
      <c r="A37" s="115" t="s">
        <v>270</v>
      </c>
      <c r="B37" s="156">
        <v>60.0</v>
      </c>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row>
    <row r="38" ht="12.75" customHeight="1">
      <c r="A38" s="115" t="s">
        <v>271</v>
      </c>
      <c r="B38" s="129">
        <f>SUM(B36*B37)</f>
        <v>150</v>
      </c>
      <c r="C38" s="115"/>
      <c r="D38" s="115"/>
      <c r="E38" s="115"/>
      <c r="F38" s="115"/>
      <c r="G38" s="115"/>
      <c r="H38" s="115"/>
      <c r="I38" s="115"/>
      <c r="J38" s="115"/>
      <c r="K38" s="115"/>
      <c r="L38" s="157"/>
      <c r="M38" s="158"/>
      <c r="N38" s="115"/>
      <c r="O38" s="115"/>
      <c r="P38" s="115"/>
      <c r="Q38" s="115"/>
      <c r="R38" s="115"/>
      <c r="S38" s="115"/>
      <c r="T38" s="115"/>
      <c r="U38" s="115"/>
      <c r="V38" s="115"/>
      <c r="W38" s="115"/>
      <c r="X38" s="115"/>
      <c r="Y38" s="115"/>
      <c r="Z38" s="115"/>
      <c r="AA38" s="115"/>
      <c r="AB38" s="115"/>
      <c r="AC38" s="115"/>
    </row>
    <row r="39" ht="12.75" customHeight="1">
      <c r="A39" s="115"/>
      <c r="B39" s="115"/>
      <c r="C39" s="115"/>
      <c r="D39" s="115"/>
      <c r="E39" s="115"/>
      <c r="F39" s="115"/>
      <c r="G39" s="115"/>
      <c r="H39" s="115"/>
      <c r="I39" s="115"/>
      <c r="J39" s="115"/>
      <c r="K39" s="115"/>
      <c r="L39" s="115"/>
      <c r="M39" s="133"/>
      <c r="N39" s="115"/>
      <c r="O39" s="115"/>
      <c r="P39" s="115"/>
      <c r="Q39" s="115"/>
      <c r="R39" s="115"/>
      <c r="S39" s="115"/>
      <c r="T39" s="115"/>
      <c r="U39" s="115"/>
      <c r="V39" s="115"/>
      <c r="W39" s="115"/>
      <c r="X39" s="115"/>
      <c r="Y39" s="115"/>
      <c r="Z39" s="115"/>
      <c r="AA39" s="115"/>
      <c r="AB39" s="115"/>
      <c r="AC39" s="115"/>
    </row>
    <row r="40" ht="12.75" customHeight="1">
      <c r="A40" s="115"/>
      <c r="B40" s="115"/>
      <c r="C40" s="115"/>
      <c r="D40" s="115"/>
      <c r="E40" s="115"/>
      <c r="F40" s="115"/>
      <c r="G40" s="115"/>
      <c r="H40" s="115"/>
      <c r="I40" s="115"/>
      <c r="J40" s="115"/>
      <c r="K40" s="115"/>
      <c r="L40" s="115"/>
      <c r="M40" s="128"/>
      <c r="N40" s="115"/>
      <c r="O40" s="115"/>
      <c r="P40" s="115"/>
      <c r="Q40" s="115"/>
      <c r="R40" s="115"/>
      <c r="S40" s="115"/>
      <c r="T40" s="115"/>
      <c r="U40" s="115"/>
      <c r="V40" s="115"/>
      <c r="W40" s="115"/>
      <c r="X40" s="115"/>
      <c r="Y40" s="115"/>
      <c r="Z40" s="115"/>
      <c r="AA40" s="115"/>
      <c r="AB40" s="115"/>
      <c r="AC40" s="115"/>
    </row>
    <row r="41" ht="12.75" customHeight="1">
      <c r="A41" s="115"/>
      <c r="B41" s="115"/>
      <c r="C41" s="115"/>
      <c r="D41" s="115"/>
      <c r="E41" s="115"/>
      <c r="F41" s="115"/>
      <c r="G41" s="115"/>
      <c r="H41" s="115"/>
      <c r="I41" s="115"/>
      <c r="J41" s="115"/>
      <c r="K41" s="115"/>
      <c r="L41" s="115"/>
      <c r="M41" s="133"/>
      <c r="N41" s="115"/>
      <c r="O41" s="115"/>
      <c r="P41" s="115"/>
      <c r="Q41" s="115"/>
      <c r="R41" s="115"/>
      <c r="S41" s="115"/>
      <c r="T41" s="115"/>
      <c r="U41" s="115"/>
      <c r="V41" s="115"/>
      <c r="W41" s="115"/>
      <c r="X41" s="115"/>
      <c r="Y41" s="115"/>
      <c r="Z41" s="115"/>
      <c r="AA41" s="115"/>
      <c r="AB41" s="115"/>
      <c r="AC41" s="115"/>
    </row>
    <row r="42" ht="12.75" customHeight="1">
      <c r="A42" s="115" t="s">
        <v>272</v>
      </c>
      <c r="B42" s="159"/>
      <c r="C42" s="160"/>
      <c r="D42" s="160"/>
      <c r="E42" s="160"/>
      <c r="F42" s="160"/>
      <c r="G42" s="160"/>
      <c r="H42" s="160"/>
      <c r="I42" s="160"/>
      <c r="J42" s="160"/>
      <c r="K42" s="160"/>
      <c r="L42" s="160"/>
      <c r="M42" s="161"/>
      <c r="N42" s="160"/>
      <c r="O42" s="160"/>
      <c r="P42" s="160"/>
      <c r="Q42" s="160"/>
      <c r="R42" s="160"/>
      <c r="S42" s="160"/>
      <c r="T42" s="160"/>
      <c r="U42" s="162">
        <v>30.0</v>
      </c>
      <c r="V42" s="163">
        <v>300.0</v>
      </c>
      <c r="W42" s="163">
        <v>27.0</v>
      </c>
      <c r="X42" s="163">
        <v>27.0</v>
      </c>
      <c r="Y42" s="163">
        <v>27.0</v>
      </c>
      <c r="Z42" s="163">
        <v>27.0</v>
      </c>
      <c r="AA42" s="163">
        <v>27.0</v>
      </c>
      <c r="AB42" s="163">
        <v>27.0</v>
      </c>
      <c r="AC42" s="163">
        <v>27.0</v>
      </c>
      <c r="AD42" s="163">
        <v>24.0</v>
      </c>
      <c r="AE42" s="163">
        <v>24.0</v>
      </c>
      <c r="AF42" s="163">
        <v>24.0</v>
      </c>
      <c r="AG42" s="163">
        <v>27.0</v>
      </c>
      <c r="AH42" s="163">
        <v>27.0</v>
      </c>
      <c r="AI42" s="163">
        <v>27.0</v>
      </c>
      <c r="AJ42" s="163">
        <v>27.0</v>
      </c>
      <c r="AK42" s="163">
        <v>27.0</v>
      </c>
      <c r="AL42" s="163">
        <v>27.0</v>
      </c>
      <c r="AM42" s="163">
        <v>27.0</v>
      </c>
      <c r="AN42" s="163">
        <v>30.0</v>
      </c>
      <c r="AO42" s="163">
        <v>30.0</v>
      </c>
      <c r="AP42" s="163">
        <v>27.0</v>
      </c>
      <c r="AQ42" s="163">
        <v>27.0</v>
      </c>
      <c r="AR42" s="163">
        <v>27.0</v>
      </c>
      <c r="AS42" s="163">
        <v>27.0</v>
      </c>
      <c r="AT42" s="163">
        <v>27.0</v>
      </c>
      <c r="AU42" s="163">
        <v>27.0</v>
      </c>
      <c r="AV42" s="163">
        <v>27.0</v>
      </c>
      <c r="AW42" s="163">
        <v>27.0</v>
      </c>
      <c r="AX42" s="163">
        <v>27.0</v>
      </c>
      <c r="AY42" s="163">
        <v>27.0</v>
      </c>
      <c r="AZ42" s="163">
        <v>35.0</v>
      </c>
      <c r="BA42" s="163">
        <v>35.0</v>
      </c>
      <c r="BB42" s="163">
        <v>40.0</v>
      </c>
      <c r="BC42" s="163">
        <v>40.0</v>
      </c>
      <c r="BD42" s="163">
        <v>40.0</v>
      </c>
      <c r="BE42" s="163">
        <v>40.0</v>
      </c>
      <c r="BF42" s="163">
        <v>40.0</v>
      </c>
      <c r="BG42" s="163">
        <v>40.0</v>
      </c>
      <c r="BH42" s="163">
        <v>35.0</v>
      </c>
      <c r="BI42" s="163">
        <v>35.0</v>
      </c>
      <c r="BJ42" s="163">
        <v>35.0</v>
      </c>
      <c r="BK42" s="163">
        <v>35.0</v>
      </c>
      <c r="BL42" s="163">
        <v>40.0</v>
      </c>
      <c r="BM42" s="163">
        <v>40.0</v>
      </c>
      <c r="BN42" s="163">
        <v>40.0</v>
      </c>
      <c r="BO42" s="163">
        <v>50.0</v>
      </c>
      <c r="BP42" s="163">
        <v>50.0</v>
      </c>
      <c r="BQ42" s="163">
        <v>50.0</v>
      </c>
      <c r="BR42" s="163">
        <v>45.0</v>
      </c>
      <c r="BS42" s="163">
        <v>45.0</v>
      </c>
      <c r="BT42" s="163">
        <v>40.0</v>
      </c>
      <c r="BU42" s="163">
        <v>35.0</v>
      </c>
      <c r="BV42" s="163">
        <v>35.0</v>
      </c>
      <c r="BW42" s="163">
        <v>35.0</v>
      </c>
      <c r="BX42" s="163">
        <v>40.0</v>
      </c>
      <c r="BY42" s="163">
        <v>40.0</v>
      </c>
      <c r="BZ42" s="163">
        <v>35.0</v>
      </c>
      <c r="CA42" s="163">
        <v>35.0</v>
      </c>
      <c r="CB42" s="163">
        <v>35.0</v>
      </c>
      <c r="CC42" s="163">
        <v>35.0</v>
      </c>
      <c r="CD42" s="163">
        <v>35.0</v>
      </c>
      <c r="CE42" s="163">
        <v>35.0</v>
      </c>
      <c r="CF42" s="163">
        <v>35.0</v>
      </c>
      <c r="CG42" s="163">
        <v>35.0</v>
      </c>
      <c r="CH42" s="163">
        <v>35.0</v>
      </c>
      <c r="CI42" s="163">
        <v>35.0</v>
      </c>
      <c r="CJ42" s="163">
        <v>35.0</v>
      </c>
      <c r="CK42" s="163">
        <v>35.0</v>
      </c>
      <c r="CL42" s="163">
        <v>35.0</v>
      </c>
      <c r="CM42" s="163">
        <v>35.0</v>
      </c>
      <c r="CN42" s="163">
        <v>35.0</v>
      </c>
      <c r="CO42" s="163">
        <v>35.0</v>
      </c>
      <c r="CP42" s="163">
        <v>35.0</v>
      </c>
      <c r="CQ42" s="163">
        <v>35.0</v>
      </c>
      <c r="CR42" s="163">
        <v>35.0</v>
      </c>
      <c r="CS42" s="163">
        <v>35.0</v>
      </c>
      <c r="CT42" s="163">
        <v>35.0</v>
      </c>
      <c r="CU42" s="163">
        <v>35.0</v>
      </c>
      <c r="CV42" s="163">
        <v>35.0</v>
      </c>
      <c r="CW42" s="163">
        <v>35.0</v>
      </c>
      <c r="CX42" s="163">
        <v>40.0</v>
      </c>
      <c r="CY42" s="163">
        <v>40.0</v>
      </c>
      <c r="CZ42" s="163">
        <v>40.0</v>
      </c>
      <c r="DA42" s="163">
        <v>40.0</v>
      </c>
      <c r="DB42" s="163">
        <v>40.0</v>
      </c>
      <c r="DC42" s="163">
        <v>40.0</v>
      </c>
      <c r="DD42" s="163">
        <v>40.0</v>
      </c>
      <c r="DE42" s="163">
        <v>40.0</v>
      </c>
      <c r="DF42" s="163">
        <v>40.0</v>
      </c>
      <c r="DG42" s="163">
        <v>40.0</v>
      </c>
      <c r="DH42" s="163">
        <v>40.0</v>
      </c>
      <c r="DI42" s="163">
        <v>40.0</v>
      </c>
    </row>
    <row r="43" ht="12.75" customHeight="1">
      <c r="A43" s="115"/>
      <c r="B43" s="115"/>
      <c r="C43" s="115"/>
      <c r="D43" s="115"/>
      <c r="E43" s="115"/>
      <c r="F43" s="115"/>
      <c r="G43" s="115"/>
      <c r="H43" s="115"/>
      <c r="I43" s="115"/>
      <c r="J43" s="115"/>
      <c r="K43" s="115"/>
      <c r="L43" s="115"/>
      <c r="M43" s="126"/>
      <c r="N43" s="115"/>
      <c r="O43" s="115"/>
      <c r="P43" s="115"/>
      <c r="Q43" s="115"/>
      <c r="R43" s="115"/>
      <c r="S43" s="115"/>
      <c r="T43" s="115"/>
      <c r="U43" s="115"/>
      <c r="V43" s="115"/>
      <c r="W43" s="115"/>
      <c r="X43" s="115"/>
      <c r="Y43" s="115"/>
      <c r="Z43" s="115"/>
      <c r="AA43" s="115"/>
      <c r="AB43" s="115"/>
      <c r="AC43" s="115"/>
    </row>
    <row r="44" ht="12.75" customHeight="1">
      <c r="A44" s="115" t="s">
        <v>273</v>
      </c>
      <c r="B44" s="164">
        <f>SUM(CAC!B10)</f>
        <v>20</v>
      </c>
      <c r="C44" s="115"/>
      <c r="D44" s="115"/>
      <c r="E44" s="115"/>
      <c r="F44" s="115"/>
      <c r="G44" s="115"/>
      <c r="H44" s="115"/>
      <c r="I44" s="115"/>
      <c r="J44" s="115"/>
      <c r="K44" s="115"/>
      <c r="L44" s="115"/>
      <c r="M44" s="165"/>
      <c r="N44" s="115"/>
      <c r="O44" s="115"/>
      <c r="P44" s="115"/>
      <c r="Q44" s="115"/>
      <c r="R44" s="115"/>
      <c r="S44" s="115"/>
      <c r="T44" s="115"/>
      <c r="U44" s="115"/>
      <c r="V44" s="115"/>
      <c r="W44" s="115"/>
      <c r="X44" s="115"/>
      <c r="Y44" s="115"/>
      <c r="Z44" s="115"/>
      <c r="AA44" s="115"/>
      <c r="AB44" s="115"/>
      <c r="AC44" s="115"/>
    </row>
    <row r="45" ht="12.75" customHeight="1">
      <c r="A45" s="115"/>
      <c r="B45" s="115"/>
      <c r="C45" s="115"/>
      <c r="D45" s="115"/>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row>
    <row r="46" ht="12.75" customHeight="1">
      <c r="A46" s="115"/>
      <c r="B46" s="115"/>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row>
    <row r="47" ht="12.75" customHeight="1">
      <c r="A47" s="115" t="s">
        <v>274</v>
      </c>
      <c r="B47" s="91">
        <f>SUM(D10:M10)</f>
        <v>0</v>
      </c>
    </row>
    <row r="48" ht="12.75" customHeight="1">
      <c r="A48" s="115"/>
      <c r="B48" s="91"/>
      <c r="C48" s="91"/>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c r="BQ48" s="91"/>
      <c r="BR48" s="91"/>
      <c r="BS48" s="91"/>
      <c r="BT48" s="91"/>
      <c r="BU48" s="91"/>
      <c r="BV48" s="91"/>
      <c r="BW48" s="91"/>
      <c r="BX48" s="91"/>
      <c r="BY48" s="91"/>
      <c r="BZ48" s="91"/>
      <c r="CA48" s="91"/>
      <c r="CB48" s="91"/>
    </row>
    <row r="49" ht="12.75" customHeight="1">
      <c r="A49" s="115" t="s">
        <v>275</v>
      </c>
      <c r="B49" s="166">
        <v>0.1</v>
      </c>
      <c r="C49" s="91"/>
      <c r="D49" s="91"/>
      <c r="E49" s="91"/>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c r="BT49" s="91"/>
      <c r="BU49" s="91"/>
      <c r="BV49" s="91"/>
      <c r="BW49" s="91"/>
      <c r="BX49" s="91"/>
      <c r="BY49" s="91"/>
      <c r="BZ49" s="91"/>
      <c r="CA49" s="91"/>
      <c r="CB49" s="91"/>
    </row>
    <row r="50" ht="12.75" customHeight="1">
      <c r="A50" s="115"/>
      <c r="B50" s="91"/>
      <c r="C50" s="91"/>
      <c r="D50" s="91"/>
      <c r="E50" s="91"/>
      <c r="F50" s="91"/>
      <c r="G50" s="91"/>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1"/>
      <c r="BQ50" s="91"/>
      <c r="BR50" s="91"/>
      <c r="BS50" s="91"/>
      <c r="BT50" s="91"/>
      <c r="BU50" s="91"/>
      <c r="BV50" s="91"/>
      <c r="BW50" s="91"/>
      <c r="BX50" s="91"/>
      <c r="BY50" s="91"/>
      <c r="BZ50" s="91"/>
      <c r="CA50" s="91"/>
      <c r="CB50" s="91"/>
    </row>
    <row r="51" ht="12.75" customHeight="1">
      <c r="A51" s="115"/>
      <c r="B51" s="91"/>
      <c r="C51" s="91"/>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1"/>
      <c r="BQ51" s="91"/>
      <c r="BR51" s="91"/>
      <c r="BS51" s="91"/>
      <c r="BT51" s="91"/>
      <c r="BU51" s="91"/>
      <c r="BV51" s="91"/>
      <c r="BW51" s="91"/>
      <c r="BX51" s="91"/>
      <c r="BY51" s="91"/>
      <c r="BZ51" s="91"/>
      <c r="CA51" s="91"/>
      <c r="CB51" s="91"/>
      <c r="CC51" s="91"/>
      <c r="CD51" s="91"/>
      <c r="CE51" s="91"/>
      <c r="CF51" s="91"/>
      <c r="CG51" s="91"/>
      <c r="CH51" s="91"/>
      <c r="CI51" s="91"/>
      <c r="CJ51" s="91"/>
      <c r="CK51" s="91"/>
      <c r="CL51" s="91"/>
      <c r="CM51" s="91"/>
      <c r="CN51" s="91"/>
      <c r="CO51" s="91"/>
      <c r="CP51" s="91"/>
      <c r="CQ51" s="91"/>
      <c r="CR51" s="91"/>
      <c r="CS51" s="91"/>
      <c r="CT51" s="91"/>
      <c r="CU51" s="91"/>
      <c r="CV51" s="91"/>
      <c r="CW51" s="91"/>
      <c r="CX51" s="91"/>
      <c r="CY51" s="91"/>
      <c r="CZ51" s="91"/>
      <c r="DA51" s="91"/>
      <c r="DB51" s="91"/>
      <c r="DC51" s="91"/>
      <c r="DD51" s="91"/>
      <c r="DE51" s="91"/>
      <c r="DF51" s="91"/>
      <c r="DG51" s="91"/>
      <c r="DH51" s="91"/>
    </row>
    <row r="52" ht="12.75" customHeight="1">
      <c r="A52" s="115"/>
      <c r="B52" s="91"/>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c r="BQ52" s="91"/>
      <c r="BR52" s="91"/>
      <c r="BS52" s="91"/>
      <c r="BT52" s="91"/>
      <c r="BU52" s="91"/>
      <c r="BV52" s="91"/>
      <c r="BW52" s="91"/>
      <c r="BX52" s="91"/>
      <c r="BY52" s="91"/>
      <c r="BZ52" s="91"/>
      <c r="CA52" s="91"/>
      <c r="CB52" s="91"/>
      <c r="CC52" s="91"/>
      <c r="CD52" s="91"/>
      <c r="CE52" s="91"/>
      <c r="CF52" s="91"/>
      <c r="CG52" s="91"/>
      <c r="CH52" s="91"/>
      <c r="CI52" s="91"/>
      <c r="CJ52" s="91"/>
      <c r="CK52" s="91"/>
      <c r="CL52" s="91"/>
      <c r="CM52" s="91"/>
      <c r="CN52" s="91"/>
      <c r="CO52" s="91"/>
      <c r="CP52" s="91"/>
      <c r="CQ52" s="91"/>
      <c r="CR52" s="91"/>
      <c r="CS52" s="91"/>
      <c r="CT52" s="91"/>
      <c r="CU52" s="91"/>
      <c r="CV52" s="91"/>
      <c r="CW52" s="91"/>
      <c r="CX52" s="91"/>
      <c r="CY52" s="91"/>
      <c r="CZ52" s="91"/>
      <c r="DA52" s="91"/>
      <c r="DB52" s="91"/>
      <c r="DC52" s="91"/>
      <c r="DD52" s="91"/>
      <c r="DE52" s="91"/>
      <c r="DF52" s="91"/>
      <c r="DG52" s="91"/>
      <c r="DH52" s="91"/>
    </row>
    <row r="53" ht="12.75" customHeight="1">
      <c r="A53" s="115" t="s">
        <v>276</v>
      </c>
      <c r="B53" s="91"/>
      <c r="C53" s="91"/>
      <c r="D53" s="91"/>
      <c r="E53" s="91"/>
      <c r="F53" s="91"/>
      <c r="G53" s="91"/>
      <c r="H53" s="91"/>
      <c r="I53" s="91"/>
      <c r="J53" s="91"/>
      <c r="K53" s="91"/>
      <c r="L53" s="91"/>
      <c r="M53" s="91"/>
      <c r="N53" s="91"/>
      <c r="O53" s="91"/>
      <c r="P53" s="91"/>
      <c r="Q53" s="91"/>
      <c r="R53" s="91"/>
      <c r="S53" s="91"/>
      <c r="T53" s="91"/>
      <c r="U53" s="123">
        <f>'Expenses 2'!B89/U42</f>
        <v>50</v>
      </c>
      <c r="V53" s="123">
        <f>'Expenses 2'!C89/V42</f>
        <v>11.66666667</v>
      </c>
      <c r="W53" s="123">
        <f>'Expenses 2'!D89/W42</f>
        <v>129.6296296</v>
      </c>
      <c r="X53" s="123">
        <f>'Expenses 2'!E89/X42</f>
        <v>74.07407407</v>
      </c>
      <c r="Y53" s="123">
        <f>'Expenses 2'!F89/Y42</f>
        <v>74.07407407</v>
      </c>
      <c r="Z53" s="123">
        <f>'Expenses 2'!G89/Z42</f>
        <v>111.1111111</v>
      </c>
      <c r="AA53" s="123">
        <f>'Expenses 2'!H89/AA42</f>
        <v>185.1851852</v>
      </c>
      <c r="AB53" s="123">
        <f>'Expenses 2'!I89/AB42</f>
        <v>444.4444444</v>
      </c>
      <c r="AC53" s="123">
        <f>'Expenses 2'!J89/AC42</f>
        <v>74.07407407</v>
      </c>
      <c r="AD53" s="123">
        <f>'Expenses 2'!K89/AD42</f>
        <v>625</v>
      </c>
      <c r="AE53" s="123">
        <f>'Expenses 2'!L89/AE42</f>
        <v>708.3333333</v>
      </c>
      <c r="AF53" s="123">
        <f>'Expenses 2'!M89/AF42</f>
        <v>708.3333333</v>
      </c>
      <c r="AG53" s="123">
        <f>'Expenses 2'!N89/AG42</f>
        <v>555.5555556</v>
      </c>
      <c r="AH53" s="123">
        <f>'Expenses 2'!O89/AH42</f>
        <v>370.3703704</v>
      </c>
      <c r="AI53" s="123">
        <f>'Expenses 2'!P89/AI42</f>
        <v>370.3703704</v>
      </c>
      <c r="AJ53" s="123">
        <f>'Expenses 2'!Q89/AJ42</f>
        <v>370.3703704</v>
      </c>
      <c r="AK53" s="123">
        <f>'Expenses 2'!R89/AK42</f>
        <v>555.5555556</v>
      </c>
      <c r="AL53" s="123">
        <f>'Expenses 2'!S89/AL42</f>
        <v>740.7407407</v>
      </c>
      <c r="AM53" s="123">
        <f>'Expenses 2'!T89/AM42</f>
        <v>1111.111111</v>
      </c>
      <c r="AN53" s="123">
        <f>'Expenses 2'!U89/AN42</f>
        <v>266.6666667</v>
      </c>
      <c r="AO53" s="123">
        <f>'Expenses 2'!V89/AO42</f>
        <v>266.6666667</v>
      </c>
      <c r="AP53" s="123">
        <f>'Expenses 2'!W89/AP42</f>
        <v>370.3703704</v>
      </c>
      <c r="AQ53" s="123">
        <f>'Expenses 2'!X89/AQ42</f>
        <v>370.3703704</v>
      </c>
      <c r="AR53" s="123">
        <f>'Expenses 2'!Y89/AR42</f>
        <v>370.3703704</v>
      </c>
      <c r="AS53" s="123">
        <f>'Expenses 2'!Z89/AS42</f>
        <v>370.3703704</v>
      </c>
      <c r="AT53" s="123">
        <f>'Expenses 2'!AA89/AT42</f>
        <v>370.3703704</v>
      </c>
      <c r="AU53" s="123">
        <f>'Expenses 2'!AB89/AU42</f>
        <v>185.1851852</v>
      </c>
      <c r="AV53" s="123">
        <f>'Expenses 2'!AC89/AV42</f>
        <v>185.1851852</v>
      </c>
      <c r="AW53" s="123">
        <f>'Expenses 2'!AD89/AW42</f>
        <v>296.2962963</v>
      </c>
      <c r="AX53" s="123">
        <f>'Expenses 2'!AE89/AX42</f>
        <v>555.5555556</v>
      </c>
      <c r="AY53" s="123">
        <f>'Expenses 2'!AF89/AY42</f>
        <v>555.5555556</v>
      </c>
      <c r="AZ53" s="123">
        <f>'Expenses 2'!AG89/AZ42</f>
        <v>285.7142857</v>
      </c>
      <c r="BA53" s="123">
        <f>'Expenses 2'!AH28/BA42</f>
        <v>285.7142857</v>
      </c>
      <c r="BB53" s="123">
        <f>'Expenses 2'!AI28/BB42</f>
        <v>250</v>
      </c>
      <c r="BC53" s="123">
        <f>'Expenses 2'!AJ28/BC42</f>
        <v>125</v>
      </c>
      <c r="BD53" s="123">
        <f>'Expenses 2'!AK28/BD42</f>
        <v>125</v>
      </c>
      <c r="BE53" s="123">
        <f>'Expenses 2'!AL28/BE42</f>
        <v>125</v>
      </c>
      <c r="BF53" s="123">
        <f>'Expenses 2'!AM28/BF42</f>
        <v>175</v>
      </c>
      <c r="BG53" s="123">
        <f>'Expenses 2'!AN28/BG42</f>
        <v>175</v>
      </c>
      <c r="BH53" s="123">
        <f>'Expenses 2'!AO28/BH42</f>
        <v>200</v>
      </c>
      <c r="BI53" s="123">
        <f>'Expenses 2'!AP28/BI42</f>
        <v>200</v>
      </c>
      <c r="BJ53" s="123">
        <f>'Expenses 2'!AQ28/BJ42</f>
        <v>200</v>
      </c>
      <c r="BK53" s="123">
        <f>'Expenses 2'!AR28/BK42</f>
        <v>200</v>
      </c>
      <c r="BL53" s="123">
        <f>'Expenses 2'!AS28/BL42</f>
        <v>175</v>
      </c>
      <c r="BM53" s="123">
        <f>'Expenses 2'!AT28/BM42</f>
        <v>125</v>
      </c>
      <c r="BN53" s="123">
        <f>'Expenses 2'!AU28/BN42</f>
        <v>200</v>
      </c>
      <c r="BO53" s="123">
        <f>'Expenses 2'!AV28/BO42</f>
        <v>300</v>
      </c>
      <c r="BP53" s="123">
        <f>'Expenses 2'!AW28/BP42</f>
        <v>500</v>
      </c>
      <c r="BQ53" s="123">
        <f>'Expenses 2'!AX28/BQ42</f>
        <v>500</v>
      </c>
      <c r="BR53" s="123">
        <f>'Expenses 2'!AY28/BR42</f>
        <v>555.5555556</v>
      </c>
      <c r="BS53" s="123">
        <f>'Expenses 2'!AZ28/BS42</f>
        <v>555.5555556</v>
      </c>
      <c r="BT53" s="123">
        <f>'Expenses 2'!BA28/BT42</f>
        <v>625</v>
      </c>
      <c r="BU53" s="123">
        <f>'Expenses 2'!BB28/BU42</f>
        <v>714.2857143</v>
      </c>
      <c r="BV53" s="123">
        <f>'Expenses 2'!BC28/BV42</f>
        <v>428.5714286</v>
      </c>
      <c r="BW53" s="123">
        <f>'Expenses 2'!BD28/BW42</f>
        <v>428.5714286</v>
      </c>
      <c r="BX53" s="123">
        <f>'Expenses 2'!BE28/BX42</f>
        <v>375</v>
      </c>
      <c r="BY53" s="123">
        <f>'Expenses 2'!BF28/BY42</f>
        <v>375</v>
      </c>
      <c r="BZ53" s="123">
        <f>'Expenses 2'!BG28/BZ42</f>
        <v>714.2857143</v>
      </c>
      <c r="CA53" s="123">
        <f>'Expenses 2'!BH28/CA42</f>
        <v>285.7142857</v>
      </c>
      <c r="CB53" s="123">
        <f>'Expenses 2'!BI28/CB42</f>
        <v>285.7142857</v>
      </c>
      <c r="CC53" s="123">
        <f>'Expenses 2'!BJ28/CC42</f>
        <v>285.7142857</v>
      </c>
      <c r="CD53" s="123">
        <f>'Expenses 2'!BK28/CD42</f>
        <v>285.7142857</v>
      </c>
      <c r="CE53" s="123">
        <f>'Expenses 2'!BL28/CE42</f>
        <v>285.7142857</v>
      </c>
      <c r="CF53" s="123">
        <f>'Expenses 2'!BM28/CF42</f>
        <v>285.7142857</v>
      </c>
      <c r="CG53" s="123">
        <f>'Expenses 2'!BN28/CG42</f>
        <v>285.7142857</v>
      </c>
      <c r="CH53" s="123">
        <f>'Expenses 2'!BO28/CH42</f>
        <v>285.7142857</v>
      </c>
      <c r="CI53" s="123">
        <f>'Expenses 2'!BP28/CI42</f>
        <v>428.5714286</v>
      </c>
      <c r="CJ53" s="123">
        <f>'Expenses 2'!BQ28/CJ42</f>
        <v>428.5714286</v>
      </c>
      <c r="CK53" s="123">
        <f>'Expenses 2'!BR28/CK42</f>
        <v>428.5714286</v>
      </c>
      <c r="CL53" s="123">
        <f>'Expenses 2'!BS28/CL42</f>
        <v>428.5714286</v>
      </c>
      <c r="CM53" s="123">
        <f>'Expenses 2'!BT28/CM42</f>
        <v>428.5714286</v>
      </c>
      <c r="CN53" s="123">
        <f>'Expenses 2'!BU28/CN42</f>
        <v>571.4285714</v>
      </c>
      <c r="CO53" s="123">
        <f>'Expenses 2'!BV28/CO42</f>
        <v>714.2857143</v>
      </c>
      <c r="CP53" s="123">
        <f>'Expenses 2'!BW28/CP42</f>
        <v>714.2857143</v>
      </c>
      <c r="CQ53" s="123">
        <f>'Expenses 2'!BX28/CQ42</f>
        <v>714.2857143</v>
      </c>
      <c r="CR53" s="123">
        <f>'Expenses 2'!BY28/CR42</f>
        <v>857.1428571</v>
      </c>
      <c r="CS53" s="123">
        <f>'Expenses 2'!BZ28/CS42</f>
        <v>857.1428571</v>
      </c>
      <c r="CT53" s="123">
        <f>'Expenses 2'!CA28/CT42</f>
        <v>857.1428571</v>
      </c>
      <c r="CU53" s="123">
        <f>'Expenses 2'!CB28/CU42</f>
        <v>857.1428571</v>
      </c>
      <c r="CV53" s="123">
        <f>'Expenses 2'!CC28/CV42</f>
        <v>857.1428571</v>
      </c>
      <c r="CW53" s="123">
        <f>'Expenses 2'!CD28/CW42</f>
        <v>857.1428571</v>
      </c>
      <c r="CX53" s="123">
        <f>'Expenses 2'!CE28/CX42</f>
        <v>875</v>
      </c>
      <c r="CY53" s="123">
        <f>'Expenses 2'!CF28/CY42</f>
        <v>875</v>
      </c>
      <c r="CZ53" s="123">
        <f>'Expenses 2'!CG28/CZ42</f>
        <v>1000</v>
      </c>
      <c r="DA53" s="123">
        <f>'Expenses 2'!CH28/DA42</f>
        <v>1000</v>
      </c>
      <c r="DB53" s="123">
        <f>'Expenses 2'!CI28/DB42</f>
        <v>1000</v>
      </c>
      <c r="DC53" s="123">
        <f>'Expenses 2'!CJ28/DC42</f>
        <v>1125</v>
      </c>
      <c r="DD53" s="123">
        <f>'Expenses 2'!CK28/DD42</f>
        <v>1125</v>
      </c>
      <c r="DE53" s="123">
        <f>'Expenses 2'!CL28/DE42</f>
        <v>1250</v>
      </c>
      <c r="DF53" s="123">
        <f>'Expenses 2'!CM28/DF42</f>
        <v>1250</v>
      </c>
      <c r="DG53" s="123">
        <f>'Expenses 2'!CN28/DG42</f>
        <v>1250</v>
      </c>
      <c r="DH53" s="123">
        <f>'Expenses 2'!CO28/DH42</f>
        <v>1250</v>
      </c>
      <c r="DI53" s="123">
        <f>'Expenses 2'!CP28/DI42</f>
        <v>1250</v>
      </c>
    </row>
    <row r="54" ht="12.75" customHeight="1">
      <c r="A54" s="115" t="s">
        <v>277</v>
      </c>
      <c r="B54" s="91"/>
      <c r="C54" s="91"/>
      <c r="D54" s="91"/>
      <c r="E54" s="91"/>
      <c r="F54" s="91"/>
      <c r="G54" s="91"/>
      <c r="H54" s="91"/>
      <c r="I54" s="91"/>
      <c r="J54" s="91"/>
      <c r="K54" s="91"/>
      <c r="L54" s="91"/>
      <c r="M54" s="91"/>
      <c r="N54" s="91"/>
      <c r="O54" s="91"/>
      <c r="P54" s="91"/>
      <c r="Q54" s="91"/>
      <c r="R54" s="91"/>
      <c r="S54" s="91"/>
      <c r="T54" s="91"/>
      <c r="U54" s="123">
        <f>U53</f>
        <v>50</v>
      </c>
      <c r="V54" s="167">
        <f t="shared" ref="V54:DI54" si="9">U54+V53</f>
        <v>61.66666667</v>
      </c>
      <c r="W54" s="167">
        <f t="shared" si="9"/>
        <v>191.2962963</v>
      </c>
      <c r="X54" s="167">
        <f t="shared" si="9"/>
        <v>265.3703704</v>
      </c>
      <c r="Y54" s="167">
        <f t="shared" si="9"/>
        <v>339.4444444</v>
      </c>
      <c r="Z54" s="167">
        <f t="shared" si="9"/>
        <v>450.5555556</v>
      </c>
      <c r="AA54" s="167">
        <f t="shared" si="9"/>
        <v>635.7407407</v>
      </c>
      <c r="AB54" s="167">
        <f t="shared" si="9"/>
        <v>1080.185185</v>
      </c>
      <c r="AC54" s="167">
        <f t="shared" si="9"/>
        <v>1154.259259</v>
      </c>
      <c r="AD54" s="167">
        <f t="shared" si="9"/>
        <v>1779.259259</v>
      </c>
      <c r="AE54" s="167">
        <f t="shared" si="9"/>
        <v>2487.592593</v>
      </c>
      <c r="AF54" s="167">
        <f t="shared" si="9"/>
        <v>3195.925926</v>
      </c>
      <c r="AG54" s="167">
        <f t="shared" si="9"/>
        <v>3751.481481</v>
      </c>
      <c r="AH54" s="167">
        <f t="shared" si="9"/>
        <v>4121.851852</v>
      </c>
      <c r="AI54" s="167">
        <f t="shared" si="9"/>
        <v>4492.222222</v>
      </c>
      <c r="AJ54" s="167">
        <f t="shared" si="9"/>
        <v>4862.592593</v>
      </c>
      <c r="AK54" s="167">
        <f t="shared" si="9"/>
        <v>5418.148148</v>
      </c>
      <c r="AL54" s="167">
        <f t="shared" si="9"/>
        <v>6158.888889</v>
      </c>
      <c r="AM54" s="167">
        <f t="shared" si="9"/>
        <v>7270</v>
      </c>
      <c r="AN54" s="167">
        <f t="shared" si="9"/>
        <v>7536.666667</v>
      </c>
      <c r="AO54" s="167">
        <f t="shared" si="9"/>
        <v>7803.333333</v>
      </c>
      <c r="AP54" s="167">
        <f t="shared" si="9"/>
        <v>8173.703704</v>
      </c>
      <c r="AQ54" s="167">
        <f t="shared" si="9"/>
        <v>8544.074074</v>
      </c>
      <c r="AR54" s="167">
        <f t="shared" si="9"/>
        <v>8914.444444</v>
      </c>
      <c r="AS54" s="167">
        <f t="shared" si="9"/>
        <v>9284.814815</v>
      </c>
      <c r="AT54" s="167">
        <f t="shared" si="9"/>
        <v>9655.185185</v>
      </c>
      <c r="AU54" s="167">
        <f t="shared" si="9"/>
        <v>9840.37037</v>
      </c>
      <c r="AV54" s="167">
        <f t="shared" si="9"/>
        <v>10025.55556</v>
      </c>
      <c r="AW54" s="167">
        <f t="shared" si="9"/>
        <v>10321.85185</v>
      </c>
      <c r="AX54" s="167">
        <f t="shared" si="9"/>
        <v>10877.40741</v>
      </c>
      <c r="AY54" s="167">
        <f t="shared" si="9"/>
        <v>11432.96296</v>
      </c>
      <c r="AZ54" s="167">
        <f t="shared" si="9"/>
        <v>11718.67725</v>
      </c>
      <c r="BA54" s="167">
        <f t="shared" si="9"/>
        <v>12004.39153</v>
      </c>
      <c r="BB54" s="167">
        <f t="shared" si="9"/>
        <v>12254.39153</v>
      </c>
      <c r="BC54" s="167">
        <f t="shared" si="9"/>
        <v>12379.39153</v>
      </c>
      <c r="BD54" s="167">
        <f t="shared" si="9"/>
        <v>12504.39153</v>
      </c>
      <c r="BE54" s="167">
        <f t="shared" si="9"/>
        <v>12629.39153</v>
      </c>
      <c r="BF54" s="167">
        <f t="shared" si="9"/>
        <v>12804.39153</v>
      </c>
      <c r="BG54" s="167">
        <f t="shared" si="9"/>
        <v>12979.39153</v>
      </c>
      <c r="BH54" s="167">
        <f t="shared" si="9"/>
        <v>13179.39153</v>
      </c>
      <c r="BI54" s="167">
        <f t="shared" si="9"/>
        <v>13379.39153</v>
      </c>
      <c r="BJ54" s="167">
        <f t="shared" si="9"/>
        <v>13579.39153</v>
      </c>
      <c r="BK54" s="167">
        <f t="shared" si="9"/>
        <v>13779.39153</v>
      </c>
      <c r="BL54" s="167">
        <f t="shared" si="9"/>
        <v>13954.39153</v>
      </c>
      <c r="BM54" s="167">
        <f t="shared" si="9"/>
        <v>14079.39153</v>
      </c>
      <c r="BN54" s="167">
        <f t="shared" si="9"/>
        <v>14279.39153</v>
      </c>
      <c r="BO54" s="167">
        <f t="shared" si="9"/>
        <v>14579.39153</v>
      </c>
      <c r="BP54" s="167">
        <f t="shared" si="9"/>
        <v>15079.39153</v>
      </c>
      <c r="BQ54" s="167">
        <f t="shared" si="9"/>
        <v>15579.39153</v>
      </c>
      <c r="BR54" s="167">
        <f t="shared" si="9"/>
        <v>16134.94709</v>
      </c>
      <c r="BS54" s="167">
        <f t="shared" si="9"/>
        <v>16690.50265</v>
      </c>
      <c r="BT54" s="167">
        <f t="shared" si="9"/>
        <v>17315.50265</v>
      </c>
      <c r="BU54" s="167">
        <f t="shared" si="9"/>
        <v>18029.78836</v>
      </c>
      <c r="BV54" s="167">
        <f t="shared" si="9"/>
        <v>18458.35979</v>
      </c>
      <c r="BW54" s="167">
        <f t="shared" si="9"/>
        <v>18886.93122</v>
      </c>
      <c r="BX54" s="167">
        <f t="shared" si="9"/>
        <v>19261.93122</v>
      </c>
      <c r="BY54" s="167">
        <f t="shared" si="9"/>
        <v>19636.93122</v>
      </c>
      <c r="BZ54" s="167">
        <f t="shared" si="9"/>
        <v>20351.21693</v>
      </c>
      <c r="CA54" s="167">
        <f t="shared" si="9"/>
        <v>20636.93122</v>
      </c>
      <c r="CB54" s="167">
        <f t="shared" si="9"/>
        <v>20922.6455</v>
      </c>
      <c r="CC54" s="167">
        <f t="shared" si="9"/>
        <v>21208.35979</v>
      </c>
      <c r="CD54" s="167">
        <f t="shared" si="9"/>
        <v>21494.07407</v>
      </c>
      <c r="CE54" s="167">
        <f t="shared" si="9"/>
        <v>21779.78836</v>
      </c>
      <c r="CF54" s="167">
        <f t="shared" si="9"/>
        <v>22065.50265</v>
      </c>
      <c r="CG54" s="167">
        <f t="shared" si="9"/>
        <v>22351.21693</v>
      </c>
      <c r="CH54" s="167">
        <f t="shared" si="9"/>
        <v>22636.93122</v>
      </c>
      <c r="CI54" s="167">
        <f t="shared" si="9"/>
        <v>23065.50265</v>
      </c>
      <c r="CJ54" s="167">
        <f t="shared" si="9"/>
        <v>23494.07407</v>
      </c>
      <c r="CK54" s="167">
        <f t="shared" si="9"/>
        <v>23922.6455</v>
      </c>
      <c r="CL54" s="167">
        <f t="shared" si="9"/>
        <v>24351.21693</v>
      </c>
      <c r="CM54" s="167">
        <f t="shared" si="9"/>
        <v>24779.78836</v>
      </c>
      <c r="CN54" s="167">
        <f t="shared" si="9"/>
        <v>25351.21693</v>
      </c>
      <c r="CO54" s="167">
        <f t="shared" si="9"/>
        <v>26065.50265</v>
      </c>
      <c r="CP54" s="167">
        <f t="shared" si="9"/>
        <v>26779.78836</v>
      </c>
      <c r="CQ54" s="167">
        <f t="shared" si="9"/>
        <v>27494.07407</v>
      </c>
      <c r="CR54" s="167">
        <f t="shared" si="9"/>
        <v>28351.21693</v>
      </c>
      <c r="CS54" s="167">
        <f t="shared" si="9"/>
        <v>29208.35979</v>
      </c>
      <c r="CT54" s="167">
        <f t="shared" si="9"/>
        <v>30065.50265</v>
      </c>
      <c r="CU54" s="167">
        <f t="shared" si="9"/>
        <v>30922.6455</v>
      </c>
      <c r="CV54" s="167">
        <f t="shared" si="9"/>
        <v>31779.78836</v>
      </c>
      <c r="CW54" s="167">
        <f t="shared" si="9"/>
        <v>32636.93122</v>
      </c>
      <c r="CX54" s="167">
        <f t="shared" si="9"/>
        <v>33511.93122</v>
      </c>
      <c r="CY54" s="167">
        <f t="shared" si="9"/>
        <v>34386.93122</v>
      </c>
      <c r="CZ54" s="167">
        <f t="shared" si="9"/>
        <v>35386.93122</v>
      </c>
      <c r="DA54" s="167">
        <f t="shared" si="9"/>
        <v>36386.93122</v>
      </c>
      <c r="DB54" s="167">
        <f t="shared" si="9"/>
        <v>37386.93122</v>
      </c>
      <c r="DC54" s="167">
        <f t="shared" si="9"/>
        <v>38511.93122</v>
      </c>
      <c r="DD54" s="167">
        <f t="shared" si="9"/>
        <v>39636.93122</v>
      </c>
      <c r="DE54" s="167">
        <f t="shared" si="9"/>
        <v>40886.93122</v>
      </c>
      <c r="DF54" s="167">
        <f t="shared" si="9"/>
        <v>42136.93122</v>
      </c>
      <c r="DG54" s="167">
        <f t="shared" si="9"/>
        <v>43386.93122</v>
      </c>
      <c r="DH54" s="167">
        <f t="shared" si="9"/>
        <v>44636.93122</v>
      </c>
      <c r="DI54" s="167">
        <f t="shared" si="9"/>
        <v>45886.93122</v>
      </c>
    </row>
    <row r="55" ht="12.75" customHeight="1">
      <c r="A55" s="115"/>
      <c r="B55" s="91"/>
      <c r="C55" s="91"/>
      <c r="D55" s="91"/>
      <c r="E55" s="91"/>
      <c r="F55" s="91"/>
      <c r="G55" s="91"/>
      <c r="H55" s="91"/>
      <c r="I55" s="91"/>
      <c r="J55" s="91"/>
      <c r="K55" s="91"/>
      <c r="L55" s="91"/>
      <c r="M55" s="91"/>
      <c r="N55" s="91"/>
      <c r="O55" s="91"/>
      <c r="P55" s="91"/>
      <c r="Q55" s="91"/>
      <c r="R55" s="91"/>
      <c r="S55" s="91"/>
      <c r="T55" s="91"/>
      <c r="U55" s="123"/>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1"/>
      <c r="BQ55" s="91"/>
      <c r="BR55" s="91"/>
      <c r="BS55" s="91"/>
      <c r="BT55" s="91"/>
      <c r="BU55" s="91"/>
      <c r="BV55" s="91"/>
      <c r="BW55" s="91"/>
      <c r="BX55" s="91"/>
      <c r="BY55" s="91"/>
      <c r="BZ55" s="91"/>
      <c r="CA55" s="91"/>
      <c r="CB55" s="91"/>
      <c r="CC55" s="91"/>
      <c r="CD55" s="91"/>
      <c r="CE55" s="91"/>
      <c r="CF55" s="91"/>
      <c r="CG55" s="91"/>
      <c r="CH55" s="91"/>
      <c r="CI55" s="91"/>
      <c r="CJ55" s="91"/>
      <c r="CK55" s="91"/>
      <c r="CL55" s="91"/>
      <c r="CM55" s="91"/>
      <c r="CN55" s="91"/>
      <c r="CO55" s="91"/>
      <c r="CP55" s="91"/>
      <c r="CQ55" s="91"/>
      <c r="CR55" s="91"/>
      <c r="CS55" s="91"/>
      <c r="CT55" s="91"/>
      <c r="CU55" s="91"/>
      <c r="CV55" s="91"/>
      <c r="CW55" s="91"/>
      <c r="CX55" s="91"/>
      <c r="CY55" s="91"/>
      <c r="CZ55" s="91"/>
      <c r="DA55" s="91"/>
      <c r="DB55" s="91"/>
      <c r="DC55" s="91"/>
      <c r="DD55" s="91"/>
      <c r="DE55" s="91"/>
      <c r="DF55" s="91"/>
      <c r="DG55" s="91"/>
      <c r="DH55" s="91"/>
      <c r="DI55" s="91"/>
    </row>
    <row r="56" ht="25.5" customHeight="1">
      <c r="A56" s="115"/>
      <c r="B56" s="168" t="s">
        <v>278</v>
      </c>
      <c r="C56" s="168"/>
      <c r="D56" s="168"/>
      <c r="E56" s="168"/>
      <c r="F56" s="168"/>
      <c r="G56" s="168"/>
      <c r="H56" s="168"/>
      <c r="I56" s="168"/>
      <c r="J56" s="168"/>
      <c r="K56" s="168"/>
      <c r="L56" s="168"/>
      <c r="M56" s="168"/>
      <c r="N56" s="168"/>
      <c r="O56" s="168"/>
      <c r="P56" s="168"/>
      <c r="Q56" s="168"/>
      <c r="R56" s="168"/>
      <c r="S56" s="168"/>
      <c r="T56" s="168"/>
      <c r="U56" s="169" t="s">
        <v>279</v>
      </c>
      <c r="V56" s="168" t="s">
        <v>280</v>
      </c>
      <c r="W56" s="168" t="s">
        <v>281</v>
      </c>
      <c r="X56" s="168" t="s">
        <v>282</v>
      </c>
      <c r="Y56" s="91" t="s">
        <v>283</v>
      </c>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c r="CM56" s="91"/>
      <c r="CN56" s="91"/>
      <c r="CO56" s="91"/>
      <c r="CP56" s="91"/>
      <c r="CQ56" s="91"/>
      <c r="CR56" s="91"/>
      <c r="CS56" s="91"/>
      <c r="CT56" s="91"/>
      <c r="CU56" s="91"/>
      <c r="CV56" s="91"/>
      <c r="CW56" s="91"/>
      <c r="CX56" s="91"/>
      <c r="CY56" s="91"/>
      <c r="CZ56" s="91"/>
      <c r="DA56" s="91"/>
      <c r="DB56" s="91"/>
      <c r="DC56" s="91"/>
      <c r="DD56" s="91"/>
      <c r="DE56" s="91"/>
      <c r="DF56" s="91"/>
      <c r="DG56" s="91"/>
      <c r="DH56" s="91"/>
      <c r="DI56" s="91"/>
    </row>
    <row r="57" ht="12.75" customHeight="1">
      <c r="A57" s="115" t="s">
        <v>284</v>
      </c>
      <c r="B57" s="91"/>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t="s">
        <v>285</v>
      </c>
      <c r="AD57" s="167">
        <f t="shared" ref="AD57:DI57" si="10">($U58*$X58+$U59*$X59+$U60*$X60+$U61*$X61)*AD53</f>
        <v>24219.37004</v>
      </c>
      <c r="AE57" s="167">
        <f t="shared" si="10"/>
        <v>27448.61938</v>
      </c>
      <c r="AF57" s="167">
        <f t="shared" si="10"/>
        <v>27448.61938</v>
      </c>
      <c r="AG57" s="167">
        <f t="shared" si="10"/>
        <v>21528.32892</v>
      </c>
      <c r="AH57" s="167">
        <f t="shared" si="10"/>
        <v>14352.21928</v>
      </c>
      <c r="AI57" s="167">
        <f t="shared" si="10"/>
        <v>14352.21928</v>
      </c>
      <c r="AJ57" s="167">
        <f t="shared" si="10"/>
        <v>14352.21928</v>
      </c>
      <c r="AK57" s="167">
        <f t="shared" si="10"/>
        <v>21528.32892</v>
      </c>
      <c r="AL57" s="167">
        <f t="shared" si="10"/>
        <v>28704.43857</v>
      </c>
      <c r="AM57" s="167">
        <f t="shared" si="10"/>
        <v>43056.65785</v>
      </c>
      <c r="AN57" s="167">
        <f t="shared" si="10"/>
        <v>10333.59788</v>
      </c>
      <c r="AO57" s="167">
        <f t="shared" si="10"/>
        <v>10333.59788</v>
      </c>
      <c r="AP57" s="167">
        <f t="shared" si="10"/>
        <v>14352.21928</v>
      </c>
      <c r="AQ57" s="167">
        <f t="shared" si="10"/>
        <v>14352.21928</v>
      </c>
      <c r="AR57" s="167">
        <f t="shared" si="10"/>
        <v>14352.21928</v>
      </c>
      <c r="AS57" s="167">
        <f t="shared" si="10"/>
        <v>14352.21928</v>
      </c>
      <c r="AT57" s="167">
        <f t="shared" si="10"/>
        <v>14352.21928</v>
      </c>
      <c r="AU57" s="167">
        <f t="shared" si="10"/>
        <v>7176.109641</v>
      </c>
      <c r="AV57" s="167">
        <f t="shared" si="10"/>
        <v>7176.109641</v>
      </c>
      <c r="AW57" s="167">
        <f t="shared" si="10"/>
        <v>11481.77543</v>
      </c>
      <c r="AX57" s="167">
        <f t="shared" si="10"/>
        <v>21528.32892</v>
      </c>
      <c r="AY57" s="167">
        <f t="shared" si="10"/>
        <v>21528.32892</v>
      </c>
      <c r="AZ57" s="167">
        <f t="shared" si="10"/>
        <v>11071.71202</v>
      </c>
      <c r="BA57" s="167">
        <f t="shared" si="10"/>
        <v>11071.71202</v>
      </c>
      <c r="BB57" s="167">
        <f t="shared" si="10"/>
        <v>9687.748016</v>
      </c>
      <c r="BC57" s="167">
        <f t="shared" si="10"/>
        <v>4843.874008</v>
      </c>
      <c r="BD57" s="167">
        <f t="shared" si="10"/>
        <v>4843.874008</v>
      </c>
      <c r="BE57" s="167">
        <f t="shared" si="10"/>
        <v>4843.874008</v>
      </c>
      <c r="BF57" s="167">
        <f t="shared" si="10"/>
        <v>6781.423611</v>
      </c>
      <c r="BG57" s="167">
        <f t="shared" si="10"/>
        <v>6781.423611</v>
      </c>
      <c r="BH57" s="167">
        <f t="shared" si="10"/>
        <v>7750.198413</v>
      </c>
      <c r="BI57" s="167">
        <f t="shared" si="10"/>
        <v>7750.198413</v>
      </c>
      <c r="BJ57" s="167">
        <f t="shared" si="10"/>
        <v>7750.198413</v>
      </c>
      <c r="BK57" s="167">
        <f t="shared" si="10"/>
        <v>7750.198413</v>
      </c>
      <c r="BL57" s="167">
        <f t="shared" si="10"/>
        <v>6781.423611</v>
      </c>
      <c r="BM57" s="167">
        <f t="shared" si="10"/>
        <v>4843.874008</v>
      </c>
      <c r="BN57" s="167">
        <f t="shared" si="10"/>
        <v>7750.198413</v>
      </c>
      <c r="BO57" s="167">
        <f t="shared" si="10"/>
        <v>11625.29762</v>
      </c>
      <c r="BP57" s="167">
        <f t="shared" si="10"/>
        <v>19375.49603</v>
      </c>
      <c r="BQ57" s="167">
        <f t="shared" si="10"/>
        <v>19375.49603</v>
      </c>
      <c r="BR57" s="167">
        <f t="shared" si="10"/>
        <v>21528.32892</v>
      </c>
      <c r="BS57" s="167">
        <f t="shared" si="10"/>
        <v>21528.32892</v>
      </c>
      <c r="BT57" s="167">
        <f t="shared" si="10"/>
        <v>24219.37004</v>
      </c>
      <c r="BU57" s="167">
        <f t="shared" si="10"/>
        <v>27679.28005</v>
      </c>
      <c r="BV57" s="167">
        <f t="shared" si="10"/>
        <v>16607.56803</v>
      </c>
      <c r="BW57" s="167">
        <f t="shared" si="10"/>
        <v>16607.56803</v>
      </c>
      <c r="BX57" s="167">
        <f t="shared" si="10"/>
        <v>14531.62202</v>
      </c>
      <c r="BY57" s="167">
        <f t="shared" si="10"/>
        <v>14531.62202</v>
      </c>
      <c r="BZ57" s="167">
        <f t="shared" si="10"/>
        <v>27679.28005</v>
      </c>
      <c r="CA57" s="167">
        <f t="shared" si="10"/>
        <v>11071.71202</v>
      </c>
      <c r="CB57" s="167">
        <f t="shared" si="10"/>
        <v>11071.71202</v>
      </c>
      <c r="CC57" s="167">
        <f t="shared" si="10"/>
        <v>11071.71202</v>
      </c>
      <c r="CD57" s="167">
        <f t="shared" si="10"/>
        <v>11071.71202</v>
      </c>
      <c r="CE57" s="167">
        <f t="shared" si="10"/>
        <v>11071.71202</v>
      </c>
      <c r="CF57" s="167">
        <f t="shared" si="10"/>
        <v>11071.71202</v>
      </c>
      <c r="CG57" s="167">
        <f t="shared" si="10"/>
        <v>11071.71202</v>
      </c>
      <c r="CH57" s="167">
        <f t="shared" si="10"/>
        <v>11071.71202</v>
      </c>
      <c r="CI57" s="167">
        <f t="shared" si="10"/>
        <v>16607.56803</v>
      </c>
      <c r="CJ57" s="167">
        <f t="shared" si="10"/>
        <v>16607.56803</v>
      </c>
      <c r="CK57" s="167">
        <f t="shared" si="10"/>
        <v>16607.56803</v>
      </c>
      <c r="CL57" s="167">
        <f t="shared" si="10"/>
        <v>16607.56803</v>
      </c>
      <c r="CM57" s="167">
        <f t="shared" si="10"/>
        <v>16607.56803</v>
      </c>
      <c r="CN57" s="167">
        <f t="shared" si="10"/>
        <v>22143.42404</v>
      </c>
      <c r="CO57" s="167">
        <f t="shared" si="10"/>
        <v>27679.28005</v>
      </c>
      <c r="CP57" s="167">
        <f t="shared" si="10"/>
        <v>27679.28005</v>
      </c>
      <c r="CQ57" s="167">
        <f t="shared" si="10"/>
        <v>27679.28005</v>
      </c>
      <c r="CR57" s="167">
        <f t="shared" si="10"/>
        <v>33215.13605</v>
      </c>
      <c r="CS57" s="167">
        <f t="shared" si="10"/>
        <v>33215.13605</v>
      </c>
      <c r="CT57" s="167">
        <f t="shared" si="10"/>
        <v>33215.13605</v>
      </c>
      <c r="CU57" s="167">
        <f t="shared" si="10"/>
        <v>33215.13605</v>
      </c>
      <c r="CV57" s="167">
        <f t="shared" si="10"/>
        <v>33215.13605</v>
      </c>
      <c r="CW57" s="167">
        <f t="shared" si="10"/>
        <v>33215.13605</v>
      </c>
      <c r="CX57" s="167">
        <f t="shared" si="10"/>
        <v>33907.11806</v>
      </c>
      <c r="CY57" s="167">
        <f t="shared" si="10"/>
        <v>33907.11806</v>
      </c>
      <c r="CZ57" s="167">
        <f t="shared" si="10"/>
        <v>38750.99206</v>
      </c>
      <c r="DA57" s="167">
        <f t="shared" si="10"/>
        <v>38750.99206</v>
      </c>
      <c r="DB57" s="167">
        <f t="shared" si="10"/>
        <v>38750.99206</v>
      </c>
      <c r="DC57" s="167">
        <f t="shared" si="10"/>
        <v>43594.86607</v>
      </c>
      <c r="DD57" s="167">
        <f t="shared" si="10"/>
        <v>43594.86607</v>
      </c>
      <c r="DE57" s="167">
        <f t="shared" si="10"/>
        <v>48438.74008</v>
      </c>
      <c r="DF57" s="167">
        <f t="shared" si="10"/>
        <v>48438.74008</v>
      </c>
      <c r="DG57" s="167">
        <f t="shared" si="10"/>
        <v>48438.74008</v>
      </c>
      <c r="DH57" s="167">
        <f t="shared" si="10"/>
        <v>48438.74008</v>
      </c>
      <c r="DI57" s="167">
        <f t="shared" si="10"/>
        <v>48438.74008</v>
      </c>
    </row>
    <row r="58" ht="12.75" customHeight="1">
      <c r="A58" s="115"/>
      <c r="B58" s="170">
        <v>3.5</v>
      </c>
      <c r="C58" s="91"/>
      <c r="D58" s="91"/>
      <c r="E58" s="91"/>
      <c r="F58" s="91"/>
      <c r="G58" s="91"/>
      <c r="H58" s="91"/>
      <c r="I58" s="91"/>
      <c r="J58" s="91"/>
      <c r="K58" s="91"/>
      <c r="L58" s="91"/>
      <c r="M58" s="91"/>
      <c r="N58" s="91"/>
      <c r="O58" s="91"/>
      <c r="P58" s="91"/>
      <c r="Q58" s="91"/>
      <c r="R58" s="91"/>
      <c r="S58" s="91"/>
      <c r="T58" s="91"/>
      <c r="U58" s="112">
        <v>0.01</v>
      </c>
      <c r="V58" s="91">
        <f t="shared" ref="V58:V61" si="11">+B58*12</f>
        <v>42</v>
      </c>
      <c r="W58" s="171">
        <v>1774.0</v>
      </c>
      <c r="X58" s="149">
        <f t="shared" ref="X58:X61" si="12">+W58/V58</f>
        <v>42.23809524</v>
      </c>
      <c r="Y58" s="149">
        <f t="shared" ref="Y58:Y61" si="13">W58*U58</f>
        <v>17.74</v>
      </c>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c r="CM58" s="91"/>
      <c r="CN58" s="91"/>
      <c r="CO58" s="91"/>
      <c r="CP58" s="91"/>
      <c r="CQ58" s="91"/>
      <c r="CR58" s="91"/>
      <c r="CS58" s="91"/>
      <c r="CT58" s="91"/>
      <c r="CU58" s="91"/>
      <c r="CV58" s="91"/>
      <c r="CW58" s="91"/>
      <c r="CX58" s="91"/>
      <c r="CY58" s="91"/>
      <c r="CZ58" s="91"/>
      <c r="DA58" s="91"/>
      <c r="DB58" s="91"/>
      <c r="DC58" s="91"/>
      <c r="DD58" s="91"/>
      <c r="DE58" s="91"/>
      <c r="DF58" s="91"/>
      <c r="DG58" s="91"/>
      <c r="DH58" s="91"/>
      <c r="DI58" s="91"/>
    </row>
    <row r="59" ht="12.75" customHeight="1">
      <c r="A59" s="115"/>
      <c r="B59" s="170">
        <v>2.5</v>
      </c>
      <c r="C59" s="91"/>
      <c r="D59" s="91"/>
      <c r="E59" s="91"/>
      <c r="F59" s="91"/>
      <c r="G59" s="91"/>
      <c r="H59" s="91"/>
      <c r="I59" s="91"/>
      <c r="J59" s="91"/>
      <c r="K59" s="91"/>
      <c r="L59" s="91"/>
      <c r="M59" s="91"/>
      <c r="N59" s="91"/>
      <c r="O59" s="91"/>
      <c r="P59" s="91"/>
      <c r="Q59" s="91"/>
      <c r="R59" s="91"/>
      <c r="S59" s="91"/>
      <c r="T59" s="91"/>
      <c r="U59" s="112">
        <v>0.035</v>
      </c>
      <c r="V59" s="91">
        <f t="shared" si="11"/>
        <v>30</v>
      </c>
      <c r="W59" s="171">
        <v>1075.0</v>
      </c>
      <c r="X59" s="149">
        <f t="shared" si="12"/>
        <v>35.83333333</v>
      </c>
      <c r="Y59" s="149">
        <f t="shared" si="13"/>
        <v>37.625</v>
      </c>
      <c r="Z59" s="91"/>
      <c r="AA59" s="91"/>
      <c r="AB59" s="91" t="s">
        <v>286</v>
      </c>
      <c r="AC59" s="91"/>
      <c r="AD59" s="172">
        <v>2000.0</v>
      </c>
      <c r="AE59" s="172">
        <v>2000.0</v>
      </c>
      <c r="AF59" s="172">
        <v>2000.0</v>
      </c>
      <c r="AG59" s="167">
        <f t="shared" ref="AG59:DI59" si="14">IF(AG57&lt;83333,AG57*0.1,100000/12)</f>
        <v>2152.832892</v>
      </c>
      <c r="AH59" s="167">
        <f t="shared" si="14"/>
        <v>1435.221928</v>
      </c>
      <c r="AI59" s="167">
        <f t="shared" si="14"/>
        <v>1435.221928</v>
      </c>
      <c r="AJ59" s="167">
        <f t="shared" si="14"/>
        <v>1435.221928</v>
      </c>
      <c r="AK59" s="167">
        <f t="shared" si="14"/>
        <v>2152.832892</v>
      </c>
      <c r="AL59" s="167">
        <f t="shared" si="14"/>
        <v>2870.443857</v>
      </c>
      <c r="AM59" s="167">
        <f t="shared" si="14"/>
        <v>4305.665785</v>
      </c>
      <c r="AN59" s="167">
        <f t="shared" si="14"/>
        <v>1033.359788</v>
      </c>
      <c r="AO59" s="167">
        <f t="shared" si="14"/>
        <v>1033.359788</v>
      </c>
      <c r="AP59" s="167">
        <f t="shared" si="14"/>
        <v>1435.221928</v>
      </c>
      <c r="AQ59" s="167">
        <f t="shared" si="14"/>
        <v>1435.221928</v>
      </c>
      <c r="AR59" s="167">
        <f t="shared" si="14"/>
        <v>1435.221928</v>
      </c>
      <c r="AS59" s="167">
        <f t="shared" si="14"/>
        <v>1435.221928</v>
      </c>
      <c r="AT59" s="167">
        <f t="shared" si="14"/>
        <v>1435.221928</v>
      </c>
      <c r="AU59" s="167">
        <f t="shared" si="14"/>
        <v>717.6109641</v>
      </c>
      <c r="AV59" s="167">
        <f t="shared" si="14"/>
        <v>717.6109641</v>
      </c>
      <c r="AW59" s="167">
        <f t="shared" si="14"/>
        <v>1148.177543</v>
      </c>
      <c r="AX59" s="167">
        <f t="shared" si="14"/>
        <v>2152.832892</v>
      </c>
      <c r="AY59" s="167">
        <f t="shared" si="14"/>
        <v>2152.832892</v>
      </c>
      <c r="AZ59" s="167">
        <f t="shared" si="14"/>
        <v>1107.171202</v>
      </c>
      <c r="BA59" s="167">
        <f t="shared" si="14"/>
        <v>1107.171202</v>
      </c>
      <c r="BB59" s="167">
        <f t="shared" si="14"/>
        <v>968.7748016</v>
      </c>
      <c r="BC59" s="167">
        <f t="shared" si="14"/>
        <v>484.3874008</v>
      </c>
      <c r="BD59" s="167">
        <f t="shared" si="14"/>
        <v>484.3874008</v>
      </c>
      <c r="BE59" s="167">
        <f t="shared" si="14"/>
        <v>484.3874008</v>
      </c>
      <c r="BF59" s="167">
        <f t="shared" si="14"/>
        <v>678.1423611</v>
      </c>
      <c r="BG59" s="167">
        <f t="shared" si="14"/>
        <v>678.1423611</v>
      </c>
      <c r="BH59" s="167">
        <f t="shared" si="14"/>
        <v>775.0198413</v>
      </c>
      <c r="BI59" s="167">
        <f t="shared" si="14"/>
        <v>775.0198413</v>
      </c>
      <c r="BJ59" s="167">
        <f t="shared" si="14"/>
        <v>775.0198413</v>
      </c>
      <c r="BK59" s="167">
        <f t="shared" si="14"/>
        <v>775.0198413</v>
      </c>
      <c r="BL59" s="167">
        <f t="shared" si="14"/>
        <v>678.1423611</v>
      </c>
      <c r="BM59" s="167">
        <f t="shared" si="14"/>
        <v>484.3874008</v>
      </c>
      <c r="BN59" s="167">
        <f t="shared" si="14"/>
        <v>775.0198413</v>
      </c>
      <c r="BO59" s="167">
        <f t="shared" si="14"/>
        <v>1162.529762</v>
      </c>
      <c r="BP59" s="167">
        <f t="shared" si="14"/>
        <v>1937.549603</v>
      </c>
      <c r="BQ59" s="167">
        <f t="shared" si="14"/>
        <v>1937.549603</v>
      </c>
      <c r="BR59" s="167">
        <f t="shared" si="14"/>
        <v>2152.832892</v>
      </c>
      <c r="BS59" s="167">
        <f t="shared" si="14"/>
        <v>2152.832892</v>
      </c>
      <c r="BT59" s="167">
        <f t="shared" si="14"/>
        <v>2421.937004</v>
      </c>
      <c r="BU59" s="167">
        <f t="shared" si="14"/>
        <v>2767.928005</v>
      </c>
      <c r="BV59" s="167">
        <f t="shared" si="14"/>
        <v>1660.756803</v>
      </c>
      <c r="BW59" s="167">
        <f t="shared" si="14"/>
        <v>1660.756803</v>
      </c>
      <c r="BX59" s="167">
        <f t="shared" si="14"/>
        <v>1453.162202</v>
      </c>
      <c r="BY59" s="167">
        <f t="shared" si="14"/>
        <v>1453.162202</v>
      </c>
      <c r="BZ59" s="167">
        <f t="shared" si="14"/>
        <v>2767.928005</v>
      </c>
      <c r="CA59" s="167">
        <f t="shared" si="14"/>
        <v>1107.171202</v>
      </c>
      <c r="CB59" s="167">
        <f t="shared" si="14"/>
        <v>1107.171202</v>
      </c>
      <c r="CC59" s="167">
        <f t="shared" si="14"/>
        <v>1107.171202</v>
      </c>
      <c r="CD59" s="167">
        <f t="shared" si="14"/>
        <v>1107.171202</v>
      </c>
      <c r="CE59" s="167">
        <f t="shared" si="14"/>
        <v>1107.171202</v>
      </c>
      <c r="CF59" s="167">
        <f t="shared" si="14"/>
        <v>1107.171202</v>
      </c>
      <c r="CG59" s="167">
        <f t="shared" si="14"/>
        <v>1107.171202</v>
      </c>
      <c r="CH59" s="167">
        <f t="shared" si="14"/>
        <v>1107.171202</v>
      </c>
      <c r="CI59" s="167">
        <f t="shared" si="14"/>
        <v>1660.756803</v>
      </c>
      <c r="CJ59" s="167">
        <f t="shared" si="14"/>
        <v>1660.756803</v>
      </c>
      <c r="CK59" s="167">
        <f t="shared" si="14"/>
        <v>1660.756803</v>
      </c>
      <c r="CL59" s="167">
        <f t="shared" si="14"/>
        <v>1660.756803</v>
      </c>
      <c r="CM59" s="167">
        <f t="shared" si="14"/>
        <v>1660.756803</v>
      </c>
      <c r="CN59" s="167">
        <f t="shared" si="14"/>
        <v>2214.342404</v>
      </c>
      <c r="CO59" s="167">
        <f t="shared" si="14"/>
        <v>2767.928005</v>
      </c>
      <c r="CP59" s="167">
        <f t="shared" si="14"/>
        <v>2767.928005</v>
      </c>
      <c r="CQ59" s="167">
        <f t="shared" si="14"/>
        <v>2767.928005</v>
      </c>
      <c r="CR59" s="167">
        <f t="shared" si="14"/>
        <v>3321.513605</v>
      </c>
      <c r="CS59" s="167">
        <f t="shared" si="14"/>
        <v>3321.513605</v>
      </c>
      <c r="CT59" s="167">
        <f t="shared" si="14"/>
        <v>3321.513605</v>
      </c>
      <c r="CU59" s="167">
        <f t="shared" si="14"/>
        <v>3321.513605</v>
      </c>
      <c r="CV59" s="167">
        <f t="shared" si="14"/>
        <v>3321.513605</v>
      </c>
      <c r="CW59" s="167">
        <f t="shared" si="14"/>
        <v>3321.513605</v>
      </c>
      <c r="CX59" s="167">
        <f t="shared" si="14"/>
        <v>3390.711806</v>
      </c>
      <c r="CY59" s="167">
        <f t="shared" si="14"/>
        <v>3390.711806</v>
      </c>
      <c r="CZ59" s="167">
        <f t="shared" si="14"/>
        <v>3875.099206</v>
      </c>
      <c r="DA59" s="167">
        <f t="shared" si="14"/>
        <v>3875.099206</v>
      </c>
      <c r="DB59" s="167">
        <f t="shared" si="14"/>
        <v>3875.099206</v>
      </c>
      <c r="DC59" s="167">
        <f t="shared" si="14"/>
        <v>4359.486607</v>
      </c>
      <c r="DD59" s="167">
        <f t="shared" si="14"/>
        <v>4359.486607</v>
      </c>
      <c r="DE59" s="167">
        <f t="shared" si="14"/>
        <v>4843.874008</v>
      </c>
      <c r="DF59" s="167">
        <f t="shared" si="14"/>
        <v>4843.874008</v>
      </c>
      <c r="DG59" s="167">
        <f t="shared" si="14"/>
        <v>4843.874008</v>
      </c>
      <c r="DH59" s="167">
        <f t="shared" si="14"/>
        <v>4843.874008</v>
      </c>
      <c r="DI59" s="167">
        <f t="shared" si="14"/>
        <v>4843.874008</v>
      </c>
    </row>
    <row r="60" ht="12.75" customHeight="1">
      <c r="A60" s="115"/>
      <c r="B60" s="170">
        <v>1.5</v>
      </c>
      <c r="C60" s="91"/>
      <c r="D60" s="91"/>
      <c r="E60" s="91"/>
      <c r="F60" s="91"/>
      <c r="G60" s="91"/>
      <c r="H60" s="91"/>
      <c r="I60" s="91"/>
      <c r="J60" s="91"/>
      <c r="K60" s="91"/>
      <c r="L60" s="91"/>
      <c r="M60" s="91"/>
      <c r="N60" s="91"/>
      <c r="O60" s="91"/>
      <c r="P60" s="91"/>
      <c r="Q60" s="91"/>
      <c r="R60" s="91"/>
      <c r="S60" s="91"/>
      <c r="T60" s="91"/>
      <c r="U60" s="112">
        <v>0.08</v>
      </c>
      <c r="V60" s="91">
        <f t="shared" si="11"/>
        <v>18</v>
      </c>
      <c r="W60" s="171">
        <v>598.0</v>
      </c>
      <c r="X60" s="149">
        <f t="shared" si="12"/>
        <v>33.22222222</v>
      </c>
      <c r="Y60" s="149">
        <f t="shared" si="13"/>
        <v>47.84</v>
      </c>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c r="CM60" s="91"/>
      <c r="CN60" s="91"/>
      <c r="CO60" s="91"/>
      <c r="CP60" s="91"/>
      <c r="CQ60" s="91"/>
      <c r="CR60" s="91"/>
      <c r="CS60" s="91"/>
      <c r="CT60" s="91"/>
      <c r="CU60" s="91"/>
      <c r="CV60" s="91"/>
      <c r="CW60" s="91"/>
      <c r="CX60" s="91"/>
      <c r="CY60" s="91"/>
      <c r="CZ60" s="91"/>
      <c r="DA60" s="91"/>
      <c r="DB60" s="91"/>
      <c r="DC60" s="91"/>
      <c r="DD60" s="91"/>
      <c r="DE60" s="91"/>
      <c r="DF60" s="91"/>
      <c r="DG60" s="91"/>
      <c r="DH60" s="91"/>
      <c r="DI60" s="91"/>
    </row>
    <row r="61" ht="12.75" customHeight="1">
      <c r="A61" s="115"/>
      <c r="B61" s="91">
        <v>0.25</v>
      </c>
      <c r="C61" s="91"/>
      <c r="D61" s="91"/>
      <c r="E61" s="91"/>
      <c r="F61" s="91"/>
      <c r="G61" s="91"/>
      <c r="H61" s="91"/>
      <c r="I61" s="91"/>
      <c r="J61" s="91"/>
      <c r="K61" s="91"/>
      <c r="L61" s="91"/>
      <c r="M61" s="91"/>
      <c r="N61" s="91"/>
      <c r="O61" s="91"/>
      <c r="P61" s="91"/>
      <c r="Q61" s="91"/>
      <c r="R61" s="91"/>
      <c r="S61" s="91"/>
      <c r="T61" s="91"/>
      <c r="U61" s="112">
        <v>0.875</v>
      </c>
      <c r="V61" s="91">
        <f t="shared" si="11"/>
        <v>3</v>
      </c>
      <c r="W61" s="171">
        <v>118.0</v>
      </c>
      <c r="X61" s="149">
        <f t="shared" si="12"/>
        <v>39.33333333</v>
      </c>
      <c r="Y61" s="149">
        <f t="shared" si="13"/>
        <v>103.25</v>
      </c>
      <c r="Z61" s="91"/>
      <c r="AA61" s="91"/>
      <c r="AB61" s="91"/>
      <c r="AC61" s="91"/>
      <c r="AD61" s="91"/>
      <c r="AE61" s="91"/>
      <c r="AF61" s="91"/>
      <c r="AG61" s="91"/>
      <c r="AH61" s="91"/>
      <c r="AI61" s="91"/>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c r="CM61" s="91"/>
      <c r="CN61" s="91"/>
      <c r="CO61" s="91"/>
      <c r="CP61" s="91"/>
      <c r="CQ61" s="91"/>
      <c r="CR61" s="91"/>
      <c r="CS61" s="91"/>
      <c r="CT61" s="91"/>
      <c r="CU61" s="91"/>
      <c r="CV61" s="91"/>
      <c r="CW61" s="91"/>
      <c r="CX61" s="91"/>
      <c r="CY61" s="91"/>
      <c r="CZ61" s="91"/>
      <c r="DA61" s="91"/>
      <c r="DB61" s="91"/>
      <c r="DC61" s="91"/>
      <c r="DD61" s="91"/>
      <c r="DE61" s="91"/>
      <c r="DF61" s="91"/>
      <c r="DG61" s="91"/>
      <c r="DH61" s="91"/>
    </row>
    <row r="62" ht="12.75" customHeight="1">
      <c r="A62" s="115"/>
      <c r="B62" s="91"/>
      <c r="C62" s="91"/>
      <c r="D62" s="91"/>
      <c r="E62" s="91"/>
      <c r="F62" s="91"/>
      <c r="G62" s="91"/>
      <c r="H62" s="91"/>
      <c r="I62" s="91"/>
      <c r="J62" s="91"/>
      <c r="K62" s="91"/>
      <c r="L62" s="91"/>
      <c r="M62" s="91"/>
      <c r="N62" s="91"/>
      <c r="O62" s="91"/>
      <c r="P62" s="91"/>
      <c r="Q62" s="91"/>
      <c r="R62" s="91"/>
      <c r="S62" s="91"/>
      <c r="T62" s="91"/>
      <c r="U62" s="91"/>
      <c r="V62" s="94"/>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c r="CM62" s="91"/>
      <c r="CN62" s="91"/>
      <c r="CO62" s="91"/>
      <c r="CP62" s="91"/>
      <c r="CQ62" s="91"/>
      <c r="CR62" s="91"/>
      <c r="CS62" s="91"/>
      <c r="CT62" s="91"/>
      <c r="CU62" s="91"/>
      <c r="CV62" s="91"/>
      <c r="CW62" s="91"/>
      <c r="CX62" s="91"/>
      <c r="CY62" s="91"/>
      <c r="CZ62" s="91"/>
      <c r="DA62" s="91"/>
      <c r="DB62" s="91"/>
      <c r="DC62" s="91"/>
      <c r="DD62" s="91"/>
      <c r="DE62" s="91"/>
      <c r="DF62" s="91"/>
      <c r="DG62" s="91"/>
      <c r="DH62" s="91"/>
    </row>
    <row r="63" ht="12.75" customHeight="1">
      <c r="A63" s="115"/>
      <c r="B63" s="91"/>
      <c r="C63" s="91"/>
      <c r="D63" s="91"/>
      <c r="E63" s="91"/>
      <c r="F63" s="91"/>
      <c r="G63" s="91"/>
      <c r="H63" s="91"/>
      <c r="I63" s="91"/>
      <c r="J63" s="91"/>
      <c r="K63" s="91"/>
      <c r="L63" s="91"/>
      <c r="M63" s="91"/>
      <c r="N63" s="91"/>
      <c r="O63" s="91"/>
      <c r="P63" s="91"/>
      <c r="Q63" s="91"/>
      <c r="R63" s="91"/>
      <c r="S63" s="91"/>
      <c r="T63" s="91"/>
      <c r="U63" s="173"/>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c r="CM63" s="91"/>
      <c r="CN63" s="91"/>
      <c r="CO63" s="91"/>
      <c r="CP63" s="91"/>
      <c r="CQ63" s="91"/>
      <c r="CR63" s="91"/>
      <c r="CS63" s="91"/>
      <c r="CT63" s="91"/>
      <c r="CU63" s="91"/>
      <c r="CV63" s="91"/>
      <c r="CW63" s="91"/>
      <c r="CX63" s="91"/>
      <c r="CY63" s="91"/>
      <c r="CZ63" s="91"/>
      <c r="DA63" s="91"/>
      <c r="DB63" s="91"/>
      <c r="DC63" s="91"/>
      <c r="DD63" s="91"/>
      <c r="DE63" s="91"/>
      <c r="DF63" s="91"/>
      <c r="DG63" s="91"/>
      <c r="DH63" s="91"/>
    </row>
    <row r="64" ht="12.75" customHeight="1">
      <c r="A64" s="115"/>
      <c r="B64" s="91"/>
      <c r="U64" s="112">
        <f>SUM(U58:U63)</f>
        <v>1</v>
      </c>
      <c r="Y64" s="174">
        <f>SUM(Y58:Y61)</f>
        <v>206.455</v>
      </c>
    </row>
    <row r="65" ht="12.75" customHeight="1">
      <c r="A65" s="115"/>
      <c r="B65" s="91"/>
    </row>
    <row r="66" ht="12.75" customHeight="1">
      <c r="A66" s="115"/>
      <c r="B66" s="91"/>
    </row>
    <row r="67" ht="12.75" customHeight="1">
      <c r="A67" s="115"/>
      <c r="B67" s="91"/>
    </row>
    <row r="68" ht="12.75" hidden="1" customHeight="1">
      <c r="A68" s="115"/>
      <c r="U68" s="168" t="s">
        <v>287</v>
      </c>
    </row>
    <row r="69" ht="12.75" hidden="1" customHeight="1">
      <c r="A69" s="175" t="s">
        <v>288</v>
      </c>
      <c r="B69" s="91"/>
      <c r="U69" s="96">
        <f>+U8</f>
        <v>43951</v>
      </c>
      <c r="V69" s="94" t="str">
        <f>+#REF!-#REF!*#REF!/12</f>
        <v>#REF!</v>
      </c>
      <c r="W69" s="94" t="str">
        <f t="shared" ref="W69:CB69" si="15">IF(V69&gt;0.005,(V69-#REF!*#REF!/12),0)</f>
        <v>#REF!</v>
      </c>
      <c r="X69" s="94" t="str">
        <f t="shared" si="15"/>
        <v>#REF!</v>
      </c>
      <c r="Y69" s="94" t="str">
        <f t="shared" si="15"/>
        <v>#REF!</v>
      </c>
      <c r="Z69" s="94" t="str">
        <f t="shared" si="15"/>
        <v>#REF!</v>
      </c>
      <c r="AA69" s="94" t="str">
        <f t="shared" si="15"/>
        <v>#REF!</v>
      </c>
      <c r="AB69" s="94" t="str">
        <f t="shared" si="15"/>
        <v>#REF!</v>
      </c>
      <c r="AC69" s="94" t="str">
        <f t="shared" si="15"/>
        <v>#REF!</v>
      </c>
      <c r="AD69" s="94" t="str">
        <f t="shared" si="15"/>
        <v>#REF!</v>
      </c>
      <c r="AE69" s="94" t="str">
        <f t="shared" si="15"/>
        <v>#REF!</v>
      </c>
      <c r="AF69" s="94" t="str">
        <f t="shared" si="15"/>
        <v>#REF!</v>
      </c>
      <c r="AG69" s="94" t="str">
        <f t="shared" si="15"/>
        <v>#REF!</v>
      </c>
      <c r="AH69" s="94" t="str">
        <f t="shared" si="15"/>
        <v>#REF!</v>
      </c>
      <c r="AI69" s="94" t="str">
        <f t="shared" si="15"/>
        <v>#REF!</v>
      </c>
      <c r="AJ69" s="94" t="str">
        <f t="shared" si="15"/>
        <v>#REF!</v>
      </c>
      <c r="AK69" s="94" t="str">
        <f t="shared" si="15"/>
        <v>#REF!</v>
      </c>
      <c r="AL69" s="94" t="str">
        <f t="shared" si="15"/>
        <v>#REF!</v>
      </c>
      <c r="AM69" s="94" t="str">
        <f t="shared" si="15"/>
        <v>#REF!</v>
      </c>
      <c r="AN69" s="94" t="str">
        <f t="shared" si="15"/>
        <v>#REF!</v>
      </c>
      <c r="AO69" s="94" t="str">
        <f t="shared" si="15"/>
        <v>#REF!</v>
      </c>
      <c r="AP69" s="94" t="str">
        <f t="shared" si="15"/>
        <v>#REF!</v>
      </c>
      <c r="AQ69" s="94" t="str">
        <f t="shared" si="15"/>
        <v>#REF!</v>
      </c>
      <c r="AR69" s="94" t="str">
        <f t="shared" si="15"/>
        <v>#REF!</v>
      </c>
      <c r="AS69" s="94" t="str">
        <f t="shared" si="15"/>
        <v>#REF!</v>
      </c>
      <c r="AT69" s="94" t="str">
        <f t="shared" si="15"/>
        <v>#REF!</v>
      </c>
      <c r="AU69" s="94" t="str">
        <f t="shared" si="15"/>
        <v>#REF!</v>
      </c>
      <c r="AV69" s="94" t="str">
        <f t="shared" si="15"/>
        <v>#REF!</v>
      </c>
      <c r="AW69" s="94" t="str">
        <f t="shared" si="15"/>
        <v>#REF!</v>
      </c>
      <c r="AX69" s="94" t="str">
        <f t="shared" si="15"/>
        <v>#REF!</v>
      </c>
      <c r="AY69" s="94" t="str">
        <f t="shared" si="15"/>
        <v>#REF!</v>
      </c>
      <c r="AZ69" s="94" t="str">
        <f t="shared" si="15"/>
        <v>#REF!</v>
      </c>
      <c r="BA69" s="94" t="str">
        <f t="shared" si="15"/>
        <v>#REF!</v>
      </c>
      <c r="BB69" s="94" t="str">
        <f t="shared" si="15"/>
        <v>#REF!</v>
      </c>
      <c r="BC69" s="94" t="str">
        <f t="shared" si="15"/>
        <v>#REF!</v>
      </c>
      <c r="BD69" s="94" t="str">
        <f t="shared" si="15"/>
        <v>#REF!</v>
      </c>
      <c r="BE69" s="94" t="str">
        <f t="shared" si="15"/>
        <v>#REF!</v>
      </c>
      <c r="BF69" s="94" t="str">
        <f t="shared" si="15"/>
        <v>#REF!</v>
      </c>
      <c r="BG69" s="94" t="str">
        <f t="shared" si="15"/>
        <v>#REF!</v>
      </c>
      <c r="BH69" s="94" t="str">
        <f t="shared" si="15"/>
        <v>#REF!</v>
      </c>
      <c r="BI69" s="94" t="str">
        <f t="shared" si="15"/>
        <v>#REF!</v>
      </c>
      <c r="BJ69" s="94" t="str">
        <f t="shared" si="15"/>
        <v>#REF!</v>
      </c>
      <c r="BK69" s="94" t="str">
        <f t="shared" si="15"/>
        <v>#REF!</v>
      </c>
      <c r="BL69" s="94" t="str">
        <f t="shared" si="15"/>
        <v>#REF!</v>
      </c>
      <c r="BM69" s="94" t="str">
        <f t="shared" si="15"/>
        <v>#REF!</v>
      </c>
      <c r="BN69" s="94" t="str">
        <f t="shared" si="15"/>
        <v>#REF!</v>
      </c>
      <c r="BO69" s="94" t="str">
        <f t="shared" si="15"/>
        <v>#REF!</v>
      </c>
      <c r="BP69" s="94" t="str">
        <f t="shared" si="15"/>
        <v>#REF!</v>
      </c>
      <c r="BQ69" s="94" t="str">
        <f t="shared" si="15"/>
        <v>#REF!</v>
      </c>
      <c r="BR69" s="94" t="str">
        <f t="shared" si="15"/>
        <v>#REF!</v>
      </c>
      <c r="BS69" s="94" t="str">
        <f t="shared" si="15"/>
        <v>#REF!</v>
      </c>
      <c r="BT69" s="94" t="str">
        <f t="shared" si="15"/>
        <v>#REF!</v>
      </c>
      <c r="BU69" s="94" t="str">
        <f t="shared" si="15"/>
        <v>#REF!</v>
      </c>
      <c r="BV69" s="94" t="str">
        <f t="shared" si="15"/>
        <v>#REF!</v>
      </c>
      <c r="BW69" s="94" t="str">
        <f t="shared" si="15"/>
        <v>#REF!</v>
      </c>
      <c r="BX69" s="94" t="str">
        <f t="shared" si="15"/>
        <v>#REF!</v>
      </c>
      <c r="BY69" s="94" t="str">
        <f t="shared" si="15"/>
        <v>#REF!</v>
      </c>
      <c r="BZ69" s="94" t="str">
        <f t="shared" si="15"/>
        <v>#REF!</v>
      </c>
      <c r="CA69" s="94" t="str">
        <f t="shared" si="15"/>
        <v>#REF!</v>
      </c>
      <c r="CB69" s="94" t="str">
        <f t="shared" si="15"/>
        <v>#REF!</v>
      </c>
      <c r="CC69" s="94"/>
      <c r="CD69" s="94"/>
      <c r="CE69" s="94"/>
      <c r="CF69" s="94"/>
      <c r="CG69" s="94"/>
      <c r="CH69" s="94"/>
      <c r="CI69" s="94"/>
      <c r="CJ69" s="94"/>
      <c r="CK69" s="94"/>
      <c r="CL69" s="94"/>
      <c r="CM69" s="94"/>
      <c r="CN69" s="94"/>
      <c r="CO69" s="94"/>
      <c r="CP69" s="94"/>
      <c r="CQ69" s="94"/>
      <c r="CR69" s="94"/>
      <c r="CS69" s="94"/>
      <c r="CT69" s="94"/>
      <c r="CU69" s="94"/>
      <c r="CV69" s="94"/>
    </row>
    <row r="70" ht="12.75" hidden="1" customHeight="1">
      <c r="B70" s="96"/>
      <c r="U70" s="96">
        <v>43982.0</v>
      </c>
      <c r="V70" s="94" t="str">
        <f>+U17*#REF!</f>
        <v>#REF!</v>
      </c>
      <c r="W70" s="94" t="str">
        <f t="shared" ref="W70:CB70" si="16">IF(V70&gt;0.005,(V70-$V70*#REF!/12),0)</f>
        <v>#REF!</v>
      </c>
      <c r="X70" s="94" t="str">
        <f t="shared" si="16"/>
        <v>#REF!</v>
      </c>
      <c r="Y70" s="94" t="str">
        <f t="shared" si="16"/>
        <v>#REF!</v>
      </c>
      <c r="Z70" s="94" t="str">
        <f t="shared" si="16"/>
        <v>#REF!</v>
      </c>
      <c r="AA70" s="94" t="str">
        <f t="shared" si="16"/>
        <v>#REF!</v>
      </c>
      <c r="AB70" s="94" t="str">
        <f t="shared" si="16"/>
        <v>#REF!</v>
      </c>
      <c r="AC70" s="94" t="str">
        <f t="shared" si="16"/>
        <v>#REF!</v>
      </c>
      <c r="AD70" s="94" t="str">
        <f t="shared" si="16"/>
        <v>#REF!</v>
      </c>
      <c r="AE70" s="94" t="str">
        <f t="shared" si="16"/>
        <v>#REF!</v>
      </c>
      <c r="AF70" s="94" t="str">
        <f t="shared" si="16"/>
        <v>#REF!</v>
      </c>
      <c r="AG70" s="94" t="str">
        <f t="shared" si="16"/>
        <v>#REF!</v>
      </c>
      <c r="AH70" s="94" t="str">
        <f t="shared" si="16"/>
        <v>#REF!</v>
      </c>
      <c r="AI70" s="94" t="str">
        <f t="shared" si="16"/>
        <v>#REF!</v>
      </c>
      <c r="AJ70" s="94" t="str">
        <f t="shared" si="16"/>
        <v>#REF!</v>
      </c>
      <c r="AK70" s="94" t="str">
        <f t="shared" si="16"/>
        <v>#REF!</v>
      </c>
      <c r="AL70" s="94" t="str">
        <f t="shared" si="16"/>
        <v>#REF!</v>
      </c>
      <c r="AM70" s="94" t="str">
        <f t="shared" si="16"/>
        <v>#REF!</v>
      </c>
      <c r="AN70" s="94" t="str">
        <f t="shared" si="16"/>
        <v>#REF!</v>
      </c>
      <c r="AO70" s="94" t="str">
        <f t="shared" si="16"/>
        <v>#REF!</v>
      </c>
      <c r="AP70" s="94" t="str">
        <f t="shared" si="16"/>
        <v>#REF!</v>
      </c>
      <c r="AQ70" s="94" t="str">
        <f t="shared" si="16"/>
        <v>#REF!</v>
      </c>
      <c r="AR70" s="94" t="str">
        <f t="shared" si="16"/>
        <v>#REF!</v>
      </c>
      <c r="AS70" s="94" t="str">
        <f t="shared" si="16"/>
        <v>#REF!</v>
      </c>
      <c r="AT70" s="94" t="str">
        <f t="shared" si="16"/>
        <v>#REF!</v>
      </c>
      <c r="AU70" s="94" t="str">
        <f t="shared" si="16"/>
        <v>#REF!</v>
      </c>
      <c r="AV70" s="94" t="str">
        <f t="shared" si="16"/>
        <v>#REF!</v>
      </c>
      <c r="AW70" s="94" t="str">
        <f t="shared" si="16"/>
        <v>#REF!</v>
      </c>
      <c r="AX70" s="94" t="str">
        <f t="shared" si="16"/>
        <v>#REF!</v>
      </c>
      <c r="AY70" s="94" t="str">
        <f t="shared" si="16"/>
        <v>#REF!</v>
      </c>
      <c r="AZ70" s="94" t="str">
        <f t="shared" si="16"/>
        <v>#REF!</v>
      </c>
      <c r="BA70" s="94" t="str">
        <f t="shared" si="16"/>
        <v>#REF!</v>
      </c>
      <c r="BB70" s="94" t="str">
        <f t="shared" si="16"/>
        <v>#REF!</v>
      </c>
      <c r="BC70" s="94" t="str">
        <f t="shared" si="16"/>
        <v>#REF!</v>
      </c>
      <c r="BD70" s="94" t="str">
        <f t="shared" si="16"/>
        <v>#REF!</v>
      </c>
      <c r="BE70" s="94" t="str">
        <f t="shared" si="16"/>
        <v>#REF!</v>
      </c>
      <c r="BF70" s="94" t="str">
        <f t="shared" si="16"/>
        <v>#REF!</v>
      </c>
      <c r="BG70" s="94" t="str">
        <f t="shared" si="16"/>
        <v>#REF!</v>
      </c>
      <c r="BH70" s="94" t="str">
        <f t="shared" si="16"/>
        <v>#REF!</v>
      </c>
      <c r="BI70" s="94" t="str">
        <f t="shared" si="16"/>
        <v>#REF!</v>
      </c>
      <c r="BJ70" s="94" t="str">
        <f t="shared" si="16"/>
        <v>#REF!</v>
      </c>
      <c r="BK70" s="94" t="str">
        <f t="shared" si="16"/>
        <v>#REF!</v>
      </c>
      <c r="BL70" s="94" t="str">
        <f t="shared" si="16"/>
        <v>#REF!</v>
      </c>
      <c r="BM70" s="94" t="str">
        <f t="shared" si="16"/>
        <v>#REF!</v>
      </c>
      <c r="BN70" s="94" t="str">
        <f t="shared" si="16"/>
        <v>#REF!</v>
      </c>
      <c r="BO70" s="94" t="str">
        <f t="shared" si="16"/>
        <v>#REF!</v>
      </c>
      <c r="BP70" s="94" t="str">
        <f t="shared" si="16"/>
        <v>#REF!</v>
      </c>
      <c r="BQ70" s="94" t="str">
        <f t="shared" si="16"/>
        <v>#REF!</v>
      </c>
      <c r="BR70" s="94" t="str">
        <f t="shared" si="16"/>
        <v>#REF!</v>
      </c>
      <c r="BS70" s="94" t="str">
        <f t="shared" si="16"/>
        <v>#REF!</v>
      </c>
      <c r="BT70" s="94" t="str">
        <f t="shared" si="16"/>
        <v>#REF!</v>
      </c>
      <c r="BU70" s="94" t="str">
        <f t="shared" si="16"/>
        <v>#REF!</v>
      </c>
      <c r="BV70" s="94" t="str">
        <f t="shared" si="16"/>
        <v>#REF!</v>
      </c>
      <c r="BW70" s="94" t="str">
        <f t="shared" si="16"/>
        <v>#REF!</v>
      </c>
      <c r="BX70" s="94" t="str">
        <f t="shared" si="16"/>
        <v>#REF!</v>
      </c>
      <c r="BY70" s="94" t="str">
        <f t="shared" si="16"/>
        <v>#REF!</v>
      </c>
      <c r="BZ70" s="94" t="str">
        <f t="shared" si="16"/>
        <v>#REF!</v>
      </c>
      <c r="CA70" s="94" t="str">
        <f t="shared" si="16"/>
        <v>#REF!</v>
      </c>
      <c r="CB70" s="94" t="str">
        <f t="shared" si="16"/>
        <v>#REF!</v>
      </c>
      <c r="CC70" s="94"/>
      <c r="CD70" s="94"/>
      <c r="CE70" s="94"/>
      <c r="CF70" s="94"/>
      <c r="CG70" s="94"/>
      <c r="CH70" s="94"/>
      <c r="CI70" s="94"/>
      <c r="CJ70" s="94"/>
      <c r="CK70" s="94"/>
      <c r="CL70" s="94"/>
      <c r="CM70" s="94"/>
      <c r="CN70" s="94"/>
      <c r="CO70" s="94"/>
      <c r="CP70" s="94"/>
      <c r="CQ70" s="94"/>
      <c r="CR70" s="94"/>
      <c r="CS70" s="94"/>
      <c r="CT70" s="94"/>
      <c r="CU70" s="94"/>
      <c r="CV70" s="94"/>
    </row>
    <row r="71" ht="12.75" hidden="1" customHeight="1">
      <c r="U71" s="96">
        <v>44012.0</v>
      </c>
      <c r="V71" s="94"/>
      <c r="W71" s="94" t="str">
        <f>+V$17*#REF!</f>
        <v>#REF!</v>
      </c>
      <c r="X71" s="94" t="str">
        <f t="shared" ref="X71:CB71" si="17">IF(W71&gt;0.005,(W71-$W71*#REF!/12),0)</f>
        <v>#REF!</v>
      </c>
      <c r="Y71" s="94" t="str">
        <f t="shared" si="17"/>
        <v>#REF!</v>
      </c>
      <c r="Z71" s="94" t="str">
        <f t="shared" si="17"/>
        <v>#REF!</v>
      </c>
      <c r="AA71" s="94" t="str">
        <f t="shared" si="17"/>
        <v>#REF!</v>
      </c>
      <c r="AB71" s="94" t="str">
        <f t="shared" si="17"/>
        <v>#REF!</v>
      </c>
      <c r="AC71" s="94" t="str">
        <f t="shared" si="17"/>
        <v>#REF!</v>
      </c>
      <c r="AD71" s="94" t="str">
        <f t="shared" si="17"/>
        <v>#REF!</v>
      </c>
      <c r="AE71" s="94" t="str">
        <f t="shared" si="17"/>
        <v>#REF!</v>
      </c>
      <c r="AF71" s="94" t="str">
        <f t="shared" si="17"/>
        <v>#REF!</v>
      </c>
      <c r="AG71" s="94" t="str">
        <f t="shared" si="17"/>
        <v>#REF!</v>
      </c>
      <c r="AH71" s="94" t="str">
        <f t="shared" si="17"/>
        <v>#REF!</v>
      </c>
      <c r="AI71" s="94" t="str">
        <f t="shared" si="17"/>
        <v>#REF!</v>
      </c>
      <c r="AJ71" s="94" t="str">
        <f t="shared" si="17"/>
        <v>#REF!</v>
      </c>
      <c r="AK71" s="94" t="str">
        <f t="shared" si="17"/>
        <v>#REF!</v>
      </c>
      <c r="AL71" s="94" t="str">
        <f t="shared" si="17"/>
        <v>#REF!</v>
      </c>
      <c r="AM71" s="94" t="str">
        <f t="shared" si="17"/>
        <v>#REF!</v>
      </c>
      <c r="AN71" s="94" t="str">
        <f t="shared" si="17"/>
        <v>#REF!</v>
      </c>
      <c r="AO71" s="94" t="str">
        <f t="shared" si="17"/>
        <v>#REF!</v>
      </c>
      <c r="AP71" s="94" t="str">
        <f t="shared" si="17"/>
        <v>#REF!</v>
      </c>
      <c r="AQ71" s="94" t="str">
        <f t="shared" si="17"/>
        <v>#REF!</v>
      </c>
      <c r="AR71" s="94" t="str">
        <f t="shared" si="17"/>
        <v>#REF!</v>
      </c>
      <c r="AS71" s="94" t="str">
        <f t="shared" si="17"/>
        <v>#REF!</v>
      </c>
      <c r="AT71" s="94" t="str">
        <f t="shared" si="17"/>
        <v>#REF!</v>
      </c>
      <c r="AU71" s="94" t="str">
        <f t="shared" si="17"/>
        <v>#REF!</v>
      </c>
      <c r="AV71" s="94" t="str">
        <f t="shared" si="17"/>
        <v>#REF!</v>
      </c>
      <c r="AW71" s="94" t="str">
        <f t="shared" si="17"/>
        <v>#REF!</v>
      </c>
      <c r="AX71" s="94" t="str">
        <f t="shared" si="17"/>
        <v>#REF!</v>
      </c>
      <c r="AY71" s="94" t="str">
        <f t="shared" si="17"/>
        <v>#REF!</v>
      </c>
      <c r="AZ71" s="94" t="str">
        <f t="shared" si="17"/>
        <v>#REF!</v>
      </c>
      <c r="BA71" s="94" t="str">
        <f t="shared" si="17"/>
        <v>#REF!</v>
      </c>
      <c r="BB71" s="94" t="str">
        <f t="shared" si="17"/>
        <v>#REF!</v>
      </c>
      <c r="BC71" s="94" t="str">
        <f t="shared" si="17"/>
        <v>#REF!</v>
      </c>
      <c r="BD71" s="94" t="str">
        <f t="shared" si="17"/>
        <v>#REF!</v>
      </c>
      <c r="BE71" s="94" t="str">
        <f t="shared" si="17"/>
        <v>#REF!</v>
      </c>
      <c r="BF71" s="94" t="str">
        <f t="shared" si="17"/>
        <v>#REF!</v>
      </c>
      <c r="BG71" s="94" t="str">
        <f t="shared" si="17"/>
        <v>#REF!</v>
      </c>
      <c r="BH71" s="94" t="str">
        <f t="shared" si="17"/>
        <v>#REF!</v>
      </c>
      <c r="BI71" s="94" t="str">
        <f t="shared" si="17"/>
        <v>#REF!</v>
      </c>
      <c r="BJ71" s="94" t="str">
        <f t="shared" si="17"/>
        <v>#REF!</v>
      </c>
      <c r="BK71" s="94" t="str">
        <f t="shared" si="17"/>
        <v>#REF!</v>
      </c>
      <c r="BL71" s="94" t="str">
        <f t="shared" si="17"/>
        <v>#REF!</v>
      </c>
      <c r="BM71" s="94" t="str">
        <f t="shared" si="17"/>
        <v>#REF!</v>
      </c>
      <c r="BN71" s="94" t="str">
        <f t="shared" si="17"/>
        <v>#REF!</v>
      </c>
      <c r="BO71" s="94" t="str">
        <f t="shared" si="17"/>
        <v>#REF!</v>
      </c>
      <c r="BP71" s="94" t="str">
        <f t="shared" si="17"/>
        <v>#REF!</v>
      </c>
      <c r="BQ71" s="94" t="str">
        <f t="shared" si="17"/>
        <v>#REF!</v>
      </c>
      <c r="BR71" s="94" t="str">
        <f t="shared" si="17"/>
        <v>#REF!</v>
      </c>
      <c r="BS71" s="94" t="str">
        <f t="shared" si="17"/>
        <v>#REF!</v>
      </c>
      <c r="BT71" s="94" t="str">
        <f t="shared" si="17"/>
        <v>#REF!</v>
      </c>
      <c r="BU71" s="94" t="str">
        <f t="shared" si="17"/>
        <v>#REF!</v>
      </c>
      <c r="BV71" s="94" t="str">
        <f t="shared" si="17"/>
        <v>#REF!</v>
      </c>
      <c r="BW71" s="94" t="str">
        <f t="shared" si="17"/>
        <v>#REF!</v>
      </c>
      <c r="BX71" s="94" t="str">
        <f t="shared" si="17"/>
        <v>#REF!</v>
      </c>
      <c r="BY71" s="94" t="str">
        <f t="shared" si="17"/>
        <v>#REF!</v>
      </c>
      <c r="BZ71" s="94" t="str">
        <f t="shared" si="17"/>
        <v>#REF!</v>
      </c>
      <c r="CA71" s="94" t="str">
        <f t="shared" si="17"/>
        <v>#REF!</v>
      </c>
      <c r="CB71" s="94" t="str">
        <f t="shared" si="17"/>
        <v>#REF!</v>
      </c>
      <c r="CC71" s="94"/>
      <c r="CD71" s="94"/>
      <c r="CE71" s="94"/>
      <c r="CF71" s="94"/>
      <c r="CG71" s="94"/>
      <c r="CH71" s="94"/>
      <c r="CI71" s="94"/>
      <c r="CJ71" s="94"/>
      <c r="CK71" s="94"/>
      <c r="CL71" s="94"/>
      <c r="CM71" s="94"/>
      <c r="CN71" s="94"/>
      <c r="CO71" s="94"/>
      <c r="CP71" s="94"/>
      <c r="CQ71" s="94"/>
      <c r="CR71" s="94"/>
      <c r="CS71" s="94"/>
      <c r="CT71" s="94"/>
      <c r="CU71" s="94"/>
      <c r="CV71" s="94"/>
    </row>
    <row r="72" ht="12.75" hidden="1" customHeight="1">
      <c r="U72" s="96">
        <v>44043.0</v>
      </c>
      <c r="V72" s="94"/>
      <c r="W72" s="94"/>
      <c r="X72" s="94" t="str">
        <f>+W$17*#REF!</f>
        <v>#REF!</v>
      </c>
      <c r="Y72" s="94" t="str">
        <f t="shared" ref="Y72:CB72" si="18">IF(X72&gt;0.005,(X72-$X72*#REF!/12),0)</f>
        <v>#REF!</v>
      </c>
      <c r="Z72" s="94" t="str">
        <f t="shared" si="18"/>
        <v>#REF!</v>
      </c>
      <c r="AA72" s="94" t="str">
        <f t="shared" si="18"/>
        <v>#REF!</v>
      </c>
      <c r="AB72" s="94" t="str">
        <f t="shared" si="18"/>
        <v>#REF!</v>
      </c>
      <c r="AC72" s="94" t="str">
        <f t="shared" si="18"/>
        <v>#REF!</v>
      </c>
      <c r="AD72" s="94" t="str">
        <f t="shared" si="18"/>
        <v>#REF!</v>
      </c>
      <c r="AE72" s="94" t="str">
        <f t="shared" si="18"/>
        <v>#REF!</v>
      </c>
      <c r="AF72" s="94" t="str">
        <f t="shared" si="18"/>
        <v>#REF!</v>
      </c>
      <c r="AG72" s="94" t="str">
        <f t="shared" si="18"/>
        <v>#REF!</v>
      </c>
      <c r="AH72" s="94" t="str">
        <f t="shared" si="18"/>
        <v>#REF!</v>
      </c>
      <c r="AI72" s="94" t="str">
        <f t="shared" si="18"/>
        <v>#REF!</v>
      </c>
      <c r="AJ72" s="94" t="str">
        <f t="shared" si="18"/>
        <v>#REF!</v>
      </c>
      <c r="AK72" s="94" t="str">
        <f t="shared" si="18"/>
        <v>#REF!</v>
      </c>
      <c r="AL72" s="94" t="str">
        <f t="shared" si="18"/>
        <v>#REF!</v>
      </c>
      <c r="AM72" s="94" t="str">
        <f t="shared" si="18"/>
        <v>#REF!</v>
      </c>
      <c r="AN72" s="94" t="str">
        <f t="shared" si="18"/>
        <v>#REF!</v>
      </c>
      <c r="AO72" s="94" t="str">
        <f t="shared" si="18"/>
        <v>#REF!</v>
      </c>
      <c r="AP72" s="94" t="str">
        <f t="shared" si="18"/>
        <v>#REF!</v>
      </c>
      <c r="AQ72" s="94" t="str">
        <f t="shared" si="18"/>
        <v>#REF!</v>
      </c>
      <c r="AR72" s="94" t="str">
        <f t="shared" si="18"/>
        <v>#REF!</v>
      </c>
      <c r="AS72" s="94" t="str">
        <f t="shared" si="18"/>
        <v>#REF!</v>
      </c>
      <c r="AT72" s="94" t="str">
        <f t="shared" si="18"/>
        <v>#REF!</v>
      </c>
      <c r="AU72" s="94" t="str">
        <f t="shared" si="18"/>
        <v>#REF!</v>
      </c>
      <c r="AV72" s="94" t="str">
        <f t="shared" si="18"/>
        <v>#REF!</v>
      </c>
      <c r="AW72" s="94" t="str">
        <f t="shared" si="18"/>
        <v>#REF!</v>
      </c>
      <c r="AX72" s="94" t="str">
        <f t="shared" si="18"/>
        <v>#REF!</v>
      </c>
      <c r="AY72" s="94" t="str">
        <f t="shared" si="18"/>
        <v>#REF!</v>
      </c>
      <c r="AZ72" s="94" t="str">
        <f t="shared" si="18"/>
        <v>#REF!</v>
      </c>
      <c r="BA72" s="94" t="str">
        <f t="shared" si="18"/>
        <v>#REF!</v>
      </c>
      <c r="BB72" s="94" t="str">
        <f t="shared" si="18"/>
        <v>#REF!</v>
      </c>
      <c r="BC72" s="94" t="str">
        <f t="shared" si="18"/>
        <v>#REF!</v>
      </c>
      <c r="BD72" s="94" t="str">
        <f t="shared" si="18"/>
        <v>#REF!</v>
      </c>
      <c r="BE72" s="94" t="str">
        <f t="shared" si="18"/>
        <v>#REF!</v>
      </c>
      <c r="BF72" s="94" t="str">
        <f t="shared" si="18"/>
        <v>#REF!</v>
      </c>
      <c r="BG72" s="94" t="str">
        <f t="shared" si="18"/>
        <v>#REF!</v>
      </c>
      <c r="BH72" s="94" t="str">
        <f t="shared" si="18"/>
        <v>#REF!</v>
      </c>
      <c r="BI72" s="94" t="str">
        <f t="shared" si="18"/>
        <v>#REF!</v>
      </c>
      <c r="BJ72" s="94" t="str">
        <f t="shared" si="18"/>
        <v>#REF!</v>
      </c>
      <c r="BK72" s="94" t="str">
        <f t="shared" si="18"/>
        <v>#REF!</v>
      </c>
      <c r="BL72" s="94" t="str">
        <f t="shared" si="18"/>
        <v>#REF!</v>
      </c>
      <c r="BM72" s="94" t="str">
        <f t="shared" si="18"/>
        <v>#REF!</v>
      </c>
      <c r="BN72" s="94" t="str">
        <f t="shared" si="18"/>
        <v>#REF!</v>
      </c>
      <c r="BO72" s="94" t="str">
        <f t="shared" si="18"/>
        <v>#REF!</v>
      </c>
      <c r="BP72" s="94" t="str">
        <f t="shared" si="18"/>
        <v>#REF!</v>
      </c>
      <c r="BQ72" s="94" t="str">
        <f t="shared" si="18"/>
        <v>#REF!</v>
      </c>
      <c r="BR72" s="94" t="str">
        <f t="shared" si="18"/>
        <v>#REF!</v>
      </c>
      <c r="BS72" s="94" t="str">
        <f t="shared" si="18"/>
        <v>#REF!</v>
      </c>
      <c r="BT72" s="94" t="str">
        <f t="shared" si="18"/>
        <v>#REF!</v>
      </c>
      <c r="BU72" s="94" t="str">
        <f t="shared" si="18"/>
        <v>#REF!</v>
      </c>
      <c r="BV72" s="94" t="str">
        <f t="shared" si="18"/>
        <v>#REF!</v>
      </c>
      <c r="BW72" s="94" t="str">
        <f t="shared" si="18"/>
        <v>#REF!</v>
      </c>
      <c r="BX72" s="94" t="str">
        <f t="shared" si="18"/>
        <v>#REF!</v>
      </c>
      <c r="BY72" s="94" t="str">
        <f t="shared" si="18"/>
        <v>#REF!</v>
      </c>
      <c r="BZ72" s="94" t="str">
        <f t="shared" si="18"/>
        <v>#REF!</v>
      </c>
      <c r="CA72" s="94" t="str">
        <f t="shared" si="18"/>
        <v>#REF!</v>
      </c>
      <c r="CB72" s="94" t="str">
        <f t="shared" si="18"/>
        <v>#REF!</v>
      </c>
      <c r="CC72" s="94"/>
      <c r="CD72" s="94"/>
      <c r="CE72" s="94"/>
      <c r="CF72" s="94"/>
      <c r="CG72" s="94"/>
      <c r="CH72" s="94"/>
      <c r="CI72" s="94"/>
      <c r="CJ72" s="94"/>
      <c r="CK72" s="94"/>
      <c r="CL72" s="94"/>
      <c r="CM72" s="94"/>
      <c r="CN72" s="94"/>
      <c r="CO72" s="94"/>
      <c r="CP72" s="94"/>
      <c r="CQ72" s="94"/>
      <c r="CR72" s="94"/>
      <c r="CS72" s="94"/>
      <c r="CT72" s="94"/>
      <c r="CU72" s="94"/>
      <c r="CV72" s="94"/>
    </row>
    <row r="73" ht="12.75" hidden="1" customHeight="1">
      <c r="U73" s="96">
        <v>44074.0</v>
      </c>
      <c r="V73" s="94"/>
      <c r="W73" s="94"/>
      <c r="X73" s="94"/>
      <c r="Y73" s="94" t="str">
        <f>+X$17*#REF!</f>
        <v>#REF!</v>
      </c>
      <c r="Z73" s="94" t="str">
        <f t="shared" ref="Z73:CB73" si="19">IF(Y73&gt;0.005,(Y73-$Y73*#REF!/12),0)</f>
        <v>#REF!</v>
      </c>
      <c r="AA73" s="94" t="str">
        <f t="shared" si="19"/>
        <v>#REF!</v>
      </c>
      <c r="AB73" s="94" t="str">
        <f t="shared" si="19"/>
        <v>#REF!</v>
      </c>
      <c r="AC73" s="94" t="str">
        <f t="shared" si="19"/>
        <v>#REF!</v>
      </c>
      <c r="AD73" s="94" t="str">
        <f t="shared" si="19"/>
        <v>#REF!</v>
      </c>
      <c r="AE73" s="94" t="str">
        <f t="shared" si="19"/>
        <v>#REF!</v>
      </c>
      <c r="AF73" s="94" t="str">
        <f t="shared" si="19"/>
        <v>#REF!</v>
      </c>
      <c r="AG73" s="94" t="str">
        <f t="shared" si="19"/>
        <v>#REF!</v>
      </c>
      <c r="AH73" s="94" t="str">
        <f t="shared" si="19"/>
        <v>#REF!</v>
      </c>
      <c r="AI73" s="94" t="str">
        <f t="shared" si="19"/>
        <v>#REF!</v>
      </c>
      <c r="AJ73" s="94" t="str">
        <f t="shared" si="19"/>
        <v>#REF!</v>
      </c>
      <c r="AK73" s="94" t="str">
        <f t="shared" si="19"/>
        <v>#REF!</v>
      </c>
      <c r="AL73" s="94" t="str">
        <f t="shared" si="19"/>
        <v>#REF!</v>
      </c>
      <c r="AM73" s="94" t="str">
        <f t="shared" si="19"/>
        <v>#REF!</v>
      </c>
      <c r="AN73" s="94" t="str">
        <f t="shared" si="19"/>
        <v>#REF!</v>
      </c>
      <c r="AO73" s="94" t="str">
        <f t="shared" si="19"/>
        <v>#REF!</v>
      </c>
      <c r="AP73" s="94" t="str">
        <f t="shared" si="19"/>
        <v>#REF!</v>
      </c>
      <c r="AQ73" s="94" t="str">
        <f t="shared" si="19"/>
        <v>#REF!</v>
      </c>
      <c r="AR73" s="94" t="str">
        <f t="shared" si="19"/>
        <v>#REF!</v>
      </c>
      <c r="AS73" s="94" t="str">
        <f t="shared" si="19"/>
        <v>#REF!</v>
      </c>
      <c r="AT73" s="94" t="str">
        <f t="shared" si="19"/>
        <v>#REF!</v>
      </c>
      <c r="AU73" s="94" t="str">
        <f t="shared" si="19"/>
        <v>#REF!</v>
      </c>
      <c r="AV73" s="94" t="str">
        <f t="shared" si="19"/>
        <v>#REF!</v>
      </c>
      <c r="AW73" s="94" t="str">
        <f t="shared" si="19"/>
        <v>#REF!</v>
      </c>
      <c r="AX73" s="94" t="str">
        <f t="shared" si="19"/>
        <v>#REF!</v>
      </c>
      <c r="AY73" s="94" t="str">
        <f t="shared" si="19"/>
        <v>#REF!</v>
      </c>
      <c r="AZ73" s="94" t="str">
        <f t="shared" si="19"/>
        <v>#REF!</v>
      </c>
      <c r="BA73" s="94" t="str">
        <f t="shared" si="19"/>
        <v>#REF!</v>
      </c>
      <c r="BB73" s="94" t="str">
        <f t="shared" si="19"/>
        <v>#REF!</v>
      </c>
      <c r="BC73" s="94" t="str">
        <f t="shared" si="19"/>
        <v>#REF!</v>
      </c>
      <c r="BD73" s="94" t="str">
        <f t="shared" si="19"/>
        <v>#REF!</v>
      </c>
      <c r="BE73" s="94" t="str">
        <f t="shared" si="19"/>
        <v>#REF!</v>
      </c>
      <c r="BF73" s="94" t="str">
        <f t="shared" si="19"/>
        <v>#REF!</v>
      </c>
      <c r="BG73" s="94" t="str">
        <f t="shared" si="19"/>
        <v>#REF!</v>
      </c>
      <c r="BH73" s="94" t="str">
        <f t="shared" si="19"/>
        <v>#REF!</v>
      </c>
      <c r="BI73" s="94" t="str">
        <f t="shared" si="19"/>
        <v>#REF!</v>
      </c>
      <c r="BJ73" s="94" t="str">
        <f t="shared" si="19"/>
        <v>#REF!</v>
      </c>
      <c r="BK73" s="94" t="str">
        <f t="shared" si="19"/>
        <v>#REF!</v>
      </c>
      <c r="BL73" s="94" t="str">
        <f t="shared" si="19"/>
        <v>#REF!</v>
      </c>
      <c r="BM73" s="94" t="str">
        <f t="shared" si="19"/>
        <v>#REF!</v>
      </c>
      <c r="BN73" s="94" t="str">
        <f t="shared" si="19"/>
        <v>#REF!</v>
      </c>
      <c r="BO73" s="94" t="str">
        <f t="shared" si="19"/>
        <v>#REF!</v>
      </c>
      <c r="BP73" s="94" t="str">
        <f t="shared" si="19"/>
        <v>#REF!</v>
      </c>
      <c r="BQ73" s="94" t="str">
        <f t="shared" si="19"/>
        <v>#REF!</v>
      </c>
      <c r="BR73" s="94" t="str">
        <f t="shared" si="19"/>
        <v>#REF!</v>
      </c>
      <c r="BS73" s="94" t="str">
        <f t="shared" si="19"/>
        <v>#REF!</v>
      </c>
      <c r="BT73" s="94" t="str">
        <f t="shared" si="19"/>
        <v>#REF!</v>
      </c>
      <c r="BU73" s="94" t="str">
        <f t="shared" si="19"/>
        <v>#REF!</v>
      </c>
      <c r="BV73" s="94" t="str">
        <f t="shared" si="19"/>
        <v>#REF!</v>
      </c>
      <c r="BW73" s="94" t="str">
        <f t="shared" si="19"/>
        <v>#REF!</v>
      </c>
      <c r="BX73" s="94" t="str">
        <f t="shared" si="19"/>
        <v>#REF!</v>
      </c>
      <c r="BY73" s="94" t="str">
        <f t="shared" si="19"/>
        <v>#REF!</v>
      </c>
      <c r="BZ73" s="94" t="str">
        <f t="shared" si="19"/>
        <v>#REF!</v>
      </c>
      <c r="CA73" s="94" t="str">
        <f t="shared" si="19"/>
        <v>#REF!</v>
      </c>
      <c r="CB73" s="94" t="str">
        <f t="shared" si="19"/>
        <v>#REF!</v>
      </c>
      <c r="CC73" s="94"/>
      <c r="CD73" s="94"/>
      <c r="CE73" s="94"/>
      <c r="CF73" s="94"/>
      <c r="CG73" s="94"/>
      <c r="CH73" s="94"/>
      <c r="CI73" s="94"/>
      <c r="CJ73" s="94"/>
      <c r="CK73" s="94"/>
      <c r="CL73" s="94"/>
      <c r="CM73" s="94"/>
      <c r="CN73" s="94"/>
      <c r="CO73" s="94"/>
      <c r="CP73" s="94"/>
      <c r="CQ73" s="94"/>
      <c r="CR73" s="94"/>
      <c r="CS73" s="94"/>
      <c r="CT73" s="94"/>
      <c r="CU73" s="94"/>
      <c r="CV73" s="94"/>
    </row>
    <row r="74" ht="12.75" hidden="1" customHeight="1">
      <c r="U74" s="96">
        <v>44104.0</v>
      </c>
      <c r="V74" s="94"/>
      <c r="W74" s="94"/>
      <c r="X74" s="94"/>
      <c r="Y74" s="94"/>
      <c r="Z74" s="94" t="str">
        <f>+Y$17*#REF!</f>
        <v>#REF!</v>
      </c>
      <c r="AA74" s="94" t="str">
        <f t="shared" ref="AA74:CB74" si="20">IF(Z74&gt;0.005,(Z74-$Z74*#REF!/12),0)</f>
        <v>#REF!</v>
      </c>
      <c r="AB74" s="94" t="str">
        <f t="shared" si="20"/>
        <v>#REF!</v>
      </c>
      <c r="AC74" s="94" t="str">
        <f t="shared" si="20"/>
        <v>#REF!</v>
      </c>
      <c r="AD74" s="94" t="str">
        <f t="shared" si="20"/>
        <v>#REF!</v>
      </c>
      <c r="AE74" s="94" t="str">
        <f t="shared" si="20"/>
        <v>#REF!</v>
      </c>
      <c r="AF74" s="94" t="str">
        <f t="shared" si="20"/>
        <v>#REF!</v>
      </c>
      <c r="AG74" s="94" t="str">
        <f t="shared" si="20"/>
        <v>#REF!</v>
      </c>
      <c r="AH74" s="94" t="str">
        <f t="shared" si="20"/>
        <v>#REF!</v>
      </c>
      <c r="AI74" s="94" t="str">
        <f t="shared" si="20"/>
        <v>#REF!</v>
      </c>
      <c r="AJ74" s="94" t="str">
        <f t="shared" si="20"/>
        <v>#REF!</v>
      </c>
      <c r="AK74" s="94" t="str">
        <f t="shared" si="20"/>
        <v>#REF!</v>
      </c>
      <c r="AL74" s="94" t="str">
        <f t="shared" si="20"/>
        <v>#REF!</v>
      </c>
      <c r="AM74" s="94" t="str">
        <f t="shared" si="20"/>
        <v>#REF!</v>
      </c>
      <c r="AN74" s="94" t="str">
        <f t="shared" si="20"/>
        <v>#REF!</v>
      </c>
      <c r="AO74" s="94" t="str">
        <f t="shared" si="20"/>
        <v>#REF!</v>
      </c>
      <c r="AP74" s="94" t="str">
        <f t="shared" si="20"/>
        <v>#REF!</v>
      </c>
      <c r="AQ74" s="94" t="str">
        <f t="shared" si="20"/>
        <v>#REF!</v>
      </c>
      <c r="AR74" s="94" t="str">
        <f t="shared" si="20"/>
        <v>#REF!</v>
      </c>
      <c r="AS74" s="94" t="str">
        <f t="shared" si="20"/>
        <v>#REF!</v>
      </c>
      <c r="AT74" s="94" t="str">
        <f t="shared" si="20"/>
        <v>#REF!</v>
      </c>
      <c r="AU74" s="94" t="str">
        <f t="shared" si="20"/>
        <v>#REF!</v>
      </c>
      <c r="AV74" s="94" t="str">
        <f t="shared" si="20"/>
        <v>#REF!</v>
      </c>
      <c r="AW74" s="94" t="str">
        <f t="shared" si="20"/>
        <v>#REF!</v>
      </c>
      <c r="AX74" s="94" t="str">
        <f t="shared" si="20"/>
        <v>#REF!</v>
      </c>
      <c r="AY74" s="94" t="str">
        <f t="shared" si="20"/>
        <v>#REF!</v>
      </c>
      <c r="AZ74" s="94" t="str">
        <f t="shared" si="20"/>
        <v>#REF!</v>
      </c>
      <c r="BA74" s="94" t="str">
        <f t="shared" si="20"/>
        <v>#REF!</v>
      </c>
      <c r="BB74" s="94" t="str">
        <f t="shared" si="20"/>
        <v>#REF!</v>
      </c>
      <c r="BC74" s="94" t="str">
        <f t="shared" si="20"/>
        <v>#REF!</v>
      </c>
      <c r="BD74" s="94" t="str">
        <f t="shared" si="20"/>
        <v>#REF!</v>
      </c>
      <c r="BE74" s="94" t="str">
        <f t="shared" si="20"/>
        <v>#REF!</v>
      </c>
      <c r="BF74" s="94" t="str">
        <f t="shared" si="20"/>
        <v>#REF!</v>
      </c>
      <c r="BG74" s="94" t="str">
        <f t="shared" si="20"/>
        <v>#REF!</v>
      </c>
      <c r="BH74" s="94" t="str">
        <f t="shared" si="20"/>
        <v>#REF!</v>
      </c>
      <c r="BI74" s="94" t="str">
        <f t="shared" si="20"/>
        <v>#REF!</v>
      </c>
      <c r="BJ74" s="94" t="str">
        <f t="shared" si="20"/>
        <v>#REF!</v>
      </c>
      <c r="BK74" s="94" t="str">
        <f t="shared" si="20"/>
        <v>#REF!</v>
      </c>
      <c r="BL74" s="94" t="str">
        <f t="shared" si="20"/>
        <v>#REF!</v>
      </c>
      <c r="BM74" s="94" t="str">
        <f t="shared" si="20"/>
        <v>#REF!</v>
      </c>
      <c r="BN74" s="94" t="str">
        <f t="shared" si="20"/>
        <v>#REF!</v>
      </c>
      <c r="BO74" s="94" t="str">
        <f t="shared" si="20"/>
        <v>#REF!</v>
      </c>
      <c r="BP74" s="94" t="str">
        <f t="shared" si="20"/>
        <v>#REF!</v>
      </c>
      <c r="BQ74" s="94" t="str">
        <f t="shared" si="20"/>
        <v>#REF!</v>
      </c>
      <c r="BR74" s="94" t="str">
        <f t="shared" si="20"/>
        <v>#REF!</v>
      </c>
      <c r="BS74" s="94" t="str">
        <f t="shared" si="20"/>
        <v>#REF!</v>
      </c>
      <c r="BT74" s="94" t="str">
        <f t="shared" si="20"/>
        <v>#REF!</v>
      </c>
      <c r="BU74" s="94" t="str">
        <f t="shared" si="20"/>
        <v>#REF!</v>
      </c>
      <c r="BV74" s="94" t="str">
        <f t="shared" si="20"/>
        <v>#REF!</v>
      </c>
      <c r="BW74" s="94" t="str">
        <f t="shared" si="20"/>
        <v>#REF!</v>
      </c>
      <c r="BX74" s="94" t="str">
        <f t="shared" si="20"/>
        <v>#REF!</v>
      </c>
      <c r="BY74" s="94" t="str">
        <f t="shared" si="20"/>
        <v>#REF!</v>
      </c>
      <c r="BZ74" s="94" t="str">
        <f t="shared" si="20"/>
        <v>#REF!</v>
      </c>
      <c r="CA74" s="94" t="str">
        <f t="shared" si="20"/>
        <v>#REF!</v>
      </c>
      <c r="CB74" s="94" t="str">
        <f t="shared" si="20"/>
        <v>#REF!</v>
      </c>
      <c r="CC74" s="94"/>
      <c r="CD74" s="94"/>
      <c r="CE74" s="94"/>
      <c r="CF74" s="94"/>
      <c r="CG74" s="94"/>
      <c r="CH74" s="94"/>
      <c r="CI74" s="94"/>
      <c r="CJ74" s="94"/>
      <c r="CK74" s="94"/>
      <c r="CL74" s="94"/>
      <c r="CM74" s="94"/>
      <c r="CN74" s="94"/>
      <c r="CO74" s="94"/>
      <c r="CP74" s="94"/>
      <c r="CQ74" s="94"/>
      <c r="CR74" s="94"/>
      <c r="CS74" s="94"/>
      <c r="CT74" s="94"/>
      <c r="CU74" s="94"/>
      <c r="CV74" s="94"/>
    </row>
    <row r="75" ht="12.75" hidden="1" customHeight="1">
      <c r="U75" s="96">
        <v>44135.0</v>
      </c>
      <c r="V75" s="94"/>
      <c r="W75" s="94"/>
      <c r="X75" s="94"/>
      <c r="Y75" s="94"/>
      <c r="Z75" s="94"/>
      <c r="AA75" s="94" t="str">
        <f>+Z$17*#REF!</f>
        <v>#REF!</v>
      </c>
      <c r="AB75" s="94" t="str">
        <f t="shared" ref="AB75:CB75" si="21">IF(AA75&gt;0.005,(AA75-$AA75*#REF!/12),0)</f>
        <v>#REF!</v>
      </c>
      <c r="AC75" s="94" t="str">
        <f t="shared" si="21"/>
        <v>#REF!</v>
      </c>
      <c r="AD75" s="94" t="str">
        <f t="shared" si="21"/>
        <v>#REF!</v>
      </c>
      <c r="AE75" s="94" t="str">
        <f t="shared" si="21"/>
        <v>#REF!</v>
      </c>
      <c r="AF75" s="94" t="str">
        <f t="shared" si="21"/>
        <v>#REF!</v>
      </c>
      <c r="AG75" s="94" t="str">
        <f t="shared" si="21"/>
        <v>#REF!</v>
      </c>
      <c r="AH75" s="94" t="str">
        <f t="shared" si="21"/>
        <v>#REF!</v>
      </c>
      <c r="AI75" s="94" t="str">
        <f t="shared" si="21"/>
        <v>#REF!</v>
      </c>
      <c r="AJ75" s="94" t="str">
        <f t="shared" si="21"/>
        <v>#REF!</v>
      </c>
      <c r="AK75" s="94" t="str">
        <f t="shared" si="21"/>
        <v>#REF!</v>
      </c>
      <c r="AL75" s="94" t="str">
        <f t="shared" si="21"/>
        <v>#REF!</v>
      </c>
      <c r="AM75" s="94" t="str">
        <f t="shared" si="21"/>
        <v>#REF!</v>
      </c>
      <c r="AN75" s="94" t="str">
        <f t="shared" si="21"/>
        <v>#REF!</v>
      </c>
      <c r="AO75" s="94" t="str">
        <f t="shared" si="21"/>
        <v>#REF!</v>
      </c>
      <c r="AP75" s="94" t="str">
        <f t="shared" si="21"/>
        <v>#REF!</v>
      </c>
      <c r="AQ75" s="94" t="str">
        <f t="shared" si="21"/>
        <v>#REF!</v>
      </c>
      <c r="AR75" s="94" t="str">
        <f t="shared" si="21"/>
        <v>#REF!</v>
      </c>
      <c r="AS75" s="94" t="str">
        <f t="shared" si="21"/>
        <v>#REF!</v>
      </c>
      <c r="AT75" s="94" t="str">
        <f t="shared" si="21"/>
        <v>#REF!</v>
      </c>
      <c r="AU75" s="94" t="str">
        <f t="shared" si="21"/>
        <v>#REF!</v>
      </c>
      <c r="AV75" s="94" t="str">
        <f t="shared" si="21"/>
        <v>#REF!</v>
      </c>
      <c r="AW75" s="94" t="str">
        <f t="shared" si="21"/>
        <v>#REF!</v>
      </c>
      <c r="AX75" s="94" t="str">
        <f t="shared" si="21"/>
        <v>#REF!</v>
      </c>
      <c r="AY75" s="94" t="str">
        <f t="shared" si="21"/>
        <v>#REF!</v>
      </c>
      <c r="AZ75" s="94" t="str">
        <f t="shared" si="21"/>
        <v>#REF!</v>
      </c>
      <c r="BA75" s="94" t="str">
        <f t="shared" si="21"/>
        <v>#REF!</v>
      </c>
      <c r="BB75" s="94" t="str">
        <f t="shared" si="21"/>
        <v>#REF!</v>
      </c>
      <c r="BC75" s="94" t="str">
        <f t="shared" si="21"/>
        <v>#REF!</v>
      </c>
      <c r="BD75" s="94" t="str">
        <f t="shared" si="21"/>
        <v>#REF!</v>
      </c>
      <c r="BE75" s="94" t="str">
        <f t="shared" si="21"/>
        <v>#REF!</v>
      </c>
      <c r="BF75" s="94" t="str">
        <f t="shared" si="21"/>
        <v>#REF!</v>
      </c>
      <c r="BG75" s="94" t="str">
        <f t="shared" si="21"/>
        <v>#REF!</v>
      </c>
      <c r="BH75" s="94" t="str">
        <f t="shared" si="21"/>
        <v>#REF!</v>
      </c>
      <c r="BI75" s="94" t="str">
        <f t="shared" si="21"/>
        <v>#REF!</v>
      </c>
      <c r="BJ75" s="94" t="str">
        <f t="shared" si="21"/>
        <v>#REF!</v>
      </c>
      <c r="BK75" s="94" t="str">
        <f t="shared" si="21"/>
        <v>#REF!</v>
      </c>
      <c r="BL75" s="94" t="str">
        <f t="shared" si="21"/>
        <v>#REF!</v>
      </c>
      <c r="BM75" s="94" t="str">
        <f t="shared" si="21"/>
        <v>#REF!</v>
      </c>
      <c r="BN75" s="94" t="str">
        <f t="shared" si="21"/>
        <v>#REF!</v>
      </c>
      <c r="BO75" s="94" t="str">
        <f t="shared" si="21"/>
        <v>#REF!</v>
      </c>
      <c r="BP75" s="94" t="str">
        <f t="shared" si="21"/>
        <v>#REF!</v>
      </c>
      <c r="BQ75" s="94" t="str">
        <f t="shared" si="21"/>
        <v>#REF!</v>
      </c>
      <c r="BR75" s="94" t="str">
        <f t="shared" si="21"/>
        <v>#REF!</v>
      </c>
      <c r="BS75" s="94" t="str">
        <f t="shared" si="21"/>
        <v>#REF!</v>
      </c>
      <c r="BT75" s="94" t="str">
        <f t="shared" si="21"/>
        <v>#REF!</v>
      </c>
      <c r="BU75" s="94" t="str">
        <f t="shared" si="21"/>
        <v>#REF!</v>
      </c>
      <c r="BV75" s="94" t="str">
        <f t="shared" si="21"/>
        <v>#REF!</v>
      </c>
      <c r="BW75" s="94" t="str">
        <f t="shared" si="21"/>
        <v>#REF!</v>
      </c>
      <c r="BX75" s="94" t="str">
        <f t="shared" si="21"/>
        <v>#REF!</v>
      </c>
      <c r="BY75" s="94" t="str">
        <f t="shared" si="21"/>
        <v>#REF!</v>
      </c>
      <c r="BZ75" s="94" t="str">
        <f t="shared" si="21"/>
        <v>#REF!</v>
      </c>
      <c r="CA75" s="94" t="str">
        <f t="shared" si="21"/>
        <v>#REF!</v>
      </c>
      <c r="CB75" s="94" t="str">
        <f t="shared" si="21"/>
        <v>#REF!</v>
      </c>
      <c r="CC75" s="94"/>
      <c r="CD75" s="94"/>
      <c r="CE75" s="94"/>
      <c r="CF75" s="94"/>
      <c r="CG75" s="94"/>
      <c r="CH75" s="94"/>
      <c r="CI75" s="94"/>
      <c r="CJ75" s="94"/>
      <c r="CK75" s="94"/>
      <c r="CL75" s="94"/>
      <c r="CM75" s="94"/>
      <c r="CN75" s="94"/>
      <c r="CO75" s="94"/>
      <c r="CP75" s="94"/>
      <c r="CQ75" s="94"/>
      <c r="CR75" s="94"/>
      <c r="CS75" s="94"/>
      <c r="CT75" s="94"/>
      <c r="CU75" s="94"/>
      <c r="CV75" s="94"/>
    </row>
    <row r="76" ht="12.75" hidden="1" customHeight="1">
      <c r="U76" s="96">
        <v>44165.0</v>
      </c>
      <c r="V76" s="94"/>
      <c r="W76" s="94"/>
      <c r="X76" s="94"/>
      <c r="Y76" s="94"/>
      <c r="Z76" s="94"/>
      <c r="AA76" s="94"/>
      <c r="AB76" s="94" t="str">
        <f>+AA$17*#REF!</f>
        <v>#REF!</v>
      </c>
      <c r="AC76" s="94" t="str">
        <f t="shared" ref="AC76:CB76" si="22">IF(AB76&gt;0.005,(AB76-$AB76*#REF!/12),0)</f>
        <v>#REF!</v>
      </c>
      <c r="AD76" s="94" t="str">
        <f t="shared" si="22"/>
        <v>#REF!</v>
      </c>
      <c r="AE76" s="94" t="str">
        <f t="shared" si="22"/>
        <v>#REF!</v>
      </c>
      <c r="AF76" s="94" t="str">
        <f t="shared" si="22"/>
        <v>#REF!</v>
      </c>
      <c r="AG76" s="94" t="str">
        <f t="shared" si="22"/>
        <v>#REF!</v>
      </c>
      <c r="AH76" s="94" t="str">
        <f t="shared" si="22"/>
        <v>#REF!</v>
      </c>
      <c r="AI76" s="94" t="str">
        <f t="shared" si="22"/>
        <v>#REF!</v>
      </c>
      <c r="AJ76" s="94" t="str">
        <f t="shared" si="22"/>
        <v>#REF!</v>
      </c>
      <c r="AK76" s="94" t="str">
        <f t="shared" si="22"/>
        <v>#REF!</v>
      </c>
      <c r="AL76" s="94" t="str">
        <f t="shared" si="22"/>
        <v>#REF!</v>
      </c>
      <c r="AM76" s="94" t="str">
        <f t="shared" si="22"/>
        <v>#REF!</v>
      </c>
      <c r="AN76" s="94" t="str">
        <f t="shared" si="22"/>
        <v>#REF!</v>
      </c>
      <c r="AO76" s="94" t="str">
        <f t="shared" si="22"/>
        <v>#REF!</v>
      </c>
      <c r="AP76" s="94" t="str">
        <f t="shared" si="22"/>
        <v>#REF!</v>
      </c>
      <c r="AQ76" s="94" t="str">
        <f t="shared" si="22"/>
        <v>#REF!</v>
      </c>
      <c r="AR76" s="94" t="str">
        <f t="shared" si="22"/>
        <v>#REF!</v>
      </c>
      <c r="AS76" s="94" t="str">
        <f t="shared" si="22"/>
        <v>#REF!</v>
      </c>
      <c r="AT76" s="94" t="str">
        <f t="shared" si="22"/>
        <v>#REF!</v>
      </c>
      <c r="AU76" s="94" t="str">
        <f t="shared" si="22"/>
        <v>#REF!</v>
      </c>
      <c r="AV76" s="94" t="str">
        <f t="shared" si="22"/>
        <v>#REF!</v>
      </c>
      <c r="AW76" s="94" t="str">
        <f t="shared" si="22"/>
        <v>#REF!</v>
      </c>
      <c r="AX76" s="94" t="str">
        <f t="shared" si="22"/>
        <v>#REF!</v>
      </c>
      <c r="AY76" s="94" t="str">
        <f t="shared" si="22"/>
        <v>#REF!</v>
      </c>
      <c r="AZ76" s="94" t="str">
        <f t="shared" si="22"/>
        <v>#REF!</v>
      </c>
      <c r="BA76" s="94" t="str">
        <f t="shared" si="22"/>
        <v>#REF!</v>
      </c>
      <c r="BB76" s="94" t="str">
        <f t="shared" si="22"/>
        <v>#REF!</v>
      </c>
      <c r="BC76" s="94" t="str">
        <f t="shared" si="22"/>
        <v>#REF!</v>
      </c>
      <c r="BD76" s="94" t="str">
        <f t="shared" si="22"/>
        <v>#REF!</v>
      </c>
      <c r="BE76" s="94" t="str">
        <f t="shared" si="22"/>
        <v>#REF!</v>
      </c>
      <c r="BF76" s="94" t="str">
        <f t="shared" si="22"/>
        <v>#REF!</v>
      </c>
      <c r="BG76" s="94" t="str">
        <f t="shared" si="22"/>
        <v>#REF!</v>
      </c>
      <c r="BH76" s="94" t="str">
        <f t="shared" si="22"/>
        <v>#REF!</v>
      </c>
      <c r="BI76" s="94" t="str">
        <f t="shared" si="22"/>
        <v>#REF!</v>
      </c>
      <c r="BJ76" s="94" t="str">
        <f t="shared" si="22"/>
        <v>#REF!</v>
      </c>
      <c r="BK76" s="94" t="str">
        <f t="shared" si="22"/>
        <v>#REF!</v>
      </c>
      <c r="BL76" s="94" t="str">
        <f t="shared" si="22"/>
        <v>#REF!</v>
      </c>
      <c r="BM76" s="94" t="str">
        <f t="shared" si="22"/>
        <v>#REF!</v>
      </c>
      <c r="BN76" s="94" t="str">
        <f t="shared" si="22"/>
        <v>#REF!</v>
      </c>
      <c r="BO76" s="94" t="str">
        <f t="shared" si="22"/>
        <v>#REF!</v>
      </c>
      <c r="BP76" s="94" t="str">
        <f t="shared" si="22"/>
        <v>#REF!</v>
      </c>
      <c r="BQ76" s="94" t="str">
        <f t="shared" si="22"/>
        <v>#REF!</v>
      </c>
      <c r="BR76" s="94" t="str">
        <f t="shared" si="22"/>
        <v>#REF!</v>
      </c>
      <c r="BS76" s="94" t="str">
        <f t="shared" si="22"/>
        <v>#REF!</v>
      </c>
      <c r="BT76" s="94" t="str">
        <f t="shared" si="22"/>
        <v>#REF!</v>
      </c>
      <c r="BU76" s="94" t="str">
        <f t="shared" si="22"/>
        <v>#REF!</v>
      </c>
      <c r="BV76" s="94" t="str">
        <f t="shared" si="22"/>
        <v>#REF!</v>
      </c>
      <c r="BW76" s="94" t="str">
        <f t="shared" si="22"/>
        <v>#REF!</v>
      </c>
      <c r="BX76" s="94" t="str">
        <f t="shared" si="22"/>
        <v>#REF!</v>
      </c>
      <c r="BY76" s="94" t="str">
        <f t="shared" si="22"/>
        <v>#REF!</v>
      </c>
      <c r="BZ76" s="94" t="str">
        <f t="shared" si="22"/>
        <v>#REF!</v>
      </c>
      <c r="CA76" s="94" t="str">
        <f t="shared" si="22"/>
        <v>#REF!</v>
      </c>
      <c r="CB76" s="94" t="str">
        <f t="shared" si="22"/>
        <v>#REF!</v>
      </c>
      <c r="CC76" s="94"/>
      <c r="CD76" s="94"/>
      <c r="CE76" s="94"/>
      <c r="CF76" s="94"/>
      <c r="CG76" s="94"/>
      <c r="CH76" s="94"/>
      <c r="CI76" s="94"/>
      <c r="CJ76" s="94"/>
      <c r="CK76" s="94"/>
      <c r="CL76" s="94"/>
      <c r="CM76" s="94"/>
      <c r="CN76" s="94"/>
      <c r="CO76" s="94"/>
      <c r="CP76" s="94"/>
      <c r="CQ76" s="94"/>
      <c r="CR76" s="94"/>
      <c r="CS76" s="94"/>
      <c r="CT76" s="94"/>
      <c r="CU76" s="94"/>
      <c r="CV76" s="94"/>
      <c r="CW76" s="94"/>
      <c r="CX76" s="94"/>
    </row>
    <row r="77" ht="12.75" hidden="1" customHeight="1">
      <c r="U77" s="96">
        <v>44196.0</v>
      </c>
      <c r="V77" s="94"/>
      <c r="W77" s="94"/>
      <c r="X77" s="94"/>
      <c r="Y77" s="94"/>
      <c r="Z77" s="94"/>
      <c r="AA77" s="94"/>
      <c r="AB77" s="94"/>
      <c r="AC77" s="94" t="str">
        <f>+AB$17*#REF!</f>
        <v>#REF!</v>
      </c>
      <c r="AD77" s="94" t="str">
        <f t="shared" ref="AD77:CB77" si="23">IF(AC77&gt;0.005,(AC77-$AC77*#REF!/12),0)</f>
        <v>#REF!</v>
      </c>
      <c r="AE77" s="94" t="str">
        <f t="shared" si="23"/>
        <v>#REF!</v>
      </c>
      <c r="AF77" s="94" t="str">
        <f t="shared" si="23"/>
        <v>#REF!</v>
      </c>
      <c r="AG77" s="94" t="str">
        <f t="shared" si="23"/>
        <v>#REF!</v>
      </c>
      <c r="AH77" s="94" t="str">
        <f t="shared" si="23"/>
        <v>#REF!</v>
      </c>
      <c r="AI77" s="94" t="str">
        <f t="shared" si="23"/>
        <v>#REF!</v>
      </c>
      <c r="AJ77" s="94" t="str">
        <f t="shared" si="23"/>
        <v>#REF!</v>
      </c>
      <c r="AK77" s="94" t="str">
        <f t="shared" si="23"/>
        <v>#REF!</v>
      </c>
      <c r="AL77" s="94" t="str">
        <f t="shared" si="23"/>
        <v>#REF!</v>
      </c>
      <c r="AM77" s="94" t="str">
        <f t="shared" si="23"/>
        <v>#REF!</v>
      </c>
      <c r="AN77" s="94" t="str">
        <f t="shared" si="23"/>
        <v>#REF!</v>
      </c>
      <c r="AO77" s="94" t="str">
        <f t="shared" si="23"/>
        <v>#REF!</v>
      </c>
      <c r="AP77" s="94" t="str">
        <f t="shared" si="23"/>
        <v>#REF!</v>
      </c>
      <c r="AQ77" s="94" t="str">
        <f t="shared" si="23"/>
        <v>#REF!</v>
      </c>
      <c r="AR77" s="94" t="str">
        <f t="shared" si="23"/>
        <v>#REF!</v>
      </c>
      <c r="AS77" s="94" t="str">
        <f t="shared" si="23"/>
        <v>#REF!</v>
      </c>
      <c r="AT77" s="94" t="str">
        <f t="shared" si="23"/>
        <v>#REF!</v>
      </c>
      <c r="AU77" s="94" t="str">
        <f t="shared" si="23"/>
        <v>#REF!</v>
      </c>
      <c r="AV77" s="94" t="str">
        <f t="shared" si="23"/>
        <v>#REF!</v>
      </c>
      <c r="AW77" s="94" t="str">
        <f t="shared" si="23"/>
        <v>#REF!</v>
      </c>
      <c r="AX77" s="94" t="str">
        <f t="shared" si="23"/>
        <v>#REF!</v>
      </c>
      <c r="AY77" s="94" t="str">
        <f t="shared" si="23"/>
        <v>#REF!</v>
      </c>
      <c r="AZ77" s="94" t="str">
        <f t="shared" si="23"/>
        <v>#REF!</v>
      </c>
      <c r="BA77" s="94" t="str">
        <f t="shared" si="23"/>
        <v>#REF!</v>
      </c>
      <c r="BB77" s="94" t="str">
        <f t="shared" si="23"/>
        <v>#REF!</v>
      </c>
      <c r="BC77" s="94" t="str">
        <f t="shared" si="23"/>
        <v>#REF!</v>
      </c>
      <c r="BD77" s="94" t="str">
        <f t="shared" si="23"/>
        <v>#REF!</v>
      </c>
      <c r="BE77" s="94" t="str">
        <f t="shared" si="23"/>
        <v>#REF!</v>
      </c>
      <c r="BF77" s="94" t="str">
        <f t="shared" si="23"/>
        <v>#REF!</v>
      </c>
      <c r="BG77" s="94" t="str">
        <f t="shared" si="23"/>
        <v>#REF!</v>
      </c>
      <c r="BH77" s="94" t="str">
        <f t="shared" si="23"/>
        <v>#REF!</v>
      </c>
      <c r="BI77" s="94" t="str">
        <f t="shared" si="23"/>
        <v>#REF!</v>
      </c>
      <c r="BJ77" s="94" t="str">
        <f t="shared" si="23"/>
        <v>#REF!</v>
      </c>
      <c r="BK77" s="94" t="str">
        <f t="shared" si="23"/>
        <v>#REF!</v>
      </c>
      <c r="BL77" s="94" t="str">
        <f t="shared" si="23"/>
        <v>#REF!</v>
      </c>
      <c r="BM77" s="94" t="str">
        <f t="shared" si="23"/>
        <v>#REF!</v>
      </c>
      <c r="BN77" s="94" t="str">
        <f t="shared" si="23"/>
        <v>#REF!</v>
      </c>
      <c r="BO77" s="94" t="str">
        <f t="shared" si="23"/>
        <v>#REF!</v>
      </c>
      <c r="BP77" s="94" t="str">
        <f t="shared" si="23"/>
        <v>#REF!</v>
      </c>
      <c r="BQ77" s="94" t="str">
        <f t="shared" si="23"/>
        <v>#REF!</v>
      </c>
      <c r="BR77" s="94" t="str">
        <f t="shared" si="23"/>
        <v>#REF!</v>
      </c>
      <c r="BS77" s="94" t="str">
        <f t="shared" si="23"/>
        <v>#REF!</v>
      </c>
      <c r="BT77" s="94" t="str">
        <f t="shared" si="23"/>
        <v>#REF!</v>
      </c>
      <c r="BU77" s="94" t="str">
        <f t="shared" si="23"/>
        <v>#REF!</v>
      </c>
      <c r="BV77" s="94" t="str">
        <f t="shared" si="23"/>
        <v>#REF!</v>
      </c>
      <c r="BW77" s="94" t="str">
        <f t="shared" si="23"/>
        <v>#REF!</v>
      </c>
      <c r="BX77" s="94" t="str">
        <f t="shared" si="23"/>
        <v>#REF!</v>
      </c>
      <c r="BY77" s="94" t="str">
        <f t="shared" si="23"/>
        <v>#REF!</v>
      </c>
      <c r="BZ77" s="94" t="str">
        <f t="shared" si="23"/>
        <v>#REF!</v>
      </c>
      <c r="CA77" s="94" t="str">
        <f t="shared" si="23"/>
        <v>#REF!</v>
      </c>
      <c r="CB77" s="94" t="str">
        <f t="shared" si="23"/>
        <v>#REF!</v>
      </c>
      <c r="CC77" s="94"/>
      <c r="CD77" s="94"/>
      <c r="CE77" s="94"/>
      <c r="CF77" s="94"/>
      <c r="CG77" s="94"/>
      <c r="CH77" s="94"/>
      <c r="CI77" s="94"/>
      <c r="CJ77" s="94"/>
      <c r="CK77" s="94"/>
      <c r="CL77" s="94"/>
      <c r="CM77" s="94"/>
      <c r="CN77" s="94"/>
      <c r="CO77" s="94"/>
      <c r="CP77" s="94"/>
      <c r="CQ77" s="94"/>
      <c r="CR77" s="94"/>
      <c r="CS77" s="94"/>
      <c r="CT77" s="94"/>
      <c r="CU77" s="94"/>
      <c r="CV77" s="94"/>
      <c r="CW77" s="94"/>
      <c r="CX77" s="94"/>
    </row>
    <row r="78" ht="12.75" hidden="1" customHeight="1">
      <c r="U78" s="96">
        <v>44227.0</v>
      </c>
      <c r="V78" s="94"/>
      <c r="W78" s="94"/>
      <c r="X78" s="94"/>
      <c r="Y78" s="94"/>
      <c r="Z78" s="94"/>
      <c r="AA78" s="94"/>
      <c r="AB78" s="94"/>
      <c r="AC78" s="94"/>
      <c r="AD78" s="94" t="str">
        <f>+AC$17*#REF!</f>
        <v>#REF!</v>
      </c>
      <c r="AE78" s="94" t="str">
        <f t="shared" ref="AE78:CB78" si="24">IF(AD78&gt;0.005,(AD78-$AD78*#REF!/12),0)</f>
        <v>#REF!</v>
      </c>
      <c r="AF78" s="94" t="str">
        <f t="shared" si="24"/>
        <v>#REF!</v>
      </c>
      <c r="AG78" s="94" t="str">
        <f t="shared" si="24"/>
        <v>#REF!</v>
      </c>
      <c r="AH78" s="94" t="str">
        <f t="shared" si="24"/>
        <v>#REF!</v>
      </c>
      <c r="AI78" s="94" t="str">
        <f t="shared" si="24"/>
        <v>#REF!</v>
      </c>
      <c r="AJ78" s="94" t="str">
        <f t="shared" si="24"/>
        <v>#REF!</v>
      </c>
      <c r="AK78" s="94" t="str">
        <f t="shared" si="24"/>
        <v>#REF!</v>
      </c>
      <c r="AL78" s="94" t="str">
        <f t="shared" si="24"/>
        <v>#REF!</v>
      </c>
      <c r="AM78" s="94" t="str">
        <f t="shared" si="24"/>
        <v>#REF!</v>
      </c>
      <c r="AN78" s="94" t="str">
        <f t="shared" si="24"/>
        <v>#REF!</v>
      </c>
      <c r="AO78" s="94" t="str">
        <f t="shared" si="24"/>
        <v>#REF!</v>
      </c>
      <c r="AP78" s="94" t="str">
        <f t="shared" si="24"/>
        <v>#REF!</v>
      </c>
      <c r="AQ78" s="94" t="str">
        <f t="shared" si="24"/>
        <v>#REF!</v>
      </c>
      <c r="AR78" s="94" t="str">
        <f t="shared" si="24"/>
        <v>#REF!</v>
      </c>
      <c r="AS78" s="94" t="str">
        <f t="shared" si="24"/>
        <v>#REF!</v>
      </c>
      <c r="AT78" s="94" t="str">
        <f t="shared" si="24"/>
        <v>#REF!</v>
      </c>
      <c r="AU78" s="94" t="str">
        <f t="shared" si="24"/>
        <v>#REF!</v>
      </c>
      <c r="AV78" s="94" t="str">
        <f t="shared" si="24"/>
        <v>#REF!</v>
      </c>
      <c r="AW78" s="94" t="str">
        <f t="shared" si="24"/>
        <v>#REF!</v>
      </c>
      <c r="AX78" s="94" t="str">
        <f t="shared" si="24"/>
        <v>#REF!</v>
      </c>
      <c r="AY78" s="94" t="str">
        <f t="shared" si="24"/>
        <v>#REF!</v>
      </c>
      <c r="AZ78" s="94" t="str">
        <f t="shared" si="24"/>
        <v>#REF!</v>
      </c>
      <c r="BA78" s="94" t="str">
        <f t="shared" si="24"/>
        <v>#REF!</v>
      </c>
      <c r="BB78" s="94" t="str">
        <f t="shared" si="24"/>
        <v>#REF!</v>
      </c>
      <c r="BC78" s="94" t="str">
        <f t="shared" si="24"/>
        <v>#REF!</v>
      </c>
      <c r="BD78" s="94" t="str">
        <f t="shared" si="24"/>
        <v>#REF!</v>
      </c>
      <c r="BE78" s="94" t="str">
        <f t="shared" si="24"/>
        <v>#REF!</v>
      </c>
      <c r="BF78" s="94" t="str">
        <f t="shared" si="24"/>
        <v>#REF!</v>
      </c>
      <c r="BG78" s="94" t="str">
        <f t="shared" si="24"/>
        <v>#REF!</v>
      </c>
      <c r="BH78" s="94" t="str">
        <f t="shared" si="24"/>
        <v>#REF!</v>
      </c>
      <c r="BI78" s="94" t="str">
        <f t="shared" si="24"/>
        <v>#REF!</v>
      </c>
      <c r="BJ78" s="94" t="str">
        <f t="shared" si="24"/>
        <v>#REF!</v>
      </c>
      <c r="BK78" s="94" t="str">
        <f t="shared" si="24"/>
        <v>#REF!</v>
      </c>
      <c r="BL78" s="94" t="str">
        <f t="shared" si="24"/>
        <v>#REF!</v>
      </c>
      <c r="BM78" s="94" t="str">
        <f t="shared" si="24"/>
        <v>#REF!</v>
      </c>
      <c r="BN78" s="94" t="str">
        <f t="shared" si="24"/>
        <v>#REF!</v>
      </c>
      <c r="BO78" s="94" t="str">
        <f t="shared" si="24"/>
        <v>#REF!</v>
      </c>
      <c r="BP78" s="94" t="str">
        <f t="shared" si="24"/>
        <v>#REF!</v>
      </c>
      <c r="BQ78" s="94" t="str">
        <f t="shared" si="24"/>
        <v>#REF!</v>
      </c>
      <c r="BR78" s="94" t="str">
        <f t="shared" si="24"/>
        <v>#REF!</v>
      </c>
      <c r="BS78" s="94" t="str">
        <f t="shared" si="24"/>
        <v>#REF!</v>
      </c>
      <c r="BT78" s="94" t="str">
        <f t="shared" si="24"/>
        <v>#REF!</v>
      </c>
      <c r="BU78" s="94" t="str">
        <f t="shared" si="24"/>
        <v>#REF!</v>
      </c>
      <c r="BV78" s="94" t="str">
        <f t="shared" si="24"/>
        <v>#REF!</v>
      </c>
      <c r="BW78" s="94" t="str">
        <f t="shared" si="24"/>
        <v>#REF!</v>
      </c>
      <c r="BX78" s="94" t="str">
        <f t="shared" si="24"/>
        <v>#REF!</v>
      </c>
      <c r="BY78" s="94" t="str">
        <f t="shared" si="24"/>
        <v>#REF!</v>
      </c>
      <c r="BZ78" s="94" t="str">
        <f t="shared" si="24"/>
        <v>#REF!</v>
      </c>
      <c r="CA78" s="94" t="str">
        <f t="shared" si="24"/>
        <v>#REF!</v>
      </c>
      <c r="CB78" s="94" t="str">
        <f t="shared" si="24"/>
        <v>#REF!</v>
      </c>
      <c r="CC78" s="94"/>
      <c r="CD78" s="94"/>
      <c r="CE78" s="94"/>
      <c r="CF78" s="94"/>
      <c r="CG78" s="94"/>
      <c r="CH78" s="94"/>
      <c r="CI78" s="94"/>
      <c r="CJ78" s="94"/>
      <c r="CK78" s="94"/>
      <c r="CL78" s="94"/>
      <c r="CM78" s="94"/>
      <c r="CN78" s="94"/>
      <c r="CO78" s="94"/>
      <c r="CP78" s="94"/>
      <c r="CQ78" s="94"/>
      <c r="CR78" s="94"/>
      <c r="CS78" s="94"/>
      <c r="CT78" s="94"/>
      <c r="CU78" s="94"/>
      <c r="CV78" s="94"/>
      <c r="CW78" s="94"/>
      <c r="CX78" s="94"/>
    </row>
    <row r="79" ht="12.75" hidden="1" customHeight="1">
      <c r="U79" s="96">
        <v>44255.0</v>
      </c>
      <c r="V79" s="94"/>
      <c r="W79" s="94"/>
      <c r="X79" s="94"/>
      <c r="Y79" s="94"/>
      <c r="Z79" s="94"/>
      <c r="AA79" s="94"/>
      <c r="AB79" s="94"/>
      <c r="AC79" s="94"/>
      <c r="AD79" s="94"/>
      <c r="AE79" s="94" t="str">
        <f>+AD$17*#REF!</f>
        <v>#REF!</v>
      </c>
      <c r="AF79" s="94" t="str">
        <f t="shared" ref="AF79:CB79" si="25">IF(AE79&gt;0.005,(AE79-$AE79*#REF!/12),0)</f>
        <v>#REF!</v>
      </c>
      <c r="AG79" s="94" t="str">
        <f t="shared" si="25"/>
        <v>#REF!</v>
      </c>
      <c r="AH79" s="94" t="str">
        <f t="shared" si="25"/>
        <v>#REF!</v>
      </c>
      <c r="AI79" s="94" t="str">
        <f t="shared" si="25"/>
        <v>#REF!</v>
      </c>
      <c r="AJ79" s="94" t="str">
        <f t="shared" si="25"/>
        <v>#REF!</v>
      </c>
      <c r="AK79" s="94" t="str">
        <f t="shared" si="25"/>
        <v>#REF!</v>
      </c>
      <c r="AL79" s="94" t="str">
        <f t="shared" si="25"/>
        <v>#REF!</v>
      </c>
      <c r="AM79" s="94" t="str">
        <f t="shared" si="25"/>
        <v>#REF!</v>
      </c>
      <c r="AN79" s="94" t="str">
        <f t="shared" si="25"/>
        <v>#REF!</v>
      </c>
      <c r="AO79" s="94" t="str">
        <f t="shared" si="25"/>
        <v>#REF!</v>
      </c>
      <c r="AP79" s="94" t="str">
        <f t="shared" si="25"/>
        <v>#REF!</v>
      </c>
      <c r="AQ79" s="94" t="str">
        <f t="shared" si="25"/>
        <v>#REF!</v>
      </c>
      <c r="AR79" s="94" t="str">
        <f t="shared" si="25"/>
        <v>#REF!</v>
      </c>
      <c r="AS79" s="94" t="str">
        <f t="shared" si="25"/>
        <v>#REF!</v>
      </c>
      <c r="AT79" s="94" t="str">
        <f t="shared" si="25"/>
        <v>#REF!</v>
      </c>
      <c r="AU79" s="94" t="str">
        <f t="shared" si="25"/>
        <v>#REF!</v>
      </c>
      <c r="AV79" s="94" t="str">
        <f t="shared" si="25"/>
        <v>#REF!</v>
      </c>
      <c r="AW79" s="94" t="str">
        <f t="shared" si="25"/>
        <v>#REF!</v>
      </c>
      <c r="AX79" s="94" t="str">
        <f t="shared" si="25"/>
        <v>#REF!</v>
      </c>
      <c r="AY79" s="94" t="str">
        <f t="shared" si="25"/>
        <v>#REF!</v>
      </c>
      <c r="AZ79" s="94" t="str">
        <f t="shared" si="25"/>
        <v>#REF!</v>
      </c>
      <c r="BA79" s="94" t="str">
        <f t="shared" si="25"/>
        <v>#REF!</v>
      </c>
      <c r="BB79" s="94" t="str">
        <f t="shared" si="25"/>
        <v>#REF!</v>
      </c>
      <c r="BC79" s="94" t="str">
        <f t="shared" si="25"/>
        <v>#REF!</v>
      </c>
      <c r="BD79" s="94" t="str">
        <f t="shared" si="25"/>
        <v>#REF!</v>
      </c>
      <c r="BE79" s="94" t="str">
        <f t="shared" si="25"/>
        <v>#REF!</v>
      </c>
      <c r="BF79" s="94" t="str">
        <f t="shared" si="25"/>
        <v>#REF!</v>
      </c>
      <c r="BG79" s="94" t="str">
        <f t="shared" si="25"/>
        <v>#REF!</v>
      </c>
      <c r="BH79" s="94" t="str">
        <f t="shared" si="25"/>
        <v>#REF!</v>
      </c>
      <c r="BI79" s="94" t="str">
        <f t="shared" si="25"/>
        <v>#REF!</v>
      </c>
      <c r="BJ79" s="94" t="str">
        <f t="shared" si="25"/>
        <v>#REF!</v>
      </c>
      <c r="BK79" s="94" t="str">
        <f t="shared" si="25"/>
        <v>#REF!</v>
      </c>
      <c r="BL79" s="94" t="str">
        <f t="shared" si="25"/>
        <v>#REF!</v>
      </c>
      <c r="BM79" s="94" t="str">
        <f t="shared" si="25"/>
        <v>#REF!</v>
      </c>
      <c r="BN79" s="94" t="str">
        <f t="shared" si="25"/>
        <v>#REF!</v>
      </c>
      <c r="BO79" s="94" t="str">
        <f t="shared" si="25"/>
        <v>#REF!</v>
      </c>
      <c r="BP79" s="94" t="str">
        <f t="shared" si="25"/>
        <v>#REF!</v>
      </c>
      <c r="BQ79" s="94" t="str">
        <f t="shared" si="25"/>
        <v>#REF!</v>
      </c>
      <c r="BR79" s="94" t="str">
        <f t="shared" si="25"/>
        <v>#REF!</v>
      </c>
      <c r="BS79" s="94" t="str">
        <f t="shared" si="25"/>
        <v>#REF!</v>
      </c>
      <c r="BT79" s="94" t="str">
        <f t="shared" si="25"/>
        <v>#REF!</v>
      </c>
      <c r="BU79" s="94" t="str">
        <f t="shared" si="25"/>
        <v>#REF!</v>
      </c>
      <c r="BV79" s="94" t="str">
        <f t="shared" si="25"/>
        <v>#REF!</v>
      </c>
      <c r="BW79" s="94" t="str">
        <f t="shared" si="25"/>
        <v>#REF!</v>
      </c>
      <c r="BX79" s="94" t="str">
        <f t="shared" si="25"/>
        <v>#REF!</v>
      </c>
      <c r="BY79" s="94" t="str">
        <f t="shared" si="25"/>
        <v>#REF!</v>
      </c>
      <c r="BZ79" s="94" t="str">
        <f t="shared" si="25"/>
        <v>#REF!</v>
      </c>
      <c r="CA79" s="94" t="str">
        <f t="shared" si="25"/>
        <v>#REF!</v>
      </c>
      <c r="CB79" s="94" t="str">
        <f t="shared" si="25"/>
        <v>#REF!</v>
      </c>
      <c r="CC79" s="94"/>
      <c r="CD79" s="94"/>
      <c r="CE79" s="94"/>
      <c r="CF79" s="94"/>
      <c r="CG79" s="94"/>
      <c r="CH79" s="94"/>
      <c r="CI79" s="94"/>
      <c r="CJ79" s="94"/>
      <c r="CK79" s="94"/>
      <c r="CL79" s="94"/>
      <c r="CM79" s="94"/>
      <c r="CN79" s="94"/>
      <c r="CO79" s="94"/>
      <c r="CP79" s="94"/>
      <c r="CQ79" s="94"/>
      <c r="CR79" s="94"/>
      <c r="CS79" s="94"/>
      <c r="CT79" s="94"/>
      <c r="CU79" s="94"/>
      <c r="CV79" s="94"/>
      <c r="CW79" s="94"/>
      <c r="CX79" s="94"/>
    </row>
    <row r="80" ht="12.75" hidden="1" customHeight="1">
      <c r="U80" s="96">
        <v>44286.0</v>
      </c>
      <c r="V80" s="94"/>
      <c r="W80" s="94"/>
      <c r="X80" s="94"/>
      <c r="Y80" s="94"/>
      <c r="Z80" s="94"/>
      <c r="AA80" s="94"/>
      <c r="AB80" s="94"/>
      <c r="AC80" s="94"/>
      <c r="AD80" s="94"/>
      <c r="AE80" s="94"/>
      <c r="AF80" s="94" t="str">
        <f>+AE$17*#REF!</f>
        <v>#REF!</v>
      </c>
      <c r="AG80" s="94" t="str">
        <f t="shared" ref="AG80:CB80" si="26">IF(AF80&gt;0.005,(AF80-$AF80*#REF!/12),0)</f>
        <v>#REF!</v>
      </c>
      <c r="AH80" s="94" t="str">
        <f t="shared" si="26"/>
        <v>#REF!</v>
      </c>
      <c r="AI80" s="94" t="str">
        <f t="shared" si="26"/>
        <v>#REF!</v>
      </c>
      <c r="AJ80" s="94" t="str">
        <f t="shared" si="26"/>
        <v>#REF!</v>
      </c>
      <c r="AK80" s="94" t="str">
        <f t="shared" si="26"/>
        <v>#REF!</v>
      </c>
      <c r="AL80" s="94" t="str">
        <f t="shared" si="26"/>
        <v>#REF!</v>
      </c>
      <c r="AM80" s="94" t="str">
        <f t="shared" si="26"/>
        <v>#REF!</v>
      </c>
      <c r="AN80" s="94" t="str">
        <f t="shared" si="26"/>
        <v>#REF!</v>
      </c>
      <c r="AO80" s="94" t="str">
        <f t="shared" si="26"/>
        <v>#REF!</v>
      </c>
      <c r="AP80" s="94" t="str">
        <f t="shared" si="26"/>
        <v>#REF!</v>
      </c>
      <c r="AQ80" s="94" t="str">
        <f t="shared" si="26"/>
        <v>#REF!</v>
      </c>
      <c r="AR80" s="94" t="str">
        <f t="shared" si="26"/>
        <v>#REF!</v>
      </c>
      <c r="AS80" s="94" t="str">
        <f t="shared" si="26"/>
        <v>#REF!</v>
      </c>
      <c r="AT80" s="94" t="str">
        <f t="shared" si="26"/>
        <v>#REF!</v>
      </c>
      <c r="AU80" s="94" t="str">
        <f t="shared" si="26"/>
        <v>#REF!</v>
      </c>
      <c r="AV80" s="94" t="str">
        <f t="shared" si="26"/>
        <v>#REF!</v>
      </c>
      <c r="AW80" s="94" t="str">
        <f t="shared" si="26"/>
        <v>#REF!</v>
      </c>
      <c r="AX80" s="94" t="str">
        <f t="shared" si="26"/>
        <v>#REF!</v>
      </c>
      <c r="AY80" s="94" t="str">
        <f t="shared" si="26"/>
        <v>#REF!</v>
      </c>
      <c r="AZ80" s="94" t="str">
        <f t="shared" si="26"/>
        <v>#REF!</v>
      </c>
      <c r="BA80" s="94" t="str">
        <f t="shared" si="26"/>
        <v>#REF!</v>
      </c>
      <c r="BB80" s="94" t="str">
        <f t="shared" si="26"/>
        <v>#REF!</v>
      </c>
      <c r="BC80" s="94" t="str">
        <f t="shared" si="26"/>
        <v>#REF!</v>
      </c>
      <c r="BD80" s="94" t="str">
        <f t="shared" si="26"/>
        <v>#REF!</v>
      </c>
      <c r="BE80" s="94" t="str">
        <f t="shared" si="26"/>
        <v>#REF!</v>
      </c>
      <c r="BF80" s="94" t="str">
        <f t="shared" si="26"/>
        <v>#REF!</v>
      </c>
      <c r="BG80" s="94" t="str">
        <f t="shared" si="26"/>
        <v>#REF!</v>
      </c>
      <c r="BH80" s="94" t="str">
        <f t="shared" si="26"/>
        <v>#REF!</v>
      </c>
      <c r="BI80" s="94" t="str">
        <f t="shared" si="26"/>
        <v>#REF!</v>
      </c>
      <c r="BJ80" s="94" t="str">
        <f t="shared" si="26"/>
        <v>#REF!</v>
      </c>
      <c r="BK80" s="94" t="str">
        <f t="shared" si="26"/>
        <v>#REF!</v>
      </c>
      <c r="BL80" s="94" t="str">
        <f t="shared" si="26"/>
        <v>#REF!</v>
      </c>
      <c r="BM80" s="94" t="str">
        <f t="shared" si="26"/>
        <v>#REF!</v>
      </c>
      <c r="BN80" s="94" t="str">
        <f t="shared" si="26"/>
        <v>#REF!</v>
      </c>
      <c r="BO80" s="94" t="str">
        <f t="shared" si="26"/>
        <v>#REF!</v>
      </c>
      <c r="BP80" s="94" t="str">
        <f t="shared" si="26"/>
        <v>#REF!</v>
      </c>
      <c r="BQ80" s="94" t="str">
        <f t="shared" si="26"/>
        <v>#REF!</v>
      </c>
      <c r="BR80" s="94" t="str">
        <f t="shared" si="26"/>
        <v>#REF!</v>
      </c>
      <c r="BS80" s="94" t="str">
        <f t="shared" si="26"/>
        <v>#REF!</v>
      </c>
      <c r="BT80" s="94" t="str">
        <f t="shared" si="26"/>
        <v>#REF!</v>
      </c>
      <c r="BU80" s="94" t="str">
        <f t="shared" si="26"/>
        <v>#REF!</v>
      </c>
      <c r="BV80" s="94" t="str">
        <f t="shared" si="26"/>
        <v>#REF!</v>
      </c>
      <c r="BW80" s="94" t="str">
        <f t="shared" si="26"/>
        <v>#REF!</v>
      </c>
      <c r="BX80" s="94" t="str">
        <f t="shared" si="26"/>
        <v>#REF!</v>
      </c>
      <c r="BY80" s="94" t="str">
        <f t="shared" si="26"/>
        <v>#REF!</v>
      </c>
      <c r="BZ80" s="94" t="str">
        <f t="shared" si="26"/>
        <v>#REF!</v>
      </c>
      <c r="CA80" s="94" t="str">
        <f t="shared" si="26"/>
        <v>#REF!</v>
      </c>
      <c r="CB80" s="94" t="str">
        <f t="shared" si="26"/>
        <v>#REF!</v>
      </c>
      <c r="CC80" s="94"/>
      <c r="CD80" s="94"/>
      <c r="CE80" s="94"/>
      <c r="CF80" s="94"/>
      <c r="CG80" s="94"/>
      <c r="CH80" s="94"/>
      <c r="CI80" s="94"/>
      <c r="CJ80" s="94"/>
      <c r="CK80" s="94"/>
      <c r="CL80" s="94"/>
      <c r="CM80" s="94"/>
      <c r="CN80" s="94"/>
      <c r="CO80" s="94"/>
      <c r="CP80" s="94"/>
      <c r="CQ80" s="94"/>
      <c r="CR80" s="94"/>
      <c r="CS80" s="94"/>
      <c r="CT80" s="94"/>
      <c r="CU80" s="94"/>
      <c r="CV80" s="94"/>
      <c r="CW80" s="94"/>
      <c r="CX80" s="94"/>
    </row>
    <row r="81" ht="12.75" hidden="1" customHeight="1">
      <c r="U81" s="96">
        <v>44316.0</v>
      </c>
      <c r="V81" s="94"/>
      <c r="W81" s="94"/>
      <c r="X81" s="94"/>
      <c r="Y81" s="94"/>
      <c r="Z81" s="94"/>
      <c r="AA81" s="94"/>
      <c r="AB81" s="94"/>
      <c r="AC81" s="94"/>
      <c r="AD81" s="94"/>
      <c r="AE81" s="94"/>
      <c r="AF81" s="94"/>
      <c r="AG81" s="94" t="str">
        <f>+AF$17*#REF!</f>
        <v>#REF!</v>
      </c>
      <c r="AH81" s="94" t="str">
        <f t="shared" ref="AH81:CC81" si="27">IF(AG81&gt;0.005,(AG81-$AG81*#REF!/12),0)</f>
        <v>#REF!</v>
      </c>
      <c r="AI81" s="94" t="str">
        <f t="shared" si="27"/>
        <v>#REF!</v>
      </c>
      <c r="AJ81" s="94" t="str">
        <f t="shared" si="27"/>
        <v>#REF!</v>
      </c>
      <c r="AK81" s="94" t="str">
        <f t="shared" si="27"/>
        <v>#REF!</v>
      </c>
      <c r="AL81" s="94" t="str">
        <f t="shared" si="27"/>
        <v>#REF!</v>
      </c>
      <c r="AM81" s="94" t="str">
        <f t="shared" si="27"/>
        <v>#REF!</v>
      </c>
      <c r="AN81" s="94" t="str">
        <f t="shared" si="27"/>
        <v>#REF!</v>
      </c>
      <c r="AO81" s="94" t="str">
        <f t="shared" si="27"/>
        <v>#REF!</v>
      </c>
      <c r="AP81" s="94" t="str">
        <f t="shared" si="27"/>
        <v>#REF!</v>
      </c>
      <c r="AQ81" s="94" t="str">
        <f t="shared" si="27"/>
        <v>#REF!</v>
      </c>
      <c r="AR81" s="94" t="str">
        <f t="shared" si="27"/>
        <v>#REF!</v>
      </c>
      <c r="AS81" s="94" t="str">
        <f t="shared" si="27"/>
        <v>#REF!</v>
      </c>
      <c r="AT81" s="94" t="str">
        <f t="shared" si="27"/>
        <v>#REF!</v>
      </c>
      <c r="AU81" s="94" t="str">
        <f t="shared" si="27"/>
        <v>#REF!</v>
      </c>
      <c r="AV81" s="94" t="str">
        <f t="shared" si="27"/>
        <v>#REF!</v>
      </c>
      <c r="AW81" s="94" t="str">
        <f t="shared" si="27"/>
        <v>#REF!</v>
      </c>
      <c r="AX81" s="94" t="str">
        <f t="shared" si="27"/>
        <v>#REF!</v>
      </c>
      <c r="AY81" s="94" t="str">
        <f t="shared" si="27"/>
        <v>#REF!</v>
      </c>
      <c r="AZ81" s="94" t="str">
        <f t="shared" si="27"/>
        <v>#REF!</v>
      </c>
      <c r="BA81" s="94" t="str">
        <f t="shared" si="27"/>
        <v>#REF!</v>
      </c>
      <c r="BB81" s="94" t="str">
        <f t="shared" si="27"/>
        <v>#REF!</v>
      </c>
      <c r="BC81" s="94" t="str">
        <f t="shared" si="27"/>
        <v>#REF!</v>
      </c>
      <c r="BD81" s="94" t="str">
        <f t="shared" si="27"/>
        <v>#REF!</v>
      </c>
      <c r="BE81" s="94" t="str">
        <f t="shared" si="27"/>
        <v>#REF!</v>
      </c>
      <c r="BF81" s="94" t="str">
        <f t="shared" si="27"/>
        <v>#REF!</v>
      </c>
      <c r="BG81" s="94" t="str">
        <f t="shared" si="27"/>
        <v>#REF!</v>
      </c>
      <c r="BH81" s="94" t="str">
        <f t="shared" si="27"/>
        <v>#REF!</v>
      </c>
      <c r="BI81" s="94" t="str">
        <f t="shared" si="27"/>
        <v>#REF!</v>
      </c>
      <c r="BJ81" s="94" t="str">
        <f t="shared" si="27"/>
        <v>#REF!</v>
      </c>
      <c r="BK81" s="94" t="str">
        <f t="shared" si="27"/>
        <v>#REF!</v>
      </c>
      <c r="BL81" s="94" t="str">
        <f t="shared" si="27"/>
        <v>#REF!</v>
      </c>
      <c r="BM81" s="94" t="str">
        <f t="shared" si="27"/>
        <v>#REF!</v>
      </c>
      <c r="BN81" s="94" t="str">
        <f t="shared" si="27"/>
        <v>#REF!</v>
      </c>
      <c r="BO81" s="94" t="str">
        <f t="shared" si="27"/>
        <v>#REF!</v>
      </c>
      <c r="BP81" s="94" t="str">
        <f t="shared" si="27"/>
        <v>#REF!</v>
      </c>
      <c r="BQ81" s="94" t="str">
        <f t="shared" si="27"/>
        <v>#REF!</v>
      </c>
      <c r="BR81" s="94" t="str">
        <f t="shared" si="27"/>
        <v>#REF!</v>
      </c>
      <c r="BS81" s="94" t="str">
        <f t="shared" si="27"/>
        <v>#REF!</v>
      </c>
      <c r="BT81" s="94" t="str">
        <f t="shared" si="27"/>
        <v>#REF!</v>
      </c>
      <c r="BU81" s="94" t="str">
        <f t="shared" si="27"/>
        <v>#REF!</v>
      </c>
      <c r="BV81" s="94" t="str">
        <f t="shared" si="27"/>
        <v>#REF!</v>
      </c>
      <c r="BW81" s="94" t="str">
        <f t="shared" si="27"/>
        <v>#REF!</v>
      </c>
      <c r="BX81" s="94" t="str">
        <f t="shared" si="27"/>
        <v>#REF!</v>
      </c>
      <c r="BY81" s="94" t="str">
        <f t="shared" si="27"/>
        <v>#REF!</v>
      </c>
      <c r="BZ81" s="94" t="str">
        <f t="shared" si="27"/>
        <v>#REF!</v>
      </c>
      <c r="CA81" s="94" t="str">
        <f t="shared" si="27"/>
        <v>#REF!</v>
      </c>
      <c r="CB81" s="94" t="str">
        <f t="shared" si="27"/>
        <v>#REF!</v>
      </c>
      <c r="CC81" s="94" t="str">
        <f t="shared" si="27"/>
        <v>#REF!</v>
      </c>
      <c r="CD81" s="94"/>
      <c r="CE81" s="94"/>
      <c r="CF81" s="94"/>
      <c r="CG81" s="94"/>
      <c r="CH81" s="94"/>
      <c r="CI81" s="94"/>
      <c r="CJ81" s="94"/>
      <c r="CK81" s="94"/>
      <c r="CL81" s="94"/>
      <c r="CM81" s="94"/>
      <c r="CN81" s="94"/>
      <c r="CO81" s="94"/>
      <c r="CP81" s="94"/>
      <c r="CQ81" s="94"/>
      <c r="CR81" s="94"/>
      <c r="CS81" s="94"/>
      <c r="CT81" s="94"/>
      <c r="CU81" s="94"/>
      <c r="CV81" s="94"/>
      <c r="CW81" s="94"/>
      <c r="CX81" s="94"/>
    </row>
    <row r="82" ht="12.75" hidden="1" customHeight="1">
      <c r="U82" s="96">
        <v>44347.0</v>
      </c>
      <c r="V82" s="94"/>
      <c r="W82" s="94"/>
      <c r="X82" s="94"/>
      <c r="Y82" s="94"/>
      <c r="Z82" s="94"/>
      <c r="AA82" s="94"/>
      <c r="AB82" s="94"/>
      <c r="AC82" s="94"/>
      <c r="AD82" s="94"/>
      <c r="AE82" s="94"/>
      <c r="AF82" s="94"/>
      <c r="AG82" s="94"/>
      <c r="AH82" s="94" t="str">
        <f>+AG$17*#REF!</f>
        <v>#REF!</v>
      </c>
      <c r="AI82" s="94" t="str">
        <f t="shared" ref="AI82:CD82" si="28">IF(AH82&gt;0.005,(AH82-$AH82*#REF!/12),0)</f>
        <v>#REF!</v>
      </c>
      <c r="AJ82" s="94" t="str">
        <f t="shared" si="28"/>
        <v>#REF!</v>
      </c>
      <c r="AK82" s="94" t="str">
        <f t="shared" si="28"/>
        <v>#REF!</v>
      </c>
      <c r="AL82" s="94" t="str">
        <f t="shared" si="28"/>
        <v>#REF!</v>
      </c>
      <c r="AM82" s="94" t="str">
        <f t="shared" si="28"/>
        <v>#REF!</v>
      </c>
      <c r="AN82" s="94" t="str">
        <f t="shared" si="28"/>
        <v>#REF!</v>
      </c>
      <c r="AO82" s="94" t="str">
        <f t="shared" si="28"/>
        <v>#REF!</v>
      </c>
      <c r="AP82" s="94" t="str">
        <f t="shared" si="28"/>
        <v>#REF!</v>
      </c>
      <c r="AQ82" s="94" t="str">
        <f t="shared" si="28"/>
        <v>#REF!</v>
      </c>
      <c r="AR82" s="94" t="str">
        <f t="shared" si="28"/>
        <v>#REF!</v>
      </c>
      <c r="AS82" s="94" t="str">
        <f t="shared" si="28"/>
        <v>#REF!</v>
      </c>
      <c r="AT82" s="94" t="str">
        <f t="shared" si="28"/>
        <v>#REF!</v>
      </c>
      <c r="AU82" s="94" t="str">
        <f t="shared" si="28"/>
        <v>#REF!</v>
      </c>
      <c r="AV82" s="94" t="str">
        <f t="shared" si="28"/>
        <v>#REF!</v>
      </c>
      <c r="AW82" s="94" t="str">
        <f t="shared" si="28"/>
        <v>#REF!</v>
      </c>
      <c r="AX82" s="94" t="str">
        <f t="shared" si="28"/>
        <v>#REF!</v>
      </c>
      <c r="AY82" s="94" t="str">
        <f t="shared" si="28"/>
        <v>#REF!</v>
      </c>
      <c r="AZ82" s="94" t="str">
        <f t="shared" si="28"/>
        <v>#REF!</v>
      </c>
      <c r="BA82" s="94" t="str">
        <f t="shared" si="28"/>
        <v>#REF!</v>
      </c>
      <c r="BB82" s="94" t="str">
        <f t="shared" si="28"/>
        <v>#REF!</v>
      </c>
      <c r="BC82" s="94" t="str">
        <f t="shared" si="28"/>
        <v>#REF!</v>
      </c>
      <c r="BD82" s="94" t="str">
        <f t="shared" si="28"/>
        <v>#REF!</v>
      </c>
      <c r="BE82" s="94" t="str">
        <f t="shared" si="28"/>
        <v>#REF!</v>
      </c>
      <c r="BF82" s="94" t="str">
        <f t="shared" si="28"/>
        <v>#REF!</v>
      </c>
      <c r="BG82" s="94" t="str">
        <f t="shared" si="28"/>
        <v>#REF!</v>
      </c>
      <c r="BH82" s="94" t="str">
        <f t="shared" si="28"/>
        <v>#REF!</v>
      </c>
      <c r="BI82" s="94" t="str">
        <f t="shared" si="28"/>
        <v>#REF!</v>
      </c>
      <c r="BJ82" s="94" t="str">
        <f t="shared" si="28"/>
        <v>#REF!</v>
      </c>
      <c r="BK82" s="94" t="str">
        <f t="shared" si="28"/>
        <v>#REF!</v>
      </c>
      <c r="BL82" s="94" t="str">
        <f t="shared" si="28"/>
        <v>#REF!</v>
      </c>
      <c r="BM82" s="94" t="str">
        <f t="shared" si="28"/>
        <v>#REF!</v>
      </c>
      <c r="BN82" s="94" t="str">
        <f t="shared" si="28"/>
        <v>#REF!</v>
      </c>
      <c r="BO82" s="94" t="str">
        <f t="shared" si="28"/>
        <v>#REF!</v>
      </c>
      <c r="BP82" s="94" t="str">
        <f t="shared" si="28"/>
        <v>#REF!</v>
      </c>
      <c r="BQ82" s="94" t="str">
        <f t="shared" si="28"/>
        <v>#REF!</v>
      </c>
      <c r="BR82" s="94" t="str">
        <f t="shared" si="28"/>
        <v>#REF!</v>
      </c>
      <c r="BS82" s="94" t="str">
        <f t="shared" si="28"/>
        <v>#REF!</v>
      </c>
      <c r="BT82" s="94" t="str">
        <f t="shared" si="28"/>
        <v>#REF!</v>
      </c>
      <c r="BU82" s="94" t="str">
        <f t="shared" si="28"/>
        <v>#REF!</v>
      </c>
      <c r="BV82" s="94" t="str">
        <f t="shared" si="28"/>
        <v>#REF!</v>
      </c>
      <c r="BW82" s="94" t="str">
        <f t="shared" si="28"/>
        <v>#REF!</v>
      </c>
      <c r="BX82" s="94" t="str">
        <f t="shared" si="28"/>
        <v>#REF!</v>
      </c>
      <c r="BY82" s="94" t="str">
        <f t="shared" si="28"/>
        <v>#REF!</v>
      </c>
      <c r="BZ82" s="94" t="str">
        <f t="shared" si="28"/>
        <v>#REF!</v>
      </c>
      <c r="CA82" s="94" t="str">
        <f t="shared" si="28"/>
        <v>#REF!</v>
      </c>
      <c r="CB82" s="94" t="str">
        <f t="shared" si="28"/>
        <v>#REF!</v>
      </c>
      <c r="CC82" s="94" t="str">
        <f t="shared" si="28"/>
        <v>#REF!</v>
      </c>
      <c r="CD82" s="94" t="str">
        <f t="shared" si="28"/>
        <v>#REF!</v>
      </c>
      <c r="CE82" s="94"/>
      <c r="CF82" s="94"/>
      <c r="CG82" s="94"/>
      <c r="CH82" s="94"/>
      <c r="CI82" s="94"/>
      <c r="CJ82" s="94"/>
      <c r="CK82" s="94"/>
      <c r="CL82" s="94"/>
      <c r="CM82" s="94"/>
      <c r="CN82" s="94"/>
      <c r="CO82" s="94"/>
      <c r="CP82" s="94"/>
      <c r="CQ82" s="94"/>
      <c r="CR82" s="94"/>
      <c r="CS82" s="94"/>
      <c r="CT82" s="94"/>
      <c r="CU82" s="94"/>
      <c r="CV82" s="94"/>
      <c r="CW82" s="94"/>
      <c r="CX82" s="94"/>
    </row>
    <row r="83" ht="12.75" hidden="1" customHeight="1">
      <c r="U83" s="96">
        <v>44377.0</v>
      </c>
      <c r="V83" s="94"/>
      <c r="W83" s="94"/>
      <c r="X83" s="94"/>
      <c r="Y83" s="94"/>
      <c r="Z83" s="94"/>
      <c r="AA83" s="94"/>
      <c r="AB83" s="94"/>
      <c r="AC83" s="94"/>
      <c r="AD83" s="94"/>
      <c r="AE83" s="94"/>
      <c r="AF83" s="94"/>
      <c r="AG83" s="94"/>
      <c r="AH83" s="94"/>
      <c r="AI83" s="94" t="str">
        <f>+AH$17*#REF!</f>
        <v>#REF!</v>
      </c>
      <c r="AJ83" s="94" t="str">
        <f t="shared" ref="AJ83:CE83" si="29">IF(AI83&gt;0.005,(AI83-$AI83*#REF!/12),0)</f>
        <v>#REF!</v>
      </c>
      <c r="AK83" s="94" t="str">
        <f t="shared" si="29"/>
        <v>#REF!</v>
      </c>
      <c r="AL83" s="94" t="str">
        <f t="shared" si="29"/>
        <v>#REF!</v>
      </c>
      <c r="AM83" s="94" t="str">
        <f t="shared" si="29"/>
        <v>#REF!</v>
      </c>
      <c r="AN83" s="94" t="str">
        <f t="shared" si="29"/>
        <v>#REF!</v>
      </c>
      <c r="AO83" s="94" t="str">
        <f t="shared" si="29"/>
        <v>#REF!</v>
      </c>
      <c r="AP83" s="94" t="str">
        <f t="shared" si="29"/>
        <v>#REF!</v>
      </c>
      <c r="AQ83" s="94" t="str">
        <f t="shared" si="29"/>
        <v>#REF!</v>
      </c>
      <c r="AR83" s="94" t="str">
        <f t="shared" si="29"/>
        <v>#REF!</v>
      </c>
      <c r="AS83" s="94" t="str">
        <f t="shared" si="29"/>
        <v>#REF!</v>
      </c>
      <c r="AT83" s="94" t="str">
        <f t="shared" si="29"/>
        <v>#REF!</v>
      </c>
      <c r="AU83" s="94" t="str">
        <f t="shared" si="29"/>
        <v>#REF!</v>
      </c>
      <c r="AV83" s="94" t="str">
        <f t="shared" si="29"/>
        <v>#REF!</v>
      </c>
      <c r="AW83" s="94" t="str">
        <f t="shared" si="29"/>
        <v>#REF!</v>
      </c>
      <c r="AX83" s="94" t="str">
        <f t="shared" si="29"/>
        <v>#REF!</v>
      </c>
      <c r="AY83" s="94" t="str">
        <f t="shared" si="29"/>
        <v>#REF!</v>
      </c>
      <c r="AZ83" s="94" t="str">
        <f t="shared" si="29"/>
        <v>#REF!</v>
      </c>
      <c r="BA83" s="94" t="str">
        <f t="shared" si="29"/>
        <v>#REF!</v>
      </c>
      <c r="BB83" s="94" t="str">
        <f t="shared" si="29"/>
        <v>#REF!</v>
      </c>
      <c r="BC83" s="94" t="str">
        <f t="shared" si="29"/>
        <v>#REF!</v>
      </c>
      <c r="BD83" s="94" t="str">
        <f t="shared" si="29"/>
        <v>#REF!</v>
      </c>
      <c r="BE83" s="94" t="str">
        <f t="shared" si="29"/>
        <v>#REF!</v>
      </c>
      <c r="BF83" s="94" t="str">
        <f t="shared" si="29"/>
        <v>#REF!</v>
      </c>
      <c r="BG83" s="94" t="str">
        <f t="shared" si="29"/>
        <v>#REF!</v>
      </c>
      <c r="BH83" s="94" t="str">
        <f t="shared" si="29"/>
        <v>#REF!</v>
      </c>
      <c r="BI83" s="94" t="str">
        <f t="shared" si="29"/>
        <v>#REF!</v>
      </c>
      <c r="BJ83" s="94" t="str">
        <f t="shared" si="29"/>
        <v>#REF!</v>
      </c>
      <c r="BK83" s="94" t="str">
        <f t="shared" si="29"/>
        <v>#REF!</v>
      </c>
      <c r="BL83" s="94" t="str">
        <f t="shared" si="29"/>
        <v>#REF!</v>
      </c>
      <c r="BM83" s="94" t="str">
        <f t="shared" si="29"/>
        <v>#REF!</v>
      </c>
      <c r="BN83" s="94" t="str">
        <f t="shared" si="29"/>
        <v>#REF!</v>
      </c>
      <c r="BO83" s="94" t="str">
        <f t="shared" si="29"/>
        <v>#REF!</v>
      </c>
      <c r="BP83" s="94" t="str">
        <f t="shared" si="29"/>
        <v>#REF!</v>
      </c>
      <c r="BQ83" s="94" t="str">
        <f t="shared" si="29"/>
        <v>#REF!</v>
      </c>
      <c r="BR83" s="94" t="str">
        <f t="shared" si="29"/>
        <v>#REF!</v>
      </c>
      <c r="BS83" s="94" t="str">
        <f t="shared" si="29"/>
        <v>#REF!</v>
      </c>
      <c r="BT83" s="94" t="str">
        <f t="shared" si="29"/>
        <v>#REF!</v>
      </c>
      <c r="BU83" s="94" t="str">
        <f t="shared" si="29"/>
        <v>#REF!</v>
      </c>
      <c r="BV83" s="94" t="str">
        <f t="shared" si="29"/>
        <v>#REF!</v>
      </c>
      <c r="BW83" s="94" t="str">
        <f t="shared" si="29"/>
        <v>#REF!</v>
      </c>
      <c r="BX83" s="94" t="str">
        <f t="shared" si="29"/>
        <v>#REF!</v>
      </c>
      <c r="BY83" s="94" t="str">
        <f t="shared" si="29"/>
        <v>#REF!</v>
      </c>
      <c r="BZ83" s="94" t="str">
        <f t="shared" si="29"/>
        <v>#REF!</v>
      </c>
      <c r="CA83" s="94" t="str">
        <f t="shared" si="29"/>
        <v>#REF!</v>
      </c>
      <c r="CB83" s="94" t="str">
        <f t="shared" si="29"/>
        <v>#REF!</v>
      </c>
      <c r="CC83" s="94" t="str">
        <f t="shared" si="29"/>
        <v>#REF!</v>
      </c>
      <c r="CD83" s="94" t="str">
        <f t="shared" si="29"/>
        <v>#REF!</v>
      </c>
      <c r="CE83" s="94" t="str">
        <f t="shared" si="29"/>
        <v>#REF!</v>
      </c>
      <c r="CF83" s="94"/>
      <c r="CG83" s="94"/>
      <c r="CH83" s="94"/>
      <c r="CI83" s="94"/>
      <c r="CJ83" s="94"/>
      <c r="CK83" s="94"/>
      <c r="CL83" s="94"/>
      <c r="CM83" s="94"/>
      <c r="CN83" s="94"/>
      <c r="CO83" s="94"/>
      <c r="CP83" s="94"/>
      <c r="CQ83" s="94"/>
      <c r="CR83" s="94"/>
      <c r="CS83" s="94"/>
      <c r="CT83" s="94"/>
      <c r="CU83" s="94"/>
      <c r="CV83" s="94"/>
      <c r="CW83" s="94"/>
      <c r="CX83" s="94"/>
    </row>
    <row r="84" ht="12.75" hidden="1" customHeight="1">
      <c r="U84" s="96">
        <v>44408.0</v>
      </c>
      <c r="V84" s="94"/>
      <c r="W84" s="94"/>
      <c r="X84" s="94"/>
      <c r="Y84" s="94"/>
      <c r="Z84" s="94"/>
      <c r="AA84" s="94"/>
      <c r="AB84" s="94"/>
      <c r="AC84" s="94"/>
      <c r="AD84" s="94"/>
      <c r="AE84" s="94"/>
      <c r="AF84" s="94"/>
      <c r="AG84" s="94"/>
      <c r="AH84" s="94"/>
      <c r="AI84" s="94"/>
      <c r="AJ84" s="94" t="str">
        <f>+AI$17*#REF!</f>
        <v>#REF!</v>
      </c>
      <c r="AK84" s="94" t="str">
        <f t="shared" ref="AK84:CF84" si="30">IF(AJ84&gt;0.005,(AJ84-$AJ84*#REF!/12),0)</f>
        <v>#REF!</v>
      </c>
      <c r="AL84" s="94" t="str">
        <f t="shared" si="30"/>
        <v>#REF!</v>
      </c>
      <c r="AM84" s="94" t="str">
        <f t="shared" si="30"/>
        <v>#REF!</v>
      </c>
      <c r="AN84" s="94" t="str">
        <f t="shared" si="30"/>
        <v>#REF!</v>
      </c>
      <c r="AO84" s="94" t="str">
        <f t="shared" si="30"/>
        <v>#REF!</v>
      </c>
      <c r="AP84" s="94" t="str">
        <f t="shared" si="30"/>
        <v>#REF!</v>
      </c>
      <c r="AQ84" s="94" t="str">
        <f t="shared" si="30"/>
        <v>#REF!</v>
      </c>
      <c r="AR84" s="94" t="str">
        <f t="shared" si="30"/>
        <v>#REF!</v>
      </c>
      <c r="AS84" s="94" t="str">
        <f t="shared" si="30"/>
        <v>#REF!</v>
      </c>
      <c r="AT84" s="94" t="str">
        <f t="shared" si="30"/>
        <v>#REF!</v>
      </c>
      <c r="AU84" s="94" t="str">
        <f t="shared" si="30"/>
        <v>#REF!</v>
      </c>
      <c r="AV84" s="94" t="str">
        <f t="shared" si="30"/>
        <v>#REF!</v>
      </c>
      <c r="AW84" s="94" t="str">
        <f t="shared" si="30"/>
        <v>#REF!</v>
      </c>
      <c r="AX84" s="94" t="str">
        <f t="shared" si="30"/>
        <v>#REF!</v>
      </c>
      <c r="AY84" s="94" t="str">
        <f t="shared" si="30"/>
        <v>#REF!</v>
      </c>
      <c r="AZ84" s="94" t="str">
        <f t="shared" si="30"/>
        <v>#REF!</v>
      </c>
      <c r="BA84" s="94" t="str">
        <f t="shared" si="30"/>
        <v>#REF!</v>
      </c>
      <c r="BB84" s="94" t="str">
        <f t="shared" si="30"/>
        <v>#REF!</v>
      </c>
      <c r="BC84" s="94" t="str">
        <f t="shared" si="30"/>
        <v>#REF!</v>
      </c>
      <c r="BD84" s="94" t="str">
        <f t="shared" si="30"/>
        <v>#REF!</v>
      </c>
      <c r="BE84" s="94" t="str">
        <f t="shared" si="30"/>
        <v>#REF!</v>
      </c>
      <c r="BF84" s="94" t="str">
        <f t="shared" si="30"/>
        <v>#REF!</v>
      </c>
      <c r="BG84" s="94" t="str">
        <f t="shared" si="30"/>
        <v>#REF!</v>
      </c>
      <c r="BH84" s="94" t="str">
        <f t="shared" si="30"/>
        <v>#REF!</v>
      </c>
      <c r="BI84" s="94" t="str">
        <f t="shared" si="30"/>
        <v>#REF!</v>
      </c>
      <c r="BJ84" s="94" t="str">
        <f t="shared" si="30"/>
        <v>#REF!</v>
      </c>
      <c r="BK84" s="94" t="str">
        <f t="shared" si="30"/>
        <v>#REF!</v>
      </c>
      <c r="BL84" s="94" t="str">
        <f t="shared" si="30"/>
        <v>#REF!</v>
      </c>
      <c r="BM84" s="94" t="str">
        <f t="shared" si="30"/>
        <v>#REF!</v>
      </c>
      <c r="BN84" s="94" t="str">
        <f t="shared" si="30"/>
        <v>#REF!</v>
      </c>
      <c r="BO84" s="94" t="str">
        <f t="shared" si="30"/>
        <v>#REF!</v>
      </c>
      <c r="BP84" s="94" t="str">
        <f t="shared" si="30"/>
        <v>#REF!</v>
      </c>
      <c r="BQ84" s="94" t="str">
        <f t="shared" si="30"/>
        <v>#REF!</v>
      </c>
      <c r="BR84" s="94" t="str">
        <f t="shared" si="30"/>
        <v>#REF!</v>
      </c>
      <c r="BS84" s="94" t="str">
        <f t="shared" si="30"/>
        <v>#REF!</v>
      </c>
      <c r="BT84" s="94" t="str">
        <f t="shared" si="30"/>
        <v>#REF!</v>
      </c>
      <c r="BU84" s="94" t="str">
        <f t="shared" si="30"/>
        <v>#REF!</v>
      </c>
      <c r="BV84" s="94" t="str">
        <f t="shared" si="30"/>
        <v>#REF!</v>
      </c>
      <c r="BW84" s="94" t="str">
        <f t="shared" si="30"/>
        <v>#REF!</v>
      </c>
      <c r="BX84" s="94" t="str">
        <f t="shared" si="30"/>
        <v>#REF!</v>
      </c>
      <c r="BY84" s="94" t="str">
        <f t="shared" si="30"/>
        <v>#REF!</v>
      </c>
      <c r="BZ84" s="94" t="str">
        <f t="shared" si="30"/>
        <v>#REF!</v>
      </c>
      <c r="CA84" s="94" t="str">
        <f t="shared" si="30"/>
        <v>#REF!</v>
      </c>
      <c r="CB84" s="94" t="str">
        <f t="shared" si="30"/>
        <v>#REF!</v>
      </c>
      <c r="CC84" s="94" t="str">
        <f t="shared" si="30"/>
        <v>#REF!</v>
      </c>
      <c r="CD84" s="94" t="str">
        <f t="shared" si="30"/>
        <v>#REF!</v>
      </c>
      <c r="CE84" s="94" t="str">
        <f t="shared" si="30"/>
        <v>#REF!</v>
      </c>
      <c r="CF84" s="94" t="str">
        <f t="shared" si="30"/>
        <v>#REF!</v>
      </c>
      <c r="CG84" s="94"/>
      <c r="CH84" s="94"/>
      <c r="CI84" s="94"/>
      <c r="CJ84" s="94"/>
      <c r="CK84" s="94"/>
      <c r="CL84" s="94"/>
      <c r="CM84" s="94"/>
      <c r="CN84" s="94"/>
      <c r="CO84" s="94"/>
      <c r="CP84" s="94"/>
      <c r="CQ84" s="94"/>
      <c r="CR84" s="94"/>
      <c r="CS84" s="94"/>
      <c r="CT84" s="94"/>
      <c r="CU84" s="94"/>
      <c r="CV84" s="94"/>
      <c r="CW84" s="94"/>
      <c r="CX84" s="94"/>
    </row>
    <row r="85" ht="12.75" hidden="1" customHeight="1">
      <c r="U85" s="96">
        <v>44439.0</v>
      </c>
      <c r="V85" s="94"/>
      <c r="W85" s="94"/>
      <c r="X85" s="94"/>
      <c r="Y85" s="94"/>
      <c r="Z85" s="94"/>
      <c r="AA85" s="94"/>
      <c r="AB85" s="94"/>
      <c r="AC85" s="94"/>
      <c r="AD85" s="94"/>
      <c r="AE85" s="94"/>
      <c r="AF85" s="94"/>
      <c r="AG85" s="94"/>
      <c r="AH85" s="94"/>
      <c r="AI85" s="94"/>
      <c r="AJ85" s="94"/>
      <c r="AK85" s="94" t="str">
        <f>+AJ$17*#REF!</f>
        <v>#REF!</v>
      </c>
      <c r="AL85" s="94" t="str">
        <f t="shared" ref="AL85:CG85" si="31">IF(AK85&gt;0.005,(AK85-$AK85*#REF!/12),0)</f>
        <v>#REF!</v>
      </c>
      <c r="AM85" s="94" t="str">
        <f t="shared" si="31"/>
        <v>#REF!</v>
      </c>
      <c r="AN85" s="94" t="str">
        <f t="shared" si="31"/>
        <v>#REF!</v>
      </c>
      <c r="AO85" s="94" t="str">
        <f t="shared" si="31"/>
        <v>#REF!</v>
      </c>
      <c r="AP85" s="94" t="str">
        <f t="shared" si="31"/>
        <v>#REF!</v>
      </c>
      <c r="AQ85" s="94" t="str">
        <f t="shared" si="31"/>
        <v>#REF!</v>
      </c>
      <c r="AR85" s="94" t="str">
        <f t="shared" si="31"/>
        <v>#REF!</v>
      </c>
      <c r="AS85" s="94" t="str">
        <f t="shared" si="31"/>
        <v>#REF!</v>
      </c>
      <c r="AT85" s="94" t="str">
        <f t="shared" si="31"/>
        <v>#REF!</v>
      </c>
      <c r="AU85" s="94" t="str">
        <f t="shared" si="31"/>
        <v>#REF!</v>
      </c>
      <c r="AV85" s="94" t="str">
        <f t="shared" si="31"/>
        <v>#REF!</v>
      </c>
      <c r="AW85" s="94" t="str">
        <f t="shared" si="31"/>
        <v>#REF!</v>
      </c>
      <c r="AX85" s="94" t="str">
        <f t="shared" si="31"/>
        <v>#REF!</v>
      </c>
      <c r="AY85" s="94" t="str">
        <f t="shared" si="31"/>
        <v>#REF!</v>
      </c>
      <c r="AZ85" s="94" t="str">
        <f t="shared" si="31"/>
        <v>#REF!</v>
      </c>
      <c r="BA85" s="94" t="str">
        <f t="shared" si="31"/>
        <v>#REF!</v>
      </c>
      <c r="BB85" s="94" t="str">
        <f t="shared" si="31"/>
        <v>#REF!</v>
      </c>
      <c r="BC85" s="94" t="str">
        <f t="shared" si="31"/>
        <v>#REF!</v>
      </c>
      <c r="BD85" s="94" t="str">
        <f t="shared" si="31"/>
        <v>#REF!</v>
      </c>
      <c r="BE85" s="94" t="str">
        <f t="shared" si="31"/>
        <v>#REF!</v>
      </c>
      <c r="BF85" s="94" t="str">
        <f t="shared" si="31"/>
        <v>#REF!</v>
      </c>
      <c r="BG85" s="94" t="str">
        <f t="shared" si="31"/>
        <v>#REF!</v>
      </c>
      <c r="BH85" s="94" t="str">
        <f t="shared" si="31"/>
        <v>#REF!</v>
      </c>
      <c r="BI85" s="94" t="str">
        <f t="shared" si="31"/>
        <v>#REF!</v>
      </c>
      <c r="BJ85" s="94" t="str">
        <f t="shared" si="31"/>
        <v>#REF!</v>
      </c>
      <c r="BK85" s="94" t="str">
        <f t="shared" si="31"/>
        <v>#REF!</v>
      </c>
      <c r="BL85" s="94" t="str">
        <f t="shared" si="31"/>
        <v>#REF!</v>
      </c>
      <c r="BM85" s="94" t="str">
        <f t="shared" si="31"/>
        <v>#REF!</v>
      </c>
      <c r="BN85" s="94" t="str">
        <f t="shared" si="31"/>
        <v>#REF!</v>
      </c>
      <c r="BO85" s="94" t="str">
        <f t="shared" si="31"/>
        <v>#REF!</v>
      </c>
      <c r="BP85" s="94" t="str">
        <f t="shared" si="31"/>
        <v>#REF!</v>
      </c>
      <c r="BQ85" s="94" t="str">
        <f t="shared" si="31"/>
        <v>#REF!</v>
      </c>
      <c r="BR85" s="94" t="str">
        <f t="shared" si="31"/>
        <v>#REF!</v>
      </c>
      <c r="BS85" s="94" t="str">
        <f t="shared" si="31"/>
        <v>#REF!</v>
      </c>
      <c r="BT85" s="94" t="str">
        <f t="shared" si="31"/>
        <v>#REF!</v>
      </c>
      <c r="BU85" s="94" t="str">
        <f t="shared" si="31"/>
        <v>#REF!</v>
      </c>
      <c r="BV85" s="94" t="str">
        <f t="shared" si="31"/>
        <v>#REF!</v>
      </c>
      <c r="BW85" s="94" t="str">
        <f t="shared" si="31"/>
        <v>#REF!</v>
      </c>
      <c r="BX85" s="94" t="str">
        <f t="shared" si="31"/>
        <v>#REF!</v>
      </c>
      <c r="BY85" s="94" t="str">
        <f t="shared" si="31"/>
        <v>#REF!</v>
      </c>
      <c r="BZ85" s="94" t="str">
        <f t="shared" si="31"/>
        <v>#REF!</v>
      </c>
      <c r="CA85" s="94" t="str">
        <f t="shared" si="31"/>
        <v>#REF!</v>
      </c>
      <c r="CB85" s="94" t="str">
        <f t="shared" si="31"/>
        <v>#REF!</v>
      </c>
      <c r="CC85" s="94" t="str">
        <f t="shared" si="31"/>
        <v>#REF!</v>
      </c>
      <c r="CD85" s="94" t="str">
        <f t="shared" si="31"/>
        <v>#REF!</v>
      </c>
      <c r="CE85" s="94" t="str">
        <f t="shared" si="31"/>
        <v>#REF!</v>
      </c>
      <c r="CF85" s="94" t="str">
        <f t="shared" si="31"/>
        <v>#REF!</v>
      </c>
      <c r="CG85" s="94" t="str">
        <f t="shared" si="31"/>
        <v>#REF!</v>
      </c>
      <c r="CH85" s="94"/>
      <c r="CI85" s="94"/>
      <c r="CJ85" s="94"/>
      <c r="CK85" s="94"/>
      <c r="CL85" s="94"/>
      <c r="CM85" s="94"/>
      <c r="CN85" s="94"/>
      <c r="CO85" s="94"/>
      <c r="CP85" s="94"/>
      <c r="CQ85" s="94"/>
      <c r="CR85" s="94"/>
      <c r="CS85" s="94"/>
      <c r="CT85" s="94"/>
      <c r="CU85" s="94"/>
      <c r="CV85" s="94"/>
      <c r="CW85" s="94"/>
      <c r="CX85" s="94"/>
    </row>
    <row r="86" ht="12.75" hidden="1" customHeight="1">
      <c r="U86" s="96">
        <v>44469.0</v>
      </c>
      <c r="V86" s="94"/>
      <c r="W86" s="94"/>
      <c r="X86" s="94"/>
      <c r="Y86" s="94"/>
      <c r="Z86" s="94"/>
      <c r="AA86" s="94"/>
      <c r="AB86" s="94"/>
      <c r="AC86" s="94"/>
      <c r="AD86" s="94"/>
      <c r="AE86" s="94"/>
      <c r="AF86" s="94"/>
      <c r="AG86" s="94"/>
      <c r="AH86" s="94"/>
      <c r="AI86" s="94"/>
      <c r="AJ86" s="94"/>
      <c r="AK86" s="94"/>
      <c r="AL86" s="94" t="str">
        <f>+AK$17*#REF!</f>
        <v>#REF!</v>
      </c>
      <c r="AM86" s="94" t="str">
        <f t="shared" ref="AM86:CH86" si="32">IF(AL86&gt;0.005,(AL86-$AL86*#REF!/12),0)</f>
        <v>#REF!</v>
      </c>
      <c r="AN86" s="94" t="str">
        <f t="shared" si="32"/>
        <v>#REF!</v>
      </c>
      <c r="AO86" s="94" t="str">
        <f t="shared" si="32"/>
        <v>#REF!</v>
      </c>
      <c r="AP86" s="94" t="str">
        <f t="shared" si="32"/>
        <v>#REF!</v>
      </c>
      <c r="AQ86" s="94" t="str">
        <f t="shared" si="32"/>
        <v>#REF!</v>
      </c>
      <c r="AR86" s="94" t="str">
        <f t="shared" si="32"/>
        <v>#REF!</v>
      </c>
      <c r="AS86" s="94" t="str">
        <f t="shared" si="32"/>
        <v>#REF!</v>
      </c>
      <c r="AT86" s="94" t="str">
        <f t="shared" si="32"/>
        <v>#REF!</v>
      </c>
      <c r="AU86" s="94" t="str">
        <f t="shared" si="32"/>
        <v>#REF!</v>
      </c>
      <c r="AV86" s="94" t="str">
        <f t="shared" si="32"/>
        <v>#REF!</v>
      </c>
      <c r="AW86" s="94" t="str">
        <f t="shared" si="32"/>
        <v>#REF!</v>
      </c>
      <c r="AX86" s="94" t="str">
        <f t="shared" si="32"/>
        <v>#REF!</v>
      </c>
      <c r="AY86" s="94" t="str">
        <f t="shared" si="32"/>
        <v>#REF!</v>
      </c>
      <c r="AZ86" s="94" t="str">
        <f t="shared" si="32"/>
        <v>#REF!</v>
      </c>
      <c r="BA86" s="94" t="str">
        <f t="shared" si="32"/>
        <v>#REF!</v>
      </c>
      <c r="BB86" s="94" t="str">
        <f t="shared" si="32"/>
        <v>#REF!</v>
      </c>
      <c r="BC86" s="94" t="str">
        <f t="shared" si="32"/>
        <v>#REF!</v>
      </c>
      <c r="BD86" s="94" t="str">
        <f t="shared" si="32"/>
        <v>#REF!</v>
      </c>
      <c r="BE86" s="94" t="str">
        <f t="shared" si="32"/>
        <v>#REF!</v>
      </c>
      <c r="BF86" s="94" t="str">
        <f t="shared" si="32"/>
        <v>#REF!</v>
      </c>
      <c r="BG86" s="94" t="str">
        <f t="shared" si="32"/>
        <v>#REF!</v>
      </c>
      <c r="BH86" s="94" t="str">
        <f t="shared" si="32"/>
        <v>#REF!</v>
      </c>
      <c r="BI86" s="94" t="str">
        <f t="shared" si="32"/>
        <v>#REF!</v>
      </c>
      <c r="BJ86" s="94" t="str">
        <f t="shared" si="32"/>
        <v>#REF!</v>
      </c>
      <c r="BK86" s="94" t="str">
        <f t="shared" si="32"/>
        <v>#REF!</v>
      </c>
      <c r="BL86" s="94" t="str">
        <f t="shared" si="32"/>
        <v>#REF!</v>
      </c>
      <c r="BM86" s="94" t="str">
        <f t="shared" si="32"/>
        <v>#REF!</v>
      </c>
      <c r="BN86" s="94" t="str">
        <f t="shared" si="32"/>
        <v>#REF!</v>
      </c>
      <c r="BO86" s="94" t="str">
        <f t="shared" si="32"/>
        <v>#REF!</v>
      </c>
      <c r="BP86" s="94" t="str">
        <f t="shared" si="32"/>
        <v>#REF!</v>
      </c>
      <c r="BQ86" s="94" t="str">
        <f t="shared" si="32"/>
        <v>#REF!</v>
      </c>
      <c r="BR86" s="94" t="str">
        <f t="shared" si="32"/>
        <v>#REF!</v>
      </c>
      <c r="BS86" s="94" t="str">
        <f t="shared" si="32"/>
        <v>#REF!</v>
      </c>
      <c r="BT86" s="94" t="str">
        <f t="shared" si="32"/>
        <v>#REF!</v>
      </c>
      <c r="BU86" s="94" t="str">
        <f t="shared" si="32"/>
        <v>#REF!</v>
      </c>
      <c r="BV86" s="94" t="str">
        <f t="shared" si="32"/>
        <v>#REF!</v>
      </c>
      <c r="BW86" s="94" t="str">
        <f t="shared" si="32"/>
        <v>#REF!</v>
      </c>
      <c r="BX86" s="94" t="str">
        <f t="shared" si="32"/>
        <v>#REF!</v>
      </c>
      <c r="BY86" s="94" t="str">
        <f t="shared" si="32"/>
        <v>#REF!</v>
      </c>
      <c r="BZ86" s="94" t="str">
        <f t="shared" si="32"/>
        <v>#REF!</v>
      </c>
      <c r="CA86" s="94" t="str">
        <f t="shared" si="32"/>
        <v>#REF!</v>
      </c>
      <c r="CB86" s="94" t="str">
        <f t="shared" si="32"/>
        <v>#REF!</v>
      </c>
      <c r="CC86" s="94" t="str">
        <f t="shared" si="32"/>
        <v>#REF!</v>
      </c>
      <c r="CD86" s="94" t="str">
        <f t="shared" si="32"/>
        <v>#REF!</v>
      </c>
      <c r="CE86" s="94" t="str">
        <f t="shared" si="32"/>
        <v>#REF!</v>
      </c>
      <c r="CF86" s="94" t="str">
        <f t="shared" si="32"/>
        <v>#REF!</v>
      </c>
      <c r="CG86" s="94" t="str">
        <f t="shared" si="32"/>
        <v>#REF!</v>
      </c>
      <c r="CH86" s="94" t="str">
        <f t="shared" si="32"/>
        <v>#REF!</v>
      </c>
      <c r="CI86" s="94"/>
      <c r="CJ86" s="94"/>
      <c r="CK86" s="94"/>
      <c r="CL86" s="94"/>
      <c r="CM86" s="94"/>
      <c r="CN86" s="94"/>
      <c r="CO86" s="94"/>
      <c r="CP86" s="94"/>
      <c r="CQ86" s="94"/>
      <c r="CR86" s="94"/>
      <c r="CS86" s="94"/>
      <c r="CT86" s="94"/>
      <c r="CU86" s="94"/>
      <c r="CV86" s="94"/>
      <c r="CW86" s="94"/>
      <c r="CX86" s="94"/>
    </row>
    <row r="87" ht="12.75" hidden="1" customHeight="1">
      <c r="U87" s="96">
        <v>44500.0</v>
      </c>
      <c r="V87" s="94"/>
      <c r="W87" s="94"/>
      <c r="X87" s="94"/>
      <c r="Y87" s="94"/>
      <c r="Z87" s="94"/>
      <c r="AA87" s="94"/>
      <c r="AB87" s="94"/>
      <c r="AC87" s="94"/>
      <c r="AD87" s="94"/>
      <c r="AE87" s="94"/>
      <c r="AF87" s="94"/>
      <c r="AG87" s="94"/>
      <c r="AH87" s="94"/>
      <c r="AI87" s="94"/>
      <c r="AJ87" s="94"/>
      <c r="AK87" s="94"/>
      <c r="AL87" s="94"/>
      <c r="AM87" s="94" t="str">
        <f>+AL$17*#REF!</f>
        <v>#REF!</v>
      </c>
      <c r="AN87" s="94" t="str">
        <f t="shared" ref="AN87:CI87" si="33">IF(AM87&gt;0.005,(AM87-$AM87*#REF!/12),0)</f>
        <v>#REF!</v>
      </c>
      <c r="AO87" s="94" t="str">
        <f t="shared" si="33"/>
        <v>#REF!</v>
      </c>
      <c r="AP87" s="94" t="str">
        <f t="shared" si="33"/>
        <v>#REF!</v>
      </c>
      <c r="AQ87" s="94" t="str">
        <f t="shared" si="33"/>
        <v>#REF!</v>
      </c>
      <c r="AR87" s="94" t="str">
        <f t="shared" si="33"/>
        <v>#REF!</v>
      </c>
      <c r="AS87" s="94" t="str">
        <f t="shared" si="33"/>
        <v>#REF!</v>
      </c>
      <c r="AT87" s="94" t="str">
        <f t="shared" si="33"/>
        <v>#REF!</v>
      </c>
      <c r="AU87" s="94" t="str">
        <f t="shared" si="33"/>
        <v>#REF!</v>
      </c>
      <c r="AV87" s="94" t="str">
        <f t="shared" si="33"/>
        <v>#REF!</v>
      </c>
      <c r="AW87" s="94" t="str">
        <f t="shared" si="33"/>
        <v>#REF!</v>
      </c>
      <c r="AX87" s="94" t="str">
        <f t="shared" si="33"/>
        <v>#REF!</v>
      </c>
      <c r="AY87" s="94" t="str">
        <f t="shared" si="33"/>
        <v>#REF!</v>
      </c>
      <c r="AZ87" s="94" t="str">
        <f t="shared" si="33"/>
        <v>#REF!</v>
      </c>
      <c r="BA87" s="94" t="str">
        <f t="shared" si="33"/>
        <v>#REF!</v>
      </c>
      <c r="BB87" s="94" t="str">
        <f t="shared" si="33"/>
        <v>#REF!</v>
      </c>
      <c r="BC87" s="94" t="str">
        <f t="shared" si="33"/>
        <v>#REF!</v>
      </c>
      <c r="BD87" s="94" t="str">
        <f t="shared" si="33"/>
        <v>#REF!</v>
      </c>
      <c r="BE87" s="94" t="str">
        <f t="shared" si="33"/>
        <v>#REF!</v>
      </c>
      <c r="BF87" s="94" t="str">
        <f t="shared" si="33"/>
        <v>#REF!</v>
      </c>
      <c r="BG87" s="94" t="str">
        <f t="shared" si="33"/>
        <v>#REF!</v>
      </c>
      <c r="BH87" s="94" t="str">
        <f t="shared" si="33"/>
        <v>#REF!</v>
      </c>
      <c r="BI87" s="94" t="str">
        <f t="shared" si="33"/>
        <v>#REF!</v>
      </c>
      <c r="BJ87" s="94" t="str">
        <f t="shared" si="33"/>
        <v>#REF!</v>
      </c>
      <c r="BK87" s="94" t="str">
        <f t="shared" si="33"/>
        <v>#REF!</v>
      </c>
      <c r="BL87" s="94" t="str">
        <f t="shared" si="33"/>
        <v>#REF!</v>
      </c>
      <c r="BM87" s="94" t="str">
        <f t="shared" si="33"/>
        <v>#REF!</v>
      </c>
      <c r="BN87" s="94" t="str">
        <f t="shared" si="33"/>
        <v>#REF!</v>
      </c>
      <c r="BO87" s="94" t="str">
        <f t="shared" si="33"/>
        <v>#REF!</v>
      </c>
      <c r="BP87" s="94" t="str">
        <f t="shared" si="33"/>
        <v>#REF!</v>
      </c>
      <c r="BQ87" s="94" t="str">
        <f t="shared" si="33"/>
        <v>#REF!</v>
      </c>
      <c r="BR87" s="94" t="str">
        <f t="shared" si="33"/>
        <v>#REF!</v>
      </c>
      <c r="BS87" s="94" t="str">
        <f t="shared" si="33"/>
        <v>#REF!</v>
      </c>
      <c r="BT87" s="94" t="str">
        <f t="shared" si="33"/>
        <v>#REF!</v>
      </c>
      <c r="BU87" s="94" t="str">
        <f t="shared" si="33"/>
        <v>#REF!</v>
      </c>
      <c r="BV87" s="94" t="str">
        <f t="shared" si="33"/>
        <v>#REF!</v>
      </c>
      <c r="BW87" s="94" t="str">
        <f t="shared" si="33"/>
        <v>#REF!</v>
      </c>
      <c r="BX87" s="94" t="str">
        <f t="shared" si="33"/>
        <v>#REF!</v>
      </c>
      <c r="BY87" s="94" t="str">
        <f t="shared" si="33"/>
        <v>#REF!</v>
      </c>
      <c r="BZ87" s="94" t="str">
        <f t="shared" si="33"/>
        <v>#REF!</v>
      </c>
      <c r="CA87" s="94" t="str">
        <f t="shared" si="33"/>
        <v>#REF!</v>
      </c>
      <c r="CB87" s="94" t="str">
        <f t="shared" si="33"/>
        <v>#REF!</v>
      </c>
      <c r="CC87" s="94" t="str">
        <f t="shared" si="33"/>
        <v>#REF!</v>
      </c>
      <c r="CD87" s="94" t="str">
        <f t="shared" si="33"/>
        <v>#REF!</v>
      </c>
      <c r="CE87" s="94" t="str">
        <f t="shared" si="33"/>
        <v>#REF!</v>
      </c>
      <c r="CF87" s="94" t="str">
        <f t="shared" si="33"/>
        <v>#REF!</v>
      </c>
      <c r="CG87" s="94" t="str">
        <f t="shared" si="33"/>
        <v>#REF!</v>
      </c>
      <c r="CH87" s="94" t="str">
        <f t="shared" si="33"/>
        <v>#REF!</v>
      </c>
      <c r="CI87" s="94" t="str">
        <f t="shared" si="33"/>
        <v>#REF!</v>
      </c>
      <c r="CJ87" s="94"/>
      <c r="CK87" s="94"/>
      <c r="CL87" s="94"/>
      <c r="CM87" s="94"/>
      <c r="CN87" s="94"/>
      <c r="CO87" s="94"/>
      <c r="CP87" s="94"/>
      <c r="CQ87" s="94"/>
      <c r="CR87" s="94"/>
      <c r="CS87" s="94"/>
      <c r="CT87" s="94"/>
      <c r="CU87" s="94"/>
      <c r="CV87" s="94"/>
      <c r="CW87" s="94"/>
      <c r="CX87" s="94"/>
    </row>
    <row r="88" ht="12.75" hidden="1" customHeight="1">
      <c r="U88" s="96">
        <v>44530.0</v>
      </c>
      <c r="V88" s="94"/>
      <c r="W88" s="94"/>
      <c r="X88" s="94"/>
      <c r="Y88" s="94"/>
      <c r="Z88" s="94"/>
      <c r="AA88" s="94"/>
      <c r="AB88" s="94"/>
      <c r="AC88" s="94"/>
      <c r="AD88" s="94"/>
      <c r="AE88" s="94"/>
      <c r="AF88" s="94"/>
      <c r="AG88" s="94"/>
      <c r="AH88" s="94"/>
      <c r="AI88" s="94"/>
      <c r="AJ88" s="94"/>
      <c r="AK88" s="94"/>
      <c r="AL88" s="94"/>
      <c r="AM88" s="94"/>
      <c r="AN88" s="94" t="str">
        <f>+AM$17*#REF!</f>
        <v>#REF!</v>
      </c>
      <c r="AO88" s="94" t="str">
        <f t="shared" ref="AO88:CJ88" si="34">IF(AN88&gt;0.005,(AN88-$AN88*#REF!/12),0)</f>
        <v>#REF!</v>
      </c>
      <c r="AP88" s="94" t="str">
        <f t="shared" si="34"/>
        <v>#REF!</v>
      </c>
      <c r="AQ88" s="94" t="str">
        <f t="shared" si="34"/>
        <v>#REF!</v>
      </c>
      <c r="AR88" s="94" t="str">
        <f t="shared" si="34"/>
        <v>#REF!</v>
      </c>
      <c r="AS88" s="94" t="str">
        <f t="shared" si="34"/>
        <v>#REF!</v>
      </c>
      <c r="AT88" s="94" t="str">
        <f t="shared" si="34"/>
        <v>#REF!</v>
      </c>
      <c r="AU88" s="94" t="str">
        <f t="shared" si="34"/>
        <v>#REF!</v>
      </c>
      <c r="AV88" s="94" t="str">
        <f t="shared" si="34"/>
        <v>#REF!</v>
      </c>
      <c r="AW88" s="94" t="str">
        <f t="shared" si="34"/>
        <v>#REF!</v>
      </c>
      <c r="AX88" s="94" t="str">
        <f t="shared" si="34"/>
        <v>#REF!</v>
      </c>
      <c r="AY88" s="94" t="str">
        <f t="shared" si="34"/>
        <v>#REF!</v>
      </c>
      <c r="AZ88" s="94" t="str">
        <f t="shared" si="34"/>
        <v>#REF!</v>
      </c>
      <c r="BA88" s="94" t="str">
        <f t="shared" si="34"/>
        <v>#REF!</v>
      </c>
      <c r="BB88" s="94" t="str">
        <f t="shared" si="34"/>
        <v>#REF!</v>
      </c>
      <c r="BC88" s="94" t="str">
        <f t="shared" si="34"/>
        <v>#REF!</v>
      </c>
      <c r="BD88" s="94" t="str">
        <f t="shared" si="34"/>
        <v>#REF!</v>
      </c>
      <c r="BE88" s="94" t="str">
        <f t="shared" si="34"/>
        <v>#REF!</v>
      </c>
      <c r="BF88" s="94" t="str">
        <f t="shared" si="34"/>
        <v>#REF!</v>
      </c>
      <c r="BG88" s="94" t="str">
        <f t="shared" si="34"/>
        <v>#REF!</v>
      </c>
      <c r="BH88" s="94" t="str">
        <f t="shared" si="34"/>
        <v>#REF!</v>
      </c>
      <c r="BI88" s="94" t="str">
        <f t="shared" si="34"/>
        <v>#REF!</v>
      </c>
      <c r="BJ88" s="94" t="str">
        <f t="shared" si="34"/>
        <v>#REF!</v>
      </c>
      <c r="BK88" s="94" t="str">
        <f t="shared" si="34"/>
        <v>#REF!</v>
      </c>
      <c r="BL88" s="94" t="str">
        <f t="shared" si="34"/>
        <v>#REF!</v>
      </c>
      <c r="BM88" s="94" t="str">
        <f t="shared" si="34"/>
        <v>#REF!</v>
      </c>
      <c r="BN88" s="94" t="str">
        <f t="shared" si="34"/>
        <v>#REF!</v>
      </c>
      <c r="BO88" s="94" t="str">
        <f t="shared" si="34"/>
        <v>#REF!</v>
      </c>
      <c r="BP88" s="94" t="str">
        <f t="shared" si="34"/>
        <v>#REF!</v>
      </c>
      <c r="BQ88" s="94" t="str">
        <f t="shared" si="34"/>
        <v>#REF!</v>
      </c>
      <c r="BR88" s="94" t="str">
        <f t="shared" si="34"/>
        <v>#REF!</v>
      </c>
      <c r="BS88" s="94" t="str">
        <f t="shared" si="34"/>
        <v>#REF!</v>
      </c>
      <c r="BT88" s="94" t="str">
        <f t="shared" si="34"/>
        <v>#REF!</v>
      </c>
      <c r="BU88" s="94" t="str">
        <f t="shared" si="34"/>
        <v>#REF!</v>
      </c>
      <c r="BV88" s="94" t="str">
        <f t="shared" si="34"/>
        <v>#REF!</v>
      </c>
      <c r="BW88" s="94" t="str">
        <f t="shared" si="34"/>
        <v>#REF!</v>
      </c>
      <c r="BX88" s="94" t="str">
        <f t="shared" si="34"/>
        <v>#REF!</v>
      </c>
      <c r="BY88" s="94" t="str">
        <f t="shared" si="34"/>
        <v>#REF!</v>
      </c>
      <c r="BZ88" s="94" t="str">
        <f t="shared" si="34"/>
        <v>#REF!</v>
      </c>
      <c r="CA88" s="94" t="str">
        <f t="shared" si="34"/>
        <v>#REF!</v>
      </c>
      <c r="CB88" s="94" t="str">
        <f t="shared" si="34"/>
        <v>#REF!</v>
      </c>
      <c r="CC88" s="94" t="str">
        <f t="shared" si="34"/>
        <v>#REF!</v>
      </c>
      <c r="CD88" s="94" t="str">
        <f t="shared" si="34"/>
        <v>#REF!</v>
      </c>
      <c r="CE88" s="94" t="str">
        <f t="shared" si="34"/>
        <v>#REF!</v>
      </c>
      <c r="CF88" s="94" t="str">
        <f t="shared" si="34"/>
        <v>#REF!</v>
      </c>
      <c r="CG88" s="94" t="str">
        <f t="shared" si="34"/>
        <v>#REF!</v>
      </c>
      <c r="CH88" s="94" t="str">
        <f t="shared" si="34"/>
        <v>#REF!</v>
      </c>
      <c r="CI88" s="94" t="str">
        <f t="shared" si="34"/>
        <v>#REF!</v>
      </c>
      <c r="CJ88" s="94" t="str">
        <f t="shared" si="34"/>
        <v>#REF!</v>
      </c>
      <c r="CK88" s="94"/>
      <c r="CL88" s="94"/>
      <c r="CM88" s="94"/>
      <c r="CN88" s="94"/>
      <c r="CO88" s="94"/>
      <c r="CP88" s="94"/>
      <c r="CQ88" s="94"/>
      <c r="CR88" s="94"/>
      <c r="CS88" s="94"/>
      <c r="CT88" s="94"/>
      <c r="CU88" s="94"/>
      <c r="CV88" s="94"/>
      <c r="CW88" s="94"/>
      <c r="CX88" s="94"/>
    </row>
    <row r="89" ht="12.75" hidden="1" customHeight="1">
      <c r="U89" s="96">
        <v>44561.0</v>
      </c>
      <c r="V89" s="94"/>
      <c r="W89" s="94"/>
      <c r="X89" s="94"/>
      <c r="Y89" s="94"/>
      <c r="Z89" s="94"/>
      <c r="AA89" s="94"/>
      <c r="AB89" s="94"/>
      <c r="AC89" s="94"/>
      <c r="AD89" s="94"/>
      <c r="AE89" s="94"/>
      <c r="AF89" s="94"/>
      <c r="AG89" s="94"/>
      <c r="AH89" s="94"/>
      <c r="AI89" s="94"/>
      <c r="AJ89" s="94"/>
      <c r="AK89" s="94"/>
      <c r="AL89" s="94"/>
      <c r="AM89" s="94"/>
      <c r="AN89" s="94"/>
      <c r="AO89" s="94" t="str">
        <f>+AN$17*#REF!</f>
        <v>#REF!</v>
      </c>
      <c r="AP89" s="94" t="str">
        <f t="shared" ref="AP89:CK89" si="35">IF(AO89&gt;0.005,(AO89-$AO89*#REF!/12),0)</f>
        <v>#REF!</v>
      </c>
      <c r="AQ89" s="94" t="str">
        <f t="shared" si="35"/>
        <v>#REF!</v>
      </c>
      <c r="AR89" s="94" t="str">
        <f t="shared" si="35"/>
        <v>#REF!</v>
      </c>
      <c r="AS89" s="94" t="str">
        <f t="shared" si="35"/>
        <v>#REF!</v>
      </c>
      <c r="AT89" s="94" t="str">
        <f t="shared" si="35"/>
        <v>#REF!</v>
      </c>
      <c r="AU89" s="94" t="str">
        <f t="shared" si="35"/>
        <v>#REF!</v>
      </c>
      <c r="AV89" s="94" t="str">
        <f t="shared" si="35"/>
        <v>#REF!</v>
      </c>
      <c r="AW89" s="94" t="str">
        <f t="shared" si="35"/>
        <v>#REF!</v>
      </c>
      <c r="AX89" s="94" t="str">
        <f t="shared" si="35"/>
        <v>#REF!</v>
      </c>
      <c r="AY89" s="94" t="str">
        <f t="shared" si="35"/>
        <v>#REF!</v>
      </c>
      <c r="AZ89" s="94" t="str">
        <f t="shared" si="35"/>
        <v>#REF!</v>
      </c>
      <c r="BA89" s="94" t="str">
        <f t="shared" si="35"/>
        <v>#REF!</v>
      </c>
      <c r="BB89" s="94" t="str">
        <f t="shared" si="35"/>
        <v>#REF!</v>
      </c>
      <c r="BC89" s="94" t="str">
        <f t="shared" si="35"/>
        <v>#REF!</v>
      </c>
      <c r="BD89" s="94" t="str">
        <f t="shared" si="35"/>
        <v>#REF!</v>
      </c>
      <c r="BE89" s="94" t="str">
        <f t="shared" si="35"/>
        <v>#REF!</v>
      </c>
      <c r="BF89" s="94" t="str">
        <f t="shared" si="35"/>
        <v>#REF!</v>
      </c>
      <c r="BG89" s="94" t="str">
        <f t="shared" si="35"/>
        <v>#REF!</v>
      </c>
      <c r="BH89" s="94" t="str">
        <f t="shared" si="35"/>
        <v>#REF!</v>
      </c>
      <c r="BI89" s="94" t="str">
        <f t="shared" si="35"/>
        <v>#REF!</v>
      </c>
      <c r="BJ89" s="94" t="str">
        <f t="shared" si="35"/>
        <v>#REF!</v>
      </c>
      <c r="BK89" s="94" t="str">
        <f t="shared" si="35"/>
        <v>#REF!</v>
      </c>
      <c r="BL89" s="94" t="str">
        <f t="shared" si="35"/>
        <v>#REF!</v>
      </c>
      <c r="BM89" s="94" t="str">
        <f t="shared" si="35"/>
        <v>#REF!</v>
      </c>
      <c r="BN89" s="94" t="str">
        <f t="shared" si="35"/>
        <v>#REF!</v>
      </c>
      <c r="BO89" s="94" t="str">
        <f t="shared" si="35"/>
        <v>#REF!</v>
      </c>
      <c r="BP89" s="94" t="str">
        <f t="shared" si="35"/>
        <v>#REF!</v>
      </c>
      <c r="BQ89" s="94" t="str">
        <f t="shared" si="35"/>
        <v>#REF!</v>
      </c>
      <c r="BR89" s="94" t="str">
        <f t="shared" si="35"/>
        <v>#REF!</v>
      </c>
      <c r="BS89" s="94" t="str">
        <f t="shared" si="35"/>
        <v>#REF!</v>
      </c>
      <c r="BT89" s="94" t="str">
        <f t="shared" si="35"/>
        <v>#REF!</v>
      </c>
      <c r="BU89" s="94" t="str">
        <f t="shared" si="35"/>
        <v>#REF!</v>
      </c>
      <c r="BV89" s="94" t="str">
        <f t="shared" si="35"/>
        <v>#REF!</v>
      </c>
      <c r="BW89" s="94" t="str">
        <f t="shared" si="35"/>
        <v>#REF!</v>
      </c>
      <c r="BX89" s="94" t="str">
        <f t="shared" si="35"/>
        <v>#REF!</v>
      </c>
      <c r="BY89" s="94" t="str">
        <f t="shared" si="35"/>
        <v>#REF!</v>
      </c>
      <c r="BZ89" s="94" t="str">
        <f t="shared" si="35"/>
        <v>#REF!</v>
      </c>
      <c r="CA89" s="94" t="str">
        <f t="shared" si="35"/>
        <v>#REF!</v>
      </c>
      <c r="CB89" s="94" t="str">
        <f t="shared" si="35"/>
        <v>#REF!</v>
      </c>
      <c r="CC89" s="94" t="str">
        <f t="shared" si="35"/>
        <v>#REF!</v>
      </c>
      <c r="CD89" s="94" t="str">
        <f t="shared" si="35"/>
        <v>#REF!</v>
      </c>
      <c r="CE89" s="94" t="str">
        <f t="shared" si="35"/>
        <v>#REF!</v>
      </c>
      <c r="CF89" s="94" t="str">
        <f t="shared" si="35"/>
        <v>#REF!</v>
      </c>
      <c r="CG89" s="94" t="str">
        <f t="shared" si="35"/>
        <v>#REF!</v>
      </c>
      <c r="CH89" s="94" t="str">
        <f t="shared" si="35"/>
        <v>#REF!</v>
      </c>
      <c r="CI89" s="94" t="str">
        <f t="shared" si="35"/>
        <v>#REF!</v>
      </c>
      <c r="CJ89" s="94" t="str">
        <f t="shared" si="35"/>
        <v>#REF!</v>
      </c>
      <c r="CK89" s="94" t="str">
        <f t="shared" si="35"/>
        <v>#REF!</v>
      </c>
      <c r="CL89" s="94"/>
      <c r="CM89" s="94"/>
      <c r="CN89" s="94"/>
      <c r="CO89" s="94"/>
      <c r="CP89" s="94"/>
      <c r="CQ89" s="94"/>
      <c r="CR89" s="94"/>
      <c r="CS89" s="94"/>
      <c r="CT89" s="94"/>
      <c r="CU89" s="94"/>
      <c r="CV89" s="94"/>
      <c r="CW89" s="94"/>
      <c r="CX89" s="94"/>
    </row>
    <row r="90" ht="12.75" hidden="1" customHeight="1">
      <c r="U90" s="96">
        <v>44592.0</v>
      </c>
      <c r="V90" s="94"/>
      <c r="W90" s="94"/>
      <c r="X90" s="94"/>
      <c r="Y90" s="94"/>
      <c r="Z90" s="94"/>
      <c r="AA90" s="94"/>
      <c r="AB90" s="94"/>
      <c r="AC90" s="94"/>
      <c r="AD90" s="94"/>
      <c r="AE90" s="94"/>
      <c r="AF90" s="94"/>
      <c r="AG90" s="94"/>
      <c r="AH90" s="94"/>
      <c r="AI90" s="94"/>
      <c r="AJ90" s="94"/>
      <c r="AK90" s="94"/>
      <c r="AL90" s="94"/>
      <c r="AM90" s="94"/>
      <c r="AN90" s="94"/>
      <c r="AO90" s="94"/>
      <c r="AP90" s="94" t="str">
        <f>+AO$17*#REF!</f>
        <v>#REF!</v>
      </c>
      <c r="AQ90" s="94" t="str">
        <f t="shared" ref="AQ90:CL90" si="36">IF(AP90&gt;0.005,(AP90-$AP90*#REF!/12),0)</f>
        <v>#REF!</v>
      </c>
      <c r="AR90" s="94" t="str">
        <f t="shared" si="36"/>
        <v>#REF!</v>
      </c>
      <c r="AS90" s="94" t="str">
        <f t="shared" si="36"/>
        <v>#REF!</v>
      </c>
      <c r="AT90" s="94" t="str">
        <f t="shared" si="36"/>
        <v>#REF!</v>
      </c>
      <c r="AU90" s="94" t="str">
        <f t="shared" si="36"/>
        <v>#REF!</v>
      </c>
      <c r="AV90" s="94" t="str">
        <f t="shared" si="36"/>
        <v>#REF!</v>
      </c>
      <c r="AW90" s="94" t="str">
        <f t="shared" si="36"/>
        <v>#REF!</v>
      </c>
      <c r="AX90" s="94" t="str">
        <f t="shared" si="36"/>
        <v>#REF!</v>
      </c>
      <c r="AY90" s="94" t="str">
        <f t="shared" si="36"/>
        <v>#REF!</v>
      </c>
      <c r="AZ90" s="94" t="str">
        <f t="shared" si="36"/>
        <v>#REF!</v>
      </c>
      <c r="BA90" s="94" t="str">
        <f t="shared" si="36"/>
        <v>#REF!</v>
      </c>
      <c r="BB90" s="94" t="str">
        <f t="shared" si="36"/>
        <v>#REF!</v>
      </c>
      <c r="BC90" s="94" t="str">
        <f t="shared" si="36"/>
        <v>#REF!</v>
      </c>
      <c r="BD90" s="94" t="str">
        <f t="shared" si="36"/>
        <v>#REF!</v>
      </c>
      <c r="BE90" s="94" t="str">
        <f t="shared" si="36"/>
        <v>#REF!</v>
      </c>
      <c r="BF90" s="94" t="str">
        <f t="shared" si="36"/>
        <v>#REF!</v>
      </c>
      <c r="BG90" s="94" t="str">
        <f t="shared" si="36"/>
        <v>#REF!</v>
      </c>
      <c r="BH90" s="94" t="str">
        <f t="shared" si="36"/>
        <v>#REF!</v>
      </c>
      <c r="BI90" s="94" t="str">
        <f t="shared" si="36"/>
        <v>#REF!</v>
      </c>
      <c r="BJ90" s="94" t="str">
        <f t="shared" si="36"/>
        <v>#REF!</v>
      </c>
      <c r="BK90" s="94" t="str">
        <f t="shared" si="36"/>
        <v>#REF!</v>
      </c>
      <c r="BL90" s="94" t="str">
        <f t="shared" si="36"/>
        <v>#REF!</v>
      </c>
      <c r="BM90" s="94" t="str">
        <f t="shared" si="36"/>
        <v>#REF!</v>
      </c>
      <c r="BN90" s="94" t="str">
        <f t="shared" si="36"/>
        <v>#REF!</v>
      </c>
      <c r="BO90" s="94" t="str">
        <f t="shared" si="36"/>
        <v>#REF!</v>
      </c>
      <c r="BP90" s="94" t="str">
        <f t="shared" si="36"/>
        <v>#REF!</v>
      </c>
      <c r="BQ90" s="94" t="str">
        <f t="shared" si="36"/>
        <v>#REF!</v>
      </c>
      <c r="BR90" s="94" t="str">
        <f t="shared" si="36"/>
        <v>#REF!</v>
      </c>
      <c r="BS90" s="94" t="str">
        <f t="shared" si="36"/>
        <v>#REF!</v>
      </c>
      <c r="BT90" s="94" t="str">
        <f t="shared" si="36"/>
        <v>#REF!</v>
      </c>
      <c r="BU90" s="94" t="str">
        <f t="shared" si="36"/>
        <v>#REF!</v>
      </c>
      <c r="BV90" s="94" t="str">
        <f t="shared" si="36"/>
        <v>#REF!</v>
      </c>
      <c r="BW90" s="94" t="str">
        <f t="shared" si="36"/>
        <v>#REF!</v>
      </c>
      <c r="BX90" s="94" t="str">
        <f t="shared" si="36"/>
        <v>#REF!</v>
      </c>
      <c r="BY90" s="94" t="str">
        <f t="shared" si="36"/>
        <v>#REF!</v>
      </c>
      <c r="BZ90" s="94" t="str">
        <f t="shared" si="36"/>
        <v>#REF!</v>
      </c>
      <c r="CA90" s="94" t="str">
        <f t="shared" si="36"/>
        <v>#REF!</v>
      </c>
      <c r="CB90" s="94" t="str">
        <f t="shared" si="36"/>
        <v>#REF!</v>
      </c>
      <c r="CC90" s="94" t="str">
        <f t="shared" si="36"/>
        <v>#REF!</v>
      </c>
      <c r="CD90" s="94" t="str">
        <f t="shared" si="36"/>
        <v>#REF!</v>
      </c>
      <c r="CE90" s="94" t="str">
        <f t="shared" si="36"/>
        <v>#REF!</v>
      </c>
      <c r="CF90" s="94" t="str">
        <f t="shared" si="36"/>
        <v>#REF!</v>
      </c>
      <c r="CG90" s="94" t="str">
        <f t="shared" si="36"/>
        <v>#REF!</v>
      </c>
      <c r="CH90" s="94" t="str">
        <f t="shared" si="36"/>
        <v>#REF!</v>
      </c>
      <c r="CI90" s="94" t="str">
        <f t="shared" si="36"/>
        <v>#REF!</v>
      </c>
      <c r="CJ90" s="94" t="str">
        <f t="shared" si="36"/>
        <v>#REF!</v>
      </c>
      <c r="CK90" s="94" t="str">
        <f t="shared" si="36"/>
        <v>#REF!</v>
      </c>
      <c r="CL90" s="94" t="str">
        <f t="shared" si="36"/>
        <v>#REF!</v>
      </c>
      <c r="CM90" s="94"/>
      <c r="CN90" s="94"/>
      <c r="CO90" s="94"/>
      <c r="CP90" s="94"/>
      <c r="CQ90" s="94"/>
      <c r="CR90" s="94"/>
      <c r="CS90" s="94"/>
      <c r="CT90" s="94"/>
      <c r="CU90" s="94"/>
      <c r="CV90" s="94"/>
      <c r="CW90" s="94"/>
      <c r="CX90" s="94"/>
    </row>
    <row r="91" ht="12.75" hidden="1" customHeight="1">
      <c r="U91" s="96">
        <v>44620.0</v>
      </c>
      <c r="V91" s="94"/>
      <c r="W91" s="94"/>
      <c r="X91" s="94"/>
      <c r="Y91" s="94"/>
      <c r="Z91" s="94"/>
      <c r="AA91" s="94"/>
      <c r="AB91" s="94"/>
      <c r="AC91" s="94"/>
      <c r="AD91" s="94"/>
      <c r="AE91" s="94"/>
      <c r="AF91" s="94"/>
      <c r="AG91" s="94"/>
      <c r="AH91" s="94"/>
      <c r="AI91" s="94"/>
      <c r="AJ91" s="94"/>
      <c r="AK91" s="94"/>
      <c r="AL91" s="94"/>
      <c r="AM91" s="94"/>
      <c r="AN91" s="94"/>
      <c r="AO91" s="94"/>
      <c r="AP91" s="94"/>
      <c r="AQ91" s="94" t="str">
        <f>+AP$17*#REF!</f>
        <v>#REF!</v>
      </c>
      <c r="AR91" s="94" t="str">
        <f t="shared" ref="AR91:CM91" si="37">IF(AQ91&gt;0.005,(AQ91-$AQ91*#REF!/12),0)</f>
        <v>#REF!</v>
      </c>
      <c r="AS91" s="94" t="str">
        <f t="shared" si="37"/>
        <v>#REF!</v>
      </c>
      <c r="AT91" s="94" t="str">
        <f t="shared" si="37"/>
        <v>#REF!</v>
      </c>
      <c r="AU91" s="94" t="str">
        <f t="shared" si="37"/>
        <v>#REF!</v>
      </c>
      <c r="AV91" s="94" t="str">
        <f t="shared" si="37"/>
        <v>#REF!</v>
      </c>
      <c r="AW91" s="94" t="str">
        <f t="shared" si="37"/>
        <v>#REF!</v>
      </c>
      <c r="AX91" s="94" t="str">
        <f t="shared" si="37"/>
        <v>#REF!</v>
      </c>
      <c r="AY91" s="94" t="str">
        <f t="shared" si="37"/>
        <v>#REF!</v>
      </c>
      <c r="AZ91" s="94" t="str">
        <f t="shared" si="37"/>
        <v>#REF!</v>
      </c>
      <c r="BA91" s="94" t="str">
        <f t="shared" si="37"/>
        <v>#REF!</v>
      </c>
      <c r="BB91" s="94" t="str">
        <f t="shared" si="37"/>
        <v>#REF!</v>
      </c>
      <c r="BC91" s="94" t="str">
        <f t="shared" si="37"/>
        <v>#REF!</v>
      </c>
      <c r="BD91" s="94" t="str">
        <f t="shared" si="37"/>
        <v>#REF!</v>
      </c>
      <c r="BE91" s="94" t="str">
        <f t="shared" si="37"/>
        <v>#REF!</v>
      </c>
      <c r="BF91" s="94" t="str">
        <f t="shared" si="37"/>
        <v>#REF!</v>
      </c>
      <c r="BG91" s="94" t="str">
        <f t="shared" si="37"/>
        <v>#REF!</v>
      </c>
      <c r="BH91" s="94" t="str">
        <f t="shared" si="37"/>
        <v>#REF!</v>
      </c>
      <c r="BI91" s="94" t="str">
        <f t="shared" si="37"/>
        <v>#REF!</v>
      </c>
      <c r="BJ91" s="94" t="str">
        <f t="shared" si="37"/>
        <v>#REF!</v>
      </c>
      <c r="BK91" s="94" t="str">
        <f t="shared" si="37"/>
        <v>#REF!</v>
      </c>
      <c r="BL91" s="94" t="str">
        <f t="shared" si="37"/>
        <v>#REF!</v>
      </c>
      <c r="BM91" s="94" t="str">
        <f t="shared" si="37"/>
        <v>#REF!</v>
      </c>
      <c r="BN91" s="94" t="str">
        <f t="shared" si="37"/>
        <v>#REF!</v>
      </c>
      <c r="BO91" s="94" t="str">
        <f t="shared" si="37"/>
        <v>#REF!</v>
      </c>
      <c r="BP91" s="94" t="str">
        <f t="shared" si="37"/>
        <v>#REF!</v>
      </c>
      <c r="BQ91" s="94" t="str">
        <f t="shared" si="37"/>
        <v>#REF!</v>
      </c>
      <c r="BR91" s="94" t="str">
        <f t="shared" si="37"/>
        <v>#REF!</v>
      </c>
      <c r="BS91" s="94" t="str">
        <f t="shared" si="37"/>
        <v>#REF!</v>
      </c>
      <c r="BT91" s="94" t="str">
        <f t="shared" si="37"/>
        <v>#REF!</v>
      </c>
      <c r="BU91" s="94" t="str">
        <f t="shared" si="37"/>
        <v>#REF!</v>
      </c>
      <c r="BV91" s="94" t="str">
        <f t="shared" si="37"/>
        <v>#REF!</v>
      </c>
      <c r="BW91" s="94" t="str">
        <f t="shared" si="37"/>
        <v>#REF!</v>
      </c>
      <c r="BX91" s="94" t="str">
        <f t="shared" si="37"/>
        <v>#REF!</v>
      </c>
      <c r="BY91" s="94" t="str">
        <f t="shared" si="37"/>
        <v>#REF!</v>
      </c>
      <c r="BZ91" s="94" t="str">
        <f t="shared" si="37"/>
        <v>#REF!</v>
      </c>
      <c r="CA91" s="94" t="str">
        <f t="shared" si="37"/>
        <v>#REF!</v>
      </c>
      <c r="CB91" s="94" t="str">
        <f t="shared" si="37"/>
        <v>#REF!</v>
      </c>
      <c r="CC91" s="94" t="str">
        <f t="shared" si="37"/>
        <v>#REF!</v>
      </c>
      <c r="CD91" s="94" t="str">
        <f t="shared" si="37"/>
        <v>#REF!</v>
      </c>
      <c r="CE91" s="94" t="str">
        <f t="shared" si="37"/>
        <v>#REF!</v>
      </c>
      <c r="CF91" s="94" t="str">
        <f t="shared" si="37"/>
        <v>#REF!</v>
      </c>
      <c r="CG91" s="94" t="str">
        <f t="shared" si="37"/>
        <v>#REF!</v>
      </c>
      <c r="CH91" s="94" t="str">
        <f t="shared" si="37"/>
        <v>#REF!</v>
      </c>
      <c r="CI91" s="94" t="str">
        <f t="shared" si="37"/>
        <v>#REF!</v>
      </c>
      <c r="CJ91" s="94" t="str">
        <f t="shared" si="37"/>
        <v>#REF!</v>
      </c>
      <c r="CK91" s="94" t="str">
        <f t="shared" si="37"/>
        <v>#REF!</v>
      </c>
      <c r="CL91" s="94" t="str">
        <f t="shared" si="37"/>
        <v>#REF!</v>
      </c>
      <c r="CM91" s="94" t="str">
        <f t="shared" si="37"/>
        <v>#REF!</v>
      </c>
      <c r="CN91" s="94"/>
      <c r="CO91" s="94"/>
      <c r="CP91" s="94"/>
      <c r="CQ91" s="94"/>
      <c r="CR91" s="94"/>
      <c r="CS91" s="94"/>
      <c r="CT91" s="94"/>
      <c r="CU91" s="94"/>
      <c r="CV91" s="94"/>
      <c r="CW91" s="94"/>
      <c r="CX91" s="94"/>
    </row>
    <row r="92" ht="12.75" hidden="1" customHeight="1">
      <c r="U92" s="96">
        <v>44651.0</v>
      </c>
      <c r="V92" s="94"/>
      <c r="W92" s="94"/>
      <c r="X92" s="94"/>
      <c r="Y92" s="94"/>
      <c r="Z92" s="94"/>
      <c r="AA92" s="94"/>
      <c r="AB92" s="94"/>
      <c r="AC92" s="94"/>
      <c r="AD92" s="94"/>
      <c r="AE92" s="94"/>
      <c r="AF92" s="94"/>
      <c r="AG92" s="94"/>
      <c r="AH92" s="94"/>
      <c r="AI92" s="94"/>
      <c r="AJ92" s="94"/>
      <c r="AK92" s="94"/>
      <c r="AL92" s="94"/>
      <c r="AM92" s="94"/>
      <c r="AN92" s="94"/>
      <c r="AO92" s="94"/>
      <c r="AP92" s="94"/>
      <c r="AQ92" s="94"/>
      <c r="AR92" s="94" t="str">
        <f>+AQ$17*#REF!</f>
        <v>#REF!</v>
      </c>
      <c r="AS92" s="94" t="str">
        <f t="shared" ref="AS92:CN92" si="38">IF(AR92&gt;0.005,(AR92-$AR92*#REF!/12),0)</f>
        <v>#REF!</v>
      </c>
      <c r="AT92" s="94" t="str">
        <f t="shared" si="38"/>
        <v>#REF!</v>
      </c>
      <c r="AU92" s="94" t="str">
        <f t="shared" si="38"/>
        <v>#REF!</v>
      </c>
      <c r="AV92" s="94" t="str">
        <f t="shared" si="38"/>
        <v>#REF!</v>
      </c>
      <c r="AW92" s="94" t="str">
        <f t="shared" si="38"/>
        <v>#REF!</v>
      </c>
      <c r="AX92" s="94" t="str">
        <f t="shared" si="38"/>
        <v>#REF!</v>
      </c>
      <c r="AY92" s="94" t="str">
        <f t="shared" si="38"/>
        <v>#REF!</v>
      </c>
      <c r="AZ92" s="94" t="str">
        <f t="shared" si="38"/>
        <v>#REF!</v>
      </c>
      <c r="BA92" s="94" t="str">
        <f t="shared" si="38"/>
        <v>#REF!</v>
      </c>
      <c r="BB92" s="94" t="str">
        <f t="shared" si="38"/>
        <v>#REF!</v>
      </c>
      <c r="BC92" s="94" t="str">
        <f t="shared" si="38"/>
        <v>#REF!</v>
      </c>
      <c r="BD92" s="94" t="str">
        <f t="shared" si="38"/>
        <v>#REF!</v>
      </c>
      <c r="BE92" s="94" t="str">
        <f t="shared" si="38"/>
        <v>#REF!</v>
      </c>
      <c r="BF92" s="94" t="str">
        <f t="shared" si="38"/>
        <v>#REF!</v>
      </c>
      <c r="BG92" s="94" t="str">
        <f t="shared" si="38"/>
        <v>#REF!</v>
      </c>
      <c r="BH92" s="94" t="str">
        <f t="shared" si="38"/>
        <v>#REF!</v>
      </c>
      <c r="BI92" s="94" t="str">
        <f t="shared" si="38"/>
        <v>#REF!</v>
      </c>
      <c r="BJ92" s="94" t="str">
        <f t="shared" si="38"/>
        <v>#REF!</v>
      </c>
      <c r="BK92" s="94" t="str">
        <f t="shared" si="38"/>
        <v>#REF!</v>
      </c>
      <c r="BL92" s="94" t="str">
        <f t="shared" si="38"/>
        <v>#REF!</v>
      </c>
      <c r="BM92" s="94" t="str">
        <f t="shared" si="38"/>
        <v>#REF!</v>
      </c>
      <c r="BN92" s="94" t="str">
        <f t="shared" si="38"/>
        <v>#REF!</v>
      </c>
      <c r="BO92" s="94" t="str">
        <f t="shared" si="38"/>
        <v>#REF!</v>
      </c>
      <c r="BP92" s="94" t="str">
        <f t="shared" si="38"/>
        <v>#REF!</v>
      </c>
      <c r="BQ92" s="94" t="str">
        <f t="shared" si="38"/>
        <v>#REF!</v>
      </c>
      <c r="BR92" s="94" t="str">
        <f t="shared" si="38"/>
        <v>#REF!</v>
      </c>
      <c r="BS92" s="94" t="str">
        <f t="shared" si="38"/>
        <v>#REF!</v>
      </c>
      <c r="BT92" s="94" t="str">
        <f t="shared" si="38"/>
        <v>#REF!</v>
      </c>
      <c r="BU92" s="94" t="str">
        <f t="shared" si="38"/>
        <v>#REF!</v>
      </c>
      <c r="BV92" s="94" t="str">
        <f t="shared" si="38"/>
        <v>#REF!</v>
      </c>
      <c r="BW92" s="94" t="str">
        <f t="shared" si="38"/>
        <v>#REF!</v>
      </c>
      <c r="BX92" s="94" t="str">
        <f t="shared" si="38"/>
        <v>#REF!</v>
      </c>
      <c r="BY92" s="94" t="str">
        <f t="shared" si="38"/>
        <v>#REF!</v>
      </c>
      <c r="BZ92" s="94" t="str">
        <f t="shared" si="38"/>
        <v>#REF!</v>
      </c>
      <c r="CA92" s="94" t="str">
        <f t="shared" si="38"/>
        <v>#REF!</v>
      </c>
      <c r="CB92" s="94" t="str">
        <f t="shared" si="38"/>
        <v>#REF!</v>
      </c>
      <c r="CC92" s="94" t="str">
        <f t="shared" si="38"/>
        <v>#REF!</v>
      </c>
      <c r="CD92" s="94" t="str">
        <f t="shared" si="38"/>
        <v>#REF!</v>
      </c>
      <c r="CE92" s="94" t="str">
        <f t="shared" si="38"/>
        <v>#REF!</v>
      </c>
      <c r="CF92" s="94" t="str">
        <f t="shared" si="38"/>
        <v>#REF!</v>
      </c>
      <c r="CG92" s="94" t="str">
        <f t="shared" si="38"/>
        <v>#REF!</v>
      </c>
      <c r="CH92" s="94" t="str">
        <f t="shared" si="38"/>
        <v>#REF!</v>
      </c>
      <c r="CI92" s="94" t="str">
        <f t="shared" si="38"/>
        <v>#REF!</v>
      </c>
      <c r="CJ92" s="94" t="str">
        <f t="shared" si="38"/>
        <v>#REF!</v>
      </c>
      <c r="CK92" s="94" t="str">
        <f t="shared" si="38"/>
        <v>#REF!</v>
      </c>
      <c r="CL92" s="94" t="str">
        <f t="shared" si="38"/>
        <v>#REF!</v>
      </c>
      <c r="CM92" s="94" t="str">
        <f t="shared" si="38"/>
        <v>#REF!</v>
      </c>
      <c r="CN92" s="94" t="str">
        <f t="shared" si="38"/>
        <v>#REF!</v>
      </c>
      <c r="CO92" s="94"/>
      <c r="CP92" s="94"/>
      <c r="CQ92" s="94"/>
      <c r="CR92" s="94"/>
      <c r="CS92" s="94"/>
      <c r="CT92" s="94"/>
      <c r="CU92" s="94"/>
      <c r="CV92" s="94"/>
      <c r="CW92" s="94"/>
      <c r="CX92" s="94"/>
    </row>
    <row r="93" ht="12.75" hidden="1" customHeight="1">
      <c r="U93" s="96">
        <v>44681.0</v>
      </c>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t="str">
        <f>+AR$17*#REF!</f>
        <v>#REF!</v>
      </c>
      <c r="AT93" s="94" t="str">
        <f t="shared" ref="AT93:CO93" si="39">IF(AS93&gt;0.005,(AS93-$AS93*#REF!/12),0)</f>
        <v>#REF!</v>
      </c>
      <c r="AU93" s="94" t="str">
        <f t="shared" si="39"/>
        <v>#REF!</v>
      </c>
      <c r="AV93" s="94" t="str">
        <f t="shared" si="39"/>
        <v>#REF!</v>
      </c>
      <c r="AW93" s="94" t="str">
        <f t="shared" si="39"/>
        <v>#REF!</v>
      </c>
      <c r="AX93" s="94" t="str">
        <f t="shared" si="39"/>
        <v>#REF!</v>
      </c>
      <c r="AY93" s="94" t="str">
        <f t="shared" si="39"/>
        <v>#REF!</v>
      </c>
      <c r="AZ93" s="94" t="str">
        <f t="shared" si="39"/>
        <v>#REF!</v>
      </c>
      <c r="BA93" s="94" t="str">
        <f t="shared" si="39"/>
        <v>#REF!</v>
      </c>
      <c r="BB93" s="94" t="str">
        <f t="shared" si="39"/>
        <v>#REF!</v>
      </c>
      <c r="BC93" s="94" t="str">
        <f t="shared" si="39"/>
        <v>#REF!</v>
      </c>
      <c r="BD93" s="94" t="str">
        <f t="shared" si="39"/>
        <v>#REF!</v>
      </c>
      <c r="BE93" s="94" t="str">
        <f t="shared" si="39"/>
        <v>#REF!</v>
      </c>
      <c r="BF93" s="94" t="str">
        <f t="shared" si="39"/>
        <v>#REF!</v>
      </c>
      <c r="BG93" s="94" t="str">
        <f t="shared" si="39"/>
        <v>#REF!</v>
      </c>
      <c r="BH93" s="94" t="str">
        <f t="shared" si="39"/>
        <v>#REF!</v>
      </c>
      <c r="BI93" s="94" t="str">
        <f t="shared" si="39"/>
        <v>#REF!</v>
      </c>
      <c r="BJ93" s="94" t="str">
        <f t="shared" si="39"/>
        <v>#REF!</v>
      </c>
      <c r="BK93" s="94" t="str">
        <f t="shared" si="39"/>
        <v>#REF!</v>
      </c>
      <c r="BL93" s="94" t="str">
        <f t="shared" si="39"/>
        <v>#REF!</v>
      </c>
      <c r="BM93" s="94" t="str">
        <f t="shared" si="39"/>
        <v>#REF!</v>
      </c>
      <c r="BN93" s="94" t="str">
        <f t="shared" si="39"/>
        <v>#REF!</v>
      </c>
      <c r="BO93" s="94" t="str">
        <f t="shared" si="39"/>
        <v>#REF!</v>
      </c>
      <c r="BP93" s="94" t="str">
        <f t="shared" si="39"/>
        <v>#REF!</v>
      </c>
      <c r="BQ93" s="94" t="str">
        <f t="shared" si="39"/>
        <v>#REF!</v>
      </c>
      <c r="BR93" s="94" t="str">
        <f t="shared" si="39"/>
        <v>#REF!</v>
      </c>
      <c r="BS93" s="94" t="str">
        <f t="shared" si="39"/>
        <v>#REF!</v>
      </c>
      <c r="BT93" s="94" t="str">
        <f t="shared" si="39"/>
        <v>#REF!</v>
      </c>
      <c r="BU93" s="94" t="str">
        <f t="shared" si="39"/>
        <v>#REF!</v>
      </c>
      <c r="BV93" s="94" t="str">
        <f t="shared" si="39"/>
        <v>#REF!</v>
      </c>
      <c r="BW93" s="94" t="str">
        <f t="shared" si="39"/>
        <v>#REF!</v>
      </c>
      <c r="BX93" s="94" t="str">
        <f t="shared" si="39"/>
        <v>#REF!</v>
      </c>
      <c r="BY93" s="94" t="str">
        <f t="shared" si="39"/>
        <v>#REF!</v>
      </c>
      <c r="BZ93" s="94" t="str">
        <f t="shared" si="39"/>
        <v>#REF!</v>
      </c>
      <c r="CA93" s="94" t="str">
        <f t="shared" si="39"/>
        <v>#REF!</v>
      </c>
      <c r="CB93" s="94" t="str">
        <f t="shared" si="39"/>
        <v>#REF!</v>
      </c>
      <c r="CC93" s="94" t="str">
        <f t="shared" si="39"/>
        <v>#REF!</v>
      </c>
      <c r="CD93" s="94" t="str">
        <f t="shared" si="39"/>
        <v>#REF!</v>
      </c>
      <c r="CE93" s="94" t="str">
        <f t="shared" si="39"/>
        <v>#REF!</v>
      </c>
      <c r="CF93" s="94" t="str">
        <f t="shared" si="39"/>
        <v>#REF!</v>
      </c>
      <c r="CG93" s="94" t="str">
        <f t="shared" si="39"/>
        <v>#REF!</v>
      </c>
      <c r="CH93" s="94" t="str">
        <f t="shared" si="39"/>
        <v>#REF!</v>
      </c>
      <c r="CI93" s="94" t="str">
        <f t="shared" si="39"/>
        <v>#REF!</v>
      </c>
      <c r="CJ93" s="94" t="str">
        <f t="shared" si="39"/>
        <v>#REF!</v>
      </c>
      <c r="CK93" s="94" t="str">
        <f t="shared" si="39"/>
        <v>#REF!</v>
      </c>
      <c r="CL93" s="94" t="str">
        <f t="shared" si="39"/>
        <v>#REF!</v>
      </c>
      <c r="CM93" s="94" t="str">
        <f t="shared" si="39"/>
        <v>#REF!</v>
      </c>
      <c r="CN93" s="94" t="str">
        <f t="shared" si="39"/>
        <v>#REF!</v>
      </c>
      <c r="CO93" s="94" t="str">
        <f t="shared" si="39"/>
        <v>#REF!</v>
      </c>
      <c r="CP93" s="94"/>
      <c r="CQ93" s="94"/>
      <c r="CR93" s="94"/>
      <c r="CS93" s="94"/>
      <c r="CT93" s="94"/>
      <c r="CU93" s="94"/>
      <c r="CV93" s="94"/>
      <c r="CW93" s="94"/>
      <c r="CX93" s="94"/>
    </row>
    <row r="94" ht="12.75" hidden="1" customHeight="1">
      <c r="U94" s="96">
        <v>44712.0</v>
      </c>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t="str">
        <f>+AS$17*#REF!</f>
        <v>#REF!</v>
      </c>
      <c r="AU94" s="94" t="str">
        <f t="shared" ref="AU94:CP94" si="40">IF(AT94&gt;0.005,(AT94-$AT94*#REF!/12),0)</f>
        <v>#REF!</v>
      </c>
      <c r="AV94" s="94" t="str">
        <f t="shared" si="40"/>
        <v>#REF!</v>
      </c>
      <c r="AW94" s="94" t="str">
        <f t="shared" si="40"/>
        <v>#REF!</v>
      </c>
      <c r="AX94" s="94" t="str">
        <f t="shared" si="40"/>
        <v>#REF!</v>
      </c>
      <c r="AY94" s="94" t="str">
        <f t="shared" si="40"/>
        <v>#REF!</v>
      </c>
      <c r="AZ94" s="94" t="str">
        <f t="shared" si="40"/>
        <v>#REF!</v>
      </c>
      <c r="BA94" s="94" t="str">
        <f t="shared" si="40"/>
        <v>#REF!</v>
      </c>
      <c r="BB94" s="94" t="str">
        <f t="shared" si="40"/>
        <v>#REF!</v>
      </c>
      <c r="BC94" s="94" t="str">
        <f t="shared" si="40"/>
        <v>#REF!</v>
      </c>
      <c r="BD94" s="94" t="str">
        <f t="shared" si="40"/>
        <v>#REF!</v>
      </c>
      <c r="BE94" s="94" t="str">
        <f t="shared" si="40"/>
        <v>#REF!</v>
      </c>
      <c r="BF94" s="94" t="str">
        <f t="shared" si="40"/>
        <v>#REF!</v>
      </c>
      <c r="BG94" s="94" t="str">
        <f t="shared" si="40"/>
        <v>#REF!</v>
      </c>
      <c r="BH94" s="94" t="str">
        <f t="shared" si="40"/>
        <v>#REF!</v>
      </c>
      <c r="BI94" s="94" t="str">
        <f t="shared" si="40"/>
        <v>#REF!</v>
      </c>
      <c r="BJ94" s="94" t="str">
        <f t="shared" si="40"/>
        <v>#REF!</v>
      </c>
      <c r="BK94" s="94" t="str">
        <f t="shared" si="40"/>
        <v>#REF!</v>
      </c>
      <c r="BL94" s="94" t="str">
        <f t="shared" si="40"/>
        <v>#REF!</v>
      </c>
      <c r="BM94" s="94" t="str">
        <f t="shared" si="40"/>
        <v>#REF!</v>
      </c>
      <c r="BN94" s="94" t="str">
        <f t="shared" si="40"/>
        <v>#REF!</v>
      </c>
      <c r="BO94" s="94" t="str">
        <f t="shared" si="40"/>
        <v>#REF!</v>
      </c>
      <c r="BP94" s="94" t="str">
        <f t="shared" si="40"/>
        <v>#REF!</v>
      </c>
      <c r="BQ94" s="94" t="str">
        <f t="shared" si="40"/>
        <v>#REF!</v>
      </c>
      <c r="BR94" s="94" t="str">
        <f t="shared" si="40"/>
        <v>#REF!</v>
      </c>
      <c r="BS94" s="94" t="str">
        <f t="shared" si="40"/>
        <v>#REF!</v>
      </c>
      <c r="BT94" s="94" t="str">
        <f t="shared" si="40"/>
        <v>#REF!</v>
      </c>
      <c r="BU94" s="94" t="str">
        <f t="shared" si="40"/>
        <v>#REF!</v>
      </c>
      <c r="BV94" s="94" t="str">
        <f t="shared" si="40"/>
        <v>#REF!</v>
      </c>
      <c r="BW94" s="94" t="str">
        <f t="shared" si="40"/>
        <v>#REF!</v>
      </c>
      <c r="BX94" s="94" t="str">
        <f t="shared" si="40"/>
        <v>#REF!</v>
      </c>
      <c r="BY94" s="94" t="str">
        <f t="shared" si="40"/>
        <v>#REF!</v>
      </c>
      <c r="BZ94" s="94" t="str">
        <f t="shared" si="40"/>
        <v>#REF!</v>
      </c>
      <c r="CA94" s="94" t="str">
        <f t="shared" si="40"/>
        <v>#REF!</v>
      </c>
      <c r="CB94" s="94" t="str">
        <f t="shared" si="40"/>
        <v>#REF!</v>
      </c>
      <c r="CC94" s="94" t="str">
        <f t="shared" si="40"/>
        <v>#REF!</v>
      </c>
      <c r="CD94" s="94" t="str">
        <f t="shared" si="40"/>
        <v>#REF!</v>
      </c>
      <c r="CE94" s="94" t="str">
        <f t="shared" si="40"/>
        <v>#REF!</v>
      </c>
      <c r="CF94" s="94" t="str">
        <f t="shared" si="40"/>
        <v>#REF!</v>
      </c>
      <c r="CG94" s="94" t="str">
        <f t="shared" si="40"/>
        <v>#REF!</v>
      </c>
      <c r="CH94" s="94" t="str">
        <f t="shared" si="40"/>
        <v>#REF!</v>
      </c>
      <c r="CI94" s="94" t="str">
        <f t="shared" si="40"/>
        <v>#REF!</v>
      </c>
      <c r="CJ94" s="94" t="str">
        <f t="shared" si="40"/>
        <v>#REF!</v>
      </c>
      <c r="CK94" s="94" t="str">
        <f t="shared" si="40"/>
        <v>#REF!</v>
      </c>
      <c r="CL94" s="94" t="str">
        <f t="shared" si="40"/>
        <v>#REF!</v>
      </c>
      <c r="CM94" s="94" t="str">
        <f t="shared" si="40"/>
        <v>#REF!</v>
      </c>
      <c r="CN94" s="94" t="str">
        <f t="shared" si="40"/>
        <v>#REF!</v>
      </c>
      <c r="CO94" s="94" t="str">
        <f t="shared" si="40"/>
        <v>#REF!</v>
      </c>
      <c r="CP94" s="94" t="str">
        <f t="shared" si="40"/>
        <v>#REF!</v>
      </c>
      <c r="CQ94" s="94"/>
      <c r="CR94" s="94"/>
      <c r="CS94" s="94"/>
      <c r="CT94" s="94"/>
      <c r="CU94" s="94"/>
      <c r="CV94" s="94"/>
      <c r="CW94" s="94"/>
      <c r="CX94" s="94"/>
    </row>
    <row r="95" ht="12.75" hidden="1" customHeight="1">
      <c r="U95" s="96">
        <v>44742.0</v>
      </c>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t="str">
        <f>+AT$17*#REF!</f>
        <v>#REF!</v>
      </c>
      <c r="AV95" s="94" t="str">
        <f t="shared" ref="AV95:CQ95" si="41">IF(AU95&gt;0.005,(AU95-$AU95*#REF!/12),0)</f>
        <v>#REF!</v>
      </c>
      <c r="AW95" s="94" t="str">
        <f t="shared" si="41"/>
        <v>#REF!</v>
      </c>
      <c r="AX95" s="94" t="str">
        <f t="shared" si="41"/>
        <v>#REF!</v>
      </c>
      <c r="AY95" s="94" t="str">
        <f t="shared" si="41"/>
        <v>#REF!</v>
      </c>
      <c r="AZ95" s="94" t="str">
        <f t="shared" si="41"/>
        <v>#REF!</v>
      </c>
      <c r="BA95" s="94" t="str">
        <f t="shared" si="41"/>
        <v>#REF!</v>
      </c>
      <c r="BB95" s="94" t="str">
        <f t="shared" si="41"/>
        <v>#REF!</v>
      </c>
      <c r="BC95" s="94" t="str">
        <f t="shared" si="41"/>
        <v>#REF!</v>
      </c>
      <c r="BD95" s="94" t="str">
        <f t="shared" si="41"/>
        <v>#REF!</v>
      </c>
      <c r="BE95" s="94" t="str">
        <f t="shared" si="41"/>
        <v>#REF!</v>
      </c>
      <c r="BF95" s="94" t="str">
        <f t="shared" si="41"/>
        <v>#REF!</v>
      </c>
      <c r="BG95" s="94" t="str">
        <f t="shared" si="41"/>
        <v>#REF!</v>
      </c>
      <c r="BH95" s="94" t="str">
        <f t="shared" si="41"/>
        <v>#REF!</v>
      </c>
      <c r="BI95" s="94" t="str">
        <f t="shared" si="41"/>
        <v>#REF!</v>
      </c>
      <c r="BJ95" s="94" t="str">
        <f t="shared" si="41"/>
        <v>#REF!</v>
      </c>
      <c r="BK95" s="94" t="str">
        <f t="shared" si="41"/>
        <v>#REF!</v>
      </c>
      <c r="BL95" s="94" t="str">
        <f t="shared" si="41"/>
        <v>#REF!</v>
      </c>
      <c r="BM95" s="94" t="str">
        <f t="shared" si="41"/>
        <v>#REF!</v>
      </c>
      <c r="BN95" s="94" t="str">
        <f t="shared" si="41"/>
        <v>#REF!</v>
      </c>
      <c r="BO95" s="94" t="str">
        <f t="shared" si="41"/>
        <v>#REF!</v>
      </c>
      <c r="BP95" s="94" t="str">
        <f t="shared" si="41"/>
        <v>#REF!</v>
      </c>
      <c r="BQ95" s="94" t="str">
        <f t="shared" si="41"/>
        <v>#REF!</v>
      </c>
      <c r="BR95" s="94" t="str">
        <f t="shared" si="41"/>
        <v>#REF!</v>
      </c>
      <c r="BS95" s="94" t="str">
        <f t="shared" si="41"/>
        <v>#REF!</v>
      </c>
      <c r="BT95" s="94" t="str">
        <f t="shared" si="41"/>
        <v>#REF!</v>
      </c>
      <c r="BU95" s="94" t="str">
        <f t="shared" si="41"/>
        <v>#REF!</v>
      </c>
      <c r="BV95" s="94" t="str">
        <f t="shared" si="41"/>
        <v>#REF!</v>
      </c>
      <c r="BW95" s="94" t="str">
        <f t="shared" si="41"/>
        <v>#REF!</v>
      </c>
      <c r="BX95" s="94" t="str">
        <f t="shared" si="41"/>
        <v>#REF!</v>
      </c>
      <c r="BY95" s="94" t="str">
        <f t="shared" si="41"/>
        <v>#REF!</v>
      </c>
      <c r="BZ95" s="94" t="str">
        <f t="shared" si="41"/>
        <v>#REF!</v>
      </c>
      <c r="CA95" s="94" t="str">
        <f t="shared" si="41"/>
        <v>#REF!</v>
      </c>
      <c r="CB95" s="94" t="str">
        <f t="shared" si="41"/>
        <v>#REF!</v>
      </c>
      <c r="CC95" s="94" t="str">
        <f t="shared" si="41"/>
        <v>#REF!</v>
      </c>
      <c r="CD95" s="94" t="str">
        <f t="shared" si="41"/>
        <v>#REF!</v>
      </c>
      <c r="CE95" s="94" t="str">
        <f t="shared" si="41"/>
        <v>#REF!</v>
      </c>
      <c r="CF95" s="94" t="str">
        <f t="shared" si="41"/>
        <v>#REF!</v>
      </c>
      <c r="CG95" s="94" t="str">
        <f t="shared" si="41"/>
        <v>#REF!</v>
      </c>
      <c r="CH95" s="94" t="str">
        <f t="shared" si="41"/>
        <v>#REF!</v>
      </c>
      <c r="CI95" s="94" t="str">
        <f t="shared" si="41"/>
        <v>#REF!</v>
      </c>
      <c r="CJ95" s="94" t="str">
        <f t="shared" si="41"/>
        <v>#REF!</v>
      </c>
      <c r="CK95" s="94" t="str">
        <f t="shared" si="41"/>
        <v>#REF!</v>
      </c>
      <c r="CL95" s="94" t="str">
        <f t="shared" si="41"/>
        <v>#REF!</v>
      </c>
      <c r="CM95" s="94" t="str">
        <f t="shared" si="41"/>
        <v>#REF!</v>
      </c>
      <c r="CN95" s="94" t="str">
        <f t="shared" si="41"/>
        <v>#REF!</v>
      </c>
      <c r="CO95" s="94" t="str">
        <f t="shared" si="41"/>
        <v>#REF!</v>
      </c>
      <c r="CP95" s="94" t="str">
        <f t="shared" si="41"/>
        <v>#REF!</v>
      </c>
      <c r="CQ95" s="94" t="str">
        <f t="shared" si="41"/>
        <v>#REF!</v>
      </c>
      <c r="CR95" s="94"/>
      <c r="CS95" s="94"/>
      <c r="CT95" s="94"/>
      <c r="CU95" s="94"/>
      <c r="CV95" s="94"/>
      <c r="CW95" s="94"/>
      <c r="CX95" s="94"/>
    </row>
    <row r="96" ht="12.75" hidden="1" customHeight="1">
      <c r="U96" s="96">
        <v>44773.0</v>
      </c>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t="str">
        <f>+AU$17*#REF!</f>
        <v>#REF!</v>
      </c>
      <c r="AW96" s="94" t="str">
        <f t="shared" ref="AW96:CR96" si="42">IF(AV96&gt;0.005,(AV96-$AV96*#REF!/12),0)</f>
        <v>#REF!</v>
      </c>
      <c r="AX96" s="94" t="str">
        <f t="shared" si="42"/>
        <v>#REF!</v>
      </c>
      <c r="AY96" s="94" t="str">
        <f t="shared" si="42"/>
        <v>#REF!</v>
      </c>
      <c r="AZ96" s="94" t="str">
        <f t="shared" si="42"/>
        <v>#REF!</v>
      </c>
      <c r="BA96" s="94" t="str">
        <f t="shared" si="42"/>
        <v>#REF!</v>
      </c>
      <c r="BB96" s="94" t="str">
        <f t="shared" si="42"/>
        <v>#REF!</v>
      </c>
      <c r="BC96" s="94" t="str">
        <f t="shared" si="42"/>
        <v>#REF!</v>
      </c>
      <c r="BD96" s="94" t="str">
        <f t="shared" si="42"/>
        <v>#REF!</v>
      </c>
      <c r="BE96" s="94" t="str">
        <f t="shared" si="42"/>
        <v>#REF!</v>
      </c>
      <c r="BF96" s="94" t="str">
        <f t="shared" si="42"/>
        <v>#REF!</v>
      </c>
      <c r="BG96" s="94" t="str">
        <f t="shared" si="42"/>
        <v>#REF!</v>
      </c>
      <c r="BH96" s="94" t="str">
        <f t="shared" si="42"/>
        <v>#REF!</v>
      </c>
      <c r="BI96" s="94" t="str">
        <f t="shared" si="42"/>
        <v>#REF!</v>
      </c>
      <c r="BJ96" s="94" t="str">
        <f t="shared" si="42"/>
        <v>#REF!</v>
      </c>
      <c r="BK96" s="94" t="str">
        <f t="shared" si="42"/>
        <v>#REF!</v>
      </c>
      <c r="BL96" s="94" t="str">
        <f t="shared" si="42"/>
        <v>#REF!</v>
      </c>
      <c r="BM96" s="94" t="str">
        <f t="shared" si="42"/>
        <v>#REF!</v>
      </c>
      <c r="BN96" s="94" t="str">
        <f t="shared" si="42"/>
        <v>#REF!</v>
      </c>
      <c r="BO96" s="94" t="str">
        <f t="shared" si="42"/>
        <v>#REF!</v>
      </c>
      <c r="BP96" s="94" t="str">
        <f t="shared" si="42"/>
        <v>#REF!</v>
      </c>
      <c r="BQ96" s="94" t="str">
        <f t="shared" si="42"/>
        <v>#REF!</v>
      </c>
      <c r="BR96" s="94" t="str">
        <f t="shared" si="42"/>
        <v>#REF!</v>
      </c>
      <c r="BS96" s="94" t="str">
        <f t="shared" si="42"/>
        <v>#REF!</v>
      </c>
      <c r="BT96" s="94" t="str">
        <f t="shared" si="42"/>
        <v>#REF!</v>
      </c>
      <c r="BU96" s="94" t="str">
        <f t="shared" si="42"/>
        <v>#REF!</v>
      </c>
      <c r="BV96" s="94" t="str">
        <f t="shared" si="42"/>
        <v>#REF!</v>
      </c>
      <c r="BW96" s="94" t="str">
        <f t="shared" si="42"/>
        <v>#REF!</v>
      </c>
      <c r="BX96" s="94" t="str">
        <f t="shared" si="42"/>
        <v>#REF!</v>
      </c>
      <c r="BY96" s="94" t="str">
        <f t="shared" si="42"/>
        <v>#REF!</v>
      </c>
      <c r="BZ96" s="94" t="str">
        <f t="shared" si="42"/>
        <v>#REF!</v>
      </c>
      <c r="CA96" s="94" t="str">
        <f t="shared" si="42"/>
        <v>#REF!</v>
      </c>
      <c r="CB96" s="94" t="str">
        <f t="shared" si="42"/>
        <v>#REF!</v>
      </c>
      <c r="CC96" s="94" t="str">
        <f t="shared" si="42"/>
        <v>#REF!</v>
      </c>
      <c r="CD96" s="94" t="str">
        <f t="shared" si="42"/>
        <v>#REF!</v>
      </c>
      <c r="CE96" s="94" t="str">
        <f t="shared" si="42"/>
        <v>#REF!</v>
      </c>
      <c r="CF96" s="94" t="str">
        <f t="shared" si="42"/>
        <v>#REF!</v>
      </c>
      <c r="CG96" s="94" t="str">
        <f t="shared" si="42"/>
        <v>#REF!</v>
      </c>
      <c r="CH96" s="94" t="str">
        <f t="shared" si="42"/>
        <v>#REF!</v>
      </c>
      <c r="CI96" s="94" t="str">
        <f t="shared" si="42"/>
        <v>#REF!</v>
      </c>
      <c r="CJ96" s="94" t="str">
        <f t="shared" si="42"/>
        <v>#REF!</v>
      </c>
      <c r="CK96" s="94" t="str">
        <f t="shared" si="42"/>
        <v>#REF!</v>
      </c>
      <c r="CL96" s="94" t="str">
        <f t="shared" si="42"/>
        <v>#REF!</v>
      </c>
      <c r="CM96" s="94" t="str">
        <f t="shared" si="42"/>
        <v>#REF!</v>
      </c>
      <c r="CN96" s="94" t="str">
        <f t="shared" si="42"/>
        <v>#REF!</v>
      </c>
      <c r="CO96" s="94" t="str">
        <f t="shared" si="42"/>
        <v>#REF!</v>
      </c>
      <c r="CP96" s="94" t="str">
        <f t="shared" si="42"/>
        <v>#REF!</v>
      </c>
      <c r="CQ96" s="94" t="str">
        <f t="shared" si="42"/>
        <v>#REF!</v>
      </c>
      <c r="CR96" s="94" t="str">
        <f t="shared" si="42"/>
        <v>#REF!</v>
      </c>
      <c r="CS96" s="94"/>
      <c r="CT96" s="94"/>
      <c r="CU96" s="94"/>
      <c r="CV96" s="94"/>
      <c r="CW96" s="94"/>
      <c r="CX96" s="94"/>
    </row>
    <row r="97" ht="12.75" hidden="1" customHeight="1">
      <c r="U97" s="96">
        <v>44804.0</v>
      </c>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t="str">
        <f>+AV$17*#REF!</f>
        <v>#REF!</v>
      </c>
      <c r="AX97" s="94" t="str">
        <f t="shared" ref="AX97:CS97" si="43">IF(AW97&gt;0.005,(AW97-$AW97*#REF!/12),0)</f>
        <v>#REF!</v>
      </c>
      <c r="AY97" s="94" t="str">
        <f t="shared" si="43"/>
        <v>#REF!</v>
      </c>
      <c r="AZ97" s="94" t="str">
        <f t="shared" si="43"/>
        <v>#REF!</v>
      </c>
      <c r="BA97" s="94" t="str">
        <f t="shared" si="43"/>
        <v>#REF!</v>
      </c>
      <c r="BB97" s="94" t="str">
        <f t="shared" si="43"/>
        <v>#REF!</v>
      </c>
      <c r="BC97" s="94" t="str">
        <f t="shared" si="43"/>
        <v>#REF!</v>
      </c>
      <c r="BD97" s="94" t="str">
        <f t="shared" si="43"/>
        <v>#REF!</v>
      </c>
      <c r="BE97" s="94" t="str">
        <f t="shared" si="43"/>
        <v>#REF!</v>
      </c>
      <c r="BF97" s="94" t="str">
        <f t="shared" si="43"/>
        <v>#REF!</v>
      </c>
      <c r="BG97" s="94" t="str">
        <f t="shared" si="43"/>
        <v>#REF!</v>
      </c>
      <c r="BH97" s="94" t="str">
        <f t="shared" si="43"/>
        <v>#REF!</v>
      </c>
      <c r="BI97" s="94" t="str">
        <f t="shared" si="43"/>
        <v>#REF!</v>
      </c>
      <c r="BJ97" s="94" t="str">
        <f t="shared" si="43"/>
        <v>#REF!</v>
      </c>
      <c r="BK97" s="94" t="str">
        <f t="shared" si="43"/>
        <v>#REF!</v>
      </c>
      <c r="BL97" s="94" t="str">
        <f t="shared" si="43"/>
        <v>#REF!</v>
      </c>
      <c r="BM97" s="94" t="str">
        <f t="shared" si="43"/>
        <v>#REF!</v>
      </c>
      <c r="BN97" s="94" t="str">
        <f t="shared" si="43"/>
        <v>#REF!</v>
      </c>
      <c r="BO97" s="94" t="str">
        <f t="shared" si="43"/>
        <v>#REF!</v>
      </c>
      <c r="BP97" s="94" t="str">
        <f t="shared" si="43"/>
        <v>#REF!</v>
      </c>
      <c r="BQ97" s="94" t="str">
        <f t="shared" si="43"/>
        <v>#REF!</v>
      </c>
      <c r="BR97" s="94" t="str">
        <f t="shared" si="43"/>
        <v>#REF!</v>
      </c>
      <c r="BS97" s="94" t="str">
        <f t="shared" si="43"/>
        <v>#REF!</v>
      </c>
      <c r="BT97" s="94" t="str">
        <f t="shared" si="43"/>
        <v>#REF!</v>
      </c>
      <c r="BU97" s="94" t="str">
        <f t="shared" si="43"/>
        <v>#REF!</v>
      </c>
      <c r="BV97" s="94" t="str">
        <f t="shared" si="43"/>
        <v>#REF!</v>
      </c>
      <c r="BW97" s="94" t="str">
        <f t="shared" si="43"/>
        <v>#REF!</v>
      </c>
      <c r="BX97" s="94" t="str">
        <f t="shared" si="43"/>
        <v>#REF!</v>
      </c>
      <c r="BY97" s="94" t="str">
        <f t="shared" si="43"/>
        <v>#REF!</v>
      </c>
      <c r="BZ97" s="94" t="str">
        <f t="shared" si="43"/>
        <v>#REF!</v>
      </c>
      <c r="CA97" s="94" t="str">
        <f t="shared" si="43"/>
        <v>#REF!</v>
      </c>
      <c r="CB97" s="94" t="str">
        <f t="shared" si="43"/>
        <v>#REF!</v>
      </c>
      <c r="CC97" s="94" t="str">
        <f t="shared" si="43"/>
        <v>#REF!</v>
      </c>
      <c r="CD97" s="94" t="str">
        <f t="shared" si="43"/>
        <v>#REF!</v>
      </c>
      <c r="CE97" s="94" t="str">
        <f t="shared" si="43"/>
        <v>#REF!</v>
      </c>
      <c r="CF97" s="94" t="str">
        <f t="shared" si="43"/>
        <v>#REF!</v>
      </c>
      <c r="CG97" s="94" t="str">
        <f t="shared" si="43"/>
        <v>#REF!</v>
      </c>
      <c r="CH97" s="94" t="str">
        <f t="shared" si="43"/>
        <v>#REF!</v>
      </c>
      <c r="CI97" s="94" t="str">
        <f t="shared" si="43"/>
        <v>#REF!</v>
      </c>
      <c r="CJ97" s="94" t="str">
        <f t="shared" si="43"/>
        <v>#REF!</v>
      </c>
      <c r="CK97" s="94" t="str">
        <f t="shared" si="43"/>
        <v>#REF!</v>
      </c>
      <c r="CL97" s="94" t="str">
        <f t="shared" si="43"/>
        <v>#REF!</v>
      </c>
      <c r="CM97" s="94" t="str">
        <f t="shared" si="43"/>
        <v>#REF!</v>
      </c>
      <c r="CN97" s="94" t="str">
        <f t="shared" si="43"/>
        <v>#REF!</v>
      </c>
      <c r="CO97" s="94" t="str">
        <f t="shared" si="43"/>
        <v>#REF!</v>
      </c>
      <c r="CP97" s="94" t="str">
        <f t="shared" si="43"/>
        <v>#REF!</v>
      </c>
      <c r="CQ97" s="94" t="str">
        <f t="shared" si="43"/>
        <v>#REF!</v>
      </c>
      <c r="CR97" s="94" t="str">
        <f t="shared" si="43"/>
        <v>#REF!</v>
      </c>
      <c r="CS97" s="94" t="str">
        <f t="shared" si="43"/>
        <v>#REF!</v>
      </c>
      <c r="CT97" s="94"/>
      <c r="CU97" s="94"/>
      <c r="CV97" s="94"/>
      <c r="CW97" s="94"/>
      <c r="CX97" s="94"/>
    </row>
    <row r="98" ht="12.75" hidden="1" customHeight="1">
      <c r="U98" s="96">
        <v>44834.0</v>
      </c>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t="str">
        <f>+AW$17*#REF!</f>
        <v>#REF!</v>
      </c>
      <c r="AY98" s="94" t="str">
        <f t="shared" ref="AY98:CT98" si="44">IF(AX98&gt;0.005,(AX98-$AX98*#REF!/12),0)</f>
        <v>#REF!</v>
      </c>
      <c r="AZ98" s="94" t="str">
        <f t="shared" si="44"/>
        <v>#REF!</v>
      </c>
      <c r="BA98" s="94" t="str">
        <f t="shared" si="44"/>
        <v>#REF!</v>
      </c>
      <c r="BB98" s="94" t="str">
        <f t="shared" si="44"/>
        <v>#REF!</v>
      </c>
      <c r="BC98" s="94" t="str">
        <f t="shared" si="44"/>
        <v>#REF!</v>
      </c>
      <c r="BD98" s="94" t="str">
        <f t="shared" si="44"/>
        <v>#REF!</v>
      </c>
      <c r="BE98" s="94" t="str">
        <f t="shared" si="44"/>
        <v>#REF!</v>
      </c>
      <c r="BF98" s="94" t="str">
        <f t="shared" si="44"/>
        <v>#REF!</v>
      </c>
      <c r="BG98" s="94" t="str">
        <f t="shared" si="44"/>
        <v>#REF!</v>
      </c>
      <c r="BH98" s="94" t="str">
        <f t="shared" si="44"/>
        <v>#REF!</v>
      </c>
      <c r="BI98" s="94" t="str">
        <f t="shared" si="44"/>
        <v>#REF!</v>
      </c>
      <c r="BJ98" s="94" t="str">
        <f t="shared" si="44"/>
        <v>#REF!</v>
      </c>
      <c r="BK98" s="94" t="str">
        <f t="shared" si="44"/>
        <v>#REF!</v>
      </c>
      <c r="BL98" s="94" t="str">
        <f t="shared" si="44"/>
        <v>#REF!</v>
      </c>
      <c r="BM98" s="94" t="str">
        <f t="shared" si="44"/>
        <v>#REF!</v>
      </c>
      <c r="BN98" s="94" t="str">
        <f t="shared" si="44"/>
        <v>#REF!</v>
      </c>
      <c r="BO98" s="94" t="str">
        <f t="shared" si="44"/>
        <v>#REF!</v>
      </c>
      <c r="BP98" s="94" t="str">
        <f t="shared" si="44"/>
        <v>#REF!</v>
      </c>
      <c r="BQ98" s="94" t="str">
        <f t="shared" si="44"/>
        <v>#REF!</v>
      </c>
      <c r="BR98" s="94" t="str">
        <f t="shared" si="44"/>
        <v>#REF!</v>
      </c>
      <c r="BS98" s="94" t="str">
        <f t="shared" si="44"/>
        <v>#REF!</v>
      </c>
      <c r="BT98" s="94" t="str">
        <f t="shared" si="44"/>
        <v>#REF!</v>
      </c>
      <c r="BU98" s="94" t="str">
        <f t="shared" si="44"/>
        <v>#REF!</v>
      </c>
      <c r="BV98" s="94" t="str">
        <f t="shared" si="44"/>
        <v>#REF!</v>
      </c>
      <c r="BW98" s="94" t="str">
        <f t="shared" si="44"/>
        <v>#REF!</v>
      </c>
      <c r="BX98" s="94" t="str">
        <f t="shared" si="44"/>
        <v>#REF!</v>
      </c>
      <c r="BY98" s="94" t="str">
        <f t="shared" si="44"/>
        <v>#REF!</v>
      </c>
      <c r="BZ98" s="94" t="str">
        <f t="shared" si="44"/>
        <v>#REF!</v>
      </c>
      <c r="CA98" s="94" t="str">
        <f t="shared" si="44"/>
        <v>#REF!</v>
      </c>
      <c r="CB98" s="94" t="str">
        <f t="shared" si="44"/>
        <v>#REF!</v>
      </c>
      <c r="CC98" s="94" t="str">
        <f t="shared" si="44"/>
        <v>#REF!</v>
      </c>
      <c r="CD98" s="94" t="str">
        <f t="shared" si="44"/>
        <v>#REF!</v>
      </c>
      <c r="CE98" s="94" t="str">
        <f t="shared" si="44"/>
        <v>#REF!</v>
      </c>
      <c r="CF98" s="94" t="str">
        <f t="shared" si="44"/>
        <v>#REF!</v>
      </c>
      <c r="CG98" s="94" t="str">
        <f t="shared" si="44"/>
        <v>#REF!</v>
      </c>
      <c r="CH98" s="94" t="str">
        <f t="shared" si="44"/>
        <v>#REF!</v>
      </c>
      <c r="CI98" s="94" t="str">
        <f t="shared" si="44"/>
        <v>#REF!</v>
      </c>
      <c r="CJ98" s="94" t="str">
        <f t="shared" si="44"/>
        <v>#REF!</v>
      </c>
      <c r="CK98" s="94" t="str">
        <f t="shared" si="44"/>
        <v>#REF!</v>
      </c>
      <c r="CL98" s="94" t="str">
        <f t="shared" si="44"/>
        <v>#REF!</v>
      </c>
      <c r="CM98" s="94" t="str">
        <f t="shared" si="44"/>
        <v>#REF!</v>
      </c>
      <c r="CN98" s="94" t="str">
        <f t="shared" si="44"/>
        <v>#REF!</v>
      </c>
      <c r="CO98" s="94" t="str">
        <f t="shared" si="44"/>
        <v>#REF!</v>
      </c>
      <c r="CP98" s="94" t="str">
        <f t="shared" si="44"/>
        <v>#REF!</v>
      </c>
      <c r="CQ98" s="94" t="str">
        <f t="shared" si="44"/>
        <v>#REF!</v>
      </c>
      <c r="CR98" s="94" t="str">
        <f t="shared" si="44"/>
        <v>#REF!</v>
      </c>
      <c r="CS98" s="94" t="str">
        <f t="shared" si="44"/>
        <v>#REF!</v>
      </c>
      <c r="CT98" s="94" t="str">
        <f t="shared" si="44"/>
        <v>#REF!</v>
      </c>
      <c r="CU98" s="94"/>
      <c r="CV98" s="94"/>
      <c r="CW98" s="94"/>
      <c r="CX98" s="94"/>
    </row>
    <row r="99" ht="12.75" hidden="1" customHeight="1">
      <c r="U99" s="96">
        <v>44865.0</v>
      </c>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94"/>
      <c r="AX99" s="94"/>
      <c r="AY99" s="94" t="str">
        <f>+AX$17*#REF!</f>
        <v>#REF!</v>
      </c>
      <c r="AZ99" s="94" t="str">
        <f t="shared" ref="AZ99:CU99" si="45">IF(AY99&gt;0.005,(AY99-$AY99*#REF!/12),0)</f>
        <v>#REF!</v>
      </c>
      <c r="BA99" s="94" t="str">
        <f t="shared" si="45"/>
        <v>#REF!</v>
      </c>
      <c r="BB99" s="94" t="str">
        <f t="shared" si="45"/>
        <v>#REF!</v>
      </c>
      <c r="BC99" s="94" t="str">
        <f t="shared" si="45"/>
        <v>#REF!</v>
      </c>
      <c r="BD99" s="94" t="str">
        <f t="shared" si="45"/>
        <v>#REF!</v>
      </c>
      <c r="BE99" s="94" t="str">
        <f t="shared" si="45"/>
        <v>#REF!</v>
      </c>
      <c r="BF99" s="94" t="str">
        <f t="shared" si="45"/>
        <v>#REF!</v>
      </c>
      <c r="BG99" s="94" t="str">
        <f t="shared" si="45"/>
        <v>#REF!</v>
      </c>
      <c r="BH99" s="94" t="str">
        <f t="shared" si="45"/>
        <v>#REF!</v>
      </c>
      <c r="BI99" s="94" t="str">
        <f t="shared" si="45"/>
        <v>#REF!</v>
      </c>
      <c r="BJ99" s="94" t="str">
        <f t="shared" si="45"/>
        <v>#REF!</v>
      </c>
      <c r="BK99" s="94" t="str">
        <f t="shared" si="45"/>
        <v>#REF!</v>
      </c>
      <c r="BL99" s="94" t="str">
        <f t="shared" si="45"/>
        <v>#REF!</v>
      </c>
      <c r="BM99" s="94" t="str">
        <f t="shared" si="45"/>
        <v>#REF!</v>
      </c>
      <c r="BN99" s="94" t="str">
        <f t="shared" si="45"/>
        <v>#REF!</v>
      </c>
      <c r="BO99" s="94" t="str">
        <f t="shared" si="45"/>
        <v>#REF!</v>
      </c>
      <c r="BP99" s="94" t="str">
        <f t="shared" si="45"/>
        <v>#REF!</v>
      </c>
      <c r="BQ99" s="94" t="str">
        <f t="shared" si="45"/>
        <v>#REF!</v>
      </c>
      <c r="BR99" s="94" t="str">
        <f t="shared" si="45"/>
        <v>#REF!</v>
      </c>
      <c r="BS99" s="94" t="str">
        <f t="shared" si="45"/>
        <v>#REF!</v>
      </c>
      <c r="BT99" s="94" t="str">
        <f t="shared" si="45"/>
        <v>#REF!</v>
      </c>
      <c r="BU99" s="94" t="str">
        <f t="shared" si="45"/>
        <v>#REF!</v>
      </c>
      <c r="BV99" s="94" t="str">
        <f t="shared" si="45"/>
        <v>#REF!</v>
      </c>
      <c r="BW99" s="94" t="str">
        <f t="shared" si="45"/>
        <v>#REF!</v>
      </c>
      <c r="BX99" s="94" t="str">
        <f t="shared" si="45"/>
        <v>#REF!</v>
      </c>
      <c r="BY99" s="94" t="str">
        <f t="shared" si="45"/>
        <v>#REF!</v>
      </c>
      <c r="BZ99" s="94" t="str">
        <f t="shared" si="45"/>
        <v>#REF!</v>
      </c>
      <c r="CA99" s="94" t="str">
        <f t="shared" si="45"/>
        <v>#REF!</v>
      </c>
      <c r="CB99" s="94" t="str">
        <f t="shared" si="45"/>
        <v>#REF!</v>
      </c>
      <c r="CC99" s="94" t="str">
        <f t="shared" si="45"/>
        <v>#REF!</v>
      </c>
      <c r="CD99" s="94" t="str">
        <f t="shared" si="45"/>
        <v>#REF!</v>
      </c>
      <c r="CE99" s="94" t="str">
        <f t="shared" si="45"/>
        <v>#REF!</v>
      </c>
      <c r="CF99" s="94" t="str">
        <f t="shared" si="45"/>
        <v>#REF!</v>
      </c>
      <c r="CG99" s="94" t="str">
        <f t="shared" si="45"/>
        <v>#REF!</v>
      </c>
      <c r="CH99" s="94" t="str">
        <f t="shared" si="45"/>
        <v>#REF!</v>
      </c>
      <c r="CI99" s="94" t="str">
        <f t="shared" si="45"/>
        <v>#REF!</v>
      </c>
      <c r="CJ99" s="94" t="str">
        <f t="shared" si="45"/>
        <v>#REF!</v>
      </c>
      <c r="CK99" s="94" t="str">
        <f t="shared" si="45"/>
        <v>#REF!</v>
      </c>
      <c r="CL99" s="94" t="str">
        <f t="shared" si="45"/>
        <v>#REF!</v>
      </c>
      <c r="CM99" s="94" t="str">
        <f t="shared" si="45"/>
        <v>#REF!</v>
      </c>
      <c r="CN99" s="94" t="str">
        <f t="shared" si="45"/>
        <v>#REF!</v>
      </c>
      <c r="CO99" s="94" t="str">
        <f t="shared" si="45"/>
        <v>#REF!</v>
      </c>
      <c r="CP99" s="94" t="str">
        <f t="shared" si="45"/>
        <v>#REF!</v>
      </c>
      <c r="CQ99" s="94" t="str">
        <f t="shared" si="45"/>
        <v>#REF!</v>
      </c>
      <c r="CR99" s="94" t="str">
        <f t="shared" si="45"/>
        <v>#REF!</v>
      </c>
      <c r="CS99" s="94" t="str">
        <f t="shared" si="45"/>
        <v>#REF!</v>
      </c>
      <c r="CT99" s="94" t="str">
        <f t="shared" si="45"/>
        <v>#REF!</v>
      </c>
      <c r="CU99" s="94" t="str">
        <f t="shared" si="45"/>
        <v>#REF!</v>
      </c>
      <c r="CV99" s="94"/>
      <c r="CW99" s="94"/>
      <c r="CX99" s="94"/>
    </row>
    <row r="100" ht="12.75" hidden="1" customHeight="1">
      <c r="U100" s="96">
        <v>44895.0</v>
      </c>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94"/>
      <c r="AX100" s="94"/>
      <c r="AY100" s="94"/>
      <c r="AZ100" s="94" t="str">
        <f>+AY$17*#REF!</f>
        <v>#REF!</v>
      </c>
      <c r="BA100" s="94" t="str">
        <f t="shared" ref="BA100:CV100" si="46">IF(AZ100&gt;0.005,(AZ100-$AZ100*#REF!/12),0)</f>
        <v>#REF!</v>
      </c>
      <c r="BB100" s="94" t="str">
        <f t="shared" si="46"/>
        <v>#REF!</v>
      </c>
      <c r="BC100" s="94" t="str">
        <f t="shared" si="46"/>
        <v>#REF!</v>
      </c>
      <c r="BD100" s="94" t="str">
        <f t="shared" si="46"/>
        <v>#REF!</v>
      </c>
      <c r="BE100" s="94" t="str">
        <f t="shared" si="46"/>
        <v>#REF!</v>
      </c>
      <c r="BF100" s="94" t="str">
        <f t="shared" si="46"/>
        <v>#REF!</v>
      </c>
      <c r="BG100" s="94" t="str">
        <f t="shared" si="46"/>
        <v>#REF!</v>
      </c>
      <c r="BH100" s="94" t="str">
        <f t="shared" si="46"/>
        <v>#REF!</v>
      </c>
      <c r="BI100" s="94" t="str">
        <f t="shared" si="46"/>
        <v>#REF!</v>
      </c>
      <c r="BJ100" s="94" t="str">
        <f t="shared" si="46"/>
        <v>#REF!</v>
      </c>
      <c r="BK100" s="94" t="str">
        <f t="shared" si="46"/>
        <v>#REF!</v>
      </c>
      <c r="BL100" s="94" t="str">
        <f t="shared" si="46"/>
        <v>#REF!</v>
      </c>
      <c r="BM100" s="94" t="str">
        <f t="shared" si="46"/>
        <v>#REF!</v>
      </c>
      <c r="BN100" s="94" t="str">
        <f t="shared" si="46"/>
        <v>#REF!</v>
      </c>
      <c r="BO100" s="94" t="str">
        <f t="shared" si="46"/>
        <v>#REF!</v>
      </c>
      <c r="BP100" s="94" t="str">
        <f t="shared" si="46"/>
        <v>#REF!</v>
      </c>
      <c r="BQ100" s="94" t="str">
        <f t="shared" si="46"/>
        <v>#REF!</v>
      </c>
      <c r="BR100" s="94" t="str">
        <f t="shared" si="46"/>
        <v>#REF!</v>
      </c>
      <c r="BS100" s="94" t="str">
        <f t="shared" si="46"/>
        <v>#REF!</v>
      </c>
      <c r="BT100" s="94" t="str">
        <f t="shared" si="46"/>
        <v>#REF!</v>
      </c>
      <c r="BU100" s="94" t="str">
        <f t="shared" si="46"/>
        <v>#REF!</v>
      </c>
      <c r="BV100" s="94" t="str">
        <f t="shared" si="46"/>
        <v>#REF!</v>
      </c>
      <c r="BW100" s="94" t="str">
        <f t="shared" si="46"/>
        <v>#REF!</v>
      </c>
      <c r="BX100" s="94" t="str">
        <f t="shared" si="46"/>
        <v>#REF!</v>
      </c>
      <c r="BY100" s="94" t="str">
        <f t="shared" si="46"/>
        <v>#REF!</v>
      </c>
      <c r="BZ100" s="94" t="str">
        <f t="shared" si="46"/>
        <v>#REF!</v>
      </c>
      <c r="CA100" s="94" t="str">
        <f t="shared" si="46"/>
        <v>#REF!</v>
      </c>
      <c r="CB100" s="94" t="str">
        <f t="shared" si="46"/>
        <v>#REF!</v>
      </c>
      <c r="CC100" s="94" t="str">
        <f t="shared" si="46"/>
        <v>#REF!</v>
      </c>
      <c r="CD100" s="94" t="str">
        <f t="shared" si="46"/>
        <v>#REF!</v>
      </c>
      <c r="CE100" s="94" t="str">
        <f t="shared" si="46"/>
        <v>#REF!</v>
      </c>
      <c r="CF100" s="94" t="str">
        <f t="shared" si="46"/>
        <v>#REF!</v>
      </c>
      <c r="CG100" s="94" t="str">
        <f t="shared" si="46"/>
        <v>#REF!</v>
      </c>
      <c r="CH100" s="94" t="str">
        <f t="shared" si="46"/>
        <v>#REF!</v>
      </c>
      <c r="CI100" s="94" t="str">
        <f t="shared" si="46"/>
        <v>#REF!</v>
      </c>
      <c r="CJ100" s="94" t="str">
        <f t="shared" si="46"/>
        <v>#REF!</v>
      </c>
      <c r="CK100" s="94" t="str">
        <f t="shared" si="46"/>
        <v>#REF!</v>
      </c>
      <c r="CL100" s="94" t="str">
        <f t="shared" si="46"/>
        <v>#REF!</v>
      </c>
      <c r="CM100" s="94" t="str">
        <f t="shared" si="46"/>
        <v>#REF!</v>
      </c>
      <c r="CN100" s="94" t="str">
        <f t="shared" si="46"/>
        <v>#REF!</v>
      </c>
      <c r="CO100" s="94" t="str">
        <f t="shared" si="46"/>
        <v>#REF!</v>
      </c>
      <c r="CP100" s="94" t="str">
        <f t="shared" si="46"/>
        <v>#REF!</v>
      </c>
      <c r="CQ100" s="94" t="str">
        <f t="shared" si="46"/>
        <v>#REF!</v>
      </c>
      <c r="CR100" s="94" t="str">
        <f t="shared" si="46"/>
        <v>#REF!</v>
      </c>
      <c r="CS100" s="94" t="str">
        <f t="shared" si="46"/>
        <v>#REF!</v>
      </c>
      <c r="CT100" s="94" t="str">
        <f t="shared" si="46"/>
        <v>#REF!</v>
      </c>
      <c r="CU100" s="94" t="str">
        <f t="shared" si="46"/>
        <v>#REF!</v>
      </c>
      <c r="CV100" s="94" t="str">
        <f t="shared" si="46"/>
        <v>#REF!</v>
      </c>
      <c r="CW100" s="94"/>
      <c r="CX100" s="94"/>
    </row>
    <row r="101" ht="12.75" hidden="1" customHeight="1">
      <c r="U101" s="96">
        <v>44926.0</v>
      </c>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94"/>
      <c r="AX101" s="94"/>
      <c r="AY101" s="94"/>
      <c r="AZ101" s="94"/>
      <c r="BA101" s="94" t="str">
        <f>+AZ$17*#REF!</f>
        <v>#REF!</v>
      </c>
      <c r="BB101" s="94" t="str">
        <f t="shared" ref="BB101:CW101" si="47">IF(BA101&gt;0.005,(BA101-$BA101*#REF!/12),0)</f>
        <v>#REF!</v>
      </c>
      <c r="BC101" s="94" t="str">
        <f t="shared" si="47"/>
        <v>#REF!</v>
      </c>
      <c r="BD101" s="94" t="str">
        <f t="shared" si="47"/>
        <v>#REF!</v>
      </c>
      <c r="BE101" s="94" t="str">
        <f t="shared" si="47"/>
        <v>#REF!</v>
      </c>
      <c r="BF101" s="94" t="str">
        <f t="shared" si="47"/>
        <v>#REF!</v>
      </c>
      <c r="BG101" s="94" t="str">
        <f t="shared" si="47"/>
        <v>#REF!</v>
      </c>
      <c r="BH101" s="94" t="str">
        <f t="shared" si="47"/>
        <v>#REF!</v>
      </c>
      <c r="BI101" s="94" t="str">
        <f t="shared" si="47"/>
        <v>#REF!</v>
      </c>
      <c r="BJ101" s="94" t="str">
        <f t="shared" si="47"/>
        <v>#REF!</v>
      </c>
      <c r="BK101" s="94" t="str">
        <f t="shared" si="47"/>
        <v>#REF!</v>
      </c>
      <c r="BL101" s="94" t="str">
        <f t="shared" si="47"/>
        <v>#REF!</v>
      </c>
      <c r="BM101" s="94" t="str">
        <f t="shared" si="47"/>
        <v>#REF!</v>
      </c>
      <c r="BN101" s="94" t="str">
        <f t="shared" si="47"/>
        <v>#REF!</v>
      </c>
      <c r="BO101" s="94" t="str">
        <f t="shared" si="47"/>
        <v>#REF!</v>
      </c>
      <c r="BP101" s="94" t="str">
        <f t="shared" si="47"/>
        <v>#REF!</v>
      </c>
      <c r="BQ101" s="94" t="str">
        <f t="shared" si="47"/>
        <v>#REF!</v>
      </c>
      <c r="BR101" s="94" t="str">
        <f t="shared" si="47"/>
        <v>#REF!</v>
      </c>
      <c r="BS101" s="94" t="str">
        <f t="shared" si="47"/>
        <v>#REF!</v>
      </c>
      <c r="BT101" s="94" t="str">
        <f t="shared" si="47"/>
        <v>#REF!</v>
      </c>
      <c r="BU101" s="94" t="str">
        <f t="shared" si="47"/>
        <v>#REF!</v>
      </c>
      <c r="BV101" s="94" t="str">
        <f t="shared" si="47"/>
        <v>#REF!</v>
      </c>
      <c r="BW101" s="94" t="str">
        <f t="shared" si="47"/>
        <v>#REF!</v>
      </c>
      <c r="BX101" s="94" t="str">
        <f t="shared" si="47"/>
        <v>#REF!</v>
      </c>
      <c r="BY101" s="94" t="str">
        <f t="shared" si="47"/>
        <v>#REF!</v>
      </c>
      <c r="BZ101" s="94" t="str">
        <f t="shared" si="47"/>
        <v>#REF!</v>
      </c>
      <c r="CA101" s="94" t="str">
        <f t="shared" si="47"/>
        <v>#REF!</v>
      </c>
      <c r="CB101" s="94" t="str">
        <f t="shared" si="47"/>
        <v>#REF!</v>
      </c>
      <c r="CC101" s="94" t="str">
        <f t="shared" si="47"/>
        <v>#REF!</v>
      </c>
      <c r="CD101" s="94" t="str">
        <f t="shared" si="47"/>
        <v>#REF!</v>
      </c>
      <c r="CE101" s="94" t="str">
        <f t="shared" si="47"/>
        <v>#REF!</v>
      </c>
      <c r="CF101" s="94" t="str">
        <f t="shared" si="47"/>
        <v>#REF!</v>
      </c>
      <c r="CG101" s="94" t="str">
        <f t="shared" si="47"/>
        <v>#REF!</v>
      </c>
      <c r="CH101" s="94" t="str">
        <f t="shared" si="47"/>
        <v>#REF!</v>
      </c>
      <c r="CI101" s="94" t="str">
        <f t="shared" si="47"/>
        <v>#REF!</v>
      </c>
      <c r="CJ101" s="94" t="str">
        <f t="shared" si="47"/>
        <v>#REF!</v>
      </c>
      <c r="CK101" s="94" t="str">
        <f t="shared" si="47"/>
        <v>#REF!</v>
      </c>
      <c r="CL101" s="94" t="str">
        <f t="shared" si="47"/>
        <v>#REF!</v>
      </c>
      <c r="CM101" s="94" t="str">
        <f t="shared" si="47"/>
        <v>#REF!</v>
      </c>
      <c r="CN101" s="94" t="str">
        <f t="shared" si="47"/>
        <v>#REF!</v>
      </c>
      <c r="CO101" s="94" t="str">
        <f t="shared" si="47"/>
        <v>#REF!</v>
      </c>
      <c r="CP101" s="94" t="str">
        <f t="shared" si="47"/>
        <v>#REF!</v>
      </c>
      <c r="CQ101" s="94" t="str">
        <f t="shared" si="47"/>
        <v>#REF!</v>
      </c>
      <c r="CR101" s="94" t="str">
        <f t="shared" si="47"/>
        <v>#REF!</v>
      </c>
      <c r="CS101" s="94" t="str">
        <f t="shared" si="47"/>
        <v>#REF!</v>
      </c>
      <c r="CT101" s="94" t="str">
        <f t="shared" si="47"/>
        <v>#REF!</v>
      </c>
      <c r="CU101" s="94" t="str">
        <f t="shared" si="47"/>
        <v>#REF!</v>
      </c>
      <c r="CV101" s="94" t="str">
        <f t="shared" si="47"/>
        <v>#REF!</v>
      </c>
      <c r="CW101" s="94" t="str">
        <f t="shared" si="47"/>
        <v>#REF!</v>
      </c>
      <c r="CX101" s="94"/>
    </row>
    <row r="102" ht="12.75" hidden="1" customHeight="1">
      <c r="U102" s="96">
        <v>44957.0</v>
      </c>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94"/>
      <c r="AX102" s="94"/>
      <c r="AY102" s="94"/>
      <c r="AZ102" s="94"/>
      <c r="BA102" s="94"/>
      <c r="BB102" s="94" t="str">
        <f>+BA$17*#REF!</f>
        <v>#REF!</v>
      </c>
      <c r="BC102" s="94" t="str">
        <f t="shared" ref="BC102:CX102" si="48">IF(BB102&gt;0.005,(BB102-$BB102*#REF!/12),0)</f>
        <v>#REF!</v>
      </c>
      <c r="BD102" s="94" t="str">
        <f t="shared" si="48"/>
        <v>#REF!</v>
      </c>
      <c r="BE102" s="94" t="str">
        <f t="shared" si="48"/>
        <v>#REF!</v>
      </c>
      <c r="BF102" s="94" t="str">
        <f t="shared" si="48"/>
        <v>#REF!</v>
      </c>
      <c r="BG102" s="94" t="str">
        <f t="shared" si="48"/>
        <v>#REF!</v>
      </c>
      <c r="BH102" s="94" t="str">
        <f t="shared" si="48"/>
        <v>#REF!</v>
      </c>
      <c r="BI102" s="94" t="str">
        <f t="shared" si="48"/>
        <v>#REF!</v>
      </c>
      <c r="BJ102" s="94" t="str">
        <f t="shared" si="48"/>
        <v>#REF!</v>
      </c>
      <c r="BK102" s="94" t="str">
        <f t="shared" si="48"/>
        <v>#REF!</v>
      </c>
      <c r="BL102" s="94" t="str">
        <f t="shared" si="48"/>
        <v>#REF!</v>
      </c>
      <c r="BM102" s="94" t="str">
        <f t="shared" si="48"/>
        <v>#REF!</v>
      </c>
      <c r="BN102" s="94" t="str">
        <f t="shared" si="48"/>
        <v>#REF!</v>
      </c>
      <c r="BO102" s="94" t="str">
        <f t="shared" si="48"/>
        <v>#REF!</v>
      </c>
      <c r="BP102" s="94" t="str">
        <f t="shared" si="48"/>
        <v>#REF!</v>
      </c>
      <c r="BQ102" s="94" t="str">
        <f t="shared" si="48"/>
        <v>#REF!</v>
      </c>
      <c r="BR102" s="94" t="str">
        <f t="shared" si="48"/>
        <v>#REF!</v>
      </c>
      <c r="BS102" s="94" t="str">
        <f t="shared" si="48"/>
        <v>#REF!</v>
      </c>
      <c r="BT102" s="94" t="str">
        <f t="shared" si="48"/>
        <v>#REF!</v>
      </c>
      <c r="BU102" s="94" t="str">
        <f t="shared" si="48"/>
        <v>#REF!</v>
      </c>
      <c r="BV102" s="94" t="str">
        <f t="shared" si="48"/>
        <v>#REF!</v>
      </c>
      <c r="BW102" s="94" t="str">
        <f t="shared" si="48"/>
        <v>#REF!</v>
      </c>
      <c r="BX102" s="94" t="str">
        <f t="shared" si="48"/>
        <v>#REF!</v>
      </c>
      <c r="BY102" s="94" t="str">
        <f t="shared" si="48"/>
        <v>#REF!</v>
      </c>
      <c r="BZ102" s="94" t="str">
        <f t="shared" si="48"/>
        <v>#REF!</v>
      </c>
      <c r="CA102" s="94" t="str">
        <f t="shared" si="48"/>
        <v>#REF!</v>
      </c>
      <c r="CB102" s="94" t="str">
        <f t="shared" si="48"/>
        <v>#REF!</v>
      </c>
      <c r="CC102" s="94" t="str">
        <f t="shared" si="48"/>
        <v>#REF!</v>
      </c>
      <c r="CD102" s="94" t="str">
        <f t="shared" si="48"/>
        <v>#REF!</v>
      </c>
      <c r="CE102" s="94" t="str">
        <f t="shared" si="48"/>
        <v>#REF!</v>
      </c>
      <c r="CF102" s="94" t="str">
        <f t="shared" si="48"/>
        <v>#REF!</v>
      </c>
      <c r="CG102" s="94" t="str">
        <f t="shared" si="48"/>
        <v>#REF!</v>
      </c>
      <c r="CH102" s="94" t="str">
        <f t="shared" si="48"/>
        <v>#REF!</v>
      </c>
      <c r="CI102" s="94" t="str">
        <f t="shared" si="48"/>
        <v>#REF!</v>
      </c>
      <c r="CJ102" s="94" t="str">
        <f t="shared" si="48"/>
        <v>#REF!</v>
      </c>
      <c r="CK102" s="94" t="str">
        <f t="shared" si="48"/>
        <v>#REF!</v>
      </c>
      <c r="CL102" s="94" t="str">
        <f t="shared" si="48"/>
        <v>#REF!</v>
      </c>
      <c r="CM102" s="94" t="str">
        <f t="shared" si="48"/>
        <v>#REF!</v>
      </c>
      <c r="CN102" s="94" t="str">
        <f t="shared" si="48"/>
        <v>#REF!</v>
      </c>
      <c r="CO102" s="94" t="str">
        <f t="shared" si="48"/>
        <v>#REF!</v>
      </c>
      <c r="CP102" s="94" t="str">
        <f t="shared" si="48"/>
        <v>#REF!</v>
      </c>
      <c r="CQ102" s="94" t="str">
        <f t="shared" si="48"/>
        <v>#REF!</v>
      </c>
      <c r="CR102" s="94" t="str">
        <f t="shared" si="48"/>
        <v>#REF!</v>
      </c>
      <c r="CS102" s="94" t="str">
        <f t="shared" si="48"/>
        <v>#REF!</v>
      </c>
      <c r="CT102" s="94" t="str">
        <f t="shared" si="48"/>
        <v>#REF!</v>
      </c>
      <c r="CU102" s="94" t="str">
        <f t="shared" si="48"/>
        <v>#REF!</v>
      </c>
      <c r="CV102" s="94" t="str">
        <f t="shared" si="48"/>
        <v>#REF!</v>
      </c>
      <c r="CW102" s="94" t="str">
        <f t="shared" si="48"/>
        <v>#REF!</v>
      </c>
      <c r="CX102" s="94" t="str">
        <f t="shared" si="48"/>
        <v>#REF!</v>
      </c>
    </row>
    <row r="103" ht="12.75" hidden="1" customHeight="1">
      <c r="U103" s="96">
        <v>44985.0</v>
      </c>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94"/>
      <c r="AX103" s="94"/>
      <c r="AY103" s="94"/>
      <c r="AZ103" s="94"/>
      <c r="BA103" s="94"/>
      <c r="BB103" s="94"/>
      <c r="BC103" s="94" t="str">
        <f>+BB$17*#REF!</f>
        <v>#REF!</v>
      </c>
      <c r="BD103" s="94" t="str">
        <f t="shared" ref="BD103:CY103" si="49">IF(BC103&gt;0.005,(BC103-$BC103*#REF!/12),0)</f>
        <v>#REF!</v>
      </c>
      <c r="BE103" s="94" t="str">
        <f t="shared" si="49"/>
        <v>#REF!</v>
      </c>
      <c r="BF103" s="94" t="str">
        <f t="shared" si="49"/>
        <v>#REF!</v>
      </c>
      <c r="BG103" s="94" t="str">
        <f t="shared" si="49"/>
        <v>#REF!</v>
      </c>
      <c r="BH103" s="94" t="str">
        <f t="shared" si="49"/>
        <v>#REF!</v>
      </c>
      <c r="BI103" s="94" t="str">
        <f t="shared" si="49"/>
        <v>#REF!</v>
      </c>
      <c r="BJ103" s="94" t="str">
        <f t="shared" si="49"/>
        <v>#REF!</v>
      </c>
      <c r="BK103" s="94" t="str">
        <f t="shared" si="49"/>
        <v>#REF!</v>
      </c>
      <c r="BL103" s="94" t="str">
        <f t="shared" si="49"/>
        <v>#REF!</v>
      </c>
      <c r="BM103" s="94" t="str">
        <f t="shared" si="49"/>
        <v>#REF!</v>
      </c>
      <c r="BN103" s="94" t="str">
        <f t="shared" si="49"/>
        <v>#REF!</v>
      </c>
      <c r="BO103" s="94" t="str">
        <f t="shared" si="49"/>
        <v>#REF!</v>
      </c>
      <c r="BP103" s="94" t="str">
        <f t="shared" si="49"/>
        <v>#REF!</v>
      </c>
      <c r="BQ103" s="94" t="str">
        <f t="shared" si="49"/>
        <v>#REF!</v>
      </c>
      <c r="BR103" s="94" t="str">
        <f t="shared" si="49"/>
        <v>#REF!</v>
      </c>
      <c r="BS103" s="94" t="str">
        <f t="shared" si="49"/>
        <v>#REF!</v>
      </c>
      <c r="BT103" s="94" t="str">
        <f t="shared" si="49"/>
        <v>#REF!</v>
      </c>
      <c r="BU103" s="94" t="str">
        <f t="shared" si="49"/>
        <v>#REF!</v>
      </c>
      <c r="BV103" s="94" t="str">
        <f t="shared" si="49"/>
        <v>#REF!</v>
      </c>
      <c r="BW103" s="94" t="str">
        <f t="shared" si="49"/>
        <v>#REF!</v>
      </c>
      <c r="BX103" s="94" t="str">
        <f t="shared" si="49"/>
        <v>#REF!</v>
      </c>
      <c r="BY103" s="94" t="str">
        <f t="shared" si="49"/>
        <v>#REF!</v>
      </c>
      <c r="BZ103" s="94" t="str">
        <f t="shared" si="49"/>
        <v>#REF!</v>
      </c>
      <c r="CA103" s="94" t="str">
        <f t="shared" si="49"/>
        <v>#REF!</v>
      </c>
      <c r="CB103" s="94" t="str">
        <f t="shared" si="49"/>
        <v>#REF!</v>
      </c>
      <c r="CC103" s="94" t="str">
        <f t="shared" si="49"/>
        <v>#REF!</v>
      </c>
      <c r="CD103" s="94" t="str">
        <f t="shared" si="49"/>
        <v>#REF!</v>
      </c>
      <c r="CE103" s="94" t="str">
        <f t="shared" si="49"/>
        <v>#REF!</v>
      </c>
      <c r="CF103" s="94" t="str">
        <f t="shared" si="49"/>
        <v>#REF!</v>
      </c>
      <c r="CG103" s="94" t="str">
        <f t="shared" si="49"/>
        <v>#REF!</v>
      </c>
      <c r="CH103" s="94" t="str">
        <f t="shared" si="49"/>
        <v>#REF!</v>
      </c>
      <c r="CI103" s="94" t="str">
        <f t="shared" si="49"/>
        <v>#REF!</v>
      </c>
      <c r="CJ103" s="94" t="str">
        <f t="shared" si="49"/>
        <v>#REF!</v>
      </c>
      <c r="CK103" s="94" t="str">
        <f t="shared" si="49"/>
        <v>#REF!</v>
      </c>
      <c r="CL103" s="94" t="str">
        <f t="shared" si="49"/>
        <v>#REF!</v>
      </c>
      <c r="CM103" s="94" t="str">
        <f t="shared" si="49"/>
        <v>#REF!</v>
      </c>
      <c r="CN103" s="94" t="str">
        <f t="shared" si="49"/>
        <v>#REF!</v>
      </c>
      <c r="CO103" s="94" t="str">
        <f t="shared" si="49"/>
        <v>#REF!</v>
      </c>
      <c r="CP103" s="94" t="str">
        <f t="shared" si="49"/>
        <v>#REF!</v>
      </c>
      <c r="CQ103" s="94" t="str">
        <f t="shared" si="49"/>
        <v>#REF!</v>
      </c>
      <c r="CR103" s="94" t="str">
        <f t="shared" si="49"/>
        <v>#REF!</v>
      </c>
      <c r="CS103" s="94" t="str">
        <f t="shared" si="49"/>
        <v>#REF!</v>
      </c>
      <c r="CT103" s="94" t="str">
        <f t="shared" si="49"/>
        <v>#REF!</v>
      </c>
      <c r="CU103" s="94" t="str">
        <f t="shared" si="49"/>
        <v>#REF!</v>
      </c>
      <c r="CV103" s="94" t="str">
        <f t="shared" si="49"/>
        <v>#REF!</v>
      </c>
      <c r="CW103" s="94" t="str">
        <f t="shared" si="49"/>
        <v>#REF!</v>
      </c>
      <c r="CX103" s="94" t="str">
        <f t="shared" si="49"/>
        <v>#REF!</v>
      </c>
      <c r="CY103" s="93" t="str">
        <f t="shared" si="49"/>
        <v>#REF!</v>
      </c>
    </row>
    <row r="104" ht="12.75" hidden="1" customHeight="1">
      <c r="U104" s="96">
        <v>45016.0</v>
      </c>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94"/>
      <c r="AX104" s="94"/>
      <c r="AY104" s="94"/>
      <c r="AZ104" s="94"/>
      <c r="BA104" s="94"/>
      <c r="BB104" s="94"/>
      <c r="BC104" s="94"/>
      <c r="BD104" s="94" t="str">
        <f>+BC$17*#REF!</f>
        <v>#REF!</v>
      </c>
      <c r="BE104" s="94" t="str">
        <f t="shared" ref="BE104:CZ104" si="50">IF(BD104&gt;0.005,(BD104-$BD104*#REF!/12),0)</f>
        <v>#REF!</v>
      </c>
      <c r="BF104" s="94" t="str">
        <f t="shared" si="50"/>
        <v>#REF!</v>
      </c>
      <c r="BG104" s="94" t="str">
        <f t="shared" si="50"/>
        <v>#REF!</v>
      </c>
      <c r="BH104" s="94" t="str">
        <f t="shared" si="50"/>
        <v>#REF!</v>
      </c>
      <c r="BI104" s="94" t="str">
        <f t="shared" si="50"/>
        <v>#REF!</v>
      </c>
      <c r="BJ104" s="94" t="str">
        <f t="shared" si="50"/>
        <v>#REF!</v>
      </c>
      <c r="BK104" s="94" t="str">
        <f t="shared" si="50"/>
        <v>#REF!</v>
      </c>
      <c r="BL104" s="94" t="str">
        <f t="shared" si="50"/>
        <v>#REF!</v>
      </c>
      <c r="BM104" s="94" t="str">
        <f t="shared" si="50"/>
        <v>#REF!</v>
      </c>
      <c r="BN104" s="94" t="str">
        <f t="shared" si="50"/>
        <v>#REF!</v>
      </c>
      <c r="BO104" s="94" t="str">
        <f t="shared" si="50"/>
        <v>#REF!</v>
      </c>
      <c r="BP104" s="94" t="str">
        <f t="shared" si="50"/>
        <v>#REF!</v>
      </c>
      <c r="BQ104" s="94" t="str">
        <f t="shared" si="50"/>
        <v>#REF!</v>
      </c>
      <c r="BR104" s="94" t="str">
        <f t="shared" si="50"/>
        <v>#REF!</v>
      </c>
      <c r="BS104" s="94" t="str">
        <f t="shared" si="50"/>
        <v>#REF!</v>
      </c>
      <c r="BT104" s="94" t="str">
        <f t="shared" si="50"/>
        <v>#REF!</v>
      </c>
      <c r="BU104" s="94" t="str">
        <f t="shared" si="50"/>
        <v>#REF!</v>
      </c>
      <c r="BV104" s="94" t="str">
        <f t="shared" si="50"/>
        <v>#REF!</v>
      </c>
      <c r="BW104" s="94" t="str">
        <f t="shared" si="50"/>
        <v>#REF!</v>
      </c>
      <c r="BX104" s="94" t="str">
        <f t="shared" si="50"/>
        <v>#REF!</v>
      </c>
      <c r="BY104" s="94" t="str">
        <f t="shared" si="50"/>
        <v>#REF!</v>
      </c>
      <c r="BZ104" s="94" t="str">
        <f t="shared" si="50"/>
        <v>#REF!</v>
      </c>
      <c r="CA104" s="94" t="str">
        <f t="shared" si="50"/>
        <v>#REF!</v>
      </c>
      <c r="CB104" s="94" t="str">
        <f t="shared" si="50"/>
        <v>#REF!</v>
      </c>
      <c r="CC104" s="94" t="str">
        <f t="shared" si="50"/>
        <v>#REF!</v>
      </c>
      <c r="CD104" s="94" t="str">
        <f t="shared" si="50"/>
        <v>#REF!</v>
      </c>
      <c r="CE104" s="94" t="str">
        <f t="shared" si="50"/>
        <v>#REF!</v>
      </c>
      <c r="CF104" s="94" t="str">
        <f t="shared" si="50"/>
        <v>#REF!</v>
      </c>
      <c r="CG104" s="94" t="str">
        <f t="shared" si="50"/>
        <v>#REF!</v>
      </c>
      <c r="CH104" s="94" t="str">
        <f t="shared" si="50"/>
        <v>#REF!</v>
      </c>
      <c r="CI104" s="94" t="str">
        <f t="shared" si="50"/>
        <v>#REF!</v>
      </c>
      <c r="CJ104" s="94" t="str">
        <f t="shared" si="50"/>
        <v>#REF!</v>
      </c>
      <c r="CK104" s="94" t="str">
        <f t="shared" si="50"/>
        <v>#REF!</v>
      </c>
      <c r="CL104" s="94" t="str">
        <f t="shared" si="50"/>
        <v>#REF!</v>
      </c>
      <c r="CM104" s="94" t="str">
        <f t="shared" si="50"/>
        <v>#REF!</v>
      </c>
      <c r="CN104" s="94" t="str">
        <f t="shared" si="50"/>
        <v>#REF!</v>
      </c>
      <c r="CO104" s="94" t="str">
        <f t="shared" si="50"/>
        <v>#REF!</v>
      </c>
      <c r="CP104" s="94" t="str">
        <f t="shared" si="50"/>
        <v>#REF!</v>
      </c>
      <c r="CQ104" s="94" t="str">
        <f t="shared" si="50"/>
        <v>#REF!</v>
      </c>
      <c r="CR104" s="94" t="str">
        <f t="shared" si="50"/>
        <v>#REF!</v>
      </c>
      <c r="CS104" s="94" t="str">
        <f t="shared" si="50"/>
        <v>#REF!</v>
      </c>
      <c r="CT104" s="94" t="str">
        <f t="shared" si="50"/>
        <v>#REF!</v>
      </c>
      <c r="CU104" s="94" t="str">
        <f t="shared" si="50"/>
        <v>#REF!</v>
      </c>
      <c r="CV104" s="94" t="str">
        <f t="shared" si="50"/>
        <v>#REF!</v>
      </c>
      <c r="CW104" s="94" t="str">
        <f t="shared" si="50"/>
        <v>#REF!</v>
      </c>
      <c r="CX104" s="94" t="str">
        <f t="shared" si="50"/>
        <v>#REF!</v>
      </c>
      <c r="CY104" s="93" t="str">
        <f t="shared" si="50"/>
        <v>#REF!</v>
      </c>
      <c r="CZ104" s="93" t="str">
        <f t="shared" si="50"/>
        <v>#REF!</v>
      </c>
    </row>
    <row r="105" ht="12.75" hidden="1" customHeight="1">
      <c r="U105" s="96">
        <v>45046.0</v>
      </c>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94"/>
      <c r="AX105" s="94"/>
      <c r="AY105" s="94"/>
      <c r="AZ105" s="94"/>
      <c r="BA105" s="94"/>
      <c r="BB105" s="94"/>
      <c r="BC105" s="94"/>
      <c r="BD105" s="94"/>
      <c r="BE105" s="94" t="str">
        <f>+BD$17*#REF!</f>
        <v>#REF!</v>
      </c>
      <c r="BF105" s="94" t="str">
        <f t="shared" ref="BF105:DA105" si="51">IF(BE105&gt;0.005,(BE105-$BE105*#REF!/12),0)</f>
        <v>#REF!</v>
      </c>
      <c r="BG105" s="94" t="str">
        <f t="shared" si="51"/>
        <v>#REF!</v>
      </c>
      <c r="BH105" s="94" t="str">
        <f t="shared" si="51"/>
        <v>#REF!</v>
      </c>
      <c r="BI105" s="94" t="str">
        <f t="shared" si="51"/>
        <v>#REF!</v>
      </c>
      <c r="BJ105" s="94" t="str">
        <f t="shared" si="51"/>
        <v>#REF!</v>
      </c>
      <c r="BK105" s="94" t="str">
        <f t="shared" si="51"/>
        <v>#REF!</v>
      </c>
      <c r="BL105" s="94" t="str">
        <f t="shared" si="51"/>
        <v>#REF!</v>
      </c>
      <c r="BM105" s="94" t="str">
        <f t="shared" si="51"/>
        <v>#REF!</v>
      </c>
      <c r="BN105" s="94" t="str">
        <f t="shared" si="51"/>
        <v>#REF!</v>
      </c>
      <c r="BO105" s="94" t="str">
        <f t="shared" si="51"/>
        <v>#REF!</v>
      </c>
      <c r="BP105" s="94" t="str">
        <f t="shared" si="51"/>
        <v>#REF!</v>
      </c>
      <c r="BQ105" s="94" t="str">
        <f t="shared" si="51"/>
        <v>#REF!</v>
      </c>
      <c r="BR105" s="94" t="str">
        <f t="shared" si="51"/>
        <v>#REF!</v>
      </c>
      <c r="BS105" s="94" t="str">
        <f t="shared" si="51"/>
        <v>#REF!</v>
      </c>
      <c r="BT105" s="94" t="str">
        <f t="shared" si="51"/>
        <v>#REF!</v>
      </c>
      <c r="BU105" s="94" t="str">
        <f t="shared" si="51"/>
        <v>#REF!</v>
      </c>
      <c r="BV105" s="94" t="str">
        <f t="shared" si="51"/>
        <v>#REF!</v>
      </c>
      <c r="BW105" s="94" t="str">
        <f t="shared" si="51"/>
        <v>#REF!</v>
      </c>
      <c r="BX105" s="94" t="str">
        <f t="shared" si="51"/>
        <v>#REF!</v>
      </c>
      <c r="BY105" s="94" t="str">
        <f t="shared" si="51"/>
        <v>#REF!</v>
      </c>
      <c r="BZ105" s="94" t="str">
        <f t="shared" si="51"/>
        <v>#REF!</v>
      </c>
      <c r="CA105" s="94" t="str">
        <f t="shared" si="51"/>
        <v>#REF!</v>
      </c>
      <c r="CB105" s="94" t="str">
        <f t="shared" si="51"/>
        <v>#REF!</v>
      </c>
      <c r="CC105" s="94" t="str">
        <f t="shared" si="51"/>
        <v>#REF!</v>
      </c>
      <c r="CD105" s="94" t="str">
        <f t="shared" si="51"/>
        <v>#REF!</v>
      </c>
      <c r="CE105" s="94" t="str">
        <f t="shared" si="51"/>
        <v>#REF!</v>
      </c>
      <c r="CF105" s="94" t="str">
        <f t="shared" si="51"/>
        <v>#REF!</v>
      </c>
      <c r="CG105" s="94" t="str">
        <f t="shared" si="51"/>
        <v>#REF!</v>
      </c>
      <c r="CH105" s="94" t="str">
        <f t="shared" si="51"/>
        <v>#REF!</v>
      </c>
      <c r="CI105" s="94" t="str">
        <f t="shared" si="51"/>
        <v>#REF!</v>
      </c>
      <c r="CJ105" s="94" t="str">
        <f t="shared" si="51"/>
        <v>#REF!</v>
      </c>
      <c r="CK105" s="94" t="str">
        <f t="shared" si="51"/>
        <v>#REF!</v>
      </c>
      <c r="CL105" s="94" t="str">
        <f t="shared" si="51"/>
        <v>#REF!</v>
      </c>
      <c r="CM105" s="94" t="str">
        <f t="shared" si="51"/>
        <v>#REF!</v>
      </c>
      <c r="CN105" s="94" t="str">
        <f t="shared" si="51"/>
        <v>#REF!</v>
      </c>
      <c r="CO105" s="94" t="str">
        <f t="shared" si="51"/>
        <v>#REF!</v>
      </c>
      <c r="CP105" s="94" t="str">
        <f t="shared" si="51"/>
        <v>#REF!</v>
      </c>
      <c r="CQ105" s="94" t="str">
        <f t="shared" si="51"/>
        <v>#REF!</v>
      </c>
      <c r="CR105" s="94" t="str">
        <f t="shared" si="51"/>
        <v>#REF!</v>
      </c>
      <c r="CS105" s="94" t="str">
        <f t="shared" si="51"/>
        <v>#REF!</v>
      </c>
      <c r="CT105" s="94" t="str">
        <f t="shared" si="51"/>
        <v>#REF!</v>
      </c>
      <c r="CU105" s="94" t="str">
        <f t="shared" si="51"/>
        <v>#REF!</v>
      </c>
      <c r="CV105" s="94" t="str">
        <f t="shared" si="51"/>
        <v>#REF!</v>
      </c>
      <c r="CW105" s="94" t="str">
        <f t="shared" si="51"/>
        <v>#REF!</v>
      </c>
      <c r="CX105" s="94" t="str">
        <f t="shared" si="51"/>
        <v>#REF!</v>
      </c>
      <c r="CY105" s="93" t="str">
        <f t="shared" si="51"/>
        <v>#REF!</v>
      </c>
      <c r="CZ105" s="93" t="str">
        <f t="shared" si="51"/>
        <v>#REF!</v>
      </c>
      <c r="DA105" s="93" t="str">
        <f t="shared" si="51"/>
        <v>#REF!</v>
      </c>
    </row>
    <row r="106" ht="12.75" hidden="1" customHeight="1">
      <c r="U106" s="96">
        <v>45077.0</v>
      </c>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94"/>
      <c r="AX106" s="94"/>
      <c r="AY106" s="94"/>
      <c r="AZ106" s="94"/>
      <c r="BA106" s="94"/>
      <c r="BB106" s="94"/>
      <c r="BC106" s="94"/>
      <c r="BD106" s="94"/>
      <c r="BE106" s="94"/>
      <c r="BF106" s="94" t="str">
        <f>+BE$17*#REF!</f>
        <v>#REF!</v>
      </c>
      <c r="BG106" s="94" t="str">
        <f t="shared" ref="BG106:DB106" si="52">IF(BF106&gt;0.005,(BF106-$BF106*#REF!/12),0)</f>
        <v>#REF!</v>
      </c>
      <c r="BH106" s="94" t="str">
        <f t="shared" si="52"/>
        <v>#REF!</v>
      </c>
      <c r="BI106" s="94" t="str">
        <f t="shared" si="52"/>
        <v>#REF!</v>
      </c>
      <c r="BJ106" s="94" t="str">
        <f t="shared" si="52"/>
        <v>#REF!</v>
      </c>
      <c r="BK106" s="94" t="str">
        <f t="shared" si="52"/>
        <v>#REF!</v>
      </c>
      <c r="BL106" s="94" t="str">
        <f t="shared" si="52"/>
        <v>#REF!</v>
      </c>
      <c r="BM106" s="94" t="str">
        <f t="shared" si="52"/>
        <v>#REF!</v>
      </c>
      <c r="BN106" s="94" t="str">
        <f t="shared" si="52"/>
        <v>#REF!</v>
      </c>
      <c r="BO106" s="94" t="str">
        <f t="shared" si="52"/>
        <v>#REF!</v>
      </c>
      <c r="BP106" s="94" t="str">
        <f t="shared" si="52"/>
        <v>#REF!</v>
      </c>
      <c r="BQ106" s="94" t="str">
        <f t="shared" si="52"/>
        <v>#REF!</v>
      </c>
      <c r="BR106" s="94" t="str">
        <f t="shared" si="52"/>
        <v>#REF!</v>
      </c>
      <c r="BS106" s="94" t="str">
        <f t="shared" si="52"/>
        <v>#REF!</v>
      </c>
      <c r="BT106" s="94" t="str">
        <f t="shared" si="52"/>
        <v>#REF!</v>
      </c>
      <c r="BU106" s="94" t="str">
        <f t="shared" si="52"/>
        <v>#REF!</v>
      </c>
      <c r="BV106" s="94" t="str">
        <f t="shared" si="52"/>
        <v>#REF!</v>
      </c>
      <c r="BW106" s="94" t="str">
        <f t="shared" si="52"/>
        <v>#REF!</v>
      </c>
      <c r="BX106" s="94" t="str">
        <f t="shared" si="52"/>
        <v>#REF!</v>
      </c>
      <c r="BY106" s="94" t="str">
        <f t="shared" si="52"/>
        <v>#REF!</v>
      </c>
      <c r="BZ106" s="94" t="str">
        <f t="shared" si="52"/>
        <v>#REF!</v>
      </c>
      <c r="CA106" s="94" t="str">
        <f t="shared" si="52"/>
        <v>#REF!</v>
      </c>
      <c r="CB106" s="94" t="str">
        <f t="shared" si="52"/>
        <v>#REF!</v>
      </c>
      <c r="CC106" s="94" t="str">
        <f t="shared" si="52"/>
        <v>#REF!</v>
      </c>
      <c r="CD106" s="94" t="str">
        <f t="shared" si="52"/>
        <v>#REF!</v>
      </c>
      <c r="CE106" s="94" t="str">
        <f t="shared" si="52"/>
        <v>#REF!</v>
      </c>
      <c r="CF106" s="94" t="str">
        <f t="shared" si="52"/>
        <v>#REF!</v>
      </c>
      <c r="CG106" s="94" t="str">
        <f t="shared" si="52"/>
        <v>#REF!</v>
      </c>
      <c r="CH106" s="94" t="str">
        <f t="shared" si="52"/>
        <v>#REF!</v>
      </c>
      <c r="CI106" s="94" t="str">
        <f t="shared" si="52"/>
        <v>#REF!</v>
      </c>
      <c r="CJ106" s="94" t="str">
        <f t="shared" si="52"/>
        <v>#REF!</v>
      </c>
      <c r="CK106" s="94" t="str">
        <f t="shared" si="52"/>
        <v>#REF!</v>
      </c>
      <c r="CL106" s="94" t="str">
        <f t="shared" si="52"/>
        <v>#REF!</v>
      </c>
      <c r="CM106" s="94" t="str">
        <f t="shared" si="52"/>
        <v>#REF!</v>
      </c>
      <c r="CN106" s="94" t="str">
        <f t="shared" si="52"/>
        <v>#REF!</v>
      </c>
      <c r="CO106" s="94" t="str">
        <f t="shared" si="52"/>
        <v>#REF!</v>
      </c>
      <c r="CP106" s="94" t="str">
        <f t="shared" si="52"/>
        <v>#REF!</v>
      </c>
      <c r="CQ106" s="94" t="str">
        <f t="shared" si="52"/>
        <v>#REF!</v>
      </c>
      <c r="CR106" s="94" t="str">
        <f t="shared" si="52"/>
        <v>#REF!</v>
      </c>
      <c r="CS106" s="94" t="str">
        <f t="shared" si="52"/>
        <v>#REF!</v>
      </c>
      <c r="CT106" s="94" t="str">
        <f t="shared" si="52"/>
        <v>#REF!</v>
      </c>
      <c r="CU106" s="94" t="str">
        <f t="shared" si="52"/>
        <v>#REF!</v>
      </c>
      <c r="CV106" s="94" t="str">
        <f t="shared" si="52"/>
        <v>#REF!</v>
      </c>
      <c r="CW106" s="94" t="str">
        <f t="shared" si="52"/>
        <v>#REF!</v>
      </c>
      <c r="CX106" s="94" t="str">
        <f t="shared" si="52"/>
        <v>#REF!</v>
      </c>
      <c r="CY106" s="93" t="str">
        <f t="shared" si="52"/>
        <v>#REF!</v>
      </c>
      <c r="CZ106" s="93" t="str">
        <f t="shared" si="52"/>
        <v>#REF!</v>
      </c>
      <c r="DA106" s="93" t="str">
        <f t="shared" si="52"/>
        <v>#REF!</v>
      </c>
      <c r="DB106" s="93" t="str">
        <f t="shared" si="52"/>
        <v>#REF!</v>
      </c>
    </row>
    <row r="107" ht="12.75" hidden="1" customHeight="1">
      <c r="U107" s="96">
        <v>45107.0</v>
      </c>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94"/>
      <c r="AX107" s="94"/>
      <c r="AY107" s="94"/>
      <c r="AZ107" s="94"/>
      <c r="BA107" s="94"/>
      <c r="BB107" s="94"/>
      <c r="BC107" s="94"/>
      <c r="BD107" s="94"/>
      <c r="BE107" s="94"/>
      <c r="BF107" s="94"/>
      <c r="BG107" s="94" t="str">
        <f>+BF$17*#REF!</f>
        <v>#REF!</v>
      </c>
      <c r="BH107" s="94" t="str">
        <f t="shared" ref="BH107:DC107" si="53">IF(BG107&gt;0.005,(BG107-$BG107*#REF!/12),0)</f>
        <v>#REF!</v>
      </c>
      <c r="BI107" s="94" t="str">
        <f t="shared" si="53"/>
        <v>#REF!</v>
      </c>
      <c r="BJ107" s="94" t="str">
        <f t="shared" si="53"/>
        <v>#REF!</v>
      </c>
      <c r="BK107" s="94" t="str">
        <f t="shared" si="53"/>
        <v>#REF!</v>
      </c>
      <c r="BL107" s="94" t="str">
        <f t="shared" si="53"/>
        <v>#REF!</v>
      </c>
      <c r="BM107" s="94" t="str">
        <f t="shared" si="53"/>
        <v>#REF!</v>
      </c>
      <c r="BN107" s="94" t="str">
        <f t="shared" si="53"/>
        <v>#REF!</v>
      </c>
      <c r="BO107" s="94" t="str">
        <f t="shared" si="53"/>
        <v>#REF!</v>
      </c>
      <c r="BP107" s="94" t="str">
        <f t="shared" si="53"/>
        <v>#REF!</v>
      </c>
      <c r="BQ107" s="94" t="str">
        <f t="shared" si="53"/>
        <v>#REF!</v>
      </c>
      <c r="BR107" s="94" t="str">
        <f t="shared" si="53"/>
        <v>#REF!</v>
      </c>
      <c r="BS107" s="94" t="str">
        <f t="shared" si="53"/>
        <v>#REF!</v>
      </c>
      <c r="BT107" s="94" t="str">
        <f t="shared" si="53"/>
        <v>#REF!</v>
      </c>
      <c r="BU107" s="94" t="str">
        <f t="shared" si="53"/>
        <v>#REF!</v>
      </c>
      <c r="BV107" s="94" t="str">
        <f t="shared" si="53"/>
        <v>#REF!</v>
      </c>
      <c r="BW107" s="94" t="str">
        <f t="shared" si="53"/>
        <v>#REF!</v>
      </c>
      <c r="BX107" s="94" t="str">
        <f t="shared" si="53"/>
        <v>#REF!</v>
      </c>
      <c r="BY107" s="94" t="str">
        <f t="shared" si="53"/>
        <v>#REF!</v>
      </c>
      <c r="BZ107" s="94" t="str">
        <f t="shared" si="53"/>
        <v>#REF!</v>
      </c>
      <c r="CA107" s="94" t="str">
        <f t="shared" si="53"/>
        <v>#REF!</v>
      </c>
      <c r="CB107" s="94" t="str">
        <f t="shared" si="53"/>
        <v>#REF!</v>
      </c>
      <c r="CC107" s="94" t="str">
        <f t="shared" si="53"/>
        <v>#REF!</v>
      </c>
      <c r="CD107" s="94" t="str">
        <f t="shared" si="53"/>
        <v>#REF!</v>
      </c>
      <c r="CE107" s="94" t="str">
        <f t="shared" si="53"/>
        <v>#REF!</v>
      </c>
      <c r="CF107" s="94" t="str">
        <f t="shared" si="53"/>
        <v>#REF!</v>
      </c>
      <c r="CG107" s="94" t="str">
        <f t="shared" si="53"/>
        <v>#REF!</v>
      </c>
      <c r="CH107" s="94" t="str">
        <f t="shared" si="53"/>
        <v>#REF!</v>
      </c>
      <c r="CI107" s="94" t="str">
        <f t="shared" si="53"/>
        <v>#REF!</v>
      </c>
      <c r="CJ107" s="94" t="str">
        <f t="shared" si="53"/>
        <v>#REF!</v>
      </c>
      <c r="CK107" s="94" t="str">
        <f t="shared" si="53"/>
        <v>#REF!</v>
      </c>
      <c r="CL107" s="94" t="str">
        <f t="shared" si="53"/>
        <v>#REF!</v>
      </c>
      <c r="CM107" s="94" t="str">
        <f t="shared" si="53"/>
        <v>#REF!</v>
      </c>
      <c r="CN107" s="94" t="str">
        <f t="shared" si="53"/>
        <v>#REF!</v>
      </c>
      <c r="CO107" s="94" t="str">
        <f t="shared" si="53"/>
        <v>#REF!</v>
      </c>
      <c r="CP107" s="94" t="str">
        <f t="shared" si="53"/>
        <v>#REF!</v>
      </c>
      <c r="CQ107" s="94" t="str">
        <f t="shared" si="53"/>
        <v>#REF!</v>
      </c>
      <c r="CR107" s="94" t="str">
        <f t="shared" si="53"/>
        <v>#REF!</v>
      </c>
      <c r="CS107" s="94" t="str">
        <f t="shared" si="53"/>
        <v>#REF!</v>
      </c>
      <c r="CT107" s="94" t="str">
        <f t="shared" si="53"/>
        <v>#REF!</v>
      </c>
      <c r="CU107" s="94" t="str">
        <f t="shared" si="53"/>
        <v>#REF!</v>
      </c>
      <c r="CV107" s="94" t="str">
        <f t="shared" si="53"/>
        <v>#REF!</v>
      </c>
      <c r="CW107" s="94" t="str">
        <f t="shared" si="53"/>
        <v>#REF!</v>
      </c>
      <c r="CX107" s="94" t="str">
        <f t="shared" si="53"/>
        <v>#REF!</v>
      </c>
      <c r="CY107" s="93" t="str">
        <f t="shared" si="53"/>
        <v>#REF!</v>
      </c>
      <c r="CZ107" s="93" t="str">
        <f t="shared" si="53"/>
        <v>#REF!</v>
      </c>
      <c r="DA107" s="93" t="str">
        <f t="shared" si="53"/>
        <v>#REF!</v>
      </c>
      <c r="DB107" s="93" t="str">
        <f t="shared" si="53"/>
        <v>#REF!</v>
      </c>
      <c r="DC107" s="93" t="str">
        <f t="shared" si="53"/>
        <v>#REF!</v>
      </c>
    </row>
    <row r="108" ht="12.75" hidden="1" customHeight="1">
      <c r="U108" s="96">
        <v>45138.0</v>
      </c>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94"/>
      <c r="AX108" s="94"/>
      <c r="AY108" s="94"/>
      <c r="AZ108" s="94"/>
      <c r="BA108" s="94"/>
      <c r="BB108" s="94"/>
      <c r="BC108" s="94"/>
      <c r="BD108" s="94"/>
      <c r="BE108" s="94"/>
      <c r="BF108" s="94"/>
      <c r="BG108" s="94"/>
      <c r="BH108" s="94" t="str">
        <f>+BG$17*#REF!</f>
        <v>#REF!</v>
      </c>
      <c r="BI108" s="94" t="str">
        <f t="shared" ref="BI108:DD108" si="54">IF(BH108&gt;0.005,(BH108-$BH108*#REF!/12),0)</f>
        <v>#REF!</v>
      </c>
      <c r="BJ108" s="94" t="str">
        <f t="shared" si="54"/>
        <v>#REF!</v>
      </c>
      <c r="BK108" s="94" t="str">
        <f t="shared" si="54"/>
        <v>#REF!</v>
      </c>
      <c r="BL108" s="94" t="str">
        <f t="shared" si="54"/>
        <v>#REF!</v>
      </c>
      <c r="BM108" s="94" t="str">
        <f t="shared" si="54"/>
        <v>#REF!</v>
      </c>
      <c r="BN108" s="94" t="str">
        <f t="shared" si="54"/>
        <v>#REF!</v>
      </c>
      <c r="BO108" s="94" t="str">
        <f t="shared" si="54"/>
        <v>#REF!</v>
      </c>
      <c r="BP108" s="94" t="str">
        <f t="shared" si="54"/>
        <v>#REF!</v>
      </c>
      <c r="BQ108" s="94" t="str">
        <f t="shared" si="54"/>
        <v>#REF!</v>
      </c>
      <c r="BR108" s="94" t="str">
        <f t="shared" si="54"/>
        <v>#REF!</v>
      </c>
      <c r="BS108" s="94" t="str">
        <f t="shared" si="54"/>
        <v>#REF!</v>
      </c>
      <c r="BT108" s="94" t="str">
        <f t="shared" si="54"/>
        <v>#REF!</v>
      </c>
      <c r="BU108" s="94" t="str">
        <f t="shared" si="54"/>
        <v>#REF!</v>
      </c>
      <c r="BV108" s="94" t="str">
        <f t="shared" si="54"/>
        <v>#REF!</v>
      </c>
      <c r="BW108" s="94" t="str">
        <f t="shared" si="54"/>
        <v>#REF!</v>
      </c>
      <c r="BX108" s="94" t="str">
        <f t="shared" si="54"/>
        <v>#REF!</v>
      </c>
      <c r="BY108" s="94" t="str">
        <f t="shared" si="54"/>
        <v>#REF!</v>
      </c>
      <c r="BZ108" s="94" t="str">
        <f t="shared" si="54"/>
        <v>#REF!</v>
      </c>
      <c r="CA108" s="94" t="str">
        <f t="shared" si="54"/>
        <v>#REF!</v>
      </c>
      <c r="CB108" s="94" t="str">
        <f t="shared" si="54"/>
        <v>#REF!</v>
      </c>
      <c r="CC108" s="94" t="str">
        <f t="shared" si="54"/>
        <v>#REF!</v>
      </c>
      <c r="CD108" s="94" t="str">
        <f t="shared" si="54"/>
        <v>#REF!</v>
      </c>
      <c r="CE108" s="94" t="str">
        <f t="shared" si="54"/>
        <v>#REF!</v>
      </c>
      <c r="CF108" s="94" t="str">
        <f t="shared" si="54"/>
        <v>#REF!</v>
      </c>
      <c r="CG108" s="94" t="str">
        <f t="shared" si="54"/>
        <v>#REF!</v>
      </c>
      <c r="CH108" s="94" t="str">
        <f t="shared" si="54"/>
        <v>#REF!</v>
      </c>
      <c r="CI108" s="94" t="str">
        <f t="shared" si="54"/>
        <v>#REF!</v>
      </c>
      <c r="CJ108" s="94" t="str">
        <f t="shared" si="54"/>
        <v>#REF!</v>
      </c>
      <c r="CK108" s="94" t="str">
        <f t="shared" si="54"/>
        <v>#REF!</v>
      </c>
      <c r="CL108" s="94" t="str">
        <f t="shared" si="54"/>
        <v>#REF!</v>
      </c>
      <c r="CM108" s="94" t="str">
        <f t="shared" si="54"/>
        <v>#REF!</v>
      </c>
      <c r="CN108" s="94" t="str">
        <f t="shared" si="54"/>
        <v>#REF!</v>
      </c>
      <c r="CO108" s="94" t="str">
        <f t="shared" si="54"/>
        <v>#REF!</v>
      </c>
      <c r="CP108" s="94" t="str">
        <f t="shared" si="54"/>
        <v>#REF!</v>
      </c>
      <c r="CQ108" s="94" t="str">
        <f t="shared" si="54"/>
        <v>#REF!</v>
      </c>
      <c r="CR108" s="94" t="str">
        <f t="shared" si="54"/>
        <v>#REF!</v>
      </c>
      <c r="CS108" s="94" t="str">
        <f t="shared" si="54"/>
        <v>#REF!</v>
      </c>
      <c r="CT108" s="94" t="str">
        <f t="shared" si="54"/>
        <v>#REF!</v>
      </c>
      <c r="CU108" s="94" t="str">
        <f t="shared" si="54"/>
        <v>#REF!</v>
      </c>
      <c r="CV108" s="94" t="str">
        <f t="shared" si="54"/>
        <v>#REF!</v>
      </c>
      <c r="CW108" s="94" t="str">
        <f t="shared" si="54"/>
        <v>#REF!</v>
      </c>
      <c r="CX108" s="94" t="str">
        <f t="shared" si="54"/>
        <v>#REF!</v>
      </c>
      <c r="CY108" s="93" t="str">
        <f t="shared" si="54"/>
        <v>#REF!</v>
      </c>
      <c r="CZ108" s="93" t="str">
        <f t="shared" si="54"/>
        <v>#REF!</v>
      </c>
      <c r="DA108" s="93" t="str">
        <f t="shared" si="54"/>
        <v>#REF!</v>
      </c>
      <c r="DB108" s="93" t="str">
        <f t="shared" si="54"/>
        <v>#REF!</v>
      </c>
      <c r="DC108" s="93" t="str">
        <f t="shared" si="54"/>
        <v>#REF!</v>
      </c>
      <c r="DD108" s="93" t="str">
        <f t="shared" si="54"/>
        <v>#REF!</v>
      </c>
    </row>
    <row r="109" ht="12.75" hidden="1" customHeight="1">
      <c r="U109" s="96">
        <v>45169.0</v>
      </c>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94"/>
      <c r="AX109" s="94"/>
      <c r="AY109" s="94"/>
      <c r="AZ109" s="94"/>
      <c r="BA109" s="94"/>
      <c r="BB109" s="94"/>
      <c r="BC109" s="94"/>
      <c r="BD109" s="94"/>
      <c r="BE109" s="94"/>
      <c r="BF109" s="94"/>
      <c r="BG109" s="94"/>
      <c r="BH109" s="94"/>
      <c r="BI109" s="94" t="str">
        <f>+BH$17*#REF!</f>
        <v>#REF!</v>
      </c>
      <c r="BJ109" s="94" t="str">
        <f t="shared" ref="BJ109:DE109" si="55">IF(BI109&gt;0.005,(BI109-$BI109*#REF!/12),0)</f>
        <v>#REF!</v>
      </c>
      <c r="BK109" s="94" t="str">
        <f t="shared" si="55"/>
        <v>#REF!</v>
      </c>
      <c r="BL109" s="94" t="str">
        <f t="shared" si="55"/>
        <v>#REF!</v>
      </c>
      <c r="BM109" s="94" t="str">
        <f t="shared" si="55"/>
        <v>#REF!</v>
      </c>
      <c r="BN109" s="94" t="str">
        <f t="shared" si="55"/>
        <v>#REF!</v>
      </c>
      <c r="BO109" s="94" t="str">
        <f t="shared" si="55"/>
        <v>#REF!</v>
      </c>
      <c r="BP109" s="94" t="str">
        <f t="shared" si="55"/>
        <v>#REF!</v>
      </c>
      <c r="BQ109" s="94" t="str">
        <f t="shared" si="55"/>
        <v>#REF!</v>
      </c>
      <c r="BR109" s="94" t="str">
        <f t="shared" si="55"/>
        <v>#REF!</v>
      </c>
      <c r="BS109" s="94" t="str">
        <f t="shared" si="55"/>
        <v>#REF!</v>
      </c>
      <c r="BT109" s="94" t="str">
        <f t="shared" si="55"/>
        <v>#REF!</v>
      </c>
      <c r="BU109" s="94" t="str">
        <f t="shared" si="55"/>
        <v>#REF!</v>
      </c>
      <c r="BV109" s="94" t="str">
        <f t="shared" si="55"/>
        <v>#REF!</v>
      </c>
      <c r="BW109" s="94" t="str">
        <f t="shared" si="55"/>
        <v>#REF!</v>
      </c>
      <c r="BX109" s="94" t="str">
        <f t="shared" si="55"/>
        <v>#REF!</v>
      </c>
      <c r="BY109" s="94" t="str">
        <f t="shared" si="55"/>
        <v>#REF!</v>
      </c>
      <c r="BZ109" s="94" t="str">
        <f t="shared" si="55"/>
        <v>#REF!</v>
      </c>
      <c r="CA109" s="94" t="str">
        <f t="shared" si="55"/>
        <v>#REF!</v>
      </c>
      <c r="CB109" s="94" t="str">
        <f t="shared" si="55"/>
        <v>#REF!</v>
      </c>
      <c r="CC109" s="94" t="str">
        <f t="shared" si="55"/>
        <v>#REF!</v>
      </c>
      <c r="CD109" s="94" t="str">
        <f t="shared" si="55"/>
        <v>#REF!</v>
      </c>
      <c r="CE109" s="94" t="str">
        <f t="shared" si="55"/>
        <v>#REF!</v>
      </c>
      <c r="CF109" s="94" t="str">
        <f t="shared" si="55"/>
        <v>#REF!</v>
      </c>
      <c r="CG109" s="94" t="str">
        <f t="shared" si="55"/>
        <v>#REF!</v>
      </c>
      <c r="CH109" s="94" t="str">
        <f t="shared" si="55"/>
        <v>#REF!</v>
      </c>
      <c r="CI109" s="94" t="str">
        <f t="shared" si="55"/>
        <v>#REF!</v>
      </c>
      <c r="CJ109" s="94" t="str">
        <f t="shared" si="55"/>
        <v>#REF!</v>
      </c>
      <c r="CK109" s="94" t="str">
        <f t="shared" si="55"/>
        <v>#REF!</v>
      </c>
      <c r="CL109" s="94" t="str">
        <f t="shared" si="55"/>
        <v>#REF!</v>
      </c>
      <c r="CM109" s="94" t="str">
        <f t="shared" si="55"/>
        <v>#REF!</v>
      </c>
      <c r="CN109" s="94" t="str">
        <f t="shared" si="55"/>
        <v>#REF!</v>
      </c>
      <c r="CO109" s="94" t="str">
        <f t="shared" si="55"/>
        <v>#REF!</v>
      </c>
      <c r="CP109" s="94" t="str">
        <f t="shared" si="55"/>
        <v>#REF!</v>
      </c>
      <c r="CQ109" s="94" t="str">
        <f t="shared" si="55"/>
        <v>#REF!</v>
      </c>
      <c r="CR109" s="94" t="str">
        <f t="shared" si="55"/>
        <v>#REF!</v>
      </c>
      <c r="CS109" s="94" t="str">
        <f t="shared" si="55"/>
        <v>#REF!</v>
      </c>
      <c r="CT109" s="94" t="str">
        <f t="shared" si="55"/>
        <v>#REF!</v>
      </c>
      <c r="CU109" s="94" t="str">
        <f t="shared" si="55"/>
        <v>#REF!</v>
      </c>
      <c r="CV109" s="94" t="str">
        <f t="shared" si="55"/>
        <v>#REF!</v>
      </c>
      <c r="CW109" s="94" t="str">
        <f t="shared" si="55"/>
        <v>#REF!</v>
      </c>
      <c r="CX109" s="94" t="str">
        <f t="shared" si="55"/>
        <v>#REF!</v>
      </c>
      <c r="CY109" s="93" t="str">
        <f t="shared" si="55"/>
        <v>#REF!</v>
      </c>
      <c r="CZ109" s="93" t="str">
        <f t="shared" si="55"/>
        <v>#REF!</v>
      </c>
      <c r="DA109" s="93" t="str">
        <f t="shared" si="55"/>
        <v>#REF!</v>
      </c>
      <c r="DB109" s="93" t="str">
        <f t="shared" si="55"/>
        <v>#REF!</v>
      </c>
      <c r="DC109" s="93" t="str">
        <f t="shared" si="55"/>
        <v>#REF!</v>
      </c>
      <c r="DD109" s="93" t="str">
        <f t="shared" si="55"/>
        <v>#REF!</v>
      </c>
      <c r="DE109" s="93" t="str">
        <f t="shared" si="55"/>
        <v>#REF!</v>
      </c>
    </row>
    <row r="110" ht="12.75" hidden="1" customHeight="1">
      <c r="U110" s="96">
        <v>45199.0</v>
      </c>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94"/>
      <c r="AX110" s="94"/>
      <c r="AY110" s="94"/>
      <c r="AZ110" s="94"/>
      <c r="BA110" s="94"/>
      <c r="BB110" s="94"/>
      <c r="BC110" s="94"/>
      <c r="BD110" s="94"/>
      <c r="BE110" s="94"/>
      <c r="BF110" s="94"/>
      <c r="BG110" s="94"/>
      <c r="BH110" s="94"/>
      <c r="BI110" s="94"/>
      <c r="BJ110" s="94" t="str">
        <f>+BI$17*#REF!</f>
        <v>#REF!</v>
      </c>
      <c r="BK110" s="94" t="str">
        <f t="shared" ref="BK110:DF110" si="56">IF(BJ110&gt;0.005,(BJ110-$BJ110*#REF!/12),0)</f>
        <v>#REF!</v>
      </c>
      <c r="BL110" s="94" t="str">
        <f t="shared" si="56"/>
        <v>#REF!</v>
      </c>
      <c r="BM110" s="94" t="str">
        <f t="shared" si="56"/>
        <v>#REF!</v>
      </c>
      <c r="BN110" s="94" t="str">
        <f t="shared" si="56"/>
        <v>#REF!</v>
      </c>
      <c r="BO110" s="94" t="str">
        <f t="shared" si="56"/>
        <v>#REF!</v>
      </c>
      <c r="BP110" s="94" t="str">
        <f t="shared" si="56"/>
        <v>#REF!</v>
      </c>
      <c r="BQ110" s="94" t="str">
        <f t="shared" si="56"/>
        <v>#REF!</v>
      </c>
      <c r="BR110" s="94" t="str">
        <f t="shared" si="56"/>
        <v>#REF!</v>
      </c>
      <c r="BS110" s="94" t="str">
        <f t="shared" si="56"/>
        <v>#REF!</v>
      </c>
      <c r="BT110" s="94" t="str">
        <f t="shared" si="56"/>
        <v>#REF!</v>
      </c>
      <c r="BU110" s="94" t="str">
        <f t="shared" si="56"/>
        <v>#REF!</v>
      </c>
      <c r="BV110" s="94" t="str">
        <f t="shared" si="56"/>
        <v>#REF!</v>
      </c>
      <c r="BW110" s="94" t="str">
        <f t="shared" si="56"/>
        <v>#REF!</v>
      </c>
      <c r="BX110" s="94" t="str">
        <f t="shared" si="56"/>
        <v>#REF!</v>
      </c>
      <c r="BY110" s="94" t="str">
        <f t="shared" si="56"/>
        <v>#REF!</v>
      </c>
      <c r="BZ110" s="94" t="str">
        <f t="shared" si="56"/>
        <v>#REF!</v>
      </c>
      <c r="CA110" s="94" t="str">
        <f t="shared" si="56"/>
        <v>#REF!</v>
      </c>
      <c r="CB110" s="94" t="str">
        <f t="shared" si="56"/>
        <v>#REF!</v>
      </c>
      <c r="CC110" s="94" t="str">
        <f t="shared" si="56"/>
        <v>#REF!</v>
      </c>
      <c r="CD110" s="94" t="str">
        <f t="shared" si="56"/>
        <v>#REF!</v>
      </c>
      <c r="CE110" s="94" t="str">
        <f t="shared" si="56"/>
        <v>#REF!</v>
      </c>
      <c r="CF110" s="94" t="str">
        <f t="shared" si="56"/>
        <v>#REF!</v>
      </c>
      <c r="CG110" s="94" t="str">
        <f t="shared" si="56"/>
        <v>#REF!</v>
      </c>
      <c r="CH110" s="94" t="str">
        <f t="shared" si="56"/>
        <v>#REF!</v>
      </c>
      <c r="CI110" s="94" t="str">
        <f t="shared" si="56"/>
        <v>#REF!</v>
      </c>
      <c r="CJ110" s="94" t="str">
        <f t="shared" si="56"/>
        <v>#REF!</v>
      </c>
      <c r="CK110" s="94" t="str">
        <f t="shared" si="56"/>
        <v>#REF!</v>
      </c>
      <c r="CL110" s="94" t="str">
        <f t="shared" si="56"/>
        <v>#REF!</v>
      </c>
      <c r="CM110" s="94" t="str">
        <f t="shared" si="56"/>
        <v>#REF!</v>
      </c>
      <c r="CN110" s="94" t="str">
        <f t="shared" si="56"/>
        <v>#REF!</v>
      </c>
      <c r="CO110" s="94" t="str">
        <f t="shared" si="56"/>
        <v>#REF!</v>
      </c>
      <c r="CP110" s="94" t="str">
        <f t="shared" si="56"/>
        <v>#REF!</v>
      </c>
      <c r="CQ110" s="94" t="str">
        <f t="shared" si="56"/>
        <v>#REF!</v>
      </c>
      <c r="CR110" s="94" t="str">
        <f t="shared" si="56"/>
        <v>#REF!</v>
      </c>
      <c r="CS110" s="94" t="str">
        <f t="shared" si="56"/>
        <v>#REF!</v>
      </c>
      <c r="CT110" s="94" t="str">
        <f t="shared" si="56"/>
        <v>#REF!</v>
      </c>
      <c r="CU110" s="94" t="str">
        <f t="shared" si="56"/>
        <v>#REF!</v>
      </c>
      <c r="CV110" s="94" t="str">
        <f t="shared" si="56"/>
        <v>#REF!</v>
      </c>
      <c r="CW110" s="94" t="str">
        <f t="shared" si="56"/>
        <v>#REF!</v>
      </c>
      <c r="CX110" s="94" t="str">
        <f t="shared" si="56"/>
        <v>#REF!</v>
      </c>
      <c r="CY110" s="93" t="str">
        <f t="shared" si="56"/>
        <v>#REF!</v>
      </c>
      <c r="CZ110" s="93" t="str">
        <f t="shared" si="56"/>
        <v>#REF!</v>
      </c>
      <c r="DA110" s="93" t="str">
        <f t="shared" si="56"/>
        <v>#REF!</v>
      </c>
      <c r="DB110" s="93" t="str">
        <f t="shared" si="56"/>
        <v>#REF!</v>
      </c>
      <c r="DC110" s="93" t="str">
        <f t="shared" si="56"/>
        <v>#REF!</v>
      </c>
      <c r="DD110" s="93" t="str">
        <f t="shared" si="56"/>
        <v>#REF!</v>
      </c>
      <c r="DE110" s="93" t="str">
        <f t="shared" si="56"/>
        <v>#REF!</v>
      </c>
      <c r="DF110" s="93" t="str">
        <f t="shared" si="56"/>
        <v>#REF!</v>
      </c>
    </row>
    <row r="111" ht="12.75" hidden="1" customHeight="1">
      <c r="U111" s="96">
        <v>45230.0</v>
      </c>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94"/>
      <c r="AX111" s="94"/>
      <c r="AY111" s="94"/>
      <c r="AZ111" s="94"/>
      <c r="BA111" s="94"/>
      <c r="BB111" s="94"/>
      <c r="BC111" s="94"/>
      <c r="BD111" s="94"/>
      <c r="BE111" s="94"/>
      <c r="BF111" s="94"/>
      <c r="BG111" s="94"/>
      <c r="BH111" s="94"/>
      <c r="BI111" s="94"/>
      <c r="BJ111" s="94"/>
      <c r="BK111" s="94" t="str">
        <f>+BJ$17*#REF!</f>
        <v>#REF!</v>
      </c>
      <c r="BL111" s="94" t="str">
        <f>IF(BK111&gt;0.005,(BK111-$BK111*#REF!/12),0)</f>
        <v>#REF!</v>
      </c>
      <c r="BM111" s="94" t="str">
        <f t="shared" ref="BM111:BM112" si="58">IF(BL111&gt;0.005,(BL111-$BL111*#REF!/12),0)</f>
        <v>#REF!</v>
      </c>
      <c r="BN111" s="94" t="str">
        <f t="shared" ref="BN111:DG111" si="57">IF(BM111&gt;0.005,(BM111-$BK111*#REF!/12),0)</f>
        <v>#REF!</v>
      </c>
      <c r="BO111" s="94" t="str">
        <f t="shared" si="57"/>
        <v>#REF!</v>
      </c>
      <c r="BP111" s="94" t="str">
        <f t="shared" si="57"/>
        <v>#REF!</v>
      </c>
      <c r="BQ111" s="94" t="str">
        <f t="shared" si="57"/>
        <v>#REF!</v>
      </c>
      <c r="BR111" s="94" t="str">
        <f t="shared" si="57"/>
        <v>#REF!</v>
      </c>
      <c r="BS111" s="94" t="str">
        <f t="shared" si="57"/>
        <v>#REF!</v>
      </c>
      <c r="BT111" s="94" t="str">
        <f t="shared" si="57"/>
        <v>#REF!</v>
      </c>
      <c r="BU111" s="94" t="str">
        <f t="shared" si="57"/>
        <v>#REF!</v>
      </c>
      <c r="BV111" s="94" t="str">
        <f t="shared" si="57"/>
        <v>#REF!</v>
      </c>
      <c r="BW111" s="94" t="str">
        <f t="shared" si="57"/>
        <v>#REF!</v>
      </c>
      <c r="BX111" s="94" t="str">
        <f t="shared" si="57"/>
        <v>#REF!</v>
      </c>
      <c r="BY111" s="94" t="str">
        <f t="shared" si="57"/>
        <v>#REF!</v>
      </c>
      <c r="BZ111" s="94" t="str">
        <f t="shared" si="57"/>
        <v>#REF!</v>
      </c>
      <c r="CA111" s="94" t="str">
        <f t="shared" si="57"/>
        <v>#REF!</v>
      </c>
      <c r="CB111" s="94" t="str">
        <f t="shared" si="57"/>
        <v>#REF!</v>
      </c>
      <c r="CC111" s="94" t="str">
        <f t="shared" si="57"/>
        <v>#REF!</v>
      </c>
      <c r="CD111" s="94" t="str">
        <f t="shared" si="57"/>
        <v>#REF!</v>
      </c>
      <c r="CE111" s="94" t="str">
        <f t="shared" si="57"/>
        <v>#REF!</v>
      </c>
      <c r="CF111" s="94" t="str">
        <f t="shared" si="57"/>
        <v>#REF!</v>
      </c>
      <c r="CG111" s="94" t="str">
        <f t="shared" si="57"/>
        <v>#REF!</v>
      </c>
      <c r="CH111" s="94" t="str">
        <f t="shared" si="57"/>
        <v>#REF!</v>
      </c>
      <c r="CI111" s="94" t="str">
        <f t="shared" si="57"/>
        <v>#REF!</v>
      </c>
      <c r="CJ111" s="94" t="str">
        <f t="shared" si="57"/>
        <v>#REF!</v>
      </c>
      <c r="CK111" s="94" t="str">
        <f t="shared" si="57"/>
        <v>#REF!</v>
      </c>
      <c r="CL111" s="94" t="str">
        <f t="shared" si="57"/>
        <v>#REF!</v>
      </c>
      <c r="CM111" s="94" t="str">
        <f t="shared" si="57"/>
        <v>#REF!</v>
      </c>
      <c r="CN111" s="94" t="str">
        <f t="shared" si="57"/>
        <v>#REF!</v>
      </c>
      <c r="CO111" s="94" t="str">
        <f t="shared" si="57"/>
        <v>#REF!</v>
      </c>
      <c r="CP111" s="94" t="str">
        <f t="shared" si="57"/>
        <v>#REF!</v>
      </c>
      <c r="CQ111" s="94" t="str">
        <f t="shared" si="57"/>
        <v>#REF!</v>
      </c>
      <c r="CR111" s="94" t="str">
        <f t="shared" si="57"/>
        <v>#REF!</v>
      </c>
      <c r="CS111" s="94" t="str">
        <f t="shared" si="57"/>
        <v>#REF!</v>
      </c>
      <c r="CT111" s="94" t="str">
        <f t="shared" si="57"/>
        <v>#REF!</v>
      </c>
      <c r="CU111" s="94" t="str">
        <f t="shared" si="57"/>
        <v>#REF!</v>
      </c>
      <c r="CV111" s="94" t="str">
        <f t="shared" si="57"/>
        <v>#REF!</v>
      </c>
      <c r="CW111" s="94" t="str">
        <f t="shared" si="57"/>
        <v>#REF!</v>
      </c>
      <c r="CX111" s="94" t="str">
        <f t="shared" si="57"/>
        <v>#REF!</v>
      </c>
      <c r="CY111" s="93" t="str">
        <f t="shared" si="57"/>
        <v>#REF!</v>
      </c>
      <c r="CZ111" s="93" t="str">
        <f t="shared" si="57"/>
        <v>#REF!</v>
      </c>
      <c r="DA111" s="93" t="str">
        <f t="shared" si="57"/>
        <v>#REF!</v>
      </c>
      <c r="DB111" s="93" t="str">
        <f t="shared" si="57"/>
        <v>#REF!</v>
      </c>
      <c r="DC111" s="93" t="str">
        <f t="shared" si="57"/>
        <v>#REF!</v>
      </c>
      <c r="DD111" s="93" t="str">
        <f t="shared" si="57"/>
        <v>#REF!</v>
      </c>
      <c r="DE111" s="93" t="str">
        <f t="shared" si="57"/>
        <v>#REF!</v>
      </c>
      <c r="DF111" s="93" t="str">
        <f t="shared" si="57"/>
        <v>#REF!</v>
      </c>
      <c r="DG111" s="93" t="str">
        <f t="shared" si="57"/>
        <v>#REF!</v>
      </c>
    </row>
    <row r="112" ht="12.75" hidden="1" customHeight="1">
      <c r="U112" s="96">
        <v>45260.0</v>
      </c>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94"/>
      <c r="AX112" s="94"/>
      <c r="AY112" s="94"/>
      <c r="AZ112" s="94"/>
      <c r="BA112" s="94"/>
      <c r="BB112" s="94"/>
      <c r="BC112" s="94"/>
      <c r="BD112" s="94"/>
      <c r="BE112" s="94"/>
      <c r="BF112" s="94"/>
      <c r="BG112" s="94"/>
      <c r="BH112" s="94"/>
      <c r="BI112" s="94"/>
      <c r="BJ112" s="94"/>
      <c r="BK112" s="94"/>
      <c r="BL112" s="94" t="str">
        <f>+BK$17*#REF!</f>
        <v>#REF!</v>
      </c>
      <c r="BM112" s="94" t="str">
        <f t="shared" si="58"/>
        <v>#REF!</v>
      </c>
      <c r="BN112" s="94" t="str">
        <f t="shared" ref="BN112:DI112" si="59">IF(BM112&gt;0.005,(BM112-$BL112*#REF!/12),0)</f>
        <v>#REF!</v>
      </c>
      <c r="BO112" s="94" t="str">
        <f t="shared" si="59"/>
        <v>#REF!</v>
      </c>
      <c r="BP112" s="94" t="str">
        <f t="shared" si="59"/>
        <v>#REF!</v>
      </c>
      <c r="BQ112" s="94" t="str">
        <f t="shared" si="59"/>
        <v>#REF!</v>
      </c>
      <c r="BR112" s="94" t="str">
        <f t="shared" si="59"/>
        <v>#REF!</v>
      </c>
      <c r="BS112" s="94" t="str">
        <f t="shared" si="59"/>
        <v>#REF!</v>
      </c>
      <c r="BT112" s="94" t="str">
        <f t="shared" si="59"/>
        <v>#REF!</v>
      </c>
      <c r="BU112" s="94" t="str">
        <f t="shared" si="59"/>
        <v>#REF!</v>
      </c>
      <c r="BV112" s="94" t="str">
        <f t="shared" si="59"/>
        <v>#REF!</v>
      </c>
      <c r="BW112" s="94" t="str">
        <f t="shared" si="59"/>
        <v>#REF!</v>
      </c>
      <c r="BX112" s="94" t="str">
        <f t="shared" si="59"/>
        <v>#REF!</v>
      </c>
      <c r="BY112" s="94" t="str">
        <f t="shared" si="59"/>
        <v>#REF!</v>
      </c>
      <c r="BZ112" s="94" t="str">
        <f t="shared" si="59"/>
        <v>#REF!</v>
      </c>
      <c r="CA112" s="94" t="str">
        <f t="shared" si="59"/>
        <v>#REF!</v>
      </c>
      <c r="CB112" s="94" t="str">
        <f t="shared" si="59"/>
        <v>#REF!</v>
      </c>
      <c r="CC112" s="94" t="str">
        <f t="shared" si="59"/>
        <v>#REF!</v>
      </c>
      <c r="CD112" s="94" t="str">
        <f t="shared" si="59"/>
        <v>#REF!</v>
      </c>
      <c r="CE112" s="94" t="str">
        <f t="shared" si="59"/>
        <v>#REF!</v>
      </c>
      <c r="CF112" s="94" t="str">
        <f t="shared" si="59"/>
        <v>#REF!</v>
      </c>
      <c r="CG112" s="94" t="str">
        <f t="shared" si="59"/>
        <v>#REF!</v>
      </c>
      <c r="CH112" s="94" t="str">
        <f t="shared" si="59"/>
        <v>#REF!</v>
      </c>
      <c r="CI112" s="94" t="str">
        <f t="shared" si="59"/>
        <v>#REF!</v>
      </c>
      <c r="CJ112" s="94" t="str">
        <f t="shared" si="59"/>
        <v>#REF!</v>
      </c>
      <c r="CK112" s="94" t="str">
        <f t="shared" si="59"/>
        <v>#REF!</v>
      </c>
      <c r="CL112" s="94" t="str">
        <f t="shared" si="59"/>
        <v>#REF!</v>
      </c>
      <c r="CM112" s="94" t="str">
        <f t="shared" si="59"/>
        <v>#REF!</v>
      </c>
      <c r="CN112" s="94" t="str">
        <f t="shared" si="59"/>
        <v>#REF!</v>
      </c>
      <c r="CO112" s="94" t="str">
        <f t="shared" si="59"/>
        <v>#REF!</v>
      </c>
      <c r="CP112" s="94" t="str">
        <f t="shared" si="59"/>
        <v>#REF!</v>
      </c>
      <c r="CQ112" s="94" t="str">
        <f t="shared" si="59"/>
        <v>#REF!</v>
      </c>
      <c r="CR112" s="94" t="str">
        <f t="shared" si="59"/>
        <v>#REF!</v>
      </c>
      <c r="CS112" s="94" t="str">
        <f t="shared" si="59"/>
        <v>#REF!</v>
      </c>
      <c r="CT112" s="94" t="str">
        <f t="shared" si="59"/>
        <v>#REF!</v>
      </c>
      <c r="CU112" s="94" t="str">
        <f t="shared" si="59"/>
        <v>#REF!</v>
      </c>
      <c r="CV112" s="94" t="str">
        <f t="shared" si="59"/>
        <v>#REF!</v>
      </c>
      <c r="CW112" s="94" t="str">
        <f t="shared" si="59"/>
        <v>#REF!</v>
      </c>
      <c r="CX112" s="94" t="str">
        <f t="shared" si="59"/>
        <v>#REF!</v>
      </c>
      <c r="CY112" s="93" t="str">
        <f t="shared" si="59"/>
        <v>#REF!</v>
      </c>
      <c r="CZ112" s="93" t="str">
        <f t="shared" si="59"/>
        <v>#REF!</v>
      </c>
      <c r="DA112" s="93" t="str">
        <f t="shared" si="59"/>
        <v>#REF!</v>
      </c>
      <c r="DB112" s="93" t="str">
        <f t="shared" si="59"/>
        <v>#REF!</v>
      </c>
      <c r="DC112" s="93" t="str">
        <f t="shared" si="59"/>
        <v>#REF!</v>
      </c>
      <c r="DD112" s="93" t="str">
        <f t="shared" si="59"/>
        <v>#REF!</v>
      </c>
      <c r="DE112" s="93" t="str">
        <f t="shared" si="59"/>
        <v>#REF!</v>
      </c>
      <c r="DF112" s="93" t="str">
        <f t="shared" si="59"/>
        <v>#REF!</v>
      </c>
      <c r="DG112" s="93" t="str">
        <f t="shared" si="59"/>
        <v>#REF!</v>
      </c>
      <c r="DH112" s="93" t="str">
        <f t="shared" si="59"/>
        <v>#REF!</v>
      </c>
      <c r="DI112" s="93" t="str">
        <f t="shared" si="59"/>
        <v>#REF!</v>
      </c>
    </row>
    <row r="113" ht="12.75" hidden="1" customHeight="1">
      <c r="U113" s="96">
        <v>45291.0</v>
      </c>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94"/>
      <c r="AX113" s="94"/>
      <c r="AY113" s="94"/>
      <c r="AZ113" s="94"/>
      <c r="BA113" s="94"/>
      <c r="BB113" s="94"/>
      <c r="BC113" s="94"/>
      <c r="BD113" s="94"/>
      <c r="BE113" s="94"/>
      <c r="BF113" s="94"/>
      <c r="BG113" s="94"/>
      <c r="BH113" s="94"/>
      <c r="BI113" s="94"/>
      <c r="BJ113" s="94"/>
      <c r="BK113" s="94"/>
      <c r="BL113" s="94"/>
      <c r="BM113" s="94" t="str">
        <f>+BL$17*#REF!</f>
        <v>#REF!</v>
      </c>
      <c r="BN113" s="94" t="str">
        <f t="shared" ref="BN113:DI113" si="60">IF(BM113&gt;0.005,(BM113-$BM113*#REF!/12),0)</f>
        <v>#REF!</v>
      </c>
      <c r="BO113" s="94" t="str">
        <f t="shared" si="60"/>
        <v>#REF!</v>
      </c>
      <c r="BP113" s="94" t="str">
        <f t="shared" si="60"/>
        <v>#REF!</v>
      </c>
      <c r="BQ113" s="94" t="str">
        <f t="shared" si="60"/>
        <v>#REF!</v>
      </c>
      <c r="BR113" s="94" t="str">
        <f t="shared" si="60"/>
        <v>#REF!</v>
      </c>
      <c r="BS113" s="94" t="str">
        <f t="shared" si="60"/>
        <v>#REF!</v>
      </c>
      <c r="BT113" s="94" t="str">
        <f t="shared" si="60"/>
        <v>#REF!</v>
      </c>
      <c r="BU113" s="94" t="str">
        <f t="shared" si="60"/>
        <v>#REF!</v>
      </c>
      <c r="BV113" s="94" t="str">
        <f t="shared" si="60"/>
        <v>#REF!</v>
      </c>
      <c r="BW113" s="94" t="str">
        <f t="shared" si="60"/>
        <v>#REF!</v>
      </c>
      <c r="BX113" s="94" t="str">
        <f t="shared" si="60"/>
        <v>#REF!</v>
      </c>
      <c r="BY113" s="94" t="str">
        <f t="shared" si="60"/>
        <v>#REF!</v>
      </c>
      <c r="BZ113" s="94" t="str">
        <f t="shared" si="60"/>
        <v>#REF!</v>
      </c>
      <c r="CA113" s="94" t="str">
        <f t="shared" si="60"/>
        <v>#REF!</v>
      </c>
      <c r="CB113" s="94" t="str">
        <f t="shared" si="60"/>
        <v>#REF!</v>
      </c>
      <c r="CC113" s="94" t="str">
        <f t="shared" si="60"/>
        <v>#REF!</v>
      </c>
      <c r="CD113" s="94" t="str">
        <f t="shared" si="60"/>
        <v>#REF!</v>
      </c>
      <c r="CE113" s="94" t="str">
        <f t="shared" si="60"/>
        <v>#REF!</v>
      </c>
      <c r="CF113" s="94" t="str">
        <f t="shared" si="60"/>
        <v>#REF!</v>
      </c>
      <c r="CG113" s="94" t="str">
        <f t="shared" si="60"/>
        <v>#REF!</v>
      </c>
      <c r="CH113" s="94" t="str">
        <f t="shared" si="60"/>
        <v>#REF!</v>
      </c>
      <c r="CI113" s="94" t="str">
        <f t="shared" si="60"/>
        <v>#REF!</v>
      </c>
      <c r="CJ113" s="94" t="str">
        <f t="shared" si="60"/>
        <v>#REF!</v>
      </c>
      <c r="CK113" s="94" t="str">
        <f t="shared" si="60"/>
        <v>#REF!</v>
      </c>
      <c r="CL113" s="94" t="str">
        <f t="shared" si="60"/>
        <v>#REF!</v>
      </c>
      <c r="CM113" s="94" t="str">
        <f t="shared" si="60"/>
        <v>#REF!</v>
      </c>
      <c r="CN113" s="94" t="str">
        <f t="shared" si="60"/>
        <v>#REF!</v>
      </c>
      <c r="CO113" s="94" t="str">
        <f t="shared" si="60"/>
        <v>#REF!</v>
      </c>
      <c r="CP113" s="94" t="str">
        <f t="shared" si="60"/>
        <v>#REF!</v>
      </c>
      <c r="CQ113" s="94" t="str">
        <f t="shared" si="60"/>
        <v>#REF!</v>
      </c>
      <c r="CR113" s="94" t="str">
        <f t="shared" si="60"/>
        <v>#REF!</v>
      </c>
      <c r="CS113" s="94" t="str">
        <f t="shared" si="60"/>
        <v>#REF!</v>
      </c>
      <c r="CT113" s="94" t="str">
        <f t="shared" si="60"/>
        <v>#REF!</v>
      </c>
      <c r="CU113" s="94" t="str">
        <f t="shared" si="60"/>
        <v>#REF!</v>
      </c>
      <c r="CV113" s="94" t="str">
        <f t="shared" si="60"/>
        <v>#REF!</v>
      </c>
      <c r="CW113" s="94" t="str">
        <f t="shared" si="60"/>
        <v>#REF!</v>
      </c>
      <c r="CX113" s="94" t="str">
        <f t="shared" si="60"/>
        <v>#REF!</v>
      </c>
      <c r="CY113" s="93" t="str">
        <f t="shared" si="60"/>
        <v>#REF!</v>
      </c>
      <c r="CZ113" s="93" t="str">
        <f t="shared" si="60"/>
        <v>#REF!</v>
      </c>
      <c r="DA113" s="93" t="str">
        <f t="shared" si="60"/>
        <v>#REF!</v>
      </c>
      <c r="DB113" s="93" t="str">
        <f t="shared" si="60"/>
        <v>#REF!</v>
      </c>
      <c r="DC113" s="93" t="str">
        <f t="shared" si="60"/>
        <v>#REF!</v>
      </c>
      <c r="DD113" s="93" t="str">
        <f t="shared" si="60"/>
        <v>#REF!</v>
      </c>
      <c r="DE113" s="93" t="str">
        <f t="shared" si="60"/>
        <v>#REF!</v>
      </c>
      <c r="DF113" s="93" t="str">
        <f t="shared" si="60"/>
        <v>#REF!</v>
      </c>
      <c r="DG113" s="93" t="str">
        <f t="shared" si="60"/>
        <v>#REF!</v>
      </c>
      <c r="DH113" s="93" t="str">
        <f t="shared" si="60"/>
        <v>#REF!</v>
      </c>
      <c r="DI113" s="93" t="str">
        <f t="shared" si="60"/>
        <v>#REF!</v>
      </c>
    </row>
    <row r="114" ht="12.75" hidden="1" customHeight="1">
      <c r="U114" s="96">
        <v>45322.0</v>
      </c>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c r="BC114" s="94"/>
      <c r="BD114" s="94"/>
      <c r="BE114" s="94"/>
      <c r="BF114" s="94"/>
      <c r="BG114" s="94"/>
      <c r="BH114" s="94"/>
      <c r="BI114" s="94"/>
      <c r="BJ114" s="94"/>
      <c r="BK114" s="94"/>
      <c r="BL114" s="94"/>
      <c r="BM114" s="94"/>
      <c r="BN114" s="94" t="str">
        <f>+BM$17*#REF!</f>
        <v>#REF!</v>
      </c>
      <c r="BO114" s="94" t="str">
        <f t="shared" ref="BO114:DJ114" si="61">IF(BN114&gt;0.005,(BN114-$BN114*#REF!/12),0)</f>
        <v>#REF!</v>
      </c>
      <c r="BP114" s="94" t="str">
        <f t="shared" si="61"/>
        <v>#REF!</v>
      </c>
      <c r="BQ114" s="94" t="str">
        <f t="shared" si="61"/>
        <v>#REF!</v>
      </c>
      <c r="BR114" s="94" t="str">
        <f t="shared" si="61"/>
        <v>#REF!</v>
      </c>
      <c r="BS114" s="94" t="str">
        <f t="shared" si="61"/>
        <v>#REF!</v>
      </c>
      <c r="BT114" s="94" t="str">
        <f t="shared" si="61"/>
        <v>#REF!</v>
      </c>
      <c r="BU114" s="94" t="str">
        <f t="shared" si="61"/>
        <v>#REF!</v>
      </c>
      <c r="BV114" s="94" t="str">
        <f t="shared" si="61"/>
        <v>#REF!</v>
      </c>
      <c r="BW114" s="94" t="str">
        <f t="shared" si="61"/>
        <v>#REF!</v>
      </c>
      <c r="BX114" s="94" t="str">
        <f t="shared" si="61"/>
        <v>#REF!</v>
      </c>
      <c r="BY114" s="94" t="str">
        <f t="shared" si="61"/>
        <v>#REF!</v>
      </c>
      <c r="BZ114" s="94" t="str">
        <f t="shared" si="61"/>
        <v>#REF!</v>
      </c>
      <c r="CA114" s="94" t="str">
        <f t="shared" si="61"/>
        <v>#REF!</v>
      </c>
      <c r="CB114" s="94" t="str">
        <f t="shared" si="61"/>
        <v>#REF!</v>
      </c>
      <c r="CC114" s="94" t="str">
        <f t="shared" si="61"/>
        <v>#REF!</v>
      </c>
      <c r="CD114" s="94" t="str">
        <f t="shared" si="61"/>
        <v>#REF!</v>
      </c>
      <c r="CE114" s="94" t="str">
        <f t="shared" si="61"/>
        <v>#REF!</v>
      </c>
      <c r="CF114" s="94" t="str">
        <f t="shared" si="61"/>
        <v>#REF!</v>
      </c>
      <c r="CG114" s="94" t="str">
        <f t="shared" si="61"/>
        <v>#REF!</v>
      </c>
      <c r="CH114" s="94" t="str">
        <f t="shared" si="61"/>
        <v>#REF!</v>
      </c>
      <c r="CI114" s="94" t="str">
        <f t="shared" si="61"/>
        <v>#REF!</v>
      </c>
      <c r="CJ114" s="94" t="str">
        <f t="shared" si="61"/>
        <v>#REF!</v>
      </c>
      <c r="CK114" s="94" t="str">
        <f t="shared" si="61"/>
        <v>#REF!</v>
      </c>
      <c r="CL114" s="94" t="str">
        <f t="shared" si="61"/>
        <v>#REF!</v>
      </c>
      <c r="CM114" s="94" t="str">
        <f t="shared" si="61"/>
        <v>#REF!</v>
      </c>
      <c r="CN114" s="94" t="str">
        <f t="shared" si="61"/>
        <v>#REF!</v>
      </c>
      <c r="CO114" s="94" t="str">
        <f t="shared" si="61"/>
        <v>#REF!</v>
      </c>
      <c r="CP114" s="94" t="str">
        <f t="shared" si="61"/>
        <v>#REF!</v>
      </c>
      <c r="CQ114" s="94" t="str">
        <f t="shared" si="61"/>
        <v>#REF!</v>
      </c>
      <c r="CR114" s="94" t="str">
        <f t="shared" si="61"/>
        <v>#REF!</v>
      </c>
      <c r="CS114" s="94" t="str">
        <f t="shared" si="61"/>
        <v>#REF!</v>
      </c>
      <c r="CT114" s="94" t="str">
        <f t="shared" si="61"/>
        <v>#REF!</v>
      </c>
      <c r="CU114" s="94" t="str">
        <f t="shared" si="61"/>
        <v>#REF!</v>
      </c>
      <c r="CV114" s="94" t="str">
        <f t="shared" si="61"/>
        <v>#REF!</v>
      </c>
      <c r="CW114" s="94" t="str">
        <f t="shared" si="61"/>
        <v>#REF!</v>
      </c>
      <c r="CX114" s="94" t="str">
        <f t="shared" si="61"/>
        <v>#REF!</v>
      </c>
      <c r="CY114" s="93" t="str">
        <f t="shared" si="61"/>
        <v>#REF!</v>
      </c>
      <c r="CZ114" s="93" t="str">
        <f t="shared" si="61"/>
        <v>#REF!</v>
      </c>
      <c r="DA114" s="93" t="str">
        <f t="shared" si="61"/>
        <v>#REF!</v>
      </c>
      <c r="DB114" s="93" t="str">
        <f t="shared" si="61"/>
        <v>#REF!</v>
      </c>
      <c r="DC114" s="93" t="str">
        <f t="shared" si="61"/>
        <v>#REF!</v>
      </c>
      <c r="DD114" s="93" t="str">
        <f t="shared" si="61"/>
        <v>#REF!</v>
      </c>
      <c r="DE114" s="93" t="str">
        <f t="shared" si="61"/>
        <v>#REF!</v>
      </c>
      <c r="DF114" s="93" t="str">
        <f t="shared" si="61"/>
        <v>#REF!</v>
      </c>
      <c r="DG114" s="93" t="str">
        <f t="shared" si="61"/>
        <v>#REF!</v>
      </c>
      <c r="DH114" s="93" t="str">
        <f t="shared" si="61"/>
        <v>#REF!</v>
      </c>
      <c r="DI114" s="93" t="str">
        <f t="shared" si="61"/>
        <v>#REF!</v>
      </c>
      <c r="DJ114" s="93" t="str">
        <f t="shared" si="61"/>
        <v>#REF!</v>
      </c>
    </row>
    <row r="115" ht="12.75" hidden="1" customHeight="1">
      <c r="U115" s="96">
        <v>45351.0</v>
      </c>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94"/>
      <c r="AX115" s="94"/>
      <c r="AY115" s="94"/>
      <c r="AZ115" s="94"/>
      <c r="BA115" s="94"/>
      <c r="BB115" s="94"/>
      <c r="BC115" s="94"/>
      <c r="BD115" s="94"/>
      <c r="BE115" s="94"/>
      <c r="BF115" s="94"/>
      <c r="BG115" s="94"/>
      <c r="BH115" s="94"/>
      <c r="BI115" s="94"/>
      <c r="BJ115" s="94"/>
      <c r="BK115" s="94"/>
      <c r="BL115" s="94"/>
      <c r="BM115" s="94"/>
      <c r="BN115" s="94"/>
      <c r="BO115" s="94" t="str">
        <f>+BN$17*#REF!</f>
        <v>#REF!</v>
      </c>
      <c r="BP115" s="94" t="str">
        <f t="shared" ref="BP115:DK115" si="62">IF(BO115&gt;0.005,(BO115-$BO115*#REF!/12),0)</f>
        <v>#REF!</v>
      </c>
      <c r="BQ115" s="94" t="str">
        <f t="shared" si="62"/>
        <v>#REF!</v>
      </c>
      <c r="BR115" s="94" t="str">
        <f t="shared" si="62"/>
        <v>#REF!</v>
      </c>
      <c r="BS115" s="94" t="str">
        <f t="shared" si="62"/>
        <v>#REF!</v>
      </c>
      <c r="BT115" s="94" t="str">
        <f t="shared" si="62"/>
        <v>#REF!</v>
      </c>
      <c r="BU115" s="94" t="str">
        <f t="shared" si="62"/>
        <v>#REF!</v>
      </c>
      <c r="BV115" s="94" t="str">
        <f t="shared" si="62"/>
        <v>#REF!</v>
      </c>
      <c r="BW115" s="94" t="str">
        <f t="shared" si="62"/>
        <v>#REF!</v>
      </c>
      <c r="BX115" s="94" t="str">
        <f t="shared" si="62"/>
        <v>#REF!</v>
      </c>
      <c r="BY115" s="94" t="str">
        <f t="shared" si="62"/>
        <v>#REF!</v>
      </c>
      <c r="BZ115" s="94" t="str">
        <f t="shared" si="62"/>
        <v>#REF!</v>
      </c>
      <c r="CA115" s="94" t="str">
        <f t="shared" si="62"/>
        <v>#REF!</v>
      </c>
      <c r="CB115" s="94" t="str">
        <f t="shared" si="62"/>
        <v>#REF!</v>
      </c>
      <c r="CC115" s="94" t="str">
        <f t="shared" si="62"/>
        <v>#REF!</v>
      </c>
      <c r="CD115" s="94" t="str">
        <f t="shared" si="62"/>
        <v>#REF!</v>
      </c>
      <c r="CE115" s="94" t="str">
        <f t="shared" si="62"/>
        <v>#REF!</v>
      </c>
      <c r="CF115" s="94" t="str">
        <f t="shared" si="62"/>
        <v>#REF!</v>
      </c>
      <c r="CG115" s="94" t="str">
        <f t="shared" si="62"/>
        <v>#REF!</v>
      </c>
      <c r="CH115" s="94" t="str">
        <f t="shared" si="62"/>
        <v>#REF!</v>
      </c>
      <c r="CI115" s="94" t="str">
        <f t="shared" si="62"/>
        <v>#REF!</v>
      </c>
      <c r="CJ115" s="94" t="str">
        <f t="shared" si="62"/>
        <v>#REF!</v>
      </c>
      <c r="CK115" s="94" t="str">
        <f t="shared" si="62"/>
        <v>#REF!</v>
      </c>
      <c r="CL115" s="94" t="str">
        <f t="shared" si="62"/>
        <v>#REF!</v>
      </c>
      <c r="CM115" s="94" t="str">
        <f t="shared" si="62"/>
        <v>#REF!</v>
      </c>
      <c r="CN115" s="94" t="str">
        <f t="shared" si="62"/>
        <v>#REF!</v>
      </c>
      <c r="CO115" s="94" t="str">
        <f t="shared" si="62"/>
        <v>#REF!</v>
      </c>
      <c r="CP115" s="94" t="str">
        <f t="shared" si="62"/>
        <v>#REF!</v>
      </c>
      <c r="CQ115" s="94" t="str">
        <f t="shared" si="62"/>
        <v>#REF!</v>
      </c>
      <c r="CR115" s="94" t="str">
        <f t="shared" si="62"/>
        <v>#REF!</v>
      </c>
      <c r="CS115" s="94" t="str">
        <f t="shared" si="62"/>
        <v>#REF!</v>
      </c>
      <c r="CT115" s="94" t="str">
        <f t="shared" si="62"/>
        <v>#REF!</v>
      </c>
      <c r="CU115" s="94" t="str">
        <f t="shared" si="62"/>
        <v>#REF!</v>
      </c>
      <c r="CV115" s="94" t="str">
        <f t="shared" si="62"/>
        <v>#REF!</v>
      </c>
      <c r="CW115" s="94" t="str">
        <f t="shared" si="62"/>
        <v>#REF!</v>
      </c>
      <c r="CX115" s="94" t="str">
        <f t="shared" si="62"/>
        <v>#REF!</v>
      </c>
      <c r="CY115" s="93" t="str">
        <f t="shared" si="62"/>
        <v>#REF!</v>
      </c>
      <c r="CZ115" s="93" t="str">
        <f t="shared" si="62"/>
        <v>#REF!</v>
      </c>
      <c r="DA115" s="93" t="str">
        <f t="shared" si="62"/>
        <v>#REF!</v>
      </c>
      <c r="DB115" s="93" t="str">
        <f t="shared" si="62"/>
        <v>#REF!</v>
      </c>
      <c r="DC115" s="93" t="str">
        <f t="shared" si="62"/>
        <v>#REF!</v>
      </c>
      <c r="DD115" s="93" t="str">
        <f t="shared" si="62"/>
        <v>#REF!</v>
      </c>
      <c r="DE115" s="93" t="str">
        <f t="shared" si="62"/>
        <v>#REF!</v>
      </c>
      <c r="DF115" s="93" t="str">
        <f t="shared" si="62"/>
        <v>#REF!</v>
      </c>
      <c r="DG115" s="93" t="str">
        <f t="shared" si="62"/>
        <v>#REF!</v>
      </c>
      <c r="DH115" s="93" t="str">
        <f t="shared" si="62"/>
        <v>#REF!</v>
      </c>
      <c r="DI115" s="93" t="str">
        <f t="shared" si="62"/>
        <v>#REF!</v>
      </c>
      <c r="DJ115" s="93" t="str">
        <f t="shared" si="62"/>
        <v>#REF!</v>
      </c>
      <c r="DK115" s="93" t="str">
        <f t="shared" si="62"/>
        <v>#REF!</v>
      </c>
    </row>
    <row r="116" ht="12.75" hidden="1" customHeight="1">
      <c r="U116" s="96">
        <v>45382.0</v>
      </c>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t="str">
        <f>+BO$17*#REF!</f>
        <v>#REF!</v>
      </c>
      <c r="BQ116" s="94" t="str">
        <f t="shared" ref="BQ116:DL116" si="63">IF(BP116&gt;0.005,(BP116-$BP116*#REF!/12),0)</f>
        <v>#REF!</v>
      </c>
      <c r="BR116" s="94" t="str">
        <f t="shared" si="63"/>
        <v>#REF!</v>
      </c>
      <c r="BS116" s="94" t="str">
        <f t="shared" si="63"/>
        <v>#REF!</v>
      </c>
      <c r="BT116" s="94" t="str">
        <f t="shared" si="63"/>
        <v>#REF!</v>
      </c>
      <c r="BU116" s="94" t="str">
        <f t="shared" si="63"/>
        <v>#REF!</v>
      </c>
      <c r="BV116" s="94" t="str">
        <f t="shared" si="63"/>
        <v>#REF!</v>
      </c>
      <c r="BW116" s="94" t="str">
        <f t="shared" si="63"/>
        <v>#REF!</v>
      </c>
      <c r="BX116" s="94" t="str">
        <f t="shared" si="63"/>
        <v>#REF!</v>
      </c>
      <c r="BY116" s="94" t="str">
        <f t="shared" si="63"/>
        <v>#REF!</v>
      </c>
      <c r="BZ116" s="94" t="str">
        <f t="shared" si="63"/>
        <v>#REF!</v>
      </c>
      <c r="CA116" s="94" t="str">
        <f t="shared" si="63"/>
        <v>#REF!</v>
      </c>
      <c r="CB116" s="94" t="str">
        <f t="shared" si="63"/>
        <v>#REF!</v>
      </c>
      <c r="CC116" s="94" t="str">
        <f t="shared" si="63"/>
        <v>#REF!</v>
      </c>
      <c r="CD116" s="94" t="str">
        <f t="shared" si="63"/>
        <v>#REF!</v>
      </c>
      <c r="CE116" s="94" t="str">
        <f t="shared" si="63"/>
        <v>#REF!</v>
      </c>
      <c r="CF116" s="94" t="str">
        <f t="shared" si="63"/>
        <v>#REF!</v>
      </c>
      <c r="CG116" s="94" t="str">
        <f t="shared" si="63"/>
        <v>#REF!</v>
      </c>
      <c r="CH116" s="94" t="str">
        <f t="shared" si="63"/>
        <v>#REF!</v>
      </c>
      <c r="CI116" s="94" t="str">
        <f t="shared" si="63"/>
        <v>#REF!</v>
      </c>
      <c r="CJ116" s="94" t="str">
        <f t="shared" si="63"/>
        <v>#REF!</v>
      </c>
      <c r="CK116" s="94" t="str">
        <f t="shared" si="63"/>
        <v>#REF!</v>
      </c>
      <c r="CL116" s="94" t="str">
        <f t="shared" si="63"/>
        <v>#REF!</v>
      </c>
      <c r="CM116" s="94" t="str">
        <f t="shared" si="63"/>
        <v>#REF!</v>
      </c>
      <c r="CN116" s="94" t="str">
        <f t="shared" si="63"/>
        <v>#REF!</v>
      </c>
      <c r="CO116" s="94" t="str">
        <f t="shared" si="63"/>
        <v>#REF!</v>
      </c>
      <c r="CP116" s="94" t="str">
        <f t="shared" si="63"/>
        <v>#REF!</v>
      </c>
      <c r="CQ116" s="94" t="str">
        <f t="shared" si="63"/>
        <v>#REF!</v>
      </c>
      <c r="CR116" s="94" t="str">
        <f t="shared" si="63"/>
        <v>#REF!</v>
      </c>
      <c r="CS116" s="94" t="str">
        <f t="shared" si="63"/>
        <v>#REF!</v>
      </c>
      <c r="CT116" s="94" t="str">
        <f t="shared" si="63"/>
        <v>#REF!</v>
      </c>
      <c r="CU116" s="94" t="str">
        <f t="shared" si="63"/>
        <v>#REF!</v>
      </c>
      <c r="CV116" s="94" t="str">
        <f t="shared" si="63"/>
        <v>#REF!</v>
      </c>
      <c r="CW116" s="94" t="str">
        <f t="shared" si="63"/>
        <v>#REF!</v>
      </c>
      <c r="CX116" s="94" t="str">
        <f t="shared" si="63"/>
        <v>#REF!</v>
      </c>
      <c r="CY116" s="93" t="str">
        <f t="shared" si="63"/>
        <v>#REF!</v>
      </c>
      <c r="CZ116" s="93" t="str">
        <f t="shared" si="63"/>
        <v>#REF!</v>
      </c>
      <c r="DA116" s="93" t="str">
        <f t="shared" si="63"/>
        <v>#REF!</v>
      </c>
      <c r="DB116" s="93" t="str">
        <f t="shared" si="63"/>
        <v>#REF!</v>
      </c>
      <c r="DC116" s="93" t="str">
        <f t="shared" si="63"/>
        <v>#REF!</v>
      </c>
      <c r="DD116" s="93" t="str">
        <f t="shared" si="63"/>
        <v>#REF!</v>
      </c>
      <c r="DE116" s="93" t="str">
        <f t="shared" si="63"/>
        <v>#REF!</v>
      </c>
      <c r="DF116" s="93" t="str">
        <f t="shared" si="63"/>
        <v>#REF!</v>
      </c>
      <c r="DG116" s="93" t="str">
        <f t="shared" si="63"/>
        <v>#REF!</v>
      </c>
      <c r="DH116" s="93" t="str">
        <f t="shared" si="63"/>
        <v>#REF!</v>
      </c>
      <c r="DI116" s="93" t="str">
        <f t="shared" si="63"/>
        <v>#REF!</v>
      </c>
      <c r="DJ116" s="93" t="str">
        <f t="shared" si="63"/>
        <v>#REF!</v>
      </c>
      <c r="DK116" s="93" t="str">
        <f t="shared" si="63"/>
        <v>#REF!</v>
      </c>
      <c r="DL116" s="93" t="str">
        <f t="shared" si="63"/>
        <v>#REF!</v>
      </c>
    </row>
    <row r="117" ht="12.75" hidden="1" customHeight="1">
      <c r="U117" s="96">
        <v>45412.0</v>
      </c>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t="str">
        <f>+BP$17*#REF!</f>
        <v>#REF!</v>
      </c>
      <c r="BR117" s="94" t="str">
        <f t="shared" ref="BR117:DM117" si="64">IF(BQ117&gt;0.005,(BQ117-$BQ117*#REF!/12),0)</f>
        <v>#REF!</v>
      </c>
      <c r="BS117" s="94" t="str">
        <f t="shared" si="64"/>
        <v>#REF!</v>
      </c>
      <c r="BT117" s="94" t="str">
        <f t="shared" si="64"/>
        <v>#REF!</v>
      </c>
      <c r="BU117" s="94" t="str">
        <f t="shared" si="64"/>
        <v>#REF!</v>
      </c>
      <c r="BV117" s="94" t="str">
        <f t="shared" si="64"/>
        <v>#REF!</v>
      </c>
      <c r="BW117" s="94" t="str">
        <f t="shared" si="64"/>
        <v>#REF!</v>
      </c>
      <c r="BX117" s="94" t="str">
        <f t="shared" si="64"/>
        <v>#REF!</v>
      </c>
      <c r="BY117" s="94" t="str">
        <f t="shared" si="64"/>
        <v>#REF!</v>
      </c>
      <c r="BZ117" s="94" t="str">
        <f t="shared" si="64"/>
        <v>#REF!</v>
      </c>
      <c r="CA117" s="94" t="str">
        <f t="shared" si="64"/>
        <v>#REF!</v>
      </c>
      <c r="CB117" s="94" t="str">
        <f t="shared" si="64"/>
        <v>#REF!</v>
      </c>
      <c r="CC117" s="94" t="str">
        <f t="shared" si="64"/>
        <v>#REF!</v>
      </c>
      <c r="CD117" s="94" t="str">
        <f t="shared" si="64"/>
        <v>#REF!</v>
      </c>
      <c r="CE117" s="94" t="str">
        <f t="shared" si="64"/>
        <v>#REF!</v>
      </c>
      <c r="CF117" s="94" t="str">
        <f t="shared" si="64"/>
        <v>#REF!</v>
      </c>
      <c r="CG117" s="94" t="str">
        <f t="shared" si="64"/>
        <v>#REF!</v>
      </c>
      <c r="CH117" s="94" t="str">
        <f t="shared" si="64"/>
        <v>#REF!</v>
      </c>
      <c r="CI117" s="94" t="str">
        <f t="shared" si="64"/>
        <v>#REF!</v>
      </c>
      <c r="CJ117" s="94" t="str">
        <f t="shared" si="64"/>
        <v>#REF!</v>
      </c>
      <c r="CK117" s="94" t="str">
        <f t="shared" si="64"/>
        <v>#REF!</v>
      </c>
      <c r="CL117" s="94" t="str">
        <f t="shared" si="64"/>
        <v>#REF!</v>
      </c>
      <c r="CM117" s="94" t="str">
        <f t="shared" si="64"/>
        <v>#REF!</v>
      </c>
      <c r="CN117" s="94" t="str">
        <f t="shared" si="64"/>
        <v>#REF!</v>
      </c>
      <c r="CO117" s="94" t="str">
        <f t="shared" si="64"/>
        <v>#REF!</v>
      </c>
      <c r="CP117" s="94" t="str">
        <f t="shared" si="64"/>
        <v>#REF!</v>
      </c>
      <c r="CQ117" s="94" t="str">
        <f t="shared" si="64"/>
        <v>#REF!</v>
      </c>
      <c r="CR117" s="94" t="str">
        <f t="shared" si="64"/>
        <v>#REF!</v>
      </c>
      <c r="CS117" s="94" t="str">
        <f t="shared" si="64"/>
        <v>#REF!</v>
      </c>
      <c r="CT117" s="94" t="str">
        <f t="shared" si="64"/>
        <v>#REF!</v>
      </c>
      <c r="CU117" s="94" t="str">
        <f t="shared" si="64"/>
        <v>#REF!</v>
      </c>
      <c r="CV117" s="94" t="str">
        <f t="shared" si="64"/>
        <v>#REF!</v>
      </c>
      <c r="CW117" s="94" t="str">
        <f t="shared" si="64"/>
        <v>#REF!</v>
      </c>
      <c r="CX117" s="94" t="str">
        <f t="shared" si="64"/>
        <v>#REF!</v>
      </c>
      <c r="CY117" s="93" t="str">
        <f t="shared" si="64"/>
        <v>#REF!</v>
      </c>
      <c r="CZ117" s="93" t="str">
        <f t="shared" si="64"/>
        <v>#REF!</v>
      </c>
      <c r="DA117" s="93" t="str">
        <f t="shared" si="64"/>
        <v>#REF!</v>
      </c>
      <c r="DB117" s="93" t="str">
        <f t="shared" si="64"/>
        <v>#REF!</v>
      </c>
      <c r="DC117" s="93" t="str">
        <f t="shared" si="64"/>
        <v>#REF!</v>
      </c>
      <c r="DD117" s="93" t="str">
        <f t="shared" si="64"/>
        <v>#REF!</v>
      </c>
      <c r="DE117" s="93" t="str">
        <f t="shared" si="64"/>
        <v>#REF!</v>
      </c>
      <c r="DF117" s="93" t="str">
        <f t="shared" si="64"/>
        <v>#REF!</v>
      </c>
      <c r="DG117" s="93" t="str">
        <f t="shared" si="64"/>
        <v>#REF!</v>
      </c>
      <c r="DH117" s="93" t="str">
        <f t="shared" si="64"/>
        <v>#REF!</v>
      </c>
      <c r="DI117" s="93" t="str">
        <f t="shared" si="64"/>
        <v>#REF!</v>
      </c>
      <c r="DJ117" s="93" t="str">
        <f t="shared" si="64"/>
        <v>#REF!</v>
      </c>
      <c r="DK117" s="93" t="str">
        <f t="shared" si="64"/>
        <v>#REF!</v>
      </c>
      <c r="DL117" s="93" t="str">
        <f t="shared" si="64"/>
        <v>#REF!</v>
      </c>
      <c r="DM117" s="93" t="str">
        <f t="shared" si="64"/>
        <v>#REF!</v>
      </c>
    </row>
    <row r="118" ht="12.75" hidden="1" customHeight="1">
      <c r="U118" s="96">
        <v>45443.0</v>
      </c>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t="str">
        <f>+BQ$17*#REF!</f>
        <v>#REF!</v>
      </c>
      <c r="BS118" s="94" t="str">
        <f t="shared" ref="BS118:DN118" si="65">IF(BR118&gt;0.005,(BR118-$BR118*#REF!/12),0)</f>
        <v>#REF!</v>
      </c>
      <c r="BT118" s="94" t="str">
        <f t="shared" si="65"/>
        <v>#REF!</v>
      </c>
      <c r="BU118" s="94" t="str">
        <f t="shared" si="65"/>
        <v>#REF!</v>
      </c>
      <c r="BV118" s="94" t="str">
        <f t="shared" si="65"/>
        <v>#REF!</v>
      </c>
      <c r="BW118" s="94" t="str">
        <f t="shared" si="65"/>
        <v>#REF!</v>
      </c>
      <c r="BX118" s="94" t="str">
        <f t="shared" si="65"/>
        <v>#REF!</v>
      </c>
      <c r="BY118" s="94" t="str">
        <f t="shared" si="65"/>
        <v>#REF!</v>
      </c>
      <c r="BZ118" s="94" t="str">
        <f t="shared" si="65"/>
        <v>#REF!</v>
      </c>
      <c r="CA118" s="94" t="str">
        <f t="shared" si="65"/>
        <v>#REF!</v>
      </c>
      <c r="CB118" s="94" t="str">
        <f t="shared" si="65"/>
        <v>#REF!</v>
      </c>
      <c r="CC118" s="94" t="str">
        <f t="shared" si="65"/>
        <v>#REF!</v>
      </c>
      <c r="CD118" s="94" t="str">
        <f t="shared" si="65"/>
        <v>#REF!</v>
      </c>
      <c r="CE118" s="94" t="str">
        <f t="shared" si="65"/>
        <v>#REF!</v>
      </c>
      <c r="CF118" s="94" t="str">
        <f t="shared" si="65"/>
        <v>#REF!</v>
      </c>
      <c r="CG118" s="94" t="str">
        <f t="shared" si="65"/>
        <v>#REF!</v>
      </c>
      <c r="CH118" s="94" t="str">
        <f t="shared" si="65"/>
        <v>#REF!</v>
      </c>
      <c r="CI118" s="94" t="str">
        <f t="shared" si="65"/>
        <v>#REF!</v>
      </c>
      <c r="CJ118" s="94" t="str">
        <f t="shared" si="65"/>
        <v>#REF!</v>
      </c>
      <c r="CK118" s="94" t="str">
        <f t="shared" si="65"/>
        <v>#REF!</v>
      </c>
      <c r="CL118" s="94" t="str">
        <f t="shared" si="65"/>
        <v>#REF!</v>
      </c>
      <c r="CM118" s="94" t="str">
        <f t="shared" si="65"/>
        <v>#REF!</v>
      </c>
      <c r="CN118" s="94" t="str">
        <f t="shared" si="65"/>
        <v>#REF!</v>
      </c>
      <c r="CO118" s="94" t="str">
        <f t="shared" si="65"/>
        <v>#REF!</v>
      </c>
      <c r="CP118" s="94" t="str">
        <f t="shared" si="65"/>
        <v>#REF!</v>
      </c>
      <c r="CQ118" s="94" t="str">
        <f t="shared" si="65"/>
        <v>#REF!</v>
      </c>
      <c r="CR118" s="94" t="str">
        <f t="shared" si="65"/>
        <v>#REF!</v>
      </c>
      <c r="CS118" s="94" t="str">
        <f t="shared" si="65"/>
        <v>#REF!</v>
      </c>
      <c r="CT118" s="94" t="str">
        <f t="shared" si="65"/>
        <v>#REF!</v>
      </c>
      <c r="CU118" s="94" t="str">
        <f t="shared" si="65"/>
        <v>#REF!</v>
      </c>
      <c r="CV118" s="94" t="str">
        <f t="shared" si="65"/>
        <v>#REF!</v>
      </c>
      <c r="CW118" s="94" t="str">
        <f t="shared" si="65"/>
        <v>#REF!</v>
      </c>
      <c r="CX118" s="94" t="str">
        <f t="shared" si="65"/>
        <v>#REF!</v>
      </c>
      <c r="CY118" s="93" t="str">
        <f t="shared" si="65"/>
        <v>#REF!</v>
      </c>
      <c r="CZ118" s="93" t="str">
        <f t="shared" si="65"/>
        <v>#REF!</v>
      </c>
      <c r="DA118" s="93" t="str">
        <f t="shared" si="65"/>
        <v>#REF!</v>
      </c>
      <c r="DB118" s="93" t="str">
        <f t="shared" si="65"/>
        <v>#REF!</v>
      </c>
      <c r="DC118" s="93" t="str">
        <f t="shared" si="65"/>
        <v>#REF!</v>
      </c>
      <c r="DD118" s="93" t="str">
        <f t="shared" si="65"/>
        <v>#REF!</v>
      </c>
      <c r="DE118" s="93" t="str">
        <f t="shared" si="65"/>
        <v>#REF!</v>
      </c>
      <c r="DF118" s="93" t="str">
        <f t="shared" si="65"/>
        <v>#REF!</v>
      </c>
      <c r="DG118" s="93" t="str">
        <f t="shared" si="65"/>
        <v>#REF!</v>
      </c>
      <c r="DH118" s="93" t="str">
        <f t="shared" si="65"/>
        <v>#REF!</v>
      </c>
      <c r="DI118" s="93" t="str">
        <f t="shared" si="65"/>
        <v>#REF!</v>
      </c>
      <c r="DJ118" s="93" t="str">
        <f t="shared" si="65"/>
        <v>#REF!</v>
      </c>
      <c r="DK118" s="93" t="str">
        <f t="shared" si="65"/>
        <v>#REF!</v>
      </c>
      <c r="DL118" s="93" t="str">
        <f t="shared" si="65"/>
        <v>#REF!</v>
      </c>
      <c r="DM118" s="93" t="str">
        <f t="shared" si="65"/>
        <v>#REF!</v>
      </c>
      <c r="DN118" s="93" t="str">
        <f t="shared" si="65"/>
        <v>#REF!</v>
      </c>
    </row>
    <row r="119" ht="12.75" hidden="1" customHeight="1">
      <c r="U119" s="96">
        <v>45473.0</v>
      </c>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t="str">
        <f>+BR$17*#REF!</f>
        <v>#REF!</v>
      </c>
      <c r="BT119" s="94" t="str">
        <f t="shared" ref="BT119:DO119" si="66">IF(BS119&gt;0.005,(BS119-$BS119*#REF!/12),0)</f>
        <v>#REF!</v>
      </c>
      <c r="BU119" s="94" t="str">
        <f t="shared" si="66"/>
        <v>#REF!</v>
      </c>
      <c r="BV119" s="94" t="str">
        <f t="shared" si="66"/>
        <v>#REF!</v>
      </c>
      <c r="BW119" s="94" t="str">
        <f t="shared" si="66"/>
        <v>#REF!</v>
      </c>
      <c r="BX119" s="94" t="str">
        <f t="shared" si="66"/>
        <v>#REF!</v>
      </c>
      <c r="BY119" s="94" t="str">
        <f t="shared" si="66"/>
        <v>#REF!</v>
      </c>
      <c r="BZ119" s="94" t="str">
        <f t="shared" si="66"/>
        <v>#REF!</v>
      </c>
      <c r="CA119" s="94" t="str">
        <f t="shared" si="66"/>
        <v>#REF!</v>
      </c>
      <c r="CB119" s="94" t="str">
        <f t="shared" si="66"/>
        <v>#REF!</v>
      </c>
      <c r="CC119" s="94" t="str">
        <f t="shared" si="66"/>
        <v>#REF!</v>
      </c>
      <c r="CD119" s="94" t="str">
        <f t="shared" si="66"/>
        <v>#REF!</v>
      </c>
      <c r="CE119" s="94" t="str">
        <f t="shared" si="66"/>
        <v>#REF!</v>
      </c>
      <c r="CF119" s="94" t="str">
        <f t="shared" si="66"/>
        <v>#REF!</v>
      </c>
      <c r="CG119" s="94" t="str">
        <f t="shared" si="66"/>
        <v>#REF!</v>
      </c>
      <c r="CH119" s="94" t="str">
        <f t="shared" si="66"/>
        <v>#REF!</v>
      </c>
      <c r="CI119" s="94" t="str">
        <f t="shared" si="66"/>
        <v>#REF!</v>
      </c>
      <c r="CJ119" s="94" t="str">
        <f t="shared" si="66"/>
        <v>#REF!</v>
      </c>
      <c r="CK119" s="94" t="str">
        <f t="shared" si="66"/>
        <v>#REF!</v>
      </c>
      <c r="CL119" s="94" t="str">
        <f t="shared" si="66"/>
        <v>#REF!</v>
      </c>
      <c r="CM119" s="94" t="str">
        <f t="shared" si="66"/>
        <v>#REF!</v>
      </c>
      <c r="CN119" s="94" t="str">
        <f t="shared" si="66"/>
        <v>#REF!</v>
      </c>
      <c r="CO119" s="94" t="str">
        <f t="shared" si="66"/>
        <v>#REF!</v>
      </c>
      <c r="CP119" s="94" t="str">
        <f t="shared" si="66"/>
        <v>#REF!</v>
      </c>
      <c r="CQ119" s="94" t="str">
        <f t="shared" si="66"/>
        <v>#REF!</v>
      </c>
      <c r="CR119" s="94" t="str">
        <f t="shared" si="66"/>
        <v>#REF!</v>
      </c>
      <c r="CS119" s="94" t="str">
        <f t="shared" si="66"/>
        <v>#REF!</v>
      </c>
      <c r="CT119" s="94" t="str">
        <f t="shared" si="66"/>
        <v>#REF!</v>
      </c>
      <c r="CU119" s="94" t="str">
        <f t="shared" si="66"/>
        <v>#REF!</v>
      </c>
      <c r="CV119" s="94" t="str">
        <f t="shared" si="66"/>
        <v>#REF!</v>
      </c>
      <c r="CW119" s="94" t="str">
        <f t="shared" si="66"/>
        <v>#REF!</v>
      </c>
      <c r="CX119" s="94" t="str">
        <f t="shared" si="66"/>
        <v>#REF!</v>
      </c>
      <c r="CY119" s="93" t="str">
        <f t="shared" si="66"/>
        <v>#REF!</v>
      </c>
      <c r="CZ119" s="93" t="str">
        <f t="shared" si="66"/>
        <v>#REF!</v>
      </c>
      <c r="DA119" s="93" t="str">
        <f t="shared" si="66"/>
        <v>#REF!</v>
      </c>
      <c r="DB119" s="93" t="str">
        <f t="shared" si="66"/>
        <v>#REF!</v>
      </c>
      <c r="DC119" s="93" t="str">
        <f t="shared" si="66"/>
        <v>#REF!</v>
      </c>
      <c r="DD119" s="93" t="str">
        <f t="shared" si="66"/>
        <v>#REF!</v>
      </c>
      <c r="DE119" s="93" t="str">
        <f t="shared" si="66"/>
        <v>#REF!</v>
      </c>
      <c r="DF119" s="93" t="str">
        <f t="shared" si="66"/>
        <v>#REF!</v>
      </c>
      <c r="DG119" s="93" t="str">
        <f t="shared" si="66"/>
        <v>#REF!</v>
      </c>
      <c r="DH119" s="93" t="str">
        <f t="shared" si="66"/>
        <v>#REF!</v>
      </c>
      <c r="DI119" s="93" t="str">
        <f t="shared" si="66"/>
        <v>#REF!</v>
      </c>
      <c r="DJ119" s="93" t="str">
        <f t="shared" si="66"/>
        <v>#REF!</v>
      </c>
      <c r="DK119" s="93" t="str">
        <f t="shared" si="66"/>
        <v>#REF!</v>
      </c>
      <c r="DL119" s="93" t="str">
        <f t="shared" si="66"/>
        <v>#REF!</v>
      </c>
      <c r="DM119" s="93" t="str">
        <f t="shared" si="66"/>
        <v>#REF!</v>
      </c>
      <c r="DN119" s="93" t="str">
        <f t="shared" si="66"/>
        <v>#REF!</v>
      </c>
      <c r="DO119" s="93" t="str">
        <f t="shared" si="66"/>
        <v>#REF!</v>
      </c>
    </row>
    <row r="120" ht="12.75" hidden="1" customHeight="1">
      <c r="U120" s="96">
        <v>45504.0</v>
      </c>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t="str">
        <f>+BS$17*#REF!</f>
        <v>#REF!</v>
      </c>
      <c r="BU120" s="94" t="str">
        <f t="shared" ref="BU120:DP120" si="67">IF(BT120&gt;0.005,(BT120-$BT120*#REF!/12),0)</f>
        <v>#REF!</v>
      </c>
      <c r="BV120" s="94" t="str">
        <f t="shared" si="67"/>
        <v>#REF!</v>
      </c>
      <c r="BW120" s="94" t="str">
        <f t="shared" si="67"/>
        <v>#REF!</v>
      </c>
      <c r="BX120" s="94" t="str">
        <f t="shared" si="67"/>
        <v>#REF!</v>
      </c>
      <c r="BY120" s="94" t="str">
        <f t="shared" si="67"/>
        <v>#REF!</v>
      </c>
      <c r="BZ120" s="94" t="str">
        <f t="shared" si="67"/>
        <v>#REF!</v>
      </c>
      <c r="CA120" s="94" t="str">
        <f t="shared" si="67"/>
        <v>#REF!</v>
      </c>
      <c r="CB120" s="94" t="str">
        <f t="shared" si="67"/>
        <v>#REF!</v>
      </c>
      <c r="CC120" s="94" t="str">
        <f t="shared" si="67"/>
        <v>#REF!</v>
      </c>
      <c r="CD120" s="94" t="str">
        <f t="shared" si="67"/>
        <v>#REF!</v>
      </c>
      <c r="CE120" s="94" t="str">
        <f t="shared" si="67"/>
        <v>#REF!</v>
      </c>
      <c r="CF120" s="94" t="str">
        <f t="shared" si="67"/>
        <v>#REF!</v>
      </c>
      <c r="CG120" s="94" t="str">
        <f t="shared" si="67"/>
        <v>#REF!</v>
      </c>
      <c r="CH120" s="94" t="str">
        <f t="shared" si="67"/>
        <v>#REF!</v>
      </c>
      <c r="CI120" s="94" t="str">
        <f t="shared" si="67"/>
        <v>#REF!</v>
      </c>
      <c r="CJ120" s="94" t="str">
        <f t="shared" si="67"/>
        <v>#REF!</v>
      </c>
      <c r="CK120" s="94" t="str">
        <f t="shared" si="67"/>
        <v>#REF!</v>
      </c>
      <c r="CL120" s="94" t="str">
        <f t="shared" si="67"/>
        <v>#REF!</v>
      </c>
      <c r="CM120" s="94" t="str">
        <f t="shared" si="67"/>
        <v>#REF!</v>
      </c>
      <c r="CN120" s="94" t="str">
        <f t="shared" si="67"/>
        <v>#REF!</v>
      </c>
      <c r="CO120" s="94" t="str">
        <f t="shared" si="67"/>
        <v>#REF!</v>
      </c>
      <c r="CP120" s="94" t="str">
        <f t="shared" si="67"/>
        <v>#REF!</v>
      </c>
      <c r="CQ120" s="94" t="str">
        <f t="shared" si="67"/>
        <v>#REF!</v>
      </c>
      <c r="CR120" s="94" t="str">
        <f t="shared" si="67"/>
        <v>#REF!</v>
      </c>
      <c r="CS120" s="94" t="str">
        <f t="shared" si="67"/>
        <v>#REF!</v>
      </c>
      <c r="CT120" s="94" t="str">
        <f t="shared" si="67"/>
        <v>#REF!</v>
      </c>
      <c r="CU120" s="94" t="str">
        <f t="shared" si="67"/>
        <v>#REF!</v>
      </c>
      <c r="CV120" s="94" t="str">
        <f t="shared" si="67"/>
        <v>#REF!</v>
      </c>
      <c r="CW120" s="94" t="str">
        <f t="shared" si="67"/>
        <v>#REF!</v>
      </c>
      <c r="CX120" s="94" t="str">
        <f t="shared" si="67"/>
        <v>#REF!</v>
      </c>
      <c r="CY120" s="93" t="str">
        <f t="shared" si="67"/>
        <v>#REF!</v>
      </c>
      <c r="CZ120" s="93" t="str">
        <f t="shared" si="67"/>
        <v>#REF!</v>
      </c>
      <c r="DA120" s="93" t="str">
        <f t="shared" si="67"/>
        <v>#REF!</v>
      </c>
      <c r="DB120" s="93" t="str">
        <f t="shared" si="67"/>
        <v>#REF!</v>
      </c>
      <c r="DC120" s="93" t="str">
        <f t="shared" si="67"/>
        <v>#REF!</v>
      </c>
      <c r="DD120" s="93" t="str">
        <f t="shared" si="67"/>
        <v>#REF!</v>
      </c>
      <c r="DE120" s="93" t="str">
        <f t="shared" si="67"/>
        <v>#REF!</v>
      </c>
      <c r="DF120" s="93" t="str">
        <f t="shared" si="67"/>
        <v>#REF!</v>
      </c>
      <c r="DG120" s="93" t="str">
        <f t="shared" si="67"/>
        <v>#REF!</v>
      </c>
      <c r="DH120" s="93" t="str">
        <f t="shared" si="67"/>
        <v>#REF!</v>
      </c>
      <c r="DI120" s="93" t="str">
        <f t="shared" si="67"/>
        <v>#REF!</v>
      </c>
      <c r="DJ120" s="93" t="str">
        <f t="shared" si="67"/>
        <v>#REF!</v>
      </c>
      <c r="DK120" s="93" t="str">
        <f t="shared" si="67"/>
        <v>#REF!</v>
      </c>
      <c r="DL120" s="93" t="str">
        <f t="shared" si="67"/>
        <v>#REF!</v>
      </c>
      <c r="DM120" s="93" t="str">
        <f t="shared" si="67"/>
        <v>#REF!</v>
      </c>
      <c r="DN120" s="93" t="str">
        <f t="shared" si="67"/>
        <v>#REF!</v>
      </c>
      <c r="DO120" s="93" t="str">
        <f t="shared" si="67"/>
        <v>#REF!</v>
      </c>
      <c r="DP120" s="93" t="str">
        <f t="shared" si="67"/>
        <v>#REF!</v>
      </c>
    </row>
    <row r="121" ht="12.75" hidden="1" customHeight="1">
      <c r="U121" s="96">
        <v>45535.0</v>
      </c>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t="str">
        <f>+BT$17*#REF!</f>
        <v>#REF!</v>
      </c>
      <c r="BV121" s="94" t="str">
        <f t="shared" ref="BV121:DQ121" si="68">IF(BU121&gt;0.005,(BU121-$BU121*#REF!/12),0)</f>
        <v>#REF!</v>
      </c>
      <c r="BW121" s="94" t="str">
        <f t="shared" si="68"/>
        <v>#REF!</v>
      </c>
      <c r="BX121" s="94" t="str">
        <f t="shared" si="68"/>
        <v>#REF!</v>
      </c>
      <c r="BY121" s="94" t="str">
        <f t="shared" si="68"/>
        <v>#REF!</v>
      </c>
      <c r="BZ121" s="94" t="str">
        <f t="shared" si="68"/>
        <v>#REF!</v>
      </c>
      <c r="CA121" s="94" t="str">
        <f t="shared" si="68"/>
        <v>#REF!</v>
      </c>
      <c r="CB121" s="94" t="str">
        <f t="shared" si="68"/>
        <v>#REF!</v>
      </c>
      <c r="CC121" s="94" t="str">
        <f t="shared" si="68"/>
        <v>#REF!</v>
      </c>
      <c r="CD121" s="94" t="str">
        <f t="shared" si="68"/>
        <v>#REF!</v>
      </c>
      <c r="CE121" s="94" t="str">
        <f t="shared" si="68"/>
        <v>#REF!</v>
      </c>
      <c r="CF121" s="94" t="str">
        <f t="shared" si="68"/>
        <v>#REF!</v>
      </c>
      <c r="CG121" s="94" t="str">
        <f t="shared" si="68"/>
        <v>#REF!</v>
      </c>
      <c r="CH121" s="94" t="str">
        <f t="shared" si="68"/>
        <v>#REF!</v>
      </c>
      <c r="CI121" s="94" t="str">
        <f t="shared" si="68"/>
        <v>#REF!</v>
      </c>
      <c r="CJ121" s="94" t="str">
        <f t="shared" si="68"/>
        <v>#REF!</v>
      </c>
      <c r="CK121" s="94" t="str">
        <f t="shared" si="68"/>
        <v>#REF!</v>
      </c>
      <c r="CL121" s="94" t="str">
        <f t="shared" si="68"/>
        <v>#REF!</v>
      </c>
      <c r="CM121" s="94" t="str">
        <f t="shared" si="68"/>
        <v>#REF!</v>
      </c>
      <c r="CN121" s="94" t="str">
        <f t="shared" si="68"/>
        <v>#REF!</v>
      </c>
      <c r="CO121" s="94" t="str">
        <f t="shared" si="68"/>
        <v>#REF!</v>
      </c>
      <c r="CP121" s="94" t="str">
        <f t="shared" si="68"/>
        <v>#REF!</v>
      </c>
      <c r="CQ121" s="94" t="str">
        <f t="shared" si="68"/>
        <v>#REF!</v>
      </c>
      <c r="CR121" s="94" t="str">
        <f t="shared" si="68"/>
        <v>#REF!</v>
      </c>
      <c r="CS121" s="94" t="str">
        <f t="shared" si="68"/>
        <v>#REF!</v>
      </c>
      <c r="CT121" s="94" t="str">
        <f t="shared" si="68"/>
        <v>#REF!</v>
      </c>
      <c r="CU121" s="94" t="str">
        <f t="shared" si="68"/>
        <v>#REF!</v>
      </c>
      <c r="CV121" s="94" t="str">
        <f t="shared" si="68"/>
        <v>#REF!</v>
      </c>
      <c r="CW121" s="94" t="str">
        <f t="shared" si="68"/>
        <v>#REF!</v>
      </c>
      <c r="CX121" s="94" t="str">
        <f t="shared" si="68"/>
        <v>#REF!</v>
      </c>
      <c r="CY121" s="93" t="str">
        <f t="shared" si="68"/>
        <v>#REF!</v>
      </c>
      <c r="CZ121" s="93" t="str">
        <f t="shared" si="68"/>
        <v>#REF!</v>
      </c>
      <c r="DA121" s="93" t="str">
        <f t="shared" si="68"/>
        <v>#REF!</v>
      </c>
      <c r="DB121" s="93" t="str">
        <f t="shared" si="68"/>
        <v>#REF!</v>
      </c>
      <c r="DC121" s="93" t="str">
        <f t="shared" si="68"/>
        <v>#REF!</v>
      </c>
      <c r="DD121" s="93" t="str">
        <f t="shared" si="68"/>
        <v>#REF!</v>
      </c>
      <c r="DE121" s="93" t="str">
        <f t="shared" si="68"/>
        <v>#REF!</v>
      </c>
      <c r="DF121" s="93" t="str">
        <f t="shared" si="68"/>
        <v>#REF!</v>
      </c>
      <c r="DG121" s="93" t="str">
        <f t="shared" si="68"/>
        <v>#REF!</v>
      </c>
      <c r="DH121" s="93" t="str">
        <f t="shared" si="68"/>
        <v>#REF!</v>
      </c>
      <c r="DI121" s="93" t="str">
        <f t="shared" si="68"/>
        <v>#REF!</v>
      </c>
      <c r="DJ121" s="93" t="str">
        <f t="shared" si="68"/>
        <v>#REF!</v>
      </c>
      <c r="DK121" s="93" t="str">
        <f t="shared" si="68"/>
        <v>#REF!</v>
      </c>
      <c r="DL121" s="93" t="str">
        <f t="shared" si="68"/>
        <v>#REF!</v>
      </c>
      <c r="DM121" s="93" t="str">
        <f t="shared" si="68"/>
        <v>#REF!</v>
      </c>
      <c r="DN121" s="93" t="str">
        <f t="shared" si="68"/>
        <v>#REF!</v>
      </c>
      <c r="DO121" s="93" t="str">
        <f t="shared" si="68"/>
        <v>#REF!</v>
      </c>
      <c r="DP121" s="93" t="str">
        <f t="shared" si="68"/>
        <v>#REF!</v>
      </c>
      <c r="DQ121" s="93" t="str">
        <f t="shared" si="68"/>
        <v>#REF!</v>
      </c>
    </row>
    <row r="122" ht="12.75" hidden="1" customHeight="1">
      <c r="U122" s="96">
        <v>45565.0</v>
      </c>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t="str">
        <f>+BU$17*#REF!</f>
        <v>#REF!</v>
      </c>
      <c r="BW122" s="94" t="str">
        <f t="shared" ref="BW122:DR122" si="69">IF(BV122&gt;0.005,(BV122-$BV122*#REF!/12),0)</f>
        <v>#REF!</v>
      </c>
      <c r="BX122" s="94" t="str">
        <f t="shared" si="69"/>
        <v>#REF!</v>
      </c>
      <c r="BY122" s="94" t="str">
        <f t="shared" si="69"/>
        <v>#REF!</v>
      </c>
      <c r="BZ122" s="94" t="str">
        <f t="shared" si="69"/>
        <v>#REF!</v>
      </c>
      <c r="CA122" s="94" t="str">
        <f t="shared" si="69"/>
        <v>#REF!</v>
      </c>
      <c r="CB122" s="94" t="str">
        <f t="shared" si="69"/>
        <v>#REF!</v>
      </c>
      <c r="CC122" s="94" t="str">
        <f t="shared" si="69"/>
        <v>#REF!</v>
      </c>
      <c r="CD122" s="94" t="str">
        <f t="shared" si="69"/>
        <v>#REF!</v>
      </c>
      <c r="CE122" s="94" t="str">
        <f t="shared" si="69"/>
        <v>#REF!</v>
      </c>
      <c r="CF122" s="94" t="str">
        <f t="shared" si="69"/>
        <v>#REF!</v>
      </c>
      <c r="CG122" s="94" t="str">
        <f t="shared" si="69"/>
        <v>#REF!</v>
      </c>
      <c r="CH122" s="94" t="str">
        <f t="shared" si="69"/>
        <v>#REF!</v>
      </c>
      <c r="CI122" s="94" t="str">
        <f t="shared" si="69"/>
        <v>#REF!</v>
      </c>
      <c r="CJ122" s="94" t="str">
        <f t="shared" si="69"/>
        <v>#REF!</v>
      </c>
      <c r="CK122" s="94" t="str">
        <f t="shared" si="69"/>
        <v>#REF!</v>
      </c>
      <c r="CL122" s="94" t="str">
        <f t="shared" si="69"/>
        <v>#REF!</v>
      </c>
      <c r="CM122" s="94" t="str">
        <f t="shared" si="69"/>
        <v>#REF!</v>
      </c>
      <c r="CN122" s="94" t="str">
        <f t="shared" si="69"/>
        <v>#REF!</v>
      </c>
      <c r="CO122" s="94" t="str">
        <f t="shared" si="69"/>
        <v>#REF!</v>
      </c>
      <c r="CP122" s="94" t="str">
        <f t="shared" si="69"/>
        <v>#REF!</v>
      </c>
      <c r="CQ122" s="94" t="str">
        <f t="shared" si="69"/>
        <v>#REF!</v>
      </c>
      <c r="CR122" s="94" t="str">
        <f t="shared" si="69"/>
        <v>#REF!</v>
      </c>
      <c r="CS122" s="94" t="str">
        <f t="shared" si="69"/>
        <v>#REF!</v>
      </c>
      <c r="CT122" s="94" t="str">
        <f t="shared" si="69"/>
        <v>#REF!</v>
      </c>
      <c r="CU122" s="94" t="str">
        <f t="shared" si="69"/>
        <v>#REF!</v>
      </c>
      <c r="CV122" s="94" t="str">
        <f t="shared" si="69"/>
        <v>#REF!</v>
      </c>
      <c r="CW122" s="94" t="str">
        <f t="shared" si="69"/>
        <v>#REF!</v>
      </c>
      <c r="CX122" s="94" t="str">
        <f t="shared" si="69"/>
        <v>#REF!</v>
      </c>
      <c r="CY122" s="93" t="str">
        <f t="shared" si="69"/>
        <v>#REF!</v>
      </c>
      <c r="CZ122" s="93" t="str">
        <f t="shared" si="69"/>
        <v>#REF!</v>
      </c>
      <c r="DA122" s="93" t="str">
        <f t="shared" si="69"/>
        <v>#REF!</v>
      </c>
      <c r="DB122" s="93" t="str">
        <f t="shared" si="69"/>
        <v>#REF!</v>
      </c>
      <c r="DC122" s="93" t="str">
        <f t="shared" si="69"/>
        <v>#REF!</v>
      </c>
      <c r="DD122" s="93" t="str">
        <f t="shared" si="69"/>
        <v>#REF!</v>
      </c>
      <c r="DE122" s="93" t="str">
        <f t="shared" si="69"/>
        <v>#REF!</v>
      </c>
      <c r="DF122" s="93" t="str">
        <f t="shared" si="69"/>
        <v>#REF!</v>
      </c>
      <c r="DG122" s="93" t="str">
        <f t="shared" si="69"/>
        <v>#REF!</v>
      </c>
      <c r="DH122" s="93" t="str">
        <f t="shared" si="69"/>
        <v>#REF!</v>
      </c>
      <c r="DI122" s="93" t="str">
        <f t="shared" si="69"/>
        <v>#REF!</v>
      </c>
      <c r="DJ122" s="93" t="str">
        <f t="shared" si="69"/>
        <v>#REF!</v>
      </c>
      <c r="DK122" s="93" t="str">
        <f t="shared" si="69"/>
        <v>#REF!</v>
      </c>
      <c r="DL122" s="93" t="str">
        <f t="shared" si="69"/>
        <v>#REF!</v>
      </c>
      <c r="DM122" s="93" t="str">
        <f t="shared" si="69"/>
        <v>#REF!</v>
      </c>
      <c r="DN122" s="93" t="str">
        <f t="shared" si="69"/>
        <v>#REF!</v>
      </c>
      <c r="DO122" s="93" t="str">
        <f t="shared" si="69"/>
        <v>#REF!</v>
      </c>
      <c r="DP122" s="93" t="str">
        <f t="shared" si="69"/>
        <v>#REF!</v>
      </c>
      <c r="DQ122" s="93" t="str">
        <f t="shared" si="69"/>
        <v>#REF!</v>
      </c>
      <c r="DR122" s="93" t="str">
        <f t="shared" si="69"/>
        <v>#REF!</v>
      </c>
    </row>
    <row r="123" ht="12.75" hidden="1" customHeight="1">
      <c r="U123" s="96">
        <v>45596.0</v>
      </c>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t="str">
        <f>+BV$17*#REF!</f>
        <v>#REF!</v>
      </c>
      <c r="BX123" s="94" t="str">
        <f t="shared" ref="BX123:DS123" si="70">IF(BW123&gt;0.005,(BW123-$BW123*#REF!/12),0)</f>
        <v>#REF!</v>
      </c>
      <c r="BY123" s="94" t="str">
        <f t="shared" si="70"/>
        <v>#REF!</v>
      </c>
      <c r="BZ123" s="94" t="str">
        <f t="shared" si="70"/>
        <v>#REF!</v>
      </c>
      <c r="CA123" s="94" t="str">
        <f t="shared" si="70"/>
        <v>#REF!</v>
      </c>
      <c r="CB123" s="94" t="str">
        <f t="shared" si="70"/>
        <v>#REF!</v>
      </c>
      <c r="CC123" s="94" t="str">
        <f t="shared" si="70"/>
        <v>#REF!</v>
      </c>
      <c r="CD123" s="94" t="str">
        <f t="shared" si="70"/>
        <v>#REF!</v>
      </c>
      <c r="CE123" s="94" t="str">
        <f t="shared" si="70"/>
        <v>#REF!</v>
      </c>
      <c r="CF123" s="94" t="str">
        <f t="shared" si="70"/>
        <v>#REF!</v>
      </c>
      <c r="CG123" s="94" t="str">
        <f t="shared" si="70"/>
        <v>#REF!</v>
      </c>
      <c r="CH123" s="94" t="str">
        <f t="shared" si="70"/>
        <v>#REF!</v>
      </c>
      <c r="CI123" s="94" t="str">
        <f t="shared" si="70"/>
        <v>#REF!</v>
      </c>
      <c r="CJ123" s="94" t="str">
        <f t="shared" si="70"/>
        <v>#REF!</v>
      </c>
      <c r="CK123" s="94" t="str">
        <f t="shared" si="70"/>
        <v>#REF!</v>
      </c>
      <c r="CL123" s="94" t="str">
        <f t="shared" si="70"/>
        <v>#REF!</v>
      </c>
      <c r="CM123" s="94" t="str">
        <f t="shared" si="70"/>
        <v>#REF!</v>
      </c>
      <c r="CN123" s="94" t="str">
        <f t="shared" si="70"/>
        <v>#REF!</v>
      </c>
      <c r="CO123" s="94" t="str">
        <f t="shared" si="70"/>
        <v>#REF!</v>
      </c>
      <c r="CP123" s="94" t="str">
        <f t="shared" si="70"/>
        <v>#REF!</v>
      </c>
      <c r="CQ123" s="94" t="str">
        <f t="shared" si="70"/>
        <v>#REF!</v>
      </c>
      <c r="CR123" s="94" t="str">
        <f t="shared" si="70"/>
        <v>#REF!</v>
      </c>
      <c r="CS123" s="94" t="str">
        <f t="shared" si="70"/>
        <v>#REF!</v>
      </c>
      <c r="CT123" s="94" t="str">
        <f t="shared" si="70"/>
        <v>#REF!</v>
      </c>
      <c r="CU123" s="94" t="str">
        <f t="shared" si="70"/>
        <v>#REF!</v>
      </c>
      <c r="CV123" s="94" t="str">
        <f t="shared" si="70"/>
        <v>#REF!</v>
      </c>
      <c r="CW123" s="94" t="str">
        <f t="shared" si="70"/>
        <v>#REF!</v>
      </c>
      <c r="CX123" s="94" t="str">
        <f t="shared" si="70"/>
        <v>#REF!</v>
      </c>
      <c r="CY123" s="93" t="str">
        <f t="shared" si="70"/>
        <v>#REF!</v>
      </c>
      <c r="CZ123" s="93" t="str">
        <f t="shared" si="70"/>
        <v>#REF!</v>
      </c>
      <c r="DA123" s="93" t="str">
        <f t="shared" si="70"/>
        <v>#REF!</v>
      </c>
      <c r="DB123" s="93" t="str">
        <f t="shared" si="70"/>
        <v>#REF!</v>
      </c>
      <c r="DC123" s="93" t="str">
        <f t="shared" si="70"/>
        <v>#REF!</v>
      </c>
      <c r="DD123" s="93" t="str">
        <f t="shared" si="70"/>
        <v>#REF!</v>
      </c>
      <c r="DE123" s="93" t="str">
        <f t="shared" si="70"/>
        <v>#REF!</v>
      </c>
      <c r="DF123" s="93" t="str">
        <f t="shared" si="70"/>
        <v>#REF!</v>
      </c>
      <c r="DG123" s="93" t="str">
        <f t="shared" si="70"/>
        <v>#REF!</v>
      </c>
      <c r="DH123" s="93" t="str">
        <f t="shared" si="70"/>
        <v>#REF!</v>
      </c>
      <c r="DI123" s="93" t="str">
        <f t="shared" si="70"/>
        <v>#REF!</v>
      </c>
      <c r="DJ123" s="93" t="str">
        <f t="shared" si="70"/>
        <v>#REF!</v>
      </c>
      <c r="DK123" s="93" t="str">
        <f t="shared" si="70"/>
        <v>#REF!</v>
      </c>
      <c r="DL123" s="93" t="str">
        <f t="shared" si="70"/>
        <v>#REF!</v>
      </c>
      <c r="DM123" s="93" t="str">
        <f t="shared" si="70"/>
        <v>#REF!</v>
      </c>
      <c r="DN123" s="93" t="str">
        <f t="shared" si="70"/>
        <v>#REF!</v>
      </c>
      <c r="DO123" s="93" t="str">
        <f t="shared" si="70"/>
        <v>#REF!</v>
      </c>
      <c r="DP123" s="93" t="str">
        <f t="shared" si="70"/>
        <v>#REF!</v>
      </c>
      <c r="DQ123" s="93" t="str">
        <f t="shared" si="70"/>
        <v>#REF!</v>
      </c>
      <c r="DR123" s="93" t="str">
        <f t="shared" si="70"/>
        <v>#REF!</v>
      </c>
      <c r="DS123" s="93" t="str">
        <f t="shared" si="70"/>
        <v>#REF!</v>
      </c>
    </row>
    <row r="124" ht="12.75" hidden="1" customHeight="1">
      <c r="U124" s="96">
        <v>45626.0</v>
      </c>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t="str">
        <f>+BW$17*#REF!</f>
        <v>#REF!</v>
      </c>
      <c r="BY124" s="94" t="str">
        <f t="shared" ref="BY124:DT124" si="71">IF(BX124&gt;0.005,(BX124-$BX124*#REF!/12),0)</f>
        <v>#REF!</v>
      </c>
      <c r="BZ124" s="94" t="str">
        <f t="shared" si="71"/>
        <v>#REF!</v>
      </c>
      <c r="CA124" s="94" t="str">
        <f t="shared" si="71"/>
        <v>#REF!</v>
      </c>
      <c r="CB124" s="94" t="str">
        <f t="shared" si="71"/>
        <v>#REF!</v>
      </c>
      <c r="CC124" s="94" t="str">
        <f t="shared" si="71"/>
        <v>#REF!</v>
      </c>
      <c r="CD124" s="94" t="str">
        <f t="shared" si="71"/>
        <v>#REF!</v>
      </c>
      <c r="CE124" s="94" t="str">
        <f t="shared" si="71"/>
        <v>#REF!</v>
      </c>
      <c r="CF124" s="94" t="str">
        <f t="shared" si="71"/>
        <v>#REF!</v>
      </c>
      <c r="CG124" s="94" t="str">
        <f t="shared" si="71"/>
        <v>#REF!</v>
      </c>
      <c r="CH124" s="94" t="str">
        <f t="shared" si="71"/>
        <v>#REF!</v>
      </c>
      <c r="CI124" s="94" t="str">
        <f t="shared" si="71"/>
        <v>#REF!</v>
      </c>
      <c r="CJ124" s="94" t="str">
        <f t="shared" si="71"/>
        <v>#REF!</v>
      </c>
      <c r="CK124" s="94" t="str">
        <f t="shared" si="71"/>
        <v>#REF!</v>
      </c>
      <c r="CL124" s="94" t="str">
        <f t="shared" si="71"/>
        <v>#REF!</v>
      </c>
      <c r="CM124" s="94" t="str">
        <f t="shared" si="71"/>
        <v>#REF!</v>
      </c>
      <c r="CN124" s="94" t="str">
        <f t="shared" si="71"/>
        <v>#REF!</v>
      </c>
      <c r="CO124" s="94" t="str">
        <f t="shared" si="71"/>
        <v>#REF!</v>
      </c>
      <c r="CP124" s="94" t="str">
        <f t="shared" si="71"/>
        <v>#REF!</v>
      </c>
      <c r="CQ124" s="94" t="str">
        <f t="shared" si="71"/>
        <v>#REF!</v>
      </c>
      <c r="CR124" s="94" t="str">
        <f t="shared" si="71"/>
        <v>#REF!</v>
      </c>
      <c r="CS124" s="94" t="str">
        <f t="shared" si="71"/>
        <v>#REF!</v>
      </c>
      <c r="CT124" s="94" t="str">
        <f t="shared" si="71"/>
        <v>#REF!</v>
      </c>
      <c r="CU124" s="94" t="str">
        <f t="shared" si="71"/>
        <v>#REF!</v>
      </c>
      <c r="CV124" s="94" t="str">
        <f t="shared" si="71"/>
        <v>#REF!</v>
      </c>
      <c r="CW124" s="94" t="str">
        <f t="shared" si="71"/>
        <v>#REF!</v>
      </c>
      <c r="CX124" s="94" t="str">
        <f t="shared" si="71"/>
        <v>#REF!</v>
      </c>
      <c r="CY124" s="93" t="str">
        <f t="shared" si="71"/>
        <v>#REF!</v>
      </c>
      <c r="CZ124" s="93" t="str">
        <f t="shared" si="71"/>
        <v>#REF!</v>
      </c>
      <c r="DA124" s="93" t="str">
        <f t="shared" si="71"/>
        <v>#REF!</v>
      </c>
      <c r="DB124" s="93" t="str">
        <f t="shared" si="71"/>
        <v>#REF!</v>
      </c>
      <c r="DC124" s="93" t="str">
        <f t="shared" si="71"/>
        <v>#REF!</v>
      </c>
      <c r="DD124" s="93" t="str">
        <f t="shared" si="71"/>
        <v>#REF!</v>
      </c>
      <c r="DE124" s="93" t="str">
        <f t="shared" si="71"/>
        <v>#REF!</v>
      </c>
      <c r="DF124" s="93" t="str">
        <f t="shared" si="71"/>
        <v>#REF!</v>
      </c>
      <c r="DG124" s="93" t="str">
        <f t="shared" si="71"/>
        <v>#REF!</v>
      </c>
      <c r="DH124" s="93" t="str">
        <f t="shared" si="71"/>
        <v>#REF!</v>
      </c>
      <c r="DI124" s="93" t="str">
        <f t="shared" si="71"/>
        <v>#REF!</v>
      </c>
      <c r="DJ124" s="93" t="str">
        <f t="shared" si="71"/>
        <v>#REF!</v>
      </c>
      <c r="DK124" s="93" t="str">
        <f t="shared" si="71"/>
        <v>#REF!</v>
      </c>
      <c r="DL124" s="93" t="str">
        <f t="shared" si="71"/>
        <v>#REF!</v>
      </c>
      <c r="DM124" s="93" t="str">
        <f t="shared" si="71"/>
        <v>#REF!</v>
      </c>
      <c r="DN124" s="93" t="str">
        <f t="shared" si="71"/>
        <v>#REF!</v>
      </c>
      <c r="DO124" s="93" t="str">
        <f t="shared" si="71"/>
        <v>#REF!</v>
      </c>
      <c r="DP124" s="93" t="str">
        <f t="shared" si="71"/>
        <v>#REF!</v>
      </c>
      <c r="DQ124" s="93" t="str">
        <f t="shared" si="71"/>
        <v>#REF!</v>
      </c>
      <c r="DR124" s="93" t="str">
        <f t="shared" si="71"/>
        <v>#REF!</v>
      </c>
      <c r="DS124" s="93" t="str">
        <f t="shared" si="71"/>
        <v>#REF!</v>
      </c>
      <c r="DT124" s="93" t="str">
        <f t="shared" si="71"/>
        <v>#REF!</v>
      </c>
    </row>
    <row r="125" ht="12.75" hidden="1" customHeight="1">
      <c r="U125" s="96">
        <v>45657.0</v>
      </c>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t="str">
        <f>+BX$17*#REF!</f>
        <v>#REF!</v>
      </c>
      <c r="BZ125" s="94" t="str">
        <f t="shared" ref="BZ125:DU125" si="72">IF(BY125&gt;0.005,(BY125-$BY125*#REF!/12),0)</f>
        <v>#REF!</v>
      </c>
      <c r="CA125" s="94" t="str">
        <f t="shared" si="72"/>
        <v>#REF!</v>
      </c>
      <c r="CB125" s="94" t="str">
        <f t="shared" si="72"/>
        <v>#REF!</v>
      </c>
      <c r="CC125" s="94" t="str">
        <f t="shared" si="72"/>
        <v>#REF!</v>
      </c>
      <c r="CD125" s="94" t="str">
        <f t="shared" si="72"/>
        <v>#REF!</v>
      </c>
      <c r="CE125" s="94" t="str">
        <f t="shared" si="72"/>
        <v>#REF!</v>
      </c>
      <c r="CF125" s="94" t="str">
        <f t="shared" si="72"/>
        <v>#REF!</v>
      </c>
      <c r="CG125" s="94" t="str">
        <f t="shared" si="72"/>
        <v>#REF!</v>
      </c>
      <c r="CH125" s="94" t="str">
        <f t="shared" si="72"/>
        <v>#REF!</v>
      </c>
      <c r="CI125" s="94" t="str">
        <f t="shared" si="72"/>
        <v>#REF!</v>
      </c>
      <c r="CJ125" s="94" t="str">
        <f t="shared" si="72"/>
        <v>#REF!</v>
      </c>
      <c r="CK125" s="94" t="str">
        <f t="shared" si="72"/>
        <v>#REF!</v>
      </c>
      <c r="CL125" s="94" t="str">
        <f t="shared" si="72"/>
        <v>#REF!</v>
      </c>
      <c r="CM125" s="94" t="str">
        <f t="shared" si="72"/>
        <v>#REF!</v>
      </c>
      <c r="CN125" s="94" t="str">
        <f t="shared" si="72"/>
        <v>#REF!</v>
      </c>
      <c r="CO125" s="94" t="str">
        <f t="shared" si="72"/>
        <v>#REF!</v>
      </c>
      <c r="CP125" s="94" t="str">
        <f t="shared" si="72"/>
        <v>#REF!</v>
      </c>
      <c r="CQ125" s="94" t="str">
        <f t="shared" si="72"/>
        <v>#REF!</v>
      </c>
      <c r="CR125" s="94" t="str">
        <f t="shared" si="72"/>
        <v>#REF!</v>
      </c>
      <c r="CS125" s="94" t="str">
        <f t="shared" si="72"/>
        <v>#REF!</v>
      </c>
      <c r="CT125" s="94" t="str">
        <f t="shared" si="72"/>
        <v>#REF!</v>
      </c>
      <c r="CU125" s="94" t="str">
        <f t="shared" si="72"/>
        <v>#REF!</v>
      </c>
      <c r="CV125" s="94" t="str">
        <f t="shared" si="72"/>
        <v>#REF!</v>
      </c>
      <c r="CW125" s="94" t="str">
        <f t="shared" si="72"/>
        <v>#REF!</v>
      </c>
      <c r="CX125" s="94" t="str">
        <f t="shared" si="72"/>
        <v>#REF!</v>
      </c>
      <c r="CY125" s="93" t="str">
        <f t="shared" si="72"/>
        <v>#REF!</v>
      </c>
      <c r="CZ125" s="93" t="str">
        <f t="shared" si="72"/>
        <v>#REF!</v>
      </c>
      <c r="DA125" s="93" t="str">
        <f t="shared" si="72"/>
        <v>#REF!</v>
      </c>
      <c r="DB125" s="93" t="str">
        <f t="shared" si="72"/>
        <v>#REF!</v>
      </c>
      <c r="DC125" s="93" t="str">
        <f t="shared" si="72"/>
        <v>#REF!</v>
      </c>
      <c r="DD125" s="93" t="str">
        <f t="shared" si="72"/>
        <v>#REF!</v>
      </c>
      <c r="DE125" s="93" t="str">
        <f t="shared" si="72"/>
        <v>#REF!</v>
      </c>
      <c r="DF125" s="93" t="str">
        <f t="shared" si="72"/>
        <v>#REF!</v>
      </c>
      <c r="DG125" s="93" t="str">
        <f t="shared" si="72"/>
        <v>#REF!</v>
      </c>
      <c r="DH125" s="93" t="str">
        <f t="shared" si="72"/>
        <v>#REF!</v>
      </c>
      <c r="DI125" s="93" t="str">
        <f t="shared" si="72"/>
        <v>#REF!</v>
      </c>
      <c r="DJ125" s="93" t="str">
        <f t="shared" si="72"/>
        <v>#REF!</v>
      </c>
      <c r="DK125" s="93" t="str">
        <f t="shared" si="72"/>
        <v>#REF!</v>
      </c>
      <c r="DL125" s="93" t="str">
        <f t="shared" si="72"/>
        <v>#REF!</v>
      </c>
      <c r="DM125" s="93" t="str">
        <f t="shared" si="72"/>
        <v>#REF!</v>
      </c>
      <c r="DN125" s="93" t="str">
        <f t="shared" si="72"/>
        <v>#REF!</v>
      </c>
      <c r="DO125" s="93" t="str">
        <f t="shared" si="72"/>
        <v>#REF!</v>
      </c>
      <c r="DP125" s="93" t="str">
        <f t="shared" si="72"/>
        <v>#REF!</v>
      </c>
      <c r="DQ125" s="93" t="str">
        <f t="shared" si="72"/>
        <v>#REF!</v>
      </c>
      <c r="DR125" s="93" t="str">
        <f t="shared" si="72"/>
        <v>#REF!</v>
      </c>
      <c r="DS125" s="93" t="str">
        <f t="shared" si="72"/>
        <v>#REF!</v>
      </c>
      <c r="DT125" s="93" t="str">
        <f t="shared" si="72"/>
        <v>#REF!</v>
      </c>
      <c r="DU125" s="93" t="str">
        <f t="shared" si="72"/>
        <v>#REF!</v>
      </c>
    </row>
    <row r="126" ht="12.75" hidden="1" customHeight="1">
      <c r="U126" s="96">
        <v>45688.0</v>
      </c>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t="str">
        <f>+BY$17*#REF!</f>
        <v>#REF!</v>
      </c>
      <c r="CA126" s="94" t="str">
        <f t="shared" ref="CA126:DV126" si="73">IF(BZ126&gt;0.005,(BZ126-$BZ126*#REF!/12),0)</f>
        <v>#REF!</v>
      </c>
      <c r="CB126" s="94" t="str">
        <f t="shared" si="73"/>
        <v>#REF!</v>
      </c>
      <c r="CC126" s="94" t="str">
        <f t="shared" si="73"/>
        <v>#REF!</v>
      </c>
      <c r="CD126" s="94" t="str">
        <f t="shared" si="73"/>
        <v>#REF!</v>
      </c>
      <c r="CE126" s="94" t="str">
        <f t="shared" si="73"/>
        <v>#REF!</v>
      </c>
      <c r="CF126" s="94" t="str">
        <f t="shared" si="73"/>
        <v>#REF!</v>
      </c>
      <c r="CG126" s="94" t="str">
        <f t="shared" si="73"/>
        <v>#REF!</v>
      </c>
      <c r="CH126" s="94" t="str">
        <f t="shared" si="73"/>
        <v>#REF!</v>
      </c>
      <c r="CI126" s="94" t="str">
        <f t="shared" si="73"/>
        <v>#REF!</v>
      </c>
      <c r="CJ126" s="94" t="str">
        <f t="shared" si="73"/>
        <v>#REF!</v>
      </c>
      <c r="CK126" s="94" t="str">
        <f t="shared" si="73"/>
        <v>#REF!</v>
      </c>
      <c r="CL126" s="94" t="str">
        <f t="shared" si="73"/>
        <v>#REF!</v>
      </c>
      <c r="CM126" s="94" t="str">
        <f t="shared" si="73"/>
        <v>#REF!</v>
      </c>
      <c r="CN126" s="94" t="str">
        <f t="shared" si="73"/>
        <v>#REF!</v>
      </c>
      <c r="CO126" s="94" t="str">
        <f t="shared" si="73"/>
        <v>#REF!</v>
      </c>
      <c r="CP126" s="94" t="str">
        <f t="shared" si="73"/>
        <v>#REF!</v>
      </c>
      <c r="CQ126" s="94" t="str">
        <f t="shared" si="73"/>
        <v>#REF!</v>
      </c>
      <c r="CR126" s="94" t="str">
        <f t="shared" si="73"/>
        <v>#REF!</v>
      </c>
      <c r="CS126" s="94" t="str">
        <f t="shared" si="73"/>
        <v>#REF!</v>
      </c>
      <c r="CT126" s="94" t="str">
        <f t="shared" si="73"/>
        <v>#REF!</v>
      </c>
      <c r="CU126" s="94" t="str">
        <f t="shared" si="73"/>
        <v>#REF!</v>
      </c>
      <c r="CV126" s="94" t="str">
        <f t="shared" si="73"/>
        <v>#REF!</v>
      </c>
      <c r="CW126" s="94" t="str">
        <f t="shared" si="73"/>
        <v>#REF!</v>
      </c>
      <c r="CX126" s="94" t="str">
        <f t="shared" si="73"/>
        <v>#REF!</v>
      </c>
      <c r="CY126" s="93" t="str">
        <f t="shared" si="73"/>
        <v>#REF!</v>
      </c>
      <c r="CZ126" s="93" t="str">
        <f t="shared" si="73"/>
        <v>#REF!</v>
      </c>
      <c r="DA126" s="93" t="str">
        <f t="shared" si="73"/>
        <v>#REF!</v>
      </c>
      <c r="DB126" s="93" t="str">
        <f t="shared" si="73"/>
        <v>#REF!</v>
      </c>
      <c r="DC126" s="93" t="str">
        <f t="shared" si="73"/>
        <v>#REF!</v>
      </c>
      <c r="DD126" s="93" t="str">
        <f t="shared" si="73"/>
        <v>#REF!</v>
      </c>
      <c r="DE126" s="93" t="str">
        <f t="shared" si="73"/>
        <v>#REF!</v>
      </c>
      <c r="DF126" s="93" t="str">
        <f t="shared" si="73"/>
        <v>#REF!</v>
      </c>
      <c r="DG126" s="93" t="str">
        <f t="shared" si="73"/>
        <v>#REF!</v>
      </c>
      <c r="DH126" s="93" t="str">
        <f t="shared" si="73"/>
        <v>#REF!</v>
      </c>
      <c r="DI126" s="93" t="str">
        <f t="shared" si="73"/>
        <v>#REF!</v>
      </c>
      <c r="DJ126" s="93" t="str">
        <f t="shared" si="73"/>
        <v>#REF!</v>
      </c>
      <c r="DK126" s="93" t="str">
        <f t="shared" si="73"/>
        <v>#REF!</v>
      </c>
      <c r="DL126" s="93" t="str">
        <f t="shared" si="73"/>
        <v>#REF!</v>
      </c>
      <c r="DM126" s="93" t="str">
        <f t="shared" si="73"/>
        <v>#REF!</v>
      </c>
      <c r="DN126" s="93" t="str">
        <f t="shared" si="73"/>
        <v>#REF!</v>
      </c>
      <c r="DO126" s="93" t="str">
        <f t="shared" si="73"/>
        <v>#REF!</v>
      </c>
      <c r="DP126" s="93" t="str">
        <f t="shared" si="73"/>
        <v>#REF!</v>
      </c>
      <c r="DQ126" s="93" t="str">
        <f t="shared" si="73"/>
        <v>#REF!</v>
      </c>
      <c r="DR126" s="93" t="str">
        <f t="shared" si="73"/>
        <v>#REF!</v>
      </c>
      <c r="DS126" s="93" t="str">
        <f t="shared" si="73"/>
        <v>#REF!</v>
      </c>
      <c r="DT126" s="93" t="str">
        <f t="shared" si="73"/>
        <v>#REF!</v>
      </c>
      <c r="DU126" s="93" t="str">
        <f t="shared" si="73"/>
        <v>#REF!</v>
      </c>
      <c r="DV126" s="93" t="str">
        <f t="shared" si="73"/>
        <v>#REF!</v>
      </c>
    </row>
    <row r="127" ht="12.75" hidden="1" customHeight="1">
      <c r="U127" s="96">
        <v>45716.0</v>
      </c>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t="str">
        <f>+BZ$17*#REF!</f>
        <v>#REF!</v>
      </c>
      <c r="CB127" s="94" t="str">
        <f t="shared" ref="CB127:DW127" si="74">IF(CA127&gt;0.005,(CA127-$CA127*#REF!/12),0)</f>
        <v>#REF!</v>
      </c>
      <c r="CC127" s="94" t="str">
        <f t="shared" si="74"/>
        <v>#REF!</v>
      </c>
      <c r="CD127" s="94" t="str">
        <f t="shared" si="74"/>
        <v>#REF!</v>
      </c>
      <c r="CE127" s="94" t="str">
        <f t="shared" si="74"/>
        <v>#REF!</v>
      </c>
      <c r="CF127" s="94" t="str">
        <f t="shared" si="74"/>
        <v>#REF!</v>
      </c>
      <c r="CG127" s="94" t="str">
        <f t="shared" si="74"/>
        <v>#REF!</v>
      </c>
      <c r="CH127" s="94" t="str">
        <f t="shared" si="74"/>
        <v>#REF!</v>
      </c>
      <c r="CI127" s="94" t="str">
        <f t="shared" si="74"/>
        <v>#REF!</v>
      </c>
      <c r="CJ127" s="94" t="str">
        <f t="shared" si="74"/>
        <v>#REF!</v>
      </c>
      <c r="CK127" s="94" t="str">
        <f t="shared" si="74"/>
        <v>#REF!</v>
      </c>
      <c r="CL127" s="94" t="str">
        <f t="shared" si="74"/>
        <v>#REF!</v>
      </c>
      <c r="CM127" s="94" t="str">
        <f t="shared" si="74"/>
        <v>#REF!</v>
      </c>
      <c r="CN127" s="94" t="str">
        <f t="shared" si="74"/>
        <v>#REF!</v>
      </c>
      <c r="CO127" s="94" t="str">
        <f t="shared" si="74"/>
        <v>#REF!</v>
      </c>
      <c r="CP127" s="94" t="str">
        <f t="shared" si="74"/>
        <v>#REF!</v>
      </c>
      <c r="CQ127" s="94" t="str">
        <f t="shared" si="74"/>
        <v>#REF!</v>
      </c>
      <c r="CR127" s="94" t="str">
        <f t="shared" si="74"/>
        <v>#REF!</v>
      </c>
      <c r="CS127" s="94" t="str">
        <f t="shared" si="74"/>
        <v>#REF!</v>
      </c>
      <c r="CT127" s="94" t="str">
        <f t="shared" si="74"/>
        <v>#REF!</v>
      </c>
      <c r="CU127" s="94" t="str">
        <f t="shared" si="74"/>
        <v>#REF!</v>
      </c>
      <c r="CV127" s="94" t="str">
        <f t="shared" si="74"/>
        <v>#REF!</v>
      </c>
      <c r="CW127" s="94" t="str">
        <f t="shared" si="74"/>
        <v>#REF!</v>
      </c>
      <c r="CX127" s="94" t="str">
        <f t="shared" si="74"/>
        <v>#REF!</v>
      </c>
      <c r="CY127" s="93" t="str">
        <f t="shared" si="74"/>
        <v>#REF!</v>
      </c>
      <c r="CZ127" s="93" t="str">
        <f t="shared" si="74"/>
        <v>#REF!</v>
      </c>
      <c r="DA127" s="93" t="str">
        <f t="shared" si="74"/>
        <v>#REF!</v>
      </c>
      <c r="DB127" s="93" t="str">
        <f t="shared" si="74"/>
        <v>#REF!</v>
      </c>
      <c r="DC127" s="93" t="str">
        <f t="shared" si="74"/>
        <v>#REF!</v>
      </c>
      <c r="DD127" s="93" t="str">
        <f t="shared" si="74"/>
        <v>#REF!</v>
      </c>
      <c r="DE127" s="93" t="str">
        <f t="shared" si="74"/>
        <v>#REF!</v>
      </c>
      <c r="DF127" s="93" t="str">
        <f t="shared" si="74"/>
        <v>#REF!</v>
      </c>
      <c r="DG127" s="93" t="str">
        <f t="shared" si="74"/>
        <v>#REF!</v>
      </c>
      <c r="DH127" s="93" t="str">
        <f t="shared" si="74"/>
        <v>#REF!</v>
      </c>
      <c r="DI127" s="93" t="str">
        <f t="shared" si="74"/>
        <v>#REF!</v>
      </c>
      <c r="DJ127" s="93" t="str">
        <f t="shared" si="74"/>
        <v>#REF!</v>
      </c>
      <c r="DK127" s="93" t="str">
        <f t="shared" si="74"/>
        <v>#REF!</v>
      </c>
      <c r="DL127" s="93" t="str">
        <f t="shared" si="74"/>
        <v>#REF!</v>
      </c>
      <c r="DM127" s="93" t="str">
        <f t="shared" si="74"/>
        <v>#REF!</v>
      </c>
      <c r="DN127" s="93" t="str">
        <f t="shared" si="74"/>
        <v>#REF!</v>
      </c>
      <c r="DO127" s="93" t="str">
        <f t="shared" si="74"/>
        <v>#REF!</v>
      </c>
      <c r="DP127" s="93" t="str">
        <f t="shared" si="74"/>
        <v>#REF!</v>
      </c>
      <c r="DQ127" s="93" t="str">
        <f t="shared" si="74"/>
        <v>#REF!</v>
      </c>
      <c r="DR127" s="93" t="str">
        <f t="shared" si="74"/>
        <v>#REF!</v>
      </c>
      <c r="DS127" s="93" t="str">
        <f t="shared" si="74"/>
        <v>#REF!</v>
      </c>
      <c r="DT127" s="93" t="str">
        <f t="shared" si="74"/>
        <v>#REF!</v>
      </c>
      <c r="DU127" s="93" t="str">
        <f t="shared" si="74"/>
        <v>#REF!</v>
      </c>
      <c r="DV127" s="93" t="str">
        <f t="shared" si="74"/>
        <v>#REF!</v>
      </c>
      <c r="DW127" s="93" t="str">
        <f t="shared" si="74"/>
        <v>#REF!</v>
      </c>
    </row>
    <row r="128" ht="12.75" hidden="1" customHeight="1">
      <c r="U128" s="96">
        <v>45747.0</v>
      </c>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row>
    <row r="129" ht="12.75" hidden="1" customHeight="1">
      <c r="U129" s="96">
        <v>45777.0</v>
      </c>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row>
    <row r="130" ht="12.75" hidden="1" customHeight="1">
      <c r="U130" s="96">
        <v>45808.0</v>
      </c>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row>
    <row r="131" ht="12.75" hidden="1" customHeight="1">
      <c r="U131" s="96">
        <v>45838.0</v>
      </c>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row>
    <row r="132" ht="12.75" hidden="1" customHeight="1">
      <c r="U132" s="96">
        <v>45869.0</v>
      </c>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row>
    <row r="133" ht="12.75" hidden="1" customHeight="1">
      <c r="U133" s="96">
        <v>45900.0</v>
      </c>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row>
    <row r="134" ht="12.75" hidden="1" customHeight="1">
      <c r="U134" s="96">
        <v>45930.0</v>
      </c>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row>
    <row r="135" ht="12.75" hidden="1" customHeight="1">
      <c r="U135" s="96">
        <v>45961.0</v>
      </c>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row>
    <row r="136" ht="12.75" hidden="1" customHeight="1">
      <c r="U136" s="96">
        <v>45991.0</v>
      </c>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row>
    <row r="137" ht="12.75" hidden="1" customHeight="1">
      <c r="U137" s="96">
        <v>46022.0</v>
      </c>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row>
    <row r="138" ht="12.75" hidden="1" customHeight="1">
      <c r="U138" s="96"/>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row>
    <row r="139" ht="12.75" hidden="1" customHeight="1">
      <c r="U139" s="96"/>
      <c r="V139" s="94" t="str">
        <f t="shared" ref="V139:CB139" si="75">SUM(V69:V138)</f>
        <v>#REF!</v>
      </c>
      <c r="W139" s="94" t="str">
        <f t="shared" si="75"/>
        <v>#REF!</v>
      </c>
      <c r="X139" s="94" t="str">
        <f t="shared" si="75"/>
        <v>#REF!</v>
      </c>
      <c r="Y139" s="94" t="str">
        <f t="shared" si="75"/>
        <v>#REF!</v>
      </c>
      <c r="Z139" s="94" t="str">
        <f t="shared" si="75"/>
        <v>#REF!</v>
      </c>
      <c r="AA139" s="94" t="str">
        <f t="shared" si="75"/>
        <v>#REF!</v>
      </c>
      <c r="AB139" s="94" t="str">
        <f t="shared" si="75"/>
        <v>#REF!</v>
      </c>
      <c r="AC139" s="94" t="str">
        <f t="shared" si="75"/>
        <v>#REF!</v>
      </c>
      <c r="AD139" s="94" t="str">
        <f t="shared" si="75"/>
        <v>#REF!</v>
      </c>
      <c r="AE139" s="94" t="str">
        <f t="shared" si="75"/>
        <v>#REF!</v>
      </c>
      <c r="AF139" s="94" t="str">
        <f t="shared" si="75"/>
        <v>#REF!</v>
      </c>
      <c r="AG139" s="94" t="str">
        <f t="shared" si="75"/>
        <v>#REF!</v>
      </c>
      <c r="AH139" s="94" t="str">
        <f t="shared" si="75"/>
        <v>#REF!</v>
      </c>
      <c r="AI139" s="94" t="str">
        <f t="shared" si="75"/>
        <v>#REF!</v>
      </c>
      <c r="AJ139" s="94" t="str">
        <f t="shared" si="75"/>
        <v>#REF!</v>
      </c>
      <c r="AK139" s="94" t="str">
        <f t="shared" si="75"/>
        <v>#REF!</v>
      </c>
      <c r="AL139" s="94" t="str">
        <f t="shared" si="75"/>
        <v>#REF!</v>
      </c>
      <c r="AM139" s="94" t="str">
        <f t="shared" si="75"/>
        <v>#REF!</v>
      </c>
      <c r="AN139" s="94" t="str">
        <f t="shared" si="75"/>
        <v>#REF!</v>
      </c>
      <c r="AO139" s="94" t="str">
        <f t="shared" si="75"/>
        <v>#REF!</v>
      </c>
      <c r="AP139" s="94" t="str">
        <f t="shared" si="75"/>
        <v>#REF!</v>
      </c>
      <c r="AQ139" s="94" t="str">
        <f t="shared" si="75"/>
        <v>#REF!</v>
      </c>
      <c r="AR139" s="94" t="str">
        <f t="shared" si="75"/>
        <v>#REF!</v>
      </c>
      <c r="AS139" s="94" t="str">
        <f t="shared" si="75"/>
        <v>#REF!</v>
      </c>
      <c r="AT139" s="94" t="str">
        <f t="shared" si="75"/>
        <v>#REF!</v>
      </c>
      <c r="AU139" s="94" t="str">
        <f t="shared" si="75"/>
        <v>#REF!</v>
      </c>
      <c r="AV139" s="94" t="str">
        <f t="shared" si="75"/>
        <v>#REF!</v>
      </c>
      <c r="AW139" s="94" t="str">
        <f t="shared" si="75"/>
        <v>#REF!</v>
      </c>
      <c r="AX139" s="94" t="str">
        <f t="shared" si="75"/>
        <v>#REF!</v>
      </c>
      <c r="AY139" s="94" t="str">
        <f t="shared" si="75"/>
        <v>#REF!</v>
      </c>
      <c r="AZ139" s="94" t="str">
        <f t="shared" si="75"/>
        <v>#REF!</v>
      </c>
      <c r="BA139" s="94" t="str">
        <f t="shared" si="75"/>
        <v>#REF!</v>
      </c>
      <c r="BB139" s="94" t="str">
        <f t="shared" si="75"/>
        <v>#REF!</v>
      </c>
      <c r="BC139" s="94" t="str">
        <f t="shared" si="75"/>
        <v>#REF!</v>
      </c>
      <c r="BD139" s="94" t="str">
        <f t="shared" si="75"/>
        <v>#REF!</v>
      </c>
      <c r="BE139" s="94" t="str">
        <f t="shared" si="75"/>
        <v>#REF!</v>
      </c>
      <c r="BF139" s="94" t="str">
        <f t="shared" si="75"/>
        <v>#REF!</v>
      </c>
      <c r="BG139" s="94" t="str">
        <f t="shared" si="75"/>
        <v>#REF!</v>
      </c>
      <c r="BH139" s="94" t="str">
        <f t="shared" si="75"/>
        <v>#REF!</v>
      </c>
      <c r="BI139" s="94" t="str">
        <f t="shared" si="75"/>
        <v>#REF!</v>
      </c>
      <c r="BJ139" s="94" t="str">
        <f t="shared" si="75"/>
        <v>#REF!</v>
      </c>
      <c r="BK139" s="94" t="str">
        <f t="shared" si="75"/>
        <v>#REF!</v>
      </c>
      <c r="BL139" s="94" t="str">
        <f t="shared" si="75"/>
        <v>#REF!</v>
      </c>
      <c r="BM139" s="94" t="str">
        <f t="shared" si="75"/>
        <v>#REF!</v>
      </c>
      <c r="BN139" s="94" t="str">
        <f t="shared" si="75"/>
        <v>#REF!</v>
      </c>
      <c r="BO139" s="94" t="str">
        <f t="shared" si="75"/>
        <v>#REF!</v>
      </c>
      <c r="BP139" s="94" t="str">
        <f t="shared" si="75"/>
        <v>#REF!</v>
      </c>
      <c r="BQ139" s="94" t="str">
        <f t="shared" si="75"/>
        <v>#REF!</v>
      </c>
      <c r="BR139" s="94" t="str">
        <f t="shared" si="75"/>
        <v>#REF!</v>
      </c>
      <c r="BS139" s="94" t="str">
        <f t="shared" si="75"/>
        <v>#REF!</v>
      </c>
      <c r="BT139" s="94" t="str">
        <f t="shared" si="75"/>
        <v>#REF!</v>
      </c>
      <c r="BU139" s="94" t="str">
        <f t="shared" si="75"/>
        <v>#REF!</v>
      </c>
      <c r="BV139" s="94" t="str">
        <f t="shared" si="75"/>
        <v>#REF!</v>
      </c>
      <c r="BW139" s="94" t="str">
        <f t="shared" si="75"/>
        <v>#REF!</v>
      </c>
      <c r="BX139" s="94" t="str">
        <f t="shared" si="75"/>
        <v>#REF!</v>
      </c>
      <c r="BY139" s="94" t="str">
        <f t="shared" si="75"/>
        <v>#REF!</v>
      </c>
      <c r="BZ139" s="94" t="str">
        <f t="shared" si="75"/>
        <v>#REF!</v>
      </c>
      <c r="CA139" s="94" t="str">
        <f t="shared" si="75"/>
        <v>#REF!</v>
      </c>
      <c r="CB139" s="94" t="str">
        <f t="shared" si="75"/>
        <v>#REF!</v>
      </c>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row>
    <row r="140" ht="12.75" customHeight="1">
      <c r="U140" s="96"/>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row>
    <row r="141" ht="12.75" customHeight="1">
      <c r="U141" s="96"/>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row>
    <row r="142" ht="12.75" customHeight="1">
      <c r="U142" s="96"/>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row>
    <row r="143" ht="12.75" customHeight="1">
      <c r="A143" s="97" t="s">
        <v>289</v>
      </c>
      <c r="U143" s="96"/>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row>
    <row r="144" ht="12.75" customHeight="1">
      <c r="U144" s="96">
        <f>+U8</f>
        <v>43951</v>
      </c>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row>
    <row r="145" ht="12.75" customHeight="1">
      <c r="U145" s="96">
        <v>43982.0</v>
      </c>
      <c r="V145" s="94">
        <f t="shared" ref="V145:X145" si="76">+$V$53*$U$61*$X$61</f>
        <v>401.5277778</v>
      </c>
      <c r="W145" s="94">
        <f t="shared" si="76"/>
        <v>401.5277778</v>
      </c>
      <c r="X145" s="94">
        <f t="shared" si="76"/>
        <v>401.5277778</v>
      </c>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row>
    <row r="146" ht="12.75" customHeight="1">
      <c r="U146" s="96">
        <v>44012.0</v>
      </c>
      <c r="V146" s="94"/>
      <c r="W146" s="94">
        <f t="shared" ref="W146:Y146" si="77">+$W$53*$U$61*$X$61</f>
        <v>4461.419753</v>
      </c>
      <c r="X146" s="94">
        <f t="shared" si="77"/>
        <v>4461.419753</v>
      </c>
      <c r="Y146" s="94">
        <f t="shared" si="77"/>
        <v>4461.419753</v>
      </c>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row>
    <row r="147" ht="12.75" customHeight="1">
      <c r="U147" s="96">
        <v>44043.0</v>
      </c>
      <c r="V147" s="94"/>
      <c r="W147" s="94"/>
      <c r="X147" s="94">
        <f t="shared" ref="X147:Z147" si="78">+$X$53*$U$61*$X$61</f>
        <v>2549.382716</v>
      </c>
      <c r="Y147" s="94">
        <f t="shared" si="78"/>
        <v>2549.382716</v>
      </c>
      <c r="Z147" s="94">
        <f t="shared" si="78"/>
        <v>2549.382716</v>
      </c>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row>
    <row r="148" ht="12.75" customHeight="1">
      <c r="U148" s="96">
        <v>44074.0</v>
      </c>
      <c r="V148" s="94"/>
      <c r="W148" s="94"/>
      <c r="X148" s="94"/>
      <c r="Y148" s="94">
        <f t="shared" ref="Y148:AA148" si="79">+$Y$53*$U$61*$X$61</f>
        <v>2549.382716</v>
      </c>
      <c r="Z148" s="94">
        <f t="shared" si="79"/>
        <v>2549.382716</v>
      </c>
      <c r="AA148" s="94">
        <f t="shared" si="79"/>
        <v>2549.382716</v>
      </c>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row>
    <row r="149" ht="12.75" customHeight="1">
      <c r="U149" s="96">
        <v>44104.0</v>
      </c>
      <c r="V149" s="94"/>
      <c r="W149" s="94"/>
      <c r="X149" s="94"/>
      <c r="Y149" s="94"/>
      <c r="Z149" s="94">
        <f t="shared" ref="Z149:AB149" si="80">+$Z$53*$U$61*$X$61</f>
        <v>3824.074074</v>
      </c>
      <c r="AA149" s="94">
        <f t="shared" si="80"/>
        <v>3824.074074</v>
      </c>
      <c r="AB149" s="94">
        <f t="shared" si="80"/>
        <v>3824.074074</v>
      </c>
      <c r="AC149" s="94"/>
      <c r="AD149" s="94"/>
      <c r="AE149" s="94"/>
      <c r="AF149" s="94"/>
      <c r="AG149" s="94"/>
      <c r="AH149" s="94"/>
      <c r="AI149" s="94"/>
      <c r="AJ149" s="94"/>
      <c r="AK149" s="94"/>
      <c r="AL149" s="94"/>
      <c r="AM149" s="94"/>
      <c r="AN149" s="94"/>
      <c r="AO149" s="94"/>
      <c r="AP149" s="94"/>
      <c r="AQ149" s="94"/>
      <c r="AR149" s="94"/>
      <c r="AS149" s="94"/>
      <c r="AT149" s="94"/>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row>
    <row r="150" ht="12.75" customHeight="1">
      <c r="U150" s="96">
        <v>44135.0</v>
      </c>
      <c r="V150" s="94"/>
      <c r="W150" s="94"/>
      <c r="X150" s="94"/>
      <c r="Y150" s="94"/>
      <c r="Z150" s="94"/>
      <c r="AA150" s="94">
        <f t="shared" ref="AA150:AC150" si="81">+$AA$53*$U$61*$X$61</f>
        <v>6373.45679</v>
      </c>
      <c r="AB150" s="94">
        <f t="shared" si="81"/>
        <v>6373.45679</v>
      </c>
      <c r="AC150" s="94">
        <f t="shared" si="81"/>
        <v>6373.45679</v>
      </c>
      <c r="AD150" s="94"/>
      <c r="AE150" s="94"/>
      <c r="AF150" s="94"/>
      <c r="AG150" s="94"/>
      <c r="AH150" s="94"/>
      <c r="AI150" s="94"/>
      <c r="AJ150" s="94"/>
      <c r="AK150" s="94"/>
      <c r="AL150" s="94"/>
      <c r="AM150" s="94"/>
      <c r="AN150" s="94"/>
      <c r="AO150" s="94"/>
      <c r="AP150" s="94"/>
      <c r="AQ150" s="94"/>
      <c r="AR150" s="94"/>
      <c r="AS150" s="94"/>
      <c r="AT150" s="94"/>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row>
    <row r="151" ht="12.75" customHeight="1">
      <c r="U151" s="96">
        <v>44165.0</v>
      </c>
      <c r="V151" s="94"/>
      <c r="W151" s="94"/>
      <c r="X151" s="94"/>
      <c r="Y151" s="94"/>
      <c r="Z151" s="94"/>
      <c r="AA151" s="94"/>
      <c r="AB151" s="94">
        <f t="shared" ref="AB151:AD151" si="82">+$AB$53*$U$61*$X$61</f>
        <v>15296.2963</v>
      </c>
      <c r="AC151" s="94">
        <f t="shared" si="82"/>
        <v>15296.2963</v>
      </c>
      <c r="AD151" s="94">
        <f t="shared" si="82"/>
        <v>15296.2963</v>
      </c>
      <c r="AE151" s="94"/>
      <c r="AF151" s="94"/>
      <c r="AG151" s="94"/>
      <c r="AH151" s="94"/>
      <c r="AI151" s="94"/>
      <c r="AJ151" s="94"/>
      <c r="AK151" s="94"/>
      <c r="AL151" s="94"/>
      <c r="AM151" s="94"/>
      <c r="AN151" s="94"/>
      <c r="AO151" s="94"/>
      <c r="AP151" s="94"/>
      <c r="AQ151" s="94"/>
      <c r="AR151" s="94"/>
      <c r="AS151" s="94"/>
      <c r="AT151" s="94"/>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row>
    <row r="152" ht="12.75" customHeight="1">
      <c r="U152" s="96">
        <v>44196.0</v>
      </c>
      <c r="V152" s="94"/>
      <c r="W152" s="94"/>
      <c r="X152" s="94"/>
      <c r="Y152" s="94"/>
      <c r="Z152" s="94"/>
      <c r="AA152" s="94"/>
      <c r="AB152" s="94"/>
      <c r="AC152" s="94">
        <f t="shared" ref="AC152:AE152" si="83">+$AC$53*$U$61*$X$61</f>
        <v>2549.382716</v>
      </c>
      <c r="AD152" s="94">
        <f t="shared" si="83"/>
        <v>2549.382716</v>
      </c>
      <c r="AE152" s="94">
        <f t="shared" si="83"/>
        <v>2549.382716</v>
      </c>
      <c r="AF152" s="94"/>
      <c r="AG152" s="94"/>
      <c r="AH152" s="94"/>
      <c r="AI152" s="94"/>
      <c r="AJ152" s="94"/>
      <c r="AK152" s="94"/>
      <c r="AL152" s="94"/>
      <c r="AM152" s="94"/>
      <c r="AN152" s="94"/>
      <c r="AO152" s="94"/>
      <c r="AP152" s="94"/>
      <c r="AQ152" s="94"/>
      <c r="AR152" s="94"/>
      <c r="AS152" s="94"/>
      <c r="AT152" s="94"/>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row>
    <row r="153" ht="12.75" customHeight="1">
      <c r="U153" s="96">
        <v>44227.0</v>
      </c>
      <c r="V153" s="94"/>
      <c r="W153" s="94"/>
      <c r="X153" s="94"/>
      <c r="Y153" s="94"/>
      <c r="Z153" s="94"/>
      <c r="AA153" s="94"/>
      <c r="AB153" s="94"/>
      <c r="AC153" s="94"/>
      <c r="AD153" s="94">
        <f t="shared" ref="AD153:AF153" si="84">+$AD$53*$U$61*$X$61</f>
        <v>21510.41667</v>
      </c>
      <c r="AE153" s="94">
        <f t="shared" si="84"/>
        <v>21510.41667</v>
      </c>
      <c r="AF153" s="94">
        <f t="shared" si="84"/>
        <v>21510.41667</v>
      </c>
      <c r="AG153" s="94"/>
      <c r="AH153" s="94"/>
      <c r="AI153" s="94"/>
      <c r="AJ153" s="94"/>
      <c r="AK153" s="94"/>
      <c r="AL153" s="94"/>
      <c r="AM153" s="94"/>
      <c r="AN153" s="94"/>
      <c r="AO153" s="94"/>
      <c r="AP153" s="94"/>
      <c r="AQ153" s="94"/>
      <c r="AR153" s="94"/>
      <c r="AS153" s="94"/>
      <c r="AT153" s="94"/>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row>
    <row r="154" ht="12.75" customHeight="1">
      <c r="U154" s="96">
        <v>44255.0</v>
      </c>
      <c r="V154" s="94"/>
      <c r="W154" s="94"/>
      <c r="X154" s="94"/>
      <c r="Y154" s="94"/>
      <c r="Z154" s="94"/>
      <c r="AA154" s="94"/>
      <c r="AB154" s="94"/>
      <c r="AC154" s="94"/>
      <c r="AD154" s="94"/>
      <c r="AE154" s="94">
        <f t="shared" ref="AE154:AG154" si="85">+$AE$53*$U$61*$X$61</f>
        <v>24378.47222</v>
      </c>
      <c r="AF154" s="94">
        <f t="shared" si="85"/>
        <v>24378.47222</v>
      </c>
      <c r="AG154" s="94">
        <f t="shared" si="85"/>
        <v>24378.47222</v>
      </c>
      <c r="AH154" s="94"/>
      <c r="AI154" s="94"/>
      <c r="AJ154" s="94"/>
      <c r="AK154" s="94"/>
      <c r="AL154" s="94"/>
      <c r="AM154" s="94"/>
      <c r="AN154" s="94"/>
      <c r="AO154" s="94"/>
      <c r="AP154" s="94"/>
      <c r="AQ154" s="94"/>
      <c r="AR154" s="94"/>
      <c r="AS154" s="94"/>
      <c r="AT154" s="94"/>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row>
    <row r="155" ht="12.75" customHeight="1">
      <c r="U155" s="96">
        <v>44286.0</v>
      </c>
      <c r="V155" s="94"/>
      <c r="W155" s="94"/>
      <c r="X155" s="94"/>
      <c r="Y155" s="94"/>
      <c r="Z155" s="94"/>
      <c r="AA155" s="94"/>
      <c r="AB155" s="94"/>
      <c r="AC155" s="94"/>
      <c r="AD155" s="94"/>
      <c r="AE155" s="94"/>
      <c r="AF155" s="94">
        <f t="shared" ref="AF155:AH155" si="86">+$AF$53*$U$61*$X$61</f>
        <v>24378.47222</v>
      </c>
      <c r="AG155" s="94">
        <f t="shared" si="86"/>
        <v>24378.47222</v>
      </c>
      <c r="AH155" s="94">
        <f t="shared" si="86"/>
        <v>24378.47222</v>
      </c>
      <c r="AI155" s="94"/>
      <c r="AJ155" s="94"/>
      <c r="AK155" s="94"/>
      <c r="AL155" s="94"/>
      <c r="AM155" s="94"/>
      <c r="AN155" s="94"/>
      <c r="AO155" s="94"/>
      <c r="AP155" s="94"/>
      <c r="AQ155" s="94"/>
      <c r="AR155" s="94"/>
      <c r="AS155" s="94"/>
      <c r="AT155" s="94"/>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row>
    <row r="156" ht="12.75" customHeight="1">
      <c r="U156" s="96">
        <v>44316.0</v>
      </c>
      <c r="V156" s="94"/>
      <c r="W156" s="94"/>
      <c r="X156" s="94"/>
      <c r="Y156" s="94"/>
      <c r="Z156" s="94"/>
      <c r="AA156" s="94"/>
      <c r="AB156" s="94"/>
      <c r="AC156" s="94"/>
      <c r="AD156" s="94"/>
      <c r="AE156" s="94"/>
      <c r="AF156" s="94"/>
      <c r="AG156" s="94">
        <f t="shared" ref="AG156:AI156" si="87">+$AG$53*$U$61*$X$61</f>
        <v>19120.37037</v>
      </c>
      <c r="AH156" s="94">
        <f t="shared" si="87"/>
        <v>19120.37037</v>
      </c>
      <c r="AI156" s="94">
        <f t="shared" si="87"/>
        <v>19120.37037</v>
      </c>
      <c r="AJ156" s="94"/>
      <c r="AK156" s="94"/>
      <c r="AL156" s="94"/>
      <c r="AM156" s="94"/>
      <c r="AN156" s="94"/>
      <c r="AO156" s="94"/>
      <c r="AP156" s="94"/>
      <c r="AQ156" s="94"/>
      <c r="AR156" s="94"/>
      <c r="AS156" s="94"/>
      <c r="AT156" s="94"/>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row>
    <row r="157" ht="12.75" customHeight="1">
      <c r="U157" s="96">
        <v>44347.0</v>
      </c>
      <c r="V157" s="94"/>
      <c r="W157" s="94"/>
      <c r="X157" s="94"/>
      <c r="Y157" s="94"/>
      <c r="Z157" s="94"/>
      <c r="AA157" s="94"/>
      <c r="AB157" s="94"/>
      <c r="AC157" s="94"/>
      <c r="AD157" s="94"/>
      <c r="AE157" s="94"/>
      <c r="AF157" s="94"/>
      <c r="AG157" s="94"/>
      <c r="AH157" s="94">
        <f t="shared" ref="AH157:AJ157" si="88">+$AH$53*$U$61*$X$61</f>
        <v>12746.91358</v>
      </c>
      <c r="AI157" s="94">
        <f t="shared" si="88"/>
        <v>12746.91358</v>
      </c>
      <c r="AJ157" s="94">
        <f t="shared" si="88"/>
        <v>12746.91358</v>
      </c>
      <c r="AK157" s="94"/>
      <c r="AL157" s="94"/>
      <c r="AM157" s="94"/>
      <c r="AN157" s="94"/>
      <c r="AO157" s="94"/>
      <c r="AP157" s="94"/>
      <c r="AQ157" s="94"/>
      <c r="AR157" s="94"/>
      <c r="AS157" s="94"/>
      <c r="AT157" s="94"/>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row>
    <row r="158" ht="12.75" customHeight="1">
      <c r="U158" s="96">
        <v>44377.0</v>
      </c>
      <c r="V158" s="94"/>
      <c r="W158" s="94"/>
      <c r="X158" s="94"/>
      <c r="Y158" s="94"/>
      <c r="Z158" s="94"/>
      <c r="AA158" s="94"/>
      <c r="AB158" s="94"/>
      <c r="AC158" s="94"/>
      <c r="AD158" s="94"/>
      <c r="AE158" s="94"/>
      <c r="AF158" s="94"/>
      <c r="AG158" s="94"/>
      <c r="AH158" s="94"/>
      <c r="AI158" s="94">
        <f t="shared" ref="AI158:AK158" si="89">+$AI$53*$U$61*$X$61</f>
        <v>12746.91358</v>
      </c>
      <c r="AJ158" s="94">
        <f t="shared" si="89"/>
        <v>12746.91358</v>
      </c>
      <c r="AK158" s="94">
        <f t="shared" si="89"/>
        <v>12746.91358</v>
      </c>
      <c r="AL158" s="94"/>
      <c r="AM158" s="94"/>
      <c r="AN158" s="94"/>
      <c r="AO158" s="94"/>
      <c r="AP158" s="94"/>
      <c r="AQ158" s="94"/>
      <c r="AR158" s="94"/>
      <c r="AS158" s="94"/>
      <c r="AT158" s="94"/>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row>
    <row r="159" ht="12.75" customHeight="1">
      <c r="U159" s="96">
        <v>44408.0</v>
      </c>
      <c r="V159" s="94"/>
      <c r="W159" s="94"/>
      <c r="X159" s="94"/>
      <c r="Y159" s="94"/>
      <c r="Z159" s="94"/>
      <c r="AA159" s="94"/>
      <c r="AB159" s="94"/>
      <c r="AC159" s="94"/>
      <c r="AD159" s="94"/>
      <c r="AE159" s="94"/>
      <c r="AF159" s="94"/>
      <c r="AG159" s="94"/>
      <c r="AH159" s="94"/>
      <c r="AI159" s="94"/>
      <c r="AJ159" s="94">
        <f t="shared" ref="AJ159:AL159" si="90">+$AJ$53*$U$61*$X$61</f>
        <v>12746.91358</v>
      </c>
      <c r="AK159" s="94">
        <f t="shared" si="90"/>
        <v>12746.91358</v>
      </c>
      <c r="AL159" s="94">
        <f t="shared" si="90"/>
        <v>12746.91358</v>
      </c>
      <c r="AM159" s="94"/>
      <c r="AN159" s="94"/>
      <c r="AO159" s="94"/>
      <c r="AP159" s="94"/>
      <c r="AQ159" s="94"/>
      <c r="AR159" s="94"/>
      <c r="AS159" s="94"/>
      <c r="AT159" s="94"/>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row>
    <row r="160" ht="12.75" customHeight="1">
      <c r="U160" s="96">
        <v>44439.0</v>
      </c>
      <c r="V160" s="94"/>
      <c r="W160" s="94"/>
      <c r="X160" s="94"/>
      <c r="Y160" s="94"/>
      <c r="Z160" s="94"/>
      <c r="AA160" s="94"/>
      <c r="AB160" s="94"/>
      <c r="AC160" s="94"/>
      <c r="AD160" s="94"/>
      <c r="AE160" s="94"/>
      <c r="AF160" s="94"/>
      <c r="AG160" s="94"/>
      <c r="AH160" s="94"/>
      <c r="AI160" s="94"/>
      <c r="AJ160" s="94"/>
      <c r="AK160" s="94">
        <f t="shared" ref="AK160:AM160" si="91">+$AK$53*$U$61*$X$61</f>
        <v>19120.37037</v>
      </c>
      <c r="AL160" s="94">
        <f t="shared" si="91"/>
        <v>19120.37037</v>
      </c>
      <c r="AM160" s="94">
        <f t="shared" si="91"/>
        <v>19120.37037</v>
      </c>
      <c r="AN160" s="94"/>
      <c r="AO160" s="94"/>
      <c r="AP160" s="94"/>
      <c r="AQ160" s="94"/>
      <c r="AR160" s="94"/>
      <c r="AS160" s="94"/>
      <c r="AT160" s="94"/>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row>
    <row r="161" ht="12.75" customHeight="1">
      <c r="U161" s="96">
        <v>44469.0</v>
      </c>
      <c r="V161" s="94"/>
      <c r="W161" s="94"/>
      <c r="X161" s="94"/>
      <c r="Y161" s="94"/>
      <c r="Z161" s="94"/>
      <c r="AA161" s="94"/>
      <c r="AB161" s="94"/>
      <c r="AC161" s="94"/>
      <c r="AD161" s="94"/>
      <c r="AE161" s="94"/>
      <c r="AF161" s="94"/>
      <c r="AG161" s="94"/>
      <c r="AH161" s="94"/>
      <c r="AI161" s="94"/>
      <c r="AJ161" s="94"/>
      <c r="AK161" s="94"/>
      <c r="AL161" s="94">
        <f t="shared" ref="AL161:AN161" si="92">+$AL$53*$U$61*$X$61</f>
        <v>25493.82716</v>
      </c>
      <c r="AM161" s="94">
        <f t="shared" si="92"/>
        <v>25493.82716</v>
      </c>
      <c r="AN161" s="94">
        <f t="shared" si="92"/>
        <v>25493.82716</v>
      </c>
      <c r="AO161" s="94"/>
      <c r="AP161" s="94"/>
      <c r="AQ161" s="94"/>
      <c r="AR161" s="94"/>
      <c r="AS161" s="94"/>
      <c r="AT161" s="94"/>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row>
    <row r="162" ht="12.75" customHeight="1">
      <c r="U162" s="96">
        <v>44500.0</v>
      </c>
      <c r="V162" s="94"/>
      <c r="W162" s="94"/>
      <c r="X162" s="94"/>
      <c r="Y162" s="94"/>
      <c r="Z162" s="94"/>
      <c r="AA162" s="94"/>
      <c r="AB162" s="94"/>
      <c r="AC162" s="94"/>
      <c r="AD162" s="94"/>
      <c r="AE162" s="94"/>
      <c r="AF162" s="94"/>
      <c r="AG162" s="94"/>
      <c r="AH162" s="94"/>
      <c r="AI162" s="94"/>
      <c r="AJ162" s="94"/>
      <c r="AK162" s="94"/>
      <c r="AL162" s="94"/>
      <c r="AM162" s="94">
        <f t="shared" ref="AM162:AO162" si="93">+$AM$53*$U$61*$X$61</f>
        <v>38240.74074</v>
      </c>
      <c r="AN162" s="94">
        <f t="shared" si="93"/>
        <v>38240.74074</v>
      </c>
      <c r="AO162" s="94">
        <f t="shared" si="93"/>
        <v>38240.74074</v>
      </c>
      <c r="AP162" s="94"/>
      <c r="AQ162" s="94"/>
      <c r="AR162" s="94"/>
      <c r="AS162" s="94"/>
      <c r="AT162" s="94"/>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row>
    <row r="163" ht="12.75" customHeight="1">
      <c r="U163" s="96">
        <v>44530.0</v>
      </c>
      <c r="V163" s="94"/>
      <c r="W163" s="94"/>
      <c r="X163" s="94"/>
      <c r="Y163" s="94"/>
      <c r="Z163" s="94"/>
      <c r="AA163" s="94"/>
      <c r="AB163" s="94"/>
      <c r="AC163" s="94"/>
      <c r="AD163" s="94"/>
      <c r="AE163" s="94"/>
      <c r="AF163" s="94"/>
      <c r="AG163" s="94"/>
      <c r="AH163" s="94"/>
      <c r="AI163" s="94"/>
      <c r="AJ163" s="94"/>
      <c r="AK163" s="94"/>
      <c r="AL163" s="94"/>
      <c r="AM163" s="94"/>
      <c r="AN163" s="94">
        <f t="shared" ref="AN163:AP163" si="94">+$AN$53*$U$61*$X$61</f>
        <v>9177.777778</v>
      </c>
      <c r="AO163" s="94">
        <f t="shared" si="94"/>
        <v>9177.777778</v>
      </c>
      <c r="AP163" s="94">
        <f t="shared" si="94"/>
        <v>9177.777778</v>
      </c>
      <c r="AQ163" s="94"/>
      <c r="AR163" s="94"/>
      <c r="AS163" s="94"/>
      <c r="AT163" s="94"/>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row>
    <row r="164" ht="12.75" customHeight="1">
      <c r="U164" s="96">
        <v>44561.0</v>
      </c>
      <c r="V164" s="94"/>
      <c r="W164" s="94"/>
      <c r="X164" s="94"/>
      <c r="Y164" s="94"/>
      <c r="Z164" s="94"/>
      <c r="AA164" s="94"/>
      <c r="AB164" s="94"/>
      <c r="AC164" s="94"/>
      <c r="AD164" s="94"/>
      <c r="AE164" s="94"/>
      <c r="AF164" s="94"/>
      <c r="AG164" s="94"/>
      <c r="AH164" s="94"/>
      <c r="AI164" s="94"/>
      <c r="AJ164" s="94"/>
      <c r="AK164" s="94"/>
      <c r="AL164" s="94"/>
      <c r="AM164" s="94"/>
      <c r="AN164" s="94"/>
      <c r="AO164" s="94">
        <f t="shared" ref="AO164:AQ164" si="95">+$AO$53*$U$61*$X$61</f>
        <v>9177.777778</v>
      </c>
      <c r="AP164" s="94">
        <f t="shared" si="95"/>
        <v>9177.777778</v>
      </c>
      <c r="AQ164" s="94">
        <f t="shared" si="95"/>
        <v>9177.777778</v>
      </c>
      <c r="AR164" s="94"/>
      <c r="AS164" s="94"/>
      <c r="AT164" s="94"/>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row>
    <row r="165" ht="12.75" customHeight="1">
      <c r="U165" s="96">
        <v>44592.0</v>
      </c>
      <c r="V165" s="94"/>
      <c r="W165" s="94"/>
      <c r="X165" s="94"/>
      <c r="Y165" s="94"/>
      <c r="Z165" s="94"/>
      <c r="AA165" s="94"/>
      <c r="AB165" s="94"/>
      <c r="AC165" s="94"/>
      <c r="AD165" s="94"/>
      <c r="AE165" s="94"/>
      <c r="AF165" s="94"/>
      <c r="AG165" s="94"/>
      <c r="AH165" s="94"/>
      <c r="AI165" s="94"/>
      <c r="AJ165" s="94"/>
      <c r="AK165" s="94"/>
      <c r="AL165" s="94"/>
      <c r="AM165" s="94"/>
      <c r="AN165" s="94"/>
      <c r="AO165" s="94"/>
      <c r="AP165" s="94">
        <f t="shared" ref="AP165:AR165" si="96">+$AP$53*$U$61*$X$61</f>
        <v>12746.91358</v>
      </c>
      <c r="AQ165" s="94">
        <f t="shared" si="96"/>
        <v>12746.91358</v>
      </c>
      <c r="AR165" s="94">
        <f t="shared" si="96"/>
        <v>12746.91358</v>
      </c>
      <c r="AS165" s="94"/>
      <c r="AT165" s="94"/>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row>
    <row r="166" ht="12.75" customHeight="1">
      <c r="U166" s="96">
        <v>44620.0</v>
      </c>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f t="shared" ref="AQ166:AS166" si="97">+$AQ$53*$U$61*$X$61</f>
        <v>12746.91358</v>
      </c>
      <c r="AR166" s="94">
        <f t="shared" si="97"/>
        <v>12746.91358</v>
      </c>
      <c r="AS166" s="94">
        <f t="shared" si="97"/>
        <v>12746.91358</v>
      </c>
      <c r="AT166" s="94"/>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row>
    <row r="167" ht="12.75" customHeight="1">
      <c r="U167" s="96">
        <v>44651.0</v>
      </c>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f t="shared" ref="AR167:AT167" si="98">+$AR$53*$U$61*$X$61</f>
        <v>12746.91358</v>
      </c>
      <c r="AS167" s="94">
        <f t="shared" si="98"/>
        <v>12746.91358</v>
      </c>
      <c r="AT167" s="94">
        <f t="shared" si="98"/>
        <v>12746.91358</v>
      </c>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row>
    <row r="168" ht="12.75" customHeight="1">
      <c r="U168" s="96">
        <v>44681.0</v>
      </c>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f t="shared" ref="AS168:AU168" si="99">+$AS$53*$U$61*$X$61</f>
        <v>12746.91358</v>
      </c>
      <c r="AT168" s="94">
        <f t="shared" si="99"/>
        <v>12746.91358</v>
      </c>
      <c r="AU168" s="94">
        <f t="shared" si="99"/>
        <v>12746.91358</v>
      </c>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row>
    <row r="169" ht="12.75" customHeight="1">
      <c r="U169" s="96">
        <v>44712.0</v>
      </c>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f t="shared" ref="AT169:AV169" si="100">+$AT$53*$U$61*$X$61</f>
        <v>12746.91358</v>
      </c>
      <c r="AU169" s="94">
        <f t="shared" si="100"/>
        <v>12746.91358</v>
      </c>
      <c r="AV169" s="94">
        <f t="shared" si="100"/>
        <v>12746.91358</v>
      </c>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row>
    <row r="170" ht="12.75" customHeight="1">
      <c r="U170" s="96">
        <v>44742.0</v>
      </c>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f>+$AU$53*$U$61*$X$61</f>
        <v>6373.45679</v>
      </c>
      <c r="AV170" s="94">
        <f t="shared" ref="AV170:AW170" si="101">+$AU53*$U$61*$X$61</f>
        <v>6373.45679</v>
      </c>
      <c r="AW170" s="94">
        <f t="shared" si="101"/>
        <v>6373.45679</v>
      </c>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row>
    <row r="171" ht="12.75" customHeight="1">
      <c r="U171" s="96">
        <v>44773.0</v>
      </c>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f t="shared" ref="AV171:AX171" si="102">+$AV$53*$U$61*$X$61</f>
        <v>6373.45679</v>
      </c>
      <c r="AW171" s="94">
        <f t="shared" si="102"/>
        <v>6373.45679</v>
      </c>
      <c r="AX171" s="94">
        <f t="shared" si="102"/>
        <v>6373.45679</v>
      </c>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row>
    <row r="172" ht="12.75" customHeight="1">
      <c r="U172" s="96">
        <v>44804.0</v>
      </c>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94">
        <f t="shared" ref="AW172:AY172" si="103">+$AW$53*$U$61*$X$61</f>
        <v>10197.53086</v>
      </c>
      <c r="AX172" s="94">
        <f t="shared" si="103"/>
        <v>10197.53086</v>
      </c>
      <c r="AY172" s="94">
        <f t="shared" si="103"/>
        <v>10197.53086</v>
      </c>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row>
    <row r="173" ht="12.75" customHeight="1">
      <c r="U173" s="96">
        <v>44834.0</v>
      </c>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94"/>
      <c r="AX173" s="94">
        <f t="shared" ref="AX173:AZ173" si="104">+$AX$53*$U$61*$X$61</f>
        <v>19120.37037</v>
      </c>
      <c r="AY173" s="94">
        <f t="shared" si="104"/>
        <v>19120.37037</v>
      </c>
      <c r="AZ173" s="94">
        <f t="shared" si="104"/>
        <v>19120.37037</v>
      </c>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row>
    <row r="174" ht="12.75" customHeight="1">
      <c r="U174" s="96">
        <v>44865.0</v>
      </c>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94"/>
      <c r="AX174" s="94"/>
      <c r="AY174" s="94">
        <f t="shared" ref="AY174:BA174" si="105">+$AY$53*$U$61*$X$61</f>
        <v>19120.37037</v>
      </c>
      <c r="AZ174" s="94">
        <f t="shared" si="105"/>
        <v>19120.37037</v>
      </c>
      <c r="BA174" s="94">
        <f t="shared" si="105"/>
        <v>19120.37037</v>
      </c>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row>
    <row r="175" ht="12.75" customHeight="1">
      <c r="U175" s="96">
        <v>44895.0</v>
      </c>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94"/>
      <c r="AX175" s="94"/>
      <c r="AY175" s="94"/>
      <c r="AZ175" s="94">
        <f t="shared" ref="AZ175:BB175" si="106">+$AZ$53*$U$61*$X$61</f>
        <v>9833.333333</v>
      </c>
      <c r="BA175" s="94">
        <f t="shared" si="106"/>
        <v>9833.333333</v>
      </c>
      <c r="BB175" s="94">
        <f t="shared" si="106"/>
        <v>9833.333333</v>
      </c>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row>
    <row r="176" ht="12.75" customHeight="1">
      <c r="U176" s="96">
        <v>44926.0</v>
      </c>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94"/>
      <c r="AX176" s="94"/>
      <c r="AY176" s="94"/>
      <c r="AZ176" s="94"/>
      <c r="BA176" s="94">
        <f t="shared" ref="BA176:BC176" si="107">+$BA$53*$U$61*$X$61</f>
        <v>9833.333333</v>
      </c>
      <c r="BB176" s="94">
        <f t="shared" si="107"/>
        <v>9833.333333</v>
      </c>
      <c r="BC176" s="94">
        <f t="shared" si="107"/>
        <v>9833.333333</v>
      </c>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row>
    <row r="177" ht="12.75" customHeight="1">
      <c r="U177" s="96">
        <v>44957.0</v>
      </c>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94"/>
      <c r="AX177" s="94"/>
      <c r="AY177" s="94"/>
      <c r="AZ177" s="94"/>
      <c r="BA177" s="94"/>
      <c r="BB177" s="94">
        <f t="shared" ref="BB177:BD177" si="108">+$BB$53*$U$61*$X$61</f>
        <v>8604.166667</v>
      </c>
      <c r="BC177" s="94">
        <f t="shared" si="108"/>
        <v>8604.166667</v>
      </c>
      <c r="BD177" s="94">
        <f t="shared" si="108"/>
        <v>8604.166667</v>
      </c>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row>
    <row r="178" ht="12.75" customHeight="1">
      <c r="U178" s="96">
        <v>44985.0</v>
      </c>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94"/>
      <c r="AX178" s="94"/>
      <c r="AY178" s="94"/>
      <c r="AZ178" s="94"/>
      <c r="BA178" s="94"/>
      <c r="BB178" s="94"/>
      <c r="BC178" s="94">
        <f t="shared" ref="BC178:BE178" si="109">+$BC$53*$U$61*$X$61</f>
        <v>4302.083333</v>
      </c>
      <c r="BD178" s="94">
        <f t="shared" si="109"/>
        <v>4302.083333</v>
      </c>
      <c r="BE178" s="94">
        <f t="shared" si="109"/>
        <v>4302.083333</v>
      </c>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row>
    <row r="179" ht="12.75" customHeight="1">
      <c r="U179" s="96">
        <v>45016.0</v>
      </c>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94"/>
      <c r="AX179" s="94"/>
      <c r="AY179" s="94"/>
      <c r="AZ179" s="94"/>
      <c r="BA179" s="94"/>
      <c r="BB179" s="94"/>
      <c r="BC179" s="94"/>
      <c r="BD179" s="94">
        <f t="shared" ref="BD179:BF179" si="110">+$BD$53*$U$61*$X$61</f>
        <v>4302.083333</v>
      </c>
      <c r="BE179" s="94">
        <f t="shared" si="110"/>
        <v>4302.083333</v>
      </c>
      <c r="BF179" s="94">
        <f t="shared" si="110"/>
        <v>4302.083333</v>
      </c>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row>
    <row r="180" ht="12.75" customHeight="1">
      <c r="U180" s="96">
        <v>45046.0</v>
      </c>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94"/>
      <c r="AX180" s="94"/>
      <c r="AY180" s="94"/>
      <c r="AZ180" s="94"/>
      <c r="BA180" s="94"/>
      <c r="BB180" s="94"/>
      <c r="BC180" s="94"/>
      <c r="BD180" s="94"/>
      <c r="BE180" s="94">
        <f t="shared" ref="BE180:BG180" si="111">+$BE$53*$U$61*$X$61</f>
        <v>4302.083333</v>
      </c>
      <c r="BF180" s="94">
        <f t="shared" si="111"/>
        <v>4302.083333</v>
      </c>
      <c r="BG180" s="94">
        <f t="shared" si="111"/>
        <v>4302.083333</v>
      </c>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row>
    <row r="181" ht="12.75" customHeight="1">
      <c r="U181" s="96">
        <v>45077.0</v>
      </c>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94"/>
      <c r="AX181" s="94"/>
      <c r="AY181" s="94"/>
      <c r="AZ181" s="94"/>
      <c r="BA181" s="94"/>
      <c r="BB181" s="94"/>
      <c r="BC181" s="94"/>
      <c r="BD181" s="94"/>
      <c r="BE181" s="94"/>
      <c r="BF181" s="94">
        <f t="shared" ref="BF181:BH181" si="112">+$BF$53*$U$61*$X$61</f>
        <v>6022.916667</v>
      </c>
      <c r="BG181" s="94">
        <f t="shared" si="112"/>
        <v>6022.916667</v>
      </c>
      <c r="BH181" s="94">
        <f t="shared" si="112"/>
        <v>6022.916667</v>
      </c>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row>
    <row r="182" ht="12.75" customHeight="1">
      <c r="U182" s="96">
        <v>45107.0</v>
      </c>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94"/>
      <c r="AX182" s="94"/>
      <c r="AY182" s="94"/>
      <c r="AZ182" s="94"/>
      <c r="BA182" s="94"/>
      <c r="BB182" s="94"/>
      <c r="BC182" s="94"/>
      <c r="BD182" s="94"/>
      <c r="BE182" s="94"/>
      <c r="BF182" s="94"/>
      <c r="BG182" s="94">
        <f t="shared" ref="BG182:BI182" si="113">+$BG$53*$U$61*$X$61</f>
        <v>6022.916667</v>
      </c>
      <c r="BH182" s="94">
        <f t="shared" si="113"/>
        <v>6022.916667</v>
      </c>
      <c r="BI182" s="94">
        <f t="shared" si="113"/>
        <v>6022.916667</v>
      </c>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row>
    <row r="183" ht="12.75" customHeight="1">
      <c r="U183" s="96">
        <v>45138.0</v>
      </c>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94"/>
      <c r="AX183" s="94"/>
      <c r="AY183" s="94"/>
      <c r="AZ183" s="94"/>
      <c r="BA183" s="94"/>
      <c r="BB183" s="94"/>
      <c r="BC183" s="94"/>
      <c r="BD183" s="94"/>
      <c r="BE183" s="94"/>
      <c r="BF183" s="94"/>
      <c r="BG183" s="94"/>
      <c r="BH183" s="94">
        <f t="shared" ref="BH183:BJ183" si="114">+$BH$53*$U$61*$X$61</f>
        <v>6883.333333</v>
      </c>
      <c r="BI183" s="94">
        <f t="shared" si="114"/>
        <v>6883.333333</v>
      </c>
      <c r="BJ183" s="94">
        <f t="shared" si="114"/>
        <v>6883.333333</v>
      </c>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row>
    <row r="184" ht="12.75" customHeight="1">
      <c r="U184" s="96">
        <v>45169.0</v>
      </c>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94"/>
      <c r="AX184" s="94"/>
      <c r="AY184" s="94"/>
      <c r="AZ184" s="94"/>
      <c r="BA184" s="94"/>
      <c r="BB184" s="94"/>
      <c r="BC184" s="94"/>
      <c r="BD184" s="94"/>
      <c r="BE184" s="94"/>
      <c r="BF184" s="94"/>
      <c r="BG184" s="94"/>
      <c r="BH184" s="94"/>
      <c r="BI184" s="94">
        <f t="shared" ref="BI184:BK184" si="115">+$BI$53*$U$61*$X$61</f>
        <v>6883.333333</v>
      </c>
      <c r="BJ184" s="94">
        <f t="shared" si="115"/>
        <v>6883.333333</v>
      </c>
      <c r="BK184" s="94">
        <f t="shared" si="115"/>
        <v>6883.333333</v>
      </c>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row>
    <row r="185" ht="12.75" customHeight="1">
      <c r="U185" s="96">
        <v>45199.0</v>
      </c>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94"/>
      <c r="AX185" s="94"/>
      <c r="AY185" s="94"/>
      <c r="AZ185" s="94"/>
      <c r="BA185" s="94"/>
      <c r="BB185" s="94"/>
      <c r="BC185" s="94"/>
      <c r="BD185" s="94"/>
      <c r="BE185" s="94"/>
      <c r="BF185" s="94"/>
      <c r="BG185" s="94"/>
      <c r="BH185" s="94"/>
      <c r="BI185" s="94"/>
      <c r="BJ185" s="94">
        <f t="shared" ref="BJ185:BL185" si="116">+$BJ$53*$U$61*$X$61</f>
        <v>6883.333333</v>
      </c>
      <c r="BK185" s="94">
        <f t="shared" si="116"/>
        <v>6883.333333</v>
      </c>
      <c r="BL185" s="94">
        <f t="shared" si="116"/>
        <v>6883.333333</v>
      </c>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row>
    <row r="186" ht="12.75" customHeight="1">
      <c r="U186" s="96">
        <v>45230.0</v>
      </c>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94"/>
      <c r="AX186" s="94"/>
      <c r="AY186" s="94"/>
      <c r="AZ186" s="94"/>
      <c r="BA186" s="94"/>
      <c r="BB186" s="94"/>
      <c r="BC186" s="94"/>
      <c r="BD186" s="94"/>
      <c r="BE186" s="94"/>
      <c r="BF186" s="94"/>
      <c r="BG186" s="94"/>
      <c r="BH186" s="94"/>
      <c r="BI186" s="94"/>
      <c r="BJ186" s="94"/>
      <c r="BK186" s="94">
        <f t="shared" ref="BK186:BM186" si="117">+$BK$53*$U$61*$X$61</f>
        <v>6883.333333</v>
      </c>
      <c r="BL186" s="94">
        <f t="shared" si="117"/>
        <v>6883.333333</v>
      </c>
      <c r="BM186" s="94">
        <f t="shared" si="117"/>
        <v>6883.333333</v>
      </c>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row>
    <row r="187" ht="12.75" customHeight="1">
      <c r="U187" s="96">
        <v>45260.0</v>
      </c>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94"/>
      <c r="AX187" s="94"/>
      <c r="AY187" s="94"/>
      <c r="AZ187" s="94"/>
      <c r="BA187" s="94"/>
      <c r="BB187" s="94"/>
      <c r="BC187" s="94"/>
      <c r="BD187" s="94"/>
      <c r="BE187" s="94"/>
      <c r="BF187" s="94"/>
      <c r="BG187" s="94"/>
      <c r="BH187" s="94"/>
      <c r="BI187" s="94"/>
      <c r="BJ187" s="94"/>
      <c r="BK187" s="94"/>
      <c r="BL187" s="94">
        <f t="shared" ref="BL187:BN187" si="118">+$BL$53*$U$61*$X$61</f>
        <v>6022.916667</v>
      </c>
      <c r="BM187" s="94">
        <f t="shared" si="118"/>
        <v>6022.916667</v>
      </c>
      <c r="BN187" s="94">
        <f t="shared" si="118"/>
        <v>6022.916667</v>
      </c>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row>
    <row r="188" ht="12.75" customHeight="1">
      <c r="U188" s="96">
        <v>45291.0</v>
      </c>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94"/>
      <c r="AX188" s="94"/>
      <c r="AY188" s="94"/>
      <c r="AZ188" s="94"/>
      <c r="BA188" s="94"/>
      <c r="BB188" s="94"/>
      <c r="BC188" s="94"/>
      <c r="BD188" s="94"/>
      <c r="BE188" s="94"/>
      <c r="BF188" s="94"/>
      <c r="BG188" s="94"/>
      <c r="BH188" s="94"/>
      <c r="BI188" s="94"/>
      <c r="BJ188" s="94"/>
      <c r="BK188" s="94"/>
      <c r="BL188" s="94"/>
      <c r="BM188" s="94">
        <f t="shared" ref="BM188:BO188" si="119">+$BM$53*$U$61*$X$61</f>
        <v>4302.083333</v>
      </c>
      <c r="BN188" s="94">
        <f t="shared" si="119"/>
        <v>4302.083333</v>
      </c>
      <c r="BO188" s="94">
        <f t="shared" si="119"/>
        <v>4302.083333</v>
      </c>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row>
    <row r="189" ht="12.75" customHeight="1">
      <c r="U189" s="96">
        <v>45322.0</v>
      </c>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94"/>
      <c r="AX189" s="94"/>
      <c r="AY189" s="94"/>
      <c r="AZ189" s="94"/>
      <c r="BA189" s="94"/>
      <c r="BB189" s="94"/>
      <c r="BC189" s="94"/>
      <c r="BD189" s="94"/>
      <c r="BE189" s="94"/>
      <c r="BF189" s="94"/>
      <c r="BG189" s="94"/>
      <c r="BH189" s="94"/>
      <c r="BI189" s="94"/>
      <c r="BJ189" s="94"/>
      <c r="BK189" s="94"/>
      <c r="BL189" s="94"/>
      <c r="BM189" s="94"/>
      <c r="BN189" s="94">
        <f t="shared" ref="BN189:BP189" si="120">+$BN$53*$U$61*$X$61</f>
        <v>6883.333333</v>
      </c>
      <c r="BO189" s="94">
        <f t="shared" si="120"/>
        <v>6883.333333</v>
      </c>
      <c r="BP189" s="94">
        <f t="shared" si="120"/>
        <v>6883.333333</v>
      </c>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row>
    <row r="190" ht="12.75" customHeight="1">
      <c r="U190" s="96">
        <v>45351.0</v>
      </c>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94"/>
      <c r="AX190" s="94"/>
      <c r="AY190" s="94"/>
      <c r="AZ190" s="94"/>
      <c r="BA190" s="94"/>
      <c r="BB190" s="94"/>
      <c r="BC190" s="94"/>
      <c r="BD190" s="94"/>
      <c r="BE190" s="94"/>
      <c r="BF190" s="94"/>
      <c r="BG190" s="94"/>
      <c r="BH190" s="94"/>
      <c r="BI190" s="94"/>
      <c r="BJ190" s="94"/>
      <c r="BK190" s="94"/>
      <c r="BL190" s="94"/>
      <c r="BM190" s="94"/>
      <c r="BN190" s="94"/>
      <c r="BO190" s="94">
        <f t="shared" ref="BO190:BQ190" si="121">+$BO$53*$U$61*$X$61</f>
        <v>10325</v>
      </c>
      <c r="BP190" s="94">
        <f t="shared" si="121"/>
        <v>10325</v>
      </c>
      <c r="BQ190" s="94">
        <f t="shared" si="121"/>
        <v>10325</v>
      </c>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row>
    <row r="191" ht="12.75" customHeight="1">
      <c r="U191" s="96">
        <v>45382.0</v>
      </c>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f t="shared" ref="BP191:BR191" si="122">+$BP$53*$U$61*$X$61</f>
        <v>17208.33333</v>
      </c>
      <c r="BQ191" s="94">
        <f t="shared" si="122"/>
        <v>17208.33333</v>
      </c>
      <c r="BR191" s="94">
        <f t="shared" si="122"/>
        <v>17208.33333</v>
      </c>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row>
    <row r="192" ht="12.75" customHeight="1">
      <c r="U192" s="96">
        <v>45412.0</v>
      </c>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f t="shared" ref="BQ192:BS192" si="123">+$BQ$53*$U$61*$X$61</f>
        <v>17208.33333</v>
      </c>
      <c r="BR192" s="94">
        <f t="shared" si="123"/>
        <v>17208.33333</v>
      </c>
      <c r="BS192" s="94">
        <f t="shared" si="123"/>
        <v>17208.33333</v>
      </c>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row>
    <row r="193" ht="12.75" customHeight="1">
      <c r="U193" s="96">
        <v>45443.0</v>
      </c>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f t="shared" ref="BR193:BT193" si="124">+$BR$53*$U$61*$X$61</f>
        <v>19120.37037</v>
      </c>
      <c r="BS193" s="94">
        <f t="shared" si="124"/>
        <v>19120.37037</v>
      </c>
      <c r="BT193" s="94">
        <f t="shared" si="124"/>
        <v>19120.37037</v>
      </c>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row>
    <row r="194" ht="12.75" customHeight="1">
      <c r="U194" s="96">
        <v>45473.0</v>
      </c>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f t="shared" ref="BS194:BU194" si="125">+$BS$53*$U$61*$X$61</f>
        <v>19120.37037</v>
      </c>
      <c r="BT194" s="94">
        <f t="shared" si="125"/>
        <v>19120.37037</v>
      </c>
      <c r="BU194" s="94">
        <f t="shared" si="125"/>
        <v>19120.37037</v>
      </c>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row>
    <row r="195" ht="12.75" customHeight="1">
      <c r="U195" s="96">
        <v>45504.0</v>
      </c>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f t="shared" ref="BT195:BV195" si="126">+$BT$53*$U$61*$X$61</f>
        <v>21510.41667</v>
      </c>
      <c r="BU195" s="94">
        <f t="shared" si="126"/>
        <v>21510.41667</v>
      </c>
      <c r="BV195" s="94">
        <f t="shared" si="126"/>
        <v>21510.41667</v>
      </c>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row>
    <row r="196" ht="12.75" customHeight="1">
      <c r="U196" s="96">
        <v>45535.0</v>
      </c>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f t="shared" ref="BU196:BW196" si="127">+$BU$53*$U$61*$X$61</f>
        <v>24583.33333</v>
      </c>
      <c r="BV196" s="94">
        <f t="shared" si="127"/>
        <v>24583.33333</v>
      </c>
      <c r="BW196" s="94">
        <f t="shared" si="127"/>
        <v>24583.33333</v>
      </c>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row>
    <row r="197" ht="12.75" customHeight="1">
      <c r="U197" s="96">
        <v>45565.0</v>
      </c>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94"/>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f t="shared" ref="BV197:BX197" si="128">+$BV$53*$U$61*$X$61</f>
        <v>14750</v>
      </c>
      <c r="BW197" s="94">
        <f t="shared" si="128"/>
        <v>14750</v>
      </c>
      <c r="BX197" s="94">
        <f t="shared" si="128"/>
        <v>14750</v>
      </c>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row>
    <row r="198" ht="12.75" customHeight="1">
      <c r="U198" s="96">
        <v>45596.0</v>
      </c>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f t="shared" ref="BW198:BY198" si="129">+$BW$53*$U$61*$X$61</f>
        <v>14750</v>
      </c>
      <c r="BX198" s="94">
        <f t="shared" si="129"/>
        <v>14750</v>
      </c>
      <c r="BY198" s="94">
        <f t="shared" si="129"/>
        <v>14750</v>
      </c>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row>
    <row r="199" ht="12.75" customHeight="1">
      <c r="U199" s="96">
        <v>45626.0</v>
      </c>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f t="shared" ref="BX199:BZ199" si="130">+$BX$53*$U$61*$X$61</f>
        <v>12906.25</v>
      </c>
      <c r="BY199" s="94">
        <f t="shared" si="130"/>
        <v>12906.25</v>
      </c>
      <c r="BZ199" s="94">
        <f t="shared" si="130"/>
        <v>12906.25</v>
      </c>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row>
    <row r="200" ht="12.75" customHeight="1">
      <c r="U200" s="96">
        <v>45657.0</v>
      </c>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f t="shared" ref="BY200:CA200" si="131">+$BY$53*$U$61*$X$61</f>
        <v>12906.25</v>
      </c>
      <c r="BZ200" s="94">
        <f t="shared" si="131"/>
        <v>12906.25</v>
      </c>
      <c r="CA200" s="94">
        <f t="shared" si="131"/>
        <v>12906.25</v>
      </c>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row>
    <row r="201" ht="12.75" customHeight="1">
      <c r="U201" s="96">
        <v>45688.0</v>
      </c>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f t="shared" ref="BZ201:CB201" si="132">+$BZ$53*$U$61*$X$61</f>
        <v>24583.33333</v>
      </c>
      <c r="CA201" s="94">
        <f t="shared" si="132"/>
        <v>24583.33333</v>
      </c>
      <c r="CB201" s="94">
        <f t="shared" si="132"/>
        <v>24583.33333</v>
      </c>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row>
    <row r="202" ht="12.75" customHeight="1">
      <c r="U202" s="96">
        <v>45716.0</v>
      </c>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f t="shared" ref="CA202:CC202" si="133">+$CA$53*$U$61*$X$61</f>
        <v>9833.333333</v>
      </c>
      <c r="CB202" s="94">
        <f t="shared" si="133"/>
        <v>9833.333333</v>
      </c>
      <c r="CC202" s="94">
        <f t="shared" si="133"/>
        <v>9833.333333</v>
      </c>
      <c r="CD202" s="94"/>
      <c r="CE202" s="94"/>
      <c r="CF202" s="94"/>
      <c r="CG202" s="94"/>
      <c r="CH202" s="94"/>
      <c r="CI202" s="94"/>
      <c r="CJ202" s="94"/>
      <c r="CK202" s="94"/>
      <c r="CL202" s="94"/>
      <c r="CM202" s="94"/>
      <c r="CN202" s="94"/>
      <c r="CO202" s="94"/>
      <c r="CP202" s="94"/>
      <c r="CQ202" s="94"/>
      <c r="CR202" s="94"/>
      <c r="CS202" s="94"/>
      <c r="CT202" s="94"/>
      <c r="CU202" s="94"/>
      <c r="CV202" s="94"/>
      <c r="CW202" s="94"/>
      <c r="CX202" s="94"/>
    </row>
    <row r="203" ht="12.75" customHeight="1">
      <c r="U203" s="96">
        <v>45747.0</v>
      </c>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f t="shared" ref="CB203:CD203" si="134">+$CB$53*$U$61*$X$61</f>
        <v>9833.333333</v>
      </c>
      <c r="CC203" s="94">
        <f t="shared" si="134"/>
        <v>9833.333333</v>
      </c>
      <c r="CD203" s="94">
        <f t="shared" si="134"/>
        <v>9833.333333</v>
      </c>
      <c r="CE203" s="94"/>
      <c r="CF203" s="94"/>
      <c r="CG203" s="94"/>
      <c r="CH203" s="94"/>
      <c r="CI203" s="94"/>
      <c r="CJ203" s="94"/>
      <c r="CK203" s="94"/>
      <c r="CL203" s="94"/>
      <c r="CM203" s="94"/>
      <c r="CN203" s="94"/>
      <c r="CO203" s="94"/>
      <c r="CP203" s="94"/>
      <c r="CQ203" s="94"/>
      <c r="CR203" s="94"/>
      <c r="CS203" s="94"/>
      <c r="CT203" s="94"/>
      <c r="CU203" s="94"/>
      <c r="CV203" s="94"/>
      <c r="CW203" s="94"/>
      <c r="CX203" s="94"/>
    </row>
    <row r="204" ht="12.75" customHeight="1">
      <c r="U204" s="96">
        <v>45777.0</v>
      </c>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f t="shared" ref="CC204:CE204" si="135">+$CC$53*$U$61*$X$61</f>
        <v>9833.333333</v>
      </c>
      <c r="CD204" s="94">
        <f t="shared" si="135"/>
        <v>9833.333333</v>
      </c>
      <c r="CE204" s="94">
        <f t="shared" si="135"/>
        <v>9833.333333</v>
      </c>
      <c r="CF204" s="94"/>
      <c r="CG204" s="94"/>
      <c r="CH204" s="94"/>
      <c r="CI204" s="94"/>
      <c r="CJ204" s="94"/>
      <c r="CK204" s="94"/>
      <c r="CL204" s="94"/>
      <c r="CM204" s="94"/>
      <c r="CN204" s="94"/>
      <c r="CO204" s="94"/>
      <c r="CP204" s="94"/>
      <c r="CQ204" s="94"/>
      <c r="CR204" s="94"/>
      <c r="CS204" s="94"/>
      <c r="CT204" s="94"/>
      <c r="CU204" s="94"/>
      <c r="CV204" s="94"/>
      <c r="CW204" s="94"/>
      <c r="CX204" s="94"/>
    </row>
    <row r="205" ht="12.75" customHeight="1">
      <c r="U205" s="96">
        <v>45808.0</v>
      </c>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f t="shared" ref="CD205:CF205" si="136">+$CD$53*$U$61*$X$61</f>
        <v>9833.333333</v>
      </c>
      <c r="CE205" s="94">
        <f t="shared" si="136"/>
        <v>9833.333333</v>
      </c>
      <c r="CF205" s="94">
        <f t="shared" si="136"/>
        <v>9833.333333</v>
      </c>
      <c r="CG205" s="94"/>
      <c r="CH205" s="94"/>
      <c r="CI205" s="94"/>
      <c r="CJ205" s="94"/>
      <c r="CK205" s="94"/>
      <c r="CL205" s="94"/>
      <c r="CM205" s="94"/>
      <c r="CN205" s="94"/>
      <c r="CO205" s="94"/>
      <c r="CP205" s="94"/>
      <c r="CQ205" s="94"/>
      <c r="CR205" s="94"/>
      <c r="CS205" s="94"/>
      <c r="CT205" s="94"/>
      <c r="CU205" s="94"/>
      <c r="CV205" s="94"/>
      <c r="CW205" s="94"/>
      <c r="CX205" s="94"/>
    </row>
    <row r="206" ht="12.75" customHeight="1">
      <c r="U206" s="96">
        <v>45838.0</v>
      </c>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f t="shared" ref="CE206:CG206" si="137">+$CE$53*$U$61*$X$61</f>
        <v>9833.333333</v>
      </c>
      <c r="CF206" s="94">
        <f t="shared" si="137"/>
        <v>9833.333333</v>
      </c>
      <c r="CG206" s="94">
        <f t="shared" si="137"/>
        <v>9833.333333</v>
      </c>
      <c r="CH206" s="94"/>
      <c r="CI206" s="94"/>
      <c r="CJ206" s="94"/>
      <c r="CK206" s="94"/>
      <c r="CL206" s="94"/>
      <c r="CM206" s="94"/>
      <c r="CN206" s="94"/>
      <c r="CO206" s="94"/>
      <c r="CP206" s="94"/>
      <c r="CQ206" s="94"/>
      <c r="CR206" s="94"/>
      <c r="CS206" s="94"/>
      <c r="CT206" s="94"/>
      <c r="CU206" s="94"/>
      <c r="CV206" s="94"/>
      <c r="CW206" s="94"/>
      <c r="CX206" s="94"/>
    </row>
    <row r="207" ht="12.75" customHeight="1">
      <c r="U207" s="96">
        <v>45869.0</v>
      </c>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f t="shared" ref="CF207:CH207" si="138">+$CF$53*$U$61*$X$61</f>
        <v>9833.333333</v>
      </c>
      <c r="CG207" s="94">
        <f t="shared" si="138"/>
        <v>9833.333333</v>
      </c>
      <c r="CH207" s="94">
        <f t="shared" si="138"/>
        <v>9833.333333</v>
      </c>
      <c r="CI207" s="94"/>
      <c r="CJ207" s="94"/>
      <c r="CK207" s="94"/>
      <c r="CL207" s="94"/>
      <c r="CM207" s="94"/>
      <c r="CN207" s="94"/>
      <c r="CO207" s="94"/>
      <c r="CP207" s="94"/>
      <c r="CQ207" s="94"/>
      <c r="CR207" s="94"/>
      <c r="CS207" s="94"/>
      <c r="CT207" s="94"/>
      <c r="CU207" s="94"/>
      <c r="CV207" s="94"/>
      <c r="CW207" s="94"/>
      <c r="CX207" s="94"/>
    </row>
    <row r="208" ht="12.75" customHeight="1">
      <c r="U208" s="96">
        <v>45900.0</v>
      </c>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f t="shared" ref="CG208:CI208" si="139">+$CG$53*$U$61*$X$61</f>
        <v>9833.333333</v>
      </c>
      <c r="CH208" s="94">
        <f t="shared" si="139"/>
        <v>9833.333333</v>
      </c>
      <c r="CI208" s="94">
        <f t="shared" si="139"/>
        <v>9833.333333</v>
      </c>
      <c r="CJ208" s="94"/>
      <c r="CK208" s="94"/>
      <c r="CL208" s="94"/>
      <c r="CM208" s="94"/>
      <c r="CN208" s="94"/>
      <c r="CO208" s="94"/>
      <c r="CP208" s="94"/>
      <c r="CQ208" s="94"/>
      <c r="CR208" s="94"/>
      <c r="CS208" s="94"/>
      <c r="CT208" s="94"/>
      <c r="CU208" s="94"/>
      <c r="CV208" s="94"/>
      <c r="CW208" s="94"/>
      <c r="CX208" s="94"/>
    </row>
    <row r="209" ht="12.75" customHeight="1">
      <c r="U209" s="96">
        <v>45930.0</v>
      </c>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f t="shared" ref="CH209:CJ209" si="140">+$CH$53*$U$61*$X$61</f>
        <v>9833.333333</v>
      </c>
      <c r="CI209" s="94">
        <f t="shared" si="140"/>
        <v>9833.333333</v>
      </c>
      <c r="CJ209" s="94">
        <f t="shared" si="140"/>
        <v>9833.333333</v>
      </c>
      <c r="CK209" s="94"/>
      <c r="CL209" s="94"/>
      <c r="CM209" s="94"/>
      <c r="CN209" s="94"/>
      <c r="CO209" s="94"/>
      <c r="CP209" s="94"/>
      <c r="CQ209" s="94"/>
      <c r="CR209" s="94"/>
      <c r="CS209" s="94"/>
      <c r="CT209" s="94"/>
      <c r="CU209" s="94"/>
      <c r="CV209" s="94"/>
      <c r="CW209" s="94"/>
      <c r="CX209" s="94"/>
    </row>
    <row r="210" ht="12.75" customHeight="1">
      <c r="U210" s="96">
        <v>45961.0</v>
      </c>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f t="shared" ref="CI210:CK210" si="141">+$CI$53*$U$61*$X$61</f>
        <v>14750</v>
      </c>
      <c r="CJ210" s="94">
        <f t="shared" si="141"/>
        <v>14750</v>
      </c>
      <c r="CK210" s="94">
        <f t="shared" si="141"/>
        <v>14750</v>
      </c>
      <c r="CL210" s="94"/>
      <c r="CM210" s="94"/>
      <c r="CN210" s="94"/>
      <c r="CO210" s="94"/>
      <c r="CP210" s="94"/>
      <c r="CQ210" s="94"/>
      <c r="CR210" s="94"/>
      <c r="CS210" s="94"/>
      <c r="CT210" s="94"/>
      <c r="CU210" s="94"/>
      <c r="CV210" s="94"/>
      <c r="CW210" s="94"/>
      <c r="CX210" s="94"/>
    </row>
    <row r="211" ht="12.75" customHeight="1">
      <c r="U211" s="96">
        <v>45991.0</v>
      </c>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f t="shared" ref="CJ211:CL211" si="142">+$CJ$53*$U$61*$X$61</f>
        <v>14750</v>
      </c>
      <c r="CK211" s="94">
        <f t="shared" si="142"/>
        <v>14750</v>
      </c>
      <c r="CL211" s="94">
        <f t="shared" si="142"/>
        <v>14750</v>
      </c>
      <c r="CM211" s="94"/>
      <c r="CN211" s="94"/>
      <c r="CO211" s="94"/>
      <c r="CP211" s="94"/>
      <c r="CQ211" s="94"/>
      <c r="CR211" s="94"/>
      <c r="CS211" s="94"/>
      <c r="CT211" s="94"/>
      <c r="CU211" s="94"/>
      <c r="CV211" s="94"/>
      <c r="CW211" s="94"/>
      <c r="CX211" s="94"/>
    </row>
    <row r="212" ht="12.75" customHeight="1">
      <c r="U212" s="96">
        <v>46022.0</v>
      </c>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f t="shared" ref="CK212:CM212" si="143">+$CK$53*$U$61*$X$61</f>
        <v>14750</v>
      </c>
      <c r="CL212" s="94">
        <f t="shared" si="143"/>
        <v>14750</v>
      </c>
      <c r="CM212" s="94">
        <f t="shared" si="143"/>
        <v>14750</v>
      </c>
      <c r="CN212" s="94"/>
      <c r="CO212" s="94"/>
      <c r="CP212" s="94"/>
      <c r="CQ212" s="94"/>
      <c r="CR212" s="94"/>
      <c r="CS212" s="94"/>
      <c r="CT212" s="94"/>
      <c r="CU212" s="94"/>
      <c r="CV212" s="94"/>
      <c r="CW212" s="94"/>
      <c r="CX212" s="94"/>
    </row>
    <row r="213" ht="12.75" customHeight="1">
      <c r="U213" s="96">
        <v>46053.0</v>
      </c>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f t="shared" ref="CL213:CN213" si="144">+$CL$53*$U$61*$X$61</f>
        <v>14750</v>
      </c>
      <c r="CM213" s="94">
        <f t="shared" si="144"/>
        <v>14750</v>
      </c>
      <c r="CN213" s="94">
        <f t="shared" si="144"/>
        <v>14750</v>
      </c>
      <c r="CO213" s="94"/>
      <c r="CP213" s="94"/>
      <c r="CQ213" s="94"/>
      <c r="CR213" s="94"/>
      <c r="CS213" s="94"/>
      <c r="CT213" s="94"/>
      <c r="CU213" s="94"/>
      <c r="CV213" s="94"/>
      <c r="CW213" s="94"/>
      <c r="CX213" s="94"/>
    </row>
    <row r="214" ht="12.75" customHeight="1">
      <c r="U214" s="96">
        <v>46081.0</v>
      </c>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f t="shared" ref="CM214:CO214" si="145">+$CM$53*$U$61*$X$61</f>
        <v>14750</v>
      </c>
      <c r="CN214" s="94">
        <f t="shared" si="145"/>
        <v>14750</v>
      </c>
      <c r="CO214" s="94">
        <f t="shared" si="145"/>
        <v>14750</v>
      </c>
      <c r="CP214" s="94"/>
      <c r="CQ214" s="94"/>
      <c r="CR214" s="94"/>
      <c r="CS214" s="94"/>
      <c r="CT214" s="94"/>
      <c r="CU214" s="94"/>
      <c r="CV214" s="94"/>
      <c r="CW214" s="94"/>
      <c r="CX214" s="94"/>
    </row>
    <row r="215" ht="12.75" customHeight="1">
      <c r="U215" s="96">
        <v>46112.0</v>
      </c>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f t="shared" ref="CN215:CP215" si="146">+$CN$53*$U$61*$X$61</f>
        <v>19666.66667</v>
      </c>
      <c r="CO215" s="94">
        <f t="shared" si="146"/>
        <v>19666.66667</v>
      </c>
      <c r="CP215" s="94">
        <f t="shared" si="146"/>
        <v>19666.66667</v>
      </c>
      <c r="CQ215" s="94"/>
      <c r="CR215" s="94"/>
      <c r="CS215" s="94"/>
      <c r="CT215" s="94"/>
      <c r="CU215" s="94"/>
      <c r="CV215" s="94"/>
      <c r="CW215" s="94"/>
      <c r="CX215" s="94"/>
    </row>
    <row r="216" ht="12.75" customHeight="1">
      <c r="U216" s="96">
        <v>46142.0</v>
      </c>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f t="shared" ref="CO216:CQ216" si="147">+$CO$53*$U$61*$X$61</f>
        <v>24583.33333</v>
      </c>
      <c r="CP216" s="94">
        <f t="shared" si="147"/>
        <v>24583.33333</v>
      </c>
      <c r="CQ216" s="94">
        <f t="shared" si="147"/>
        <v>24583.33333</v>
      </c>
      <c r="CR216" s="94"/>
      <c r="CS216" s="94"/>
      <c r="CT216" s="94"/>
      <c r="CU216" s="94"/>
      <c r="CV216" s="94"/>
      <c r="CW216" s="94"/>
      <c r="CX216" s="94"/>
    </row>
    <row r="217" ht="12.75" customHeight="1">
      <c r="U217" s="96">
        <v>46173.0</v>
      </c>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f t="shared" ref="CP217:CR217" si="148">+$CP$53*$U$61*$X$61</f>
        <v>24583.33333</v>
      </c>
      <c r="CQ217" s="94">
        <f t="shared" si="148"/>
        <v>24583.33333</v>
      </c>
      <c r="CR217" s="94">
        <f t="shared" si="148"/>
        <v>24583.33333</v>
      </c>
      <c r="CS217" s="94"/>
      <c r="CT217" s="94"/>
      <c r="CU217" s="94"/>
      <c r="CV217" s="94"/>
      <c r="CW217" s="94"/>
      <c r="CX217" s="94"/>
    </row>
    <row r="218" ht="12.75" customHeight="1">
      <c r="U218" s="96">
        <v>46203.0</v>
      </c>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f t="shared" ref="CQ218:CS218" si="149">+$CQ$53*$U$61*$X$61</f>
        <v>24583.33333</v>
      </c>
      <c r="CR218" s="94">
        <f t="shared" si="149"/>
        <v>24583.33333</v>
      </c>
      <c r="CS218" s="94">
        <f t="shared" si="149"/>
        <v>24583.33333</v>
      </c>
      <c r="CT218" s="94"/>
      <c r="CU218" s="94"/>
      <c r="CV218" s="94"/>
      <c r="CW218" s="94"/>
      <c r="CX218" s="94"/>
    </row>
    <row r="219" ht="12.75" customHeight="1">
      <c r="U219" s="96">
        <v>46234.0</v>
      </c>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f t="shared" ref="CR219:CT219" si="150">+$CR$53*$U$61*$X$61</f>
        <v>29500</v>
      </c>
      <c r="CS219" s="94">
        <f t="shared" si="150"/>
        <v>29500</v>
      </c>
      <c r="CT219" s="94">
        <f t="shared" si="150"/>
        <v>29500</v>
      </c>
      <c r="CU219" s="94"/>
      <c r="CV219" s="94"/>
      <c r="CW219" s="94"/>
      <c r="CX219" s="94"/>
    </row>
    <row r="220" ht="12.75" customHeight="1">
      <c r="U220" s="96">
        <v>46265.0</v>
      </c>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f t="shared" ref="CS220:CU220" si="151">+$CS53*$U$61*$X$61</f>
        <v>29500</v>
      </c>
      <c r="CT220" s="94">
        <f t="shared" si="151"/>
        <v>29500</v>
      </c>
      <c r="CU220" s="94">
        <f t="shared" si="151"/>
        <v>29500</v>
      </c>
      <c r="CV220" s="94"/>
      <c r="CW220" s="94"/>
      <c r="CX220" s="94"/>
    </row>
    <row r="221" ht="12.75" customHeight="1">
      <c r="U221" s="96">
        <v>46295.0</v>
      </c>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f t="shared" ref="CT221:CV221" si="152">+$CT$53*$U$61*$X$61</f>
        <v>29500</v>
      </c>
      <c r="CU221" s="94">
        <f t="shared" si="152"/>
        <v>29500</v>
      </c>
      <c r="CV221" s="94">
        <f t="shared" si="152"/>
        <v>29500</v>
      </c>
      <c r="CW221" s="94"/>
      <c r="CX221" s="94"/>
    </row>
    <row r="222" ht="12.75" customHeight="1">
      <c r="U222" s="96">
        <v>46326.0</v>
      </c>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f t="shared" ref="CU222:CW222" si="153">+$CU$53*$U$61*$X$61</f>
        <v>29500</v>
      </c>
      <c r="CV222" s="94">
        <f t="shared" si="153"/>
        <v>29500</v>
      </c>
      <c r="CW222" s="94">
        <f t="shared" si="153"/>
        <v>29500</v>
      </c>
      <c r="CX222" s="94"/>
    </row>
    <row r="223" ht="12.75" customHeight="1">
      <c r="U223" s="96">
        <v>46356.0</v>
      </c>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f t="shared" ref="CV223:CX223" si="154">+$CV$53*$U$61*$X$61</f>
        <v>29500</v>
      </c>
      <c r="CW223" s="94">
        <f t="shared" si="154"/>
        <v>29500</v>
      </c>
      <c r="CX223" s="94">
        <f t="shared" si="154"/>
        <v>29500</v>
      </c>
    </row>
    <row r="224" ht="12.75" customHeight="1">
      <c r="U224" s="96">
        <v>46387.0</v>
      </c>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f t="shared" ref="CW224:CY224" si="155">+$CW$53*$U$61*$X$61</f>
        <v>29500</v>
      </c>
      <c r="CX224" s="94">
        <f t="shared" si="155"/>
        <v>29500</v>
      </c>
      <c r="CY224" s="94">
        <f t="shared" si="155"/>
        <v>29500</v>
      </c>
    </row>
    <row r="225" ht="12.75" customHeight="1">
      <c r="U225" s="96">
        <v>46418.0</v>
      </c>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f t="shared" ref="CX225:CZ225" si="156">+$CX$53*$U$61*$X$61</f>
        <v>30114.58333</v>
      </c>
      <c r="CY225" s="94">
        <f t="shared" si="156"/>
        <v>30114.58333</v>
      </c>
      <c r="CZ225" s="94">
        <f t="shared" si="156"/>
        <v>30114.58333</v>
      </c>
    </row>
    <row r="226" ht="12.75" customHeight="1">
      <c r="U226" s="96">
        <v>46446.0</v>
      </c>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f t="shared" ref="CY226:DA226" si="157">+$CY$53*$U$61*$X$61</f>
        <v>30114.58333</v>
      </c>
      <c r="CZ226" s="94">
        <f t="shared" si="157"/>
        <v>30114.58333</v>
      </c>
      <c r="DA226" s="94">
        <f t="shared" si="157"/>
        <v>30114.58333</v>
      </c>
    </row>
    <row r="227" ht="12.75" customHeight="1">
      <c r="U227" s="96">
        <v>46477.0</v>
      </c>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Z227" s="94">
        <f t="shared" ref="CZ227:DB227" si="158">+$CZ$53*$U$61*$X$61</f>
        <v>34416.66667</v>
      </c>
      <c r="DA227" s="94">
        <f t="shared" si="158"/>
        <v>34416.66667</v>
      </c>
      <c r="DB227" s="94">
        <f t="shared" si="158"/>
        <v>34416.66667</v>
      </c>
    </row>
    <row r="228" ht="12.75" customHeight="1">
      <c r="U228" s="96">
        <v>46507.0</v>
      </c>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DA228" s="94">
        <f t="shared" ref="DA228:DC228" si="159">+$DA$53*$U$61*$X$61</f>
        <v>34416.66667</v>
      </c>
      <c r="DB228" s="94">
        <f t="shared" si="159"/>
        <v>34416.66667</v>
      </c>
      <c r="DC228" s="94">
        <f t="shared" si="159"/>
        <v>34416.66667</v>
      </c>
    </row>
    <row r="229" ht="12.75" customHeight="1">
      <c r="U229" s="96">
        <v>46538.0</v>
      </c>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DB229" s="94">
        <f t="shared" ref="DB229:DD229" si="160">+$DB$53*$U$61*$X$61</f>
        <v>34416.66667</v>
      </c>
      <c r="DC229" s="94">
        <f t="shared" si="160"/>
        <v>34416.66667</v>
      </c>
      <c r="DD229" s="94">
        <f t="shared" si="160"/>
        <v>34416.66667</v>
      </c>
    </row>
    <row r="230" ht="12.75" customHeight="1">
      <c r="U230" s="96">
        <v>46568.0</v>
      </c>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DC230" s="94">
        <f t="shared" ref="DC230:DE230" si="161">+$DC$53*$U$61*$X$61</f>
        <v>38718.75</v>
      </c>
      <c r="DD230" s="94">
        <f t="shared" si="161"/>
        <v>38718.75</v>
      </c>
      <c r="DE230" s="94">
        <f t="shared" si="161"/>
        <v>38718.75</v>
      </c>
    </row>
    <row r="231" ht="12.75" customHeight="1">
      <c r="U231" s="96">
        <v>46599.0</v>
      </c>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DD231" s="94">
        <f t="shared" ref="DD231:DF231" si="162">+$DD$53*$U$61*$X$61</f>
        <v>38718.75</v>
      </c>
      <c r="DE231" s="94">
        <f t="shared" si="162"/>
        <v>38718.75</v>
      </c>
      <c r="DF231" s="94">
        <f t="shared" si="162"/>
        <v>38718.75</v>
      </c>
    </row>
    <row r="232" ht="12.75" customHeight="1">
      <c r="U232" s="96">
        <v>46630.0</v>
      </c>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DE232" s="94">
        <f t="shared" ref="DE232:DG232" si="163">+$DE$53*$U$61*$X$61</f>
        <v>43020.83333</v>
      </c>
      <c r="DF232" s="94">
        <f t="shared" si="163"/>
        <v>43020.83333</v>
      </c>
      <c r="DG232" s="94">
        <f t="shared" si="163"/>
        <v>43020.83333</v>
      </c>
    </row>
    <row r="233" ht="12.75" customHeight="1">
      <c r="U233" s="96">
        <v>46660.0</v>
      </c>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DF233" s="94">
        <f t="shared" ref="DF233:DH233" si="164">+$DF$53*$U$61*$X$61</f>
        <v>43020.83333</v>
      </c>
      <c r="DG233" s="94">
        <f t="shared" si="164"/>
        <v>43020.83333</v>
      </c>
      <c r="DH233" s="94">
        <f t="shared" si="164"/>
        <v>43020.83333</v>
      </c>
    </row>
    <row r="234" ht="12.75" customHeight="1">
      <c r="U234" s="96">
        <v>46691.0</v>
      </c>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DG234" s="94">
        <f t="shared" ref="DG234:DI234" si="165">+$DG$53*$U$61*$X$61</f>
        <v>43020.83333</v>
      </c>
      <c r="DH234" s="94">
        <f t="shared" si="165"/>
        <v>43020.83333</v>
      </c>
      <c r="DI234" s="94">
        <f t="shared" si="165"/>
        <v>43020.83333</v>
      </c>
    </row>
    <row r="235" ht="12.75" customHeight="1">
      <c r="U235" s="96">
        <v>46721.0</v>
      </c>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DH235" s="94">
        <f t="shared" ref="DH235:DJ235" si="166">+$DH$53*$U$61*$X$61</f>
        <v>43020.83333</v>
      </c>
      <c r="DI235" s="94">
        <f t="shared" si="166"/>
        <v>43020.83333</v>
      </c>
      <c r="DJ235" s="94">
        <f t="shared" si="166"/>
        <v>43020.83333</v>
      </c>
    </row>
    <row r="236" ht="12.75" customHeight="1">
      <c r="U236" s="96">
        <v>46752.0</v>
      </c>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DI236" s="94">
        <f t="shared" ref="DI236:DK236" si="167">+$DI$53*$U$61*$X$61</f>
        <v>43020.83333</v>
      </c>
      <c r="DJ236" s="94">
        <f t="shared" si="167"/>
        <v>43020.83333</v>
      </c>
      <c r="DK236" s="94">
        <f t="shared" si="167"/>
        <v>43020.83333</v>
      </c>
    </row>
    <row r="237" ht="12.75" customHeight="1">
      <c r="U237" s="96"/>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row>
    <row r="238" ht="12.75" customHeight="1">
      <c r="U238" s="96"/>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row>
    <row r="239" ht="12.75" customHeight="1">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row>
    <row r="240" ht="15.75" customHeight="1">
      <c r="A240" s="91" t="s">
        <v>290</v>
      </c>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row>
    <row r="241" ht="15.75" customHeight="1">
      <c r="U241" s="96">
        <f>+U144</f>
        <v>43951</v>
      </c>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row>
    <row r="242" ht="15.75" customHeight="1">
      <c r="U242" s="96">
        <v>43982.0</v>
      </c>
      <c r="V242" s="94">
        <f t="shared" ref="V242:AM242" si="168">+$V$53*$U$60*$X$60</f>
        <v>31.00740741</v>
      </c>
      <c r="W242" s="94">
        <f t="shared" si="168"/>
        <v>31.00740741</v>
      </c>
      <c r="X242" s="94">
        <f t="shared" si="168"/>
        <v>31.00740741</v>
      </c>
      <c r="Y242" s="94">
        <f t="shared" si="168"/>
        <v>31.00740741</v>
      </c>
      <c r="Z242" s="94">
        <f t="shared" si="168"/>
        <v>31.00740741</v>
      </c>
      <c r="AA242" s="94">
        <f t="shared" si="168"/>
        <v>31.00740741</v>
      </c>
      <c r="AB242" s="94">
        <f t="shared" si="168"/>
        <v>31.00740741</v>
      </c>
      <c r="AC242" s="94">
        <f t="shared" si="168"/>
        <v>31.00740741</v>
      </c>
      <c r="AD242" s="94">
        <f t="shared" si="168"/>
        <v>31.00740741</v>
      </c>
      <c r="AE242" s="94">
        <f t="shared" si="168"/>
        <v>31.00740741</v>
      </c>
      <c r="AF242" s="94">
        <f t="shared" si="168"/>
        <v>31.00740741</v>
      </c>
      <c r="AG242" s="94">
        <f t="shared" si="168"/>
        <v>31.00740741</v>
      </c>
      <c r="AH242" s="94">
        <f t="shared" si="168"/>
        <v>31.00740741</v>
      </c>
      <c r="AI242" s="94">
        <f t="shared" si="168"/>
        <v>31.00740741</v>
      </c>
      <c r="AJ242" s="94">
        <f t="shared" si="168"/>
        <v>31.00740741</v>
      </c>
      <c r="AK242" s="94">
        <f t="shared" si="168"/>
        <v>31.00740741</v>
      </c>
      <c r="AL242" s="94">
        <f t="shared" si="168"/>
        <v>31.00740741</v>
      </c>
      <c r="AM242" s="94">
        <f t="shared" si="168"/>
        <v>31.00740741</v>
      </c>
      <c r="AN242" s="94"/>
      <c r="AO242" s="94"/>
      <c r="AP242" s="94"/>
      <c r="AQ242" s="94"/>
      <c r="AR242" s="94"/>
      <c r="AS242" s="94"/>
      <c r="AT242" s="94"/>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row>
    <row r="243" ht="15.75" customHeight="1">
      <c r="U243" s="96">
        <v>44012.0</v>
      </c>
      <c r="V243" s="94"/>
      <c r="W243" s="94">
        <f>+$W$53*$U$60*$X$60</f>
        <v>344.526749</v>
      </c>
      <c r="X243" s="94">
        <f t="shared" ref="X243:AN243" si="169">+W243</f>
        <v>344.526749</v>
      </c>
      <c r="Y243" s="94">
        <f t="shared" si="169"/>
        <v>344.526749</v>
      </c>
      <c r="Z243" s="94">
        <f t="shared" si="169"/>
        <v>344.526749</v>
      </c>
      <c r="AA243" s="94">
        <f t="shared" si="169"/>
        <v>344.526749</v>
      </c>
      <c r="AB243" s="94">
        <f t="shared" si="169"/>
        <v>344.526749</v>
      </c>
      <c r="AC243" s="94">
        <f t="shared" si="169"/>
        <v>344.526749</v>
      </c>
      <c r="AD243" s="94">
        <f t="shared" si="169"/>
        <v>344.526749</v>
      </c>
      <c r="AE243" s="94">
        <f t="shared" si="169"/>
        <v>344.526749</v>
      </c>
      <c r="AF243" s="94">
        <f t="shared" si="169"/>
        <v>344.526749</v>
      </c>
      <c r="AG243" s="94">
        <f t="shared" si="169"/>
        <v>344.526749</v>
      </c>
      <c r="AH243" s="94">
        <f t="shared" si="169"/>
        <v>344.526749</v>
      </c>
      <c r="AI243" s="94">
        <f t="shared" si="169"/>
        <v>344.526749</v>
      </c>
      <c r="AJ243" s="94">
        <f t="shared" si="169"/>
        <v>344.526749</v>
      </c>
      <c r="AK243" s="94">
        <f t="shared" si="169"/>
        <v>344.526749</v>
      </c>
      <c r="AL243" s="94">
        <f t="shared" si="169"/>
        <v>344.526749</v>
      </c>
      <c r="AM243" s="94">
        <f t="shared" si="169"/>
        <v>344.526749</v>
      </c>
      <c r="AN243" s="94">
        <f t="shared" si="169"/>
        <v>344.526749</v>
      </c>
      <c r="AO243" s="94"/>
      <c r="AP243" s="94"/>
      <c r="AQ243" s="94"/>
      <c r="AR243" s="94"/>
      <c r="AS243" s="94"/>
      <c r="AT243" s="94"/>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row>
    <row r="244" ht="15.75" customHeight="1">
      <c r="U244" s="96">
        <v>44043.0</v>
      </c>
      <c r="V244" s="94"/>
      <c r="W244" s="94"/>
      <c r="X244" s="94">
        <f>+$X$53*$U$60*$X$60</f>
        <v>196.872428</v>
      </c>
      <c r="Y244" s="94">
        <f t="shared" ref="Y244:AO244" si="170">+X244</f>
        <v>196.872428</v>
      </c>
      <c r="Z244" s="94">
        <f t="shared" si="170"/>
        <v>196.872428</v>
      </c>
      <c r="AA244" s="94">
        <f t="shared" si="170"/>
        <v>196.872428</v>
      </c>
      <c r="AB244" s="94">
        <f t="shared" si="170"/>
        <v>196.872428</v>
      </c>
      <c r="AC244" s="94">
        <f t="shared" si="170"/>
        <v>196.872428</v>
      </c>
      <c r="AD244" s="94">
        <f t="shared" si="170"/>
        <v>196.872428</v>
      </c>
      <c r="AE244" s="94">
        <f t="shared" si="170"/>
        <v>196.872428</v>
      </c>
      <c r="AF244" s="94">
        <f t="shared" si="170"/>
        <v>196.872428</v>
      </c>
      <c r="AG244" s="94">
        <f t="shared" si="170"/>
        <v>196.872428</v>
      </c>
      <c r="AH244" s="94">
        <f t="shared" si="170"/>
        <v>196.872428</v>
      </c>
      <c r="AI244" s="94">
        <f t="shared" si="170"/>
        <v>196.872428</v>
      </c>
      <c r="AJ244" s="94">
        <f t="shared" si="170"/>
        <v>196.872428</v>
      </c>
      <c r="AK244" s="94">
        <f t="shared" si="170"/>
        <v>196.872428</v>
      </c>
      <c r="AL244" s="94">
        <f t="shared" si="170"/>
        <v>196.872428</v>
      </c>
      <c r="AM244" s="94">
        <f t="shared" si="170"/>
        <v>196.872428</v>
      </c>
      <c r="AN244" s="94">
        <f t="shared" si="170"/>
        <v>196.872428</v>
      </c>
      <c r="AO244" s="94">
        <f t="shared" si="170"/>
        <v>196.872428</v>
      </c>
      <c r="AP244" s="94"/>
      <c r="AQ244" s="94"/>
      <c r="AR244" s="94"/>
      <c r="AS244" s="94"/>
      <c r="AT244" s="94"/>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row>
    <row r="245" ht="15.75" customHeight="1">
      <c r="U245" s="96">
        <v>44074.0</v>
      </c>
      <c r="V245" s="94"/>
      <c r="W245" s="94"/>
      <c r="X245" s="94"/>
      <c r="Y245" s="94">
        <f t="shared" ref="Y245:AP245" si="171">+$Y$53*$U$60*$X$60</f>
        <v>196.872428</v>
      </c>
      <c r="Z245" s="94">
        <f t="shared" si="171"/>
        <v>196.872428</v>
      </c>
      <c r="AA245" s="94">
        <f t="shared" si="171"/>
        <v>196.872428</v>
      </c>
      <c r="AB245" s="94">
        <f t="shared" si="171"/>
        <v>196.872428</v>
      </c>
      <c r="AC245" s="94">
        <f t="shared" si="171"/>
        <v>196.872428</v>
      </c>
      <c r="AD245" s="94">
        <f t="shared" si="171"/>
        <v>196.872428</v>
      </c>
      <c r="AE245" s="94">
        <f t="shared" si="171"/>
        <v>196.872428</v>
      </c>
      <c r="AF245" s="94">
        <f t="shared" si="171"/>
        <v>196.872428</v>
      </c>
      <c r="AG245" s="94">
        <f t="shared" si="171"/>
        <v>196.872428</v>
      </c>
      <c r="AH245" s="94">
        <f t="shared" si="171"/>
        <v>196.872428</v>
      </c>
      <c r="AI245" s="94">
        <f t="shared" si="171"/>
        <v>196.872428</v>
      </c>
      <c r="AJ245" s="94">
        <f t="shared" si="171"/>
        <v>196.872428</v>
      </c>
      <c r="AK245" s="94">
        <f t="shared" si="171"/>
        <v>196.872428</v>
      </c>
      <c r="AL245" s="94">
        <f t="shared" si="171"/>
        <v>196.872428</v>
      </c>
      <c r="AM245" s="94">
        <f t="shared" si="171"/>
        <v>196.872428</v>
      </c>
      <c r="AN245" s="94">
        <f t="shared" si="171"/>
        <v>196.872428</v>
      </c>
      <c r="AO245" s="94">
        <f t="shared" si="171"/>
        <v>196.872428</v>
      </c>
      <c r="AP245" s="94">
        <f t="shared" si="171"/>
        <v>196.872428</v>
      </c>
      <c r="AQ245" s="94"/>
      <c r="AR245" s="94"/>
      <c r="AS245" s="94"/>
      <c r="AT245" s="94"/>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row>
    <row r="246" ht="15.75" customHeight="1">
      <c r="U246" s="96">
        <v>44104.0</v>
      </c>
      <c r="V246" s="94"/>
      <c r="W246" s="94"/>
      <c r="X246" s="94"/>
      <c r="Y246" s="94"/>
      <c r="Z246" s="94">
        <f>+$Z$53*$U$60*$X$60</f>
        <v>295.308642</v>
      </c>
      <c r="AA246" s="94">
        <f t="shared" ref="AA246:AQ246" si="172">+Z246</f>
        <v>295.308642</v>
      </c>
      <c r="AB246" s="94">
        <f t="shared" si="172"/>
        <v>295.308642</v>
      </c>
      <c r="AC246" s="94">
        <f t="shared" si="172"/>
        <v>295.308642</v>
      </c>
      <c r="AD246" s="94">
        <f t="shared" si="172"/>
        <v>295.308642</v>
      </c>
      <c r="AE246" s="94">
        <f t="shared" si="172"/>
        <v>295.308642</v>
      </c>
      <c r="AF246" s="94">
        <f t="shared" si="172"/>
        <v>295.308642</v>
      </c>
      <c r="AG246" s="94">
        <f t="shared" si="172"/>
        <v>295.308642</v>
      </c>
      <c r="AH246" s="94">
        <f t="shared" si="172"/>
        <v>295.308642</v>
      </c>
      <c r="AI246" s="94">
        <f t="shared" si="172"/>
        <v>295.308642</v>
      </c>
      <c r="AJ246" s="94">
        <f t="shared" si="172"/>
        <v>295.308642</v>
      </c>
      <c r="AK246" s="94">
        <f t="shared" si="172"/>
        <v>295.308642</v>
      </c>
      <c r="AL246" s="94">
        <f t="shared" si="172"/>
        <v>295.308642</v>
      </c>
      <c r="AM246" s="94">
        <f t="shared" si="172"/>
        <v>295.308642</v>
      </c>
      <c r="AN246" s="94">
        <f t="shared" si="172"/>
        <v>295.308642</v>
      </c>
      <c r="AO246" s="94">
        <f t="shared" si="172"/>
        <v>295.308642</v>
      </c>
      <c r="AP246" s="94">
        <f t="shared" si="172"/>
        <v>295.308642</v>
      </c>
      <c r="AQ246" s="94">
        <f t="shared" si="172"/>
        <v>295.308642</v>
      </c>
      <c r="AR246" s="94"/>
      <c r="AS246" s="94"/>
      <c r="AT246" s="94"/>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row>
    <row r="247" ht="15.75" customHeight="1">
      <c r="U247" s="96">
        <v>44135.0</v>
      </c>
      <c r="V247" s="94"/>
      <c r="W247" s="94"/>
      <c r="X247" s="94"/>
      <c r="Y247" s="94"/>
      <c r="Z247" s="94"/>
      <c r="AA247" s="94">
        <f t="shared" ref="AA247:AR247" si="173">+$AA$53*$U$60*$X$60</f>
        <v>492.18107</v>
      </c>
      <c r="AB247" s="94">
        <f t="shared" si="173"/>
        <v>492.18107</v>
      </c>
      <c r="AC247" s="94">
        <f t="shared" si="173"/>
        <v>492.18107</v>
      </c>
      <c r="AD247" s="94">
        <f t="shared" si="173"/>
        <v>492.18107</v>
      </c>
      <c r="AE247" s="94">
        <f t="shared" si="173"/>
        <v>492.18107</v>
      </c>
      <c r="AF247" s="94">
        <f t="shared" si="173"/>
        <v>492.18107</v>
      </c>
      <c r="AG247" s="94">
        <f t="shared" si="173"/>
        <v>492.18107</v>
      </c>
      <c r="AH247" s="94">
        <f t="shared" si="173"/>
        <v>492.18107</v>
      </c>
      <c r="AI247" s="94">
        <f t="shared" si="173"/>
        <v>492.18107</v>
      </c>
      <c r="AJ247" s="94">
        <f t="shared" si="173"/>
        <v>492.18107</v>
      </c>
      <c r="AK247" s="94">
        <f t="shared" si="173"/>
        <v>492.18107</v>
      </c>
      <c r="AL247" s="94">
        <f t="shared" si="173"/>
        <v>492.18107</v>
      </c>
      <c r="AM247" s="94">
        <f t="shared" si="173"/>
        <v>492.18107</v>
      </c>
      <c r="AN247" s="94">
        <f t="shared" si="173"/>
        <v>492.18107</v>
      </c>
      <c r="AO247" s="94">
        <f t="shared" si="173"/>
        <v>492.18107</v>
      </c>
      <c r="AP247" s="94">
        <f t="shared" si="173"/>
        <v>492.18107</v>
      </c>
      <c r="AQ247" s="94">
        <f t="shared" si="173"/>
        <v>492.18107</v>
      </c>
      <c r="AR247" s="94">
        <f t="shared" si="173"/>
        <v>492.18107</v>
      </c>
      <c r="AS247" s="94"/>
      <c r="AT247" s="94"/>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row>
    <row r="248" ht="15.75" customHeight="1">
      <c r="U248" s="96">
        <v>44165.0</v>
      </c>
      <c r="V248" s="94"/>
      <c r="W248" s="94"/>
      <c r="X248" s="94"/>
      <c r="Y248" s="94"/>
      <c r="Z248" s="94"/>
      <c r="AA248" s="94"/>
      <c r="AB248" s="94">
        <f t="shared" ref="AB248:AS248" si="174">+$AB$53*$U$60*$X$60</f>
        <v>1181.234568</v>
      </c>
      <c r="AC248" s="94">
        <f t="shared" si="174"/>
        <v>1181.234568</v>
      </c>
      <c r="AD248" s="94">
        <f t="shared" si="174"/>
        <v>1181.234568</v>
      </c>
      <c r="AE248" s="94">
        <f t="shared" si="174"/>
        <v>1181.234568</v>
      </c>
      <c r="AF248" s="94">
        <f t="shared" si="174"/>
        <v>1181.234568</v>
      </c>
      <c r="AG248" s="94">
        <f t="shared" si="174"/>
        <v>1181.234568</v>
      </c>
      <c r="AH248" s="94">
        <f t="shared" si="174"/>
        <v>1181.234568</v>
      </c>
      <c r="AI248" s="94">
        <f t="shared" si="174"/>
        <v>1181.234568</v>
      </c>
      <c r="AJ248" s="94">
        <f t="shared" si="174"/>
        <v>1181.234568</v>
      </c>
      <c r="AK248" s="94">
        <f t="shared" si="174"/>
        <v>1181.234568</v>
      </c>
      <c r="AL248" s="94">
        <f t="shared" si="174"/>
        <v>1181.234568</v>
      </c>
      <c r="AM248" s="94">
        <f t="shared" si="174"/>
        <v>1181.234568</v>
      </c>
      <c r="AN248" s="94">
        <f t="shared" si="174"/>
        <v>1181.234568</v>
      </c>
      <c r="AO248" s="94">
        <f t="shared" si="174"/>
        <v>1181.234568</v>
      </c>
      <c r="AP248" s="94">
        <f t="shared" si="174"/>
        <v>1181.234568</v>
      </c>
      <c r="AQ248" s="94">
        <f t="shared" si="174"/>
        <v>1181.234568</v>
      </c>
      <c r="AR248" s="94">
        <f t="shared" si="174"/>
        <v>1181.234568</v>
      </c>
      <c r="AS248" s="94">
        <f t="shared" si="174"/>
        <v>1181.234568</v>
      </c>
      <c r="AT248" s="94"/>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row>
    <row r="249" ht="15.75" customHeight="1">
      <c r="U249" s="96">
        <v>44196.0</v>
      </c>
      <c r="V249" s="94"/>
      <c r="W249" s="94"/>
      <c r="X249" s="94"/>
      <c r="Y249" s="94"/>
      <c r="Z249" s="94"/>
      <c r="AA249" s="94"/>
      <c r="AB249" s="94"/>
      <c r="AC249" s="94">
        <f t="shared" ref="AC249:AT249" si="175">+$AC$53*$U$60*$X$60</f>
        <v>196.872428</v>
      </c>
      <c r="AD249" s="94">
        <f t="shared" si="175"/>
        <v>196.872428</v>
      </c>
      <c r="AE249" s="94">
        <f t="shared" si="175"/>
        <v>196.872428</v>
      </c>
      <c r="AF249" s="94">
        <f t="shared" si="175"/>
        <v>196.872428</v>
      </c>
      <c r="AG249" s="94">
        <f t="shared" si="175"/>
        <v>196.872428</v>
      </c>
      <c r="AH249" s="94">
        <f t="shared" si="175"/>
        <v>196.872428</v>
      </c>
      <c r="AI249" s="94">
        <f t="shared" si="175"/>
        <v>196.872428</v>
      </c>
      <c r="AJ249" s="94">
        <f t="shared" si="175"/>
        <v>196.872428</v>
      </c>
      <c r="AK249" s="94">
        <f t="shared" si="175"/>
        <v>196.872428</v>
      </c>
      <c r="AL249" s="94">
        <f t="shared" si="175"/>
        <v>196.872428</v>
      </c>
      <c r="AM249" s="94">
        <f t="shared" si="175"/>
        <v>196.872428</v>
      </c>
      <c r="AN249" s="94">
        <f t="shared" si="175"/>
        <v>196.872428</v>
      </c>
      <c r="AO249" s="94">
        <f t="shared" si="175"/>
        <v>196.872428</v>
      </c>
      <c r="AP249" s="94">
        <f t="shared" si="175"/>
        <v>196.872428</v>
      </c>
      <c r="AQ249" s="94">
        <f t="shared" si="175"/>
        <v>196.872428</v>
      </c>
      <c r="AR249" s="94">
        <f t="shared" si="175"/>
        <v>196.872428</v>
      </c>
      <c r="AS249" s="94">
        <f t="shared" si="175"/>
        <v>196.872428</v>
      </c>
      <c r="AT249" s="94">
        <f t="shared" si="175"/>
        <v>196.872428</v>
      </c>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row>
    <row r="250" ht="15.75" customHeight="1">
      <c r="U250" s="96">
        <v>44227.0</v>
      </c>
      <c r="V250" s="94"/>
      <c r="W250" s="94"/>
      <c r="X250" s="94"/>
      <c r="Y250" s="94"/>
      <c r="Z250" s="94"/>
      <c r="AA250" s="94"/>
      <c r="AB250" s="94"/>
      <c r="AC250" s="94"/>
      <c r="AD250" s="94">
        <f t="shared" ref="AD250:AU250" si="176">+$AD$53*$U$60*$X$60</f>
        <v>1661.111111</v>
      </c>
      <c r="AE250" s="94">
        <f t="shared" si="176"/>
        <v>1661.111111</v>
      </c>
      <c r="AF250" s="94">
        <f t="shared" si="176"/>
        <v>1661.111111</v>
      </c>
      <c r="AG250" s="94">
        <f t="shared" si="176"/>
        <v>1661.111111</v>
      </c>
      <c r="AH250" s="94">
        <f t="shared" si="176"/>
        <v>1661.111111</v>
      </c>
      <c r="AI250" s="94">
        <f t="shared" si="176"/>
        <v>1661.111111</v>
      </c>
      <c r="AJ250" s="94">
        <f t="shared" si="176"/>
        <v>1661.111111</v>
      </c>
      <c r="AK250" s="94">
        <f t="shared" si="176"/>
        <v>1661.111111</v>
      </c>
      <c r="AL250" s="94">
        <f t="shared" si="176"/>
        <v>1661.111111</v>
      </c>
      <c r="AM250" s="94">
        <f t="shared" si="176"/>
        <v>1661.111111</v>
      </c>
      <c r="AN250" s="94">
        <f t="shared" si="176"/>
        <v>1661.111111</v>
      </c>
      <c r="AO250" s="94">
        <f t="shared" si="176"/>
        <v>1661.111111</v>
      </c>
      <c r="AP250" s="94">
        <f t="shared" si="176"/>
        <v>1661.111111</v>
      </c>
      <c r="AQ250" s="94">
        <f t="shared" si="176"/>
        <v>1661.111111</v>
      </c>
      <c r="AR250" s="94">
        <f t="shared" si="176"/>
        <v>1661.111111</v>
      </c>
      <c r="AS250" s="94">
        <f t="shared" si="176"/>
        <v>1661.111111</v>
      </c>
      <c r="AT250" s="94">
        <f t="shared" si="176"/>
        <v>1661.111111</v>
      </c>
      <c r="AU250" s="94">
        <f t="shared" si="176"/>
        <v>1661.111111</v>
      </c>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row>
    <row r="251" ht="15.75" customHeight="1">
      <c r="U251" s="96">
        <v>44255.0</v>
      </c>
      <c r="V251" s="94"/>
      <c r="W251" s="94"/>
      <c r="X251" s="94"/>
      <c r="Y251" s="94"/>
      <c r="Z251" s="94"/>
      <c r="AA251" s="94"/>
      <c r="AB251" s="94"/>
      <c r="AC251" s="94"/>
      <c r="AD251" s="94"/>
      <c r="AE251" s="94">
        <f t="shared" ref="AE251:AV251" si="177">+$AE$53*$U$60*$X$60</f>
        <v>1882.592593</v>
      </c>
      <c r="AF251" s="94">
        <f t="shared" si="177"/>
        <v>1882.592593</v>
      </c>
      <c r="AG251" s="94">
        <f t="shared" si="177"/>
        <v>1882.592593</v>
      </c>
      <c r="AH251" s="94">
        <f t="shared" si="177"/>
        <v>1882.592593</v>
      </c>
      <c r="AI251" s="94">
        <f t="shared" si="177"/>
        <v>1882.592593</v>
      </c>
      <c r="AJ251" s="94">
        <f t="shared" si="177"/>
        <v>1882.592593</v>
      </c>
      <c r="AK251" s="94">
        <f t="shared" si="177"/>
        <v>1882.592593</v>
      </c>
      <c r="AL251" s="94">
        <f t="shared" si="177"/>
        <v>1882.592593</v>
      </c>
      <c r="AM251" s="94">
        <f t="shared" si="177"/>
        <v>1882.592593</v>
      </c>
      <c r="AN251" s="94">
        <f t="shared" si="177"/>
        <v>1882.592593</v>
      </c>
      <c r="AO251" s="94">
        <f t="shared" si="177"/>
        <v>1882.592593</v>
      </c>
      <c r="AP251" s="94">
        <f t="shared" si="177"/>
        <v>1882.592593</v>
      </c>
      <c r="AQ251" s="94">
        <f t="shared" si="177"/>
        <v>1882.592593</v>
      </c>
      <c r="AR251" s="94">
        <f t="shared" si="177"/>
        <v>1882.592593</v>
      </c>
      <c r="AS251" s="94">
        <f t="shared" si="177"/>
        <v>1882.592593</v>
      </c>
      <c r="AT251" s="94">
        <f t="shared" si="177"/>
        <v>1882.592593</v>
      </c>
      <c r="AU251" s="94">
        <f t="shared" si="177"/>
        <v>1882.592593</v>
      </c>
      <c r="AV251" s="94">
        <f t="shared" si="177"/>
        <v>1882.592593</v>
      </c>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row>
    <row r="252" ht="15.75" customHeight="1">
      <c r="U252" s="96">
        <v>44286.0</v>
      </c>
      <c r="V252" s="94"/>
      <c r="W252" s="94"/>
      <c r="X252" s="94"/>
      <c r="Y252" s="94"/>
      <c r="Z252" s="94"/>
      <c r="AA252" s="94"/>
      <c r="AB252" s="94"/>
      <c r="AC252" s="94"/>
      <c r="AD252" s="94"/>
      <c r="AE252" s="94"/>
      <c r="AF252" s="94">
        <f t="shared" ref="AF252:AW252" si="178">+$AF$53*$U$60*$X$60</f>
        <v>1882.592593</v>
      </c>
      <c r="AG252" s="94">
        <f t="shared" si="178"/>
        <v>1882.592593</v>
      </c>
      <c r="AH252" s="94">
        <f t="shared" si="178"/>
        <v>1882.592593</v>
      </c>
      <c r="AI252" s="94">
        <f t="shared" si="178"/>
        <v>1882.592593</v>
      </c>
      <c r="AJ252" s="94">
        <f t="shared" si="178"/>
        <v>1882.592593</v>
      </c>
      <c r="AK252" s="94">
        <f t="shared" si="178"/>
        <v>1882.592593</v>
      </c>
      <c r="AL252" s="94">
        <f t="shared" si="178"/>
        <v>1882.592593</v>
      </c>
      <c r="AM252" s="94">
        <f t="shared" si="178"/>
        <v>1882.592593</v>
      </c>
      <c r="AN252" s="94">
        <f t="shared" si="178"/>
        <v>1882.592593</v>
      </c>
      <c r="AO252" s="94">
        <f t="shared" si="178"/>
        <v>1882.592593</v>
      </c>
      <c r="AP252" s="94">
        <f t="shared" si="178"/>
        <v>1882.592593</v>
      </c>
      <c r="AQ252" s="94">
        <f t="shared" si="178"/>
        <v>1882.592593</v>
      </c>
      <c r="AR252" s="94">
        <f t="shared" si="178"/>
        <v>1882.592593</v>
      </c>
      <c r="AS252" s="94">
        <f t="shared" si="178"/>
        <v>1882.592593</v>
      </c>
      <c r="AT252" s="94">
        <f t="shared" si="178"/>
        <v>1882.592593</v>
      </c>
      <c r="AU252" s="94">
        <f t="shared" si="178"/>
        <v>1882.592593</v>
      </c>
      <c r="AV252" s="94">
        <f t="shared" si="178"/>
        <v>1882.592593</v>
      </c>
      <c r="AW252" s="94">
        <f t="shared" si="178"/>
        <v>1882.592593</v>
      </c>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row>
    <row r="253" ht="15.75" customHeight="1">
      <c r="U253" s="96">
        <v>44316.0</v>
      </c>
      <c r="V253" s="94"/>
      <c r="W253" s="94"/>
      <c r="X253" s="94"/>
      <c r="Y253" s="94"/>
      <c r="Z253" s="94"/>
      <c r="AA253" s="94"/>
      <c r="AB253" s="94"/>
      <c r="AC253" s="94"/>
      <c r="AD253" s="94"/>
      <c r="AE253" s="94"/>
      <c r="AF253" s="94"/>
      <c r="AG253" s="94">
        <f t="shared" ref="AG253:AX253" si="179">+$AG$53*$U$60*$X$60</f>
        <v>1476.54321</v>
      </c>
      <c r="AH253" s="94">
        <f t="shared" si="179"/>
        <v>1476.54321</v>
      </c>
      <c r="AI253" s="94">
        <f t="shared" si="179"/>
        <v>1476.54321</v>
      </c>
      <c r="AJ253" s="94">
        <f t="shared" si="179"/>
        <v>1476.54321</v>
      </c>
      <c r="AK253" s="94">
        <f t="shared" si="179"/>
        <v>1476.54321</v>
      </c>
      <c r="AL253" s="94">
        <f t="shared" si="179"/>
        <v>1476.54321</v>
      </c>
      <c r="AM253" s="94">
        <f t="shared" si="179"/>
        <v>1476.54321</v>
      </c>
      <c r="AN253" s="94">
        <f t="shared" si="179"/>
        <v>1476.54321</v>
      </c>
      <c r="AO253" s="94">
        <f t="shared" si="179"/>
        <v>1476.54321</v>
      </c>
      <c r="AP253" s="94">
        <f t="shared" si="179"/>
        <v>1476.54321</v>
      </c>
      <c r="AQ253" s="94">
        <f t="shared" si="179"/>
        <v>1476.54321</v>
      </c>
      <c r="AR253" s="94">
        <f t="shared" si="179"/>
        <v>1476.54321</v>
      </c>
      <c r="AS253" s="94">
        <f t="shared" si="179"/>
        <v>1476.54321</v>
      </c>
      <c r="AT253" s="94">
        <f t="shared" si="179"/>
        <v>1476.54321</v>
      </c>
      <c r="AU253" s="94">
        <f t="shared" si="179"/>
        <v>1476.54321</v>
      </c>
      <c r="AV253" s="94">
        <f t="shared" si="179"/>
        <v>1476.54321</v>
      </c>
      <c r="AW253" s="94">
        <f t="shared" si="179"/>
        <v>1476.54321</v>
      </c>
      <c r="AX253" s="94">
        <f t="shared" si="179"/>
        <v>1476.54321</v>
      </c>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row>
    <row r="254" ht="15.75" customHeight="1">
      <c r="U254" s="96">
        <v>44347.0</v>
      </c>
      <c r="V254" s="94"/>
      <c r="W254" s="94"/>
      <c r="X254" s="94"/>
      <c r="Y254" s="94"/>
      <c r="Z254" s="94"/>
      <c r="AA254" s="94"/>
      <c r="AB254" s="94"/>
      <c r="AC254" s="94"/>
      <c r="AD254" s="94"/>
      <c r="AE254" s="94"/>
      <c r="AF254" s="94"/>
      <c r="AG254" s="94"/>
      <c r="AH254" s="94">
        <f t="shared" ref="AH254:AY254" si="180">+$AH$53*$U$60*$X$60</f>
        <v>984.3621399</v>
      </c>
      <c r="AI254" s="94">
        <f t="shared" si="180"/>
        <v>984.3621399</v>
      </c>
      <c r="AJ254" s="94">
        <f t="shared" si="180"/>
        <v>984.3621399</v>
      </c>
      <c r="AK254" s="94">
        <f t="shared" si="180"/>
        <v>984.3621399</v>
      </c>
      <c r="AL254" s="94">
        <f t="shared" si="180"/>
        <v>984.3621399</v>
      </c>
      <c r="AM254" s="94">
        <f t="shared" si="180"/>
        <v>984.3621399</v>
      </c>
      <c r="AN254" s="94">
        <f t="shared" si="180"/>
        <v>984.3621399</v>
      </c>
      <c r="AO254" s="94">
        <f t="shared" si="180"/>
        <v>984.3621399</v>
      </c>
      <c r="AP254" s="94">
        <f t="shared" si="180"/>
        <v>984.3621399</v>
      </c>
      <c r="AQ254" s="94">
        <f t="shared" si="180"/>
        <v>984.3621399</v>
      </c>
      <c r="AR254" s="94">
        <f t="shared" si="180"/>
        <v>984.3621399</v>
      </c>
      <c r="AS254" s="94">
        <f t="shared" si="180"/>
        <v>984.3621399</v>
      </c>
      <c r="AT254" s="94">
        <f t="shared" si="180"/>
        <v>984.3621399</v>
      </c>
      <c r="AU254" s="94">
        <f t="shared" si="180"/>
        <v>984.3621399</v>
      </c>
      <c r="AV254" s="94">
        <f t="shared" si="180"/>
        <v>984.3621399</v>
      </c>
      <c r="AW254" s="94">
        <f t="shared" si="180"/>
        <v>984.3621399</v>
      </c>
      <c r="AX254" s="94">
        <f t="shared" si="180"/>
        <v>984.3621399</v>
      </c>
      <c r="AY254" s="94">
        <f t="shared" si="180"/>
        <v>984.3621399</v>
      </c>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row>
    <row r="255" ht="15.75" customHeight="1">
      <c r="U255" s="96">
        <v>44377.0</v>
      </c>
      <c r="V255" s="94"/>
      <c r="W255" s="94"/>
      <c r="X255" s="94"/>
      <c r="Y255" s="94"/>
      <c r="Z255" s="94"/>
      <c r="AA255" s="94"/>
      <c r="AB255" s="94"/>
      <c r="AC255" s="94"/>
      <c r="AD255" s="94"/>
      <c r="AE255" s="94"/>
      <c r="AF255" s="94"/>
      <c r="AG255" s="94"/>
      <c r="AH255" s="94"/>
      <c r="AI255" s="94">
        <f t="shared" ref="AI255:AZ255" si="181">+$AI$53*$U$60*$X$60</f>
        <v>984.3621399</v>
      </c>
      <c r="AJ255" s="94">
        <f t="shared" si="181"/>
        <v>984.3621399</v>
      </c>
      <c r="AK255" s="94">
        <f t="shared" si="181"/>
        <v>984.3621399</v>
      </c>
      <c r="AL255" s="94">
        <f t="shared" si="181"/>
        <v>984.3621399</v>
      </c>
      <c r="AM255" s="94">
        <f t="shared" si="181"/>
        <v>984.3621399</v>
      </c>
      <c r="AN255" s="94">
        <f t="shared" si="181"/>
        <v>984.3621399</v>
      </c>
      <c r="AO255" s="94">
        <f t="shared" si="181"/>
        <v>984.3621399</v>
      </c>
      <c r="AP255" s="94">
        <f t="shared" si="181"/>
        <v>984.3621399</v>
      </c>
      <c r="AQ255" s="94">
        <f t="shared" si="181"/>
        <v>984.3621399</v>
      </c>
      <c r="AR255" s="94">
        <f t="shared" si="181"/>
        <v>984.3621399</v>
      </c>
      <c r="AS255" s="94">
        <f t="shared" si="181"/>
        <v>984.3621399</v>
      </c>
      <c r="AT255" s="94">
        <f t="shared" si="181"/>
        <v>984.3621399</v>
      </c>
      <c r="AU255" s="94">
        <f t="shared" si="181"/>
        <v>984.3621399</v>
      </c>
      <c r="AV255" s="94">
        <f t="shared" si="181"/>
        <v>984.3621399</v>
      </c>
      <c r="AW255" s="94">
        <f t="shared" si="181"/>
        <v>984.3621399</v>
      </c>
      <c r="AX255" s="94">
        <f t="shared" si="181"/>
        <v>984.3621399</v>
      </c>
      <c r="AY255" s="94">
        <f t="shared" si="181"/>
        <v>984.3621399</v>
      </c>
      <c r="AZ255" s="94">
        <f t="shared" si="181"/>
        <v>984.3621399</v>
      </c>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row>
    <row r="256" ht="15.75" customHeight="1">
      <c r="U256" s="96">
        <v>44408.0</v>
      </c>
      <c r="V256" s="94"/>
      <c r="W256" s="94"/>
      <c r="X256" s="94"/>
      <c r="Y256" s="94"/>
      <c r="Z256" s="94"/>
      <c r="AA256" s="94"/>
      <c r="AB256" s="94"/>
      <c r="AC256" s="94"/>
      <c r="AD256" s="94"/>
      <c r="AE256" s="94"/>
      <c r="AF256" s="94"/>
      <c r="AG256" s="94"/>
      <c r="AH256" s="94"/>
      <c r="AI256" s="94"/>
      <c r="AJ256" s="94">
        <f t="shared" ref="AJ256:BA256" si="182">+$AJ$53*$U$60*$X$60</f>
        <v>984.3621399</v>
      </c>
      <c r="AK256" s="94">
        <f t="shared" si="182"/>
        <v>984.3621399</v>
      </c>
      <c r="AL256" s="94">
        <f t="shared" si="182"/>
        <v>984.3621399</v>
      </c>
      <c r="AM256" s="94">
        <f t="shared" si="182"/>
        <v>984.3621399</v>
      </c>
      <c r="AN256" s="94">
        <f t="shared" si="182"/>
        <v>984.3621399</v>
      </c>
      <c r="AO256" s="94">
        <f t="shared" si="182"/>
        <v>984.3621399</v>
      </c>
      <c r="AP256" s="94">
        <f t="shared" si="182"/>
        <v>984.3621399</v>
      </c>
      <c r="AQ256" s="94">
        <f t="shared" si="182"/>
        <v>984.3621399</v>
      </c>
      <c r="AR256" s="94">
        <f t="shared" si="182"/>
        <v>984.3621399</v>
      </c>
      <c r="AS256" s="94">
        <f t="shared" si="182"/>
        <v>984.3621399</v>
      </c>
      <c r="AT256" s="94">
        <f t="shared" si="182"/>
        <v>984.3621399</v>
      </c>
      <c r="AU256" s="94">
        <f t="shared" si="182"/>
        <v>984.3621399</v>
      </c>
      <c r="AV256" s="94">
        <f t="shared" si="182"/>
        <v>984.3621399</v>
      </c>
      <c r="AW256" s="94">
        <f t="shared" si="182"/>
        <v>984.3621399</v>
      </c>
      <c r="AX256" s="94">
        <f t="shared" si="182"/>
        <v>984.3621399</v>
      </c>
      <c r="AY256" s="94">
        <f t="shared" si="182"/>
        <v>984.3621399</v>
      </c>
      <c r="AZ256" s="94">
        <f t="shared" si="182"/>
        <v>984.3621399</v>
      </c>
      <c r="BA256" s="94">
        <f t="shared" si="182"/>
        <v>984.3621399</v>
      </c>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row>
    <row r="257" ht="15.75" customHeight="1">
      <c r="U257" s="96">
        <v>44439.0</v>
      </c>
      <c r="V257" s="94"/>
      <c r="W257" s="94"/>
      <c r="X257" s="94"/>
      <c r="Y257" s="94"/>
      <c r="Z257" s="94"/>
      <c r="AA257" s="94"/>
      <c r="AB257" s="94"/>
      <c r="AC257" s="94"/>
      <c r="AD257" s="94"/>
      <c r="AE257" s="94"/>
      <c r="AF257" s="94"/>
      <c r="AG257" s="94"/>
      <c r="AH257" s="94"/>
      <c r="AI257" s="94"/>
      <c r="AJ257" s="94"/>
      <c r="AK257" s="94">
        <f t="shared" ref="AK257:BB257" si="183">+$AK$53*$U$60*$X$60</f>
        <v>1476.54321</v>
      </c>
      <c r="AL257" s="94">
        <f t="shared" si="183"/>
        <v>1476.54321</v>
      </c>
      <c r="AM257" s="94">
        <f t="shared" si="183"/>
        <v>1476.54321</v>
      </c>
      <c r="AN257" s="94">
        <f t="shared" si="183"/>
        <v>1476.54321</v>
      </c>
      <c r="AO257" s="94">
        <f t="shared" si="183"/>
        <v>1476.54321</v>
      </c>
      <c r="AP257" s="94">
        <f t="shared" si="183"/>
        <v>1476.54321</v>
      </c>
      <c r="AQ257" s="94">
        <f t="shared" si="183"/>
        <v>1476.54321</v>
      </c>
      <c r="AR257" s="94">
        <f t="shared" si="183"/>
        <v>1476.54321</v>
      </c>
      <c r="AS257" s="94">
        <f t="shared" si="183"/>
        <v>1476.54321</v>
      </c>
      <c r="AT257" s="94">
        <f t="shared" si="183"/>
        <v>1476.54321</v>
      </c>
      <c r="AU257" s="94">
        <f t="shared" si="183"/>
        <v>1476.54321</v>
      </c>
      <c r="AV257" s="94">
        <f t="shared" si="183"/>
        <v>1476.54321</v>
      </c>
      <c r="AW257" s="94">
        <f t="shared" si="183"/>
        <v>1476.54321</v>
      </c>
      <c r="AX257" s="94">
        <f t="shared" si="183"/>
        <v>1476.54321</v>
      </c>
      <c r="AY257" s="94">
        <f t="shared" si="183"/>
        <v>1476.54321</v>
      </c>
      <c r="AZ257" s="94">
        <f t="shared" si="183"/>
        <v>1476.54321</v>
      </c>
      <c r="BA257" s="94">
        <f t="shared" si="183"/>
        <v>1476.54321</v>
      </c>
      <c r="BB257" s="94">
        <f t="shared" si="183"/>
        <v>1476.54321</v>
      </c>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row>
    <row r="258" ht="15.75" customHeight="1">
      <c r="U258" s="96">
        <v>44469.0</v>
      </c>
      <c r="V258" s="94"/>
      <c r="W258" s="94"/>
      <c r="X258" s="94"/>
      <c r="Y258" s="94"/>
      <c r="Z258" s="94"/>
      <c r="AA258" s="94"/>
      <c r="AB258" s="94"/>
      <c r="AC258" s="94"/>
      <c r="AD258" s="94"/>
      <c r="AE258" s="94"/>
      <c r="AF258" s="94"/>
      <c r="AG258" s="94"/>
      <c r="AH258" s="94"/>
      <c r="AI258" s="94"/>
      <c r="AJ258" s="94"/>
      <c r="AK258" s="94"/>
      <c r="AL258" s="94">
        <f t="shared" ref="AL258:BC258" si="184">+$AL$53*$U$60*$X$60</f>
        <v>1968.72428</v>
      </c>
      <c r="AM258" s="94">
        <f t="shared" si="184"/>
        <v>1968.72428</v>
      </c>
      <c r="AN258" s="94">
        <f t="shared" si="184"/>
        <v>1968.72428</v>
      </c>
      <c r="AO258" s="94">
        <f t="shared" si="184"/>
        <v>1968.72428</v>
      </c>
      <c r="AP258" s="94">
        <f t="shared" si="184"/>
        <v>1968.72428</v>
      </c>
      <c r="AQ258" s="94">
        <f t="shared" si="184"/>
        <v>1968.72428</v>
      </c>
      <c r="AR258" s="94">
        <f t="shared" si="184"/>
        <v>1968.72428</v>
      </c>
      <c r="AS258" s="94">
        <f t="shared" si="184"/>
        <v>1968.72428</v>
      </c>
      <c r="AT258" s="94">
        <f t="shared" si="184"/>
        <v>1968.72428</v>
      </c>
      <c r="AU258" s="94">
        <f t="shared" si="184"/>
        <v>1968.72428</v>
      </c>
      <c r="AV258" s="94">
        <f t="shared" si="184"/>
        <v>1968.72428</v>
      </c>
      <c r="AW258" s="94">
        <f t="shared" si="184"/>
        <v>1968.72428</v>
      </c>
      <c r="AX258" s="94">
        <f t="shared" si="184"/>
        <v>1968.72428</v>
      </c>
      <c r="AY258" s="94">
        <f t="shared" si="184"/>
        <v>1968.72428</v>
      </c>
      <c r="AZ258" s="94">
        <f t="shared" si="184"/>
        <v>1968.72428</v>
      </c>
      <c r="BA258" s="94">
        <f t="shared" si="184"/>
        <v>1968.72428</v>
      </c>
      <c r="BB258" s="94">
        <f t="shared" si="184"/>
        <v>1968.72428</v>
      </c>
      <c r="BC258" s="94">
        <f t="shared" si="184"/>
        <v>1968.72428</v>
      </c>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row>
    <row r="259" ht="15.75" customHeight="1">
      <c r="U259" s="96">
        <v>44500.0</v>
      </c>
      <c r="V259" s="94"/>
      <c r="W259" s="94"/>
      <c r="X259" s="94"/>
      <c r="Y259" s="94"/>
      <c r="Z259" s="94"/>
      <c r="AA259" s="94"/>
      <c r="AB259" s="94"/>
      <c r="AC259" s="94"/>
      <c r="AD259" s="94"/>
      <c r="AE259" s="94"/>
      <c r="AF259" s="94"/>
      <c r="AG259" s="94"/>
      <c r="AH259" s="94"/>
      <c r="AI259" s="94"/>
      <c r="AJ259" s="94"/>
      <c r="AK259" s="94"/>
      <c r="AL259" s="94"/>
      <c r="AM259" s="94">
        <f t="shared" ref="AM259:BD259" si="185">+$AM$53*$U$60*$X$60</f>
        <v>2953.08642</v>
      </c>
      <c r="AN259" s="94">
        <f t="shared" si="185"/>
        <v>2953.08642</v>
      </c>
      <c r="AO259" s="94">
        <f t="shared" si="185"/>
        <v>2953.08642</v>
      </c>
      <c r="AP259" s="94">
        <f t="shared" si="185"/>
        <v>2953.08642</v>
      </c>
      <c r="AQ259" s="94">
        <f t="shared" si="185"/>
        <v>2953.08642</v>
      </c>
      <c r="AR259" s="94">
        <f t="shared" si="185"/>
        <v>2953.08642</v>
      </c>
      <c r="AS259" s="94">
        <f t="shared" si="185"/>
        <v>2953.08642</v>
      </c>
      <c r="AT259" s="94">
        <f t="shared" si="185"/>
        <v>2953.08642</v>
      </c>
      <c r="AU259" s="94">
        <f t="shared" si="185"/>
        <v>2953.08642</v>
      </c>
      <c r="AV259" s="94">
        <f t="shared" si="185"/>
        <v>2953.08642</v>
      </c>
      <c r="AW259" s="94">
        <f t="shared" si="185"/>
        <v>2953.08642</v>
      </c>
      <c r="AX259" s="94">
        <f t="shared" si="185"/>
        <v>2953.08642</v>
      </c>
      <c r="AY259" s="94">
        <f t="shared" si="185"/>
        <v>2953.08642</v>
      </c>
      <c r="AZ259" s="94">
        <f t="shared" si="185"/>
        <v>2953.08642</v>
      </c>
      <c r="BA259" s="94">
        <f t="shared" si="185"/>
        <v>2953.08642</v>
      </c>
      <c r="BB259" s="94">
        <f t="shared" si="185"/>
        <v>2953.08642</v>
      </c>
      <c r="BC259" s="94">
        <f t="shared" si="185"/>
        <v>2953.08642</v>
      </c>
      <c r="BD259" s="94">
        <f t="shared" si="185"/>
        <v>2953.08642</v>
      </c>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row>
    <row r="260" ht="15.75" customHeight="1">
      <c r="U260" s="96">
        <v>44530.0</v>
      </c>
      <c r="V260" s="94"/>
      <c r="W260" s="94"/>
      <c r="X260" s="94"/>
      <c r="Y260" s="94"/>
      <c r="Z260" s="94"/>
      <c r="AA260" s="94"/>
      <c r="AB260" s="94"/>
      <c r="AC260" s="94"/>
      <c r="AD260" s="94"/>
      <c r="AE260" s="94"/>
      <c r="AF260" s="94"/>
      <c r="AG260" s="94"/>
      <c r="AH260" s="94"/>
      <c r="AI260" s="94"/>
      <c r="AJ260" s="94"/>
      <c r="AK260" s="94"/>
      <c r="AL260" s="94"/>
      <c r="AM260" s="94"/>
      <c r="AN260" s="94">
        <f t="shared" ref="AN260:BE260" si="186">+$AN$53*$U$60*$X$60</f>
        <v>708.7407407</v>
      </c>
      <c r="AO260" s="94">
        <f t="shared" si="186"/>
        <v>708.7407407</v>
      </c>
      <c r="AP260" s="94">
        <f t="shared" si="186"/>
        <v>708.7407407</v>
      </c>
      <c r="AQ260" s="94">
        <f t="shared" si="186"/>
        <v>708.7407407</v>
      </c>
      <c r="AR260" s="94">
        <f t="shared" si="186"/>
        <v>708.7407407</v>
      </c>
      <c r="AS260" s="94">
        <f t="shared" si="186"/>
        <v>708.7407407</v>
      </c>
      <c r="AT260" s="94">
        <f t="shared" si="186"/>
        <v>708.7407407</v>
      </c>
      <c r="AU260" s="94">
        <f t="shared" si="186"/>
        <v>708.7407407</v>
      </c>
      <c r="AV260" s="94">
        <f t="shared" si="186"/>
        <v>708.7407407</v>
      </c>
      <c r="AW260" s="94">
        <f t="shared" si="186"/>
        <v>708.7407407</v>
      </c>
      <c r="AX260" s="94">
        <f t="shared" si="186"/>
        <v>708.7407407</v>
      </c>
      <c r="AY260" s="94">
        <f t="shared" si="186"/>
        <v>708.7407407</v>
      </c>
      <c r="AZ260" s="94">
        <f t="shared" si="186"/>
        <v>708.7407407</v>
      </c>
      <c r="BA260" s="94">
        <f t="shared" si="186"/>
        <v>708.7407407</v>
      </c>
      <c r="BB260" s="94">
        <f t="shared" si="186"/>
        <v>708.7407407</v>
      </c>
      <c r="BC260" s="94">
        <f t="shared" si="186"/>
        <v>708.7407407</v>
      </c>
      <c r="BD260" s="94">
        <f t="shared" si="186"/>
        <v>708.7407407</v>
      </c>
      <c r="BE260" s="94">
        <f t="shared" si="186"/>
        <v>708.7407407</v>
      </c>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row>
    <row r="261" ht="15.75" customHeight="1">
      <c r="U261" s="96">
        <v>44561.0</v>
      </c>
      <c r="V261" s="94"/>
      <c r="W261" s="94"/>
      <c r="X261" s="94"/>
      <c r="Y261" s="94"/>
      <c r="Z261" s="94"/>
      <c r="AA261" s="94"/>
      <c r="AB261" s="94"/>
      <c r="AC261" s="94"/>
      <c r="AD261" s="94"/>
      <c r="AE261" s="94"/>
      <c r="AF261" s="94"/>
      <c r="AG261" s="94"/>
      <c r="AH261" s="94"/>
      <c r="AI261" s="94"/>
      <c r="AJ261" s="94"/>
      <c r="AK261" s="94"/>
      <c r="AL261" s="94"/>
      <c r="AM261" s="94"/>
      <c r="AN261" s="94"/>
      <c r="AO261" s="94">
        <f t="shared" ref="AO261:BF261" si="187">+$AO$53*$U$60*$X$60</f>
        <v>708.7407407</v>
      </c>
      <c r="AP261" s="94">
        <f t="shared" si="187"/>
        <v>708.7407407</v>
      </c>
      <c r="AQ261" s="94">
        <f t="shared" si="187"/>
        <v>708.7407407</v>
      </c>
      <c r="AR261" s="94">
        <f t="shared" si="187"/>
        <v>708.7407407</v>
      </c>
      <c r="AS261" s="94">
        <f t="shared" si="187"/>
        <v>708.7407407</v>
      </c>
      <c r="AT261" s="94">
        <f t="shared" si="187"/>
        <v>708.7407407</v>
      </c>
      <c r="AU261" s="94">
        <f t="shared" si="187"/>
        <v>708.7407407</v>
      </c>
      <c r="AV261" s="94">
        <f t="shared" si="187"/>
        <v>708.7407407</v>
      </c>
      <c r="AW261" s="94">
        <f t="shared" si="187"/>
        <v>708.7407407</v>
      </c>
      <c r="AX261" s="94">
        <f t="shared" si="187"/>
        <v>708.7407407</v>
      </c>
      <c r="AY261" s="94">
        <f t="shared" si="187"/>
        <v>708.7407407</v>
      </c>
      <c r="AZ261" s="94">
        <f t="shared" si="187"/>
        <v>708.7407407</v>
      </c>
      <c r="BA261" s="94">
        <f t="shared" si="187"/>
        <v>708.7407407</v>
      </c>
      <c r="BB261" s="94">
        <f t="shared" si="187"/>
        <v>708.7407407</v>
      </c>
      <c r="BC261" s="94">
        <f t="shared" si="187"/>
        <v>708.7407407</v>
      </c>
      <c r="BD261" s="94">
        <f t="shared" si="187"/>
        <v>708.7407407</v>
      </c>
      <c r="BE261" s="94">
        <f t="shared" si="187"/>
        <v>708.7407407</v>
      </c>
      <c r="BF261" s="94">
        <f t="shared" si="187"/>
        <v>708.7407407</v>
      </c>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row>
    <row r="262" ht="15.75" customHeight="1">
      <c r="U262" s="96">
        <v>44592.0</v>
      </c>
      <c r="V262" s="94"/>
      <c r="W262" s="94"/>
      <c r="X262" s="94"/>
      <c r="Y262" s="94"/>
      <c r="Z262" s="94"/>
      <c r="AA262" s="94"/>
      <c r="AB262" s="94"/>
      <c r="AC262" s="94"/>
      <c r="AD262" s="94"/>
      <c r="AE262" s="94"/>
      <c r="AF262" s="94"/>
      <c r="AG262" s="94"/>
      <c r="AH262" s="94"/>
      <c r="AI262" s="94"/>
      <c r="AJ262" s="94"/>
      <c r="AK262" s="94"/>
      <c r="AL262" s="94"/>
      <c r="AM262" s="94"/>
      <c r="AN262" s="94"/>
      <c r="AO262" s="94"/>
      <c r="AP262" s="94">
        <f t="shared" ref="AP262:BG262" si="188">+$AP$53*$U$60*$X$60</f>
        <v>984.3621399</v>
      </c>
      <c r="AQ262" s="94">
        <f t="shared" si="188"/>
        <v>984.3621399</v>
      </c>
      <c r="AR262" s="94">
        <f t="shared" si="188"/>
        <v>984.3621399</v>
      </c>
      <c r="AS262" s="94">
        <f t="shared" si="188"/>
        <v>984.3621399</v>
      </c>
      <c r="AT262" s="94">
        <f t="shared" si="188"/>
        <v>984.3621399</v>
      </c>
      <c r="AU262" s="94">
        <f t="shared" si="188"/>
        <v>984.3621399</v>
      </c>
      <c r="AV262" s="94">
        <f t="shared" si="188"/>
        <v>984.3621399</v>
      </c>
      <c r="AW262" s="94">
        <f t="shared" si="188"/>
        <v>984.3621399</v>
      </c>
      <c r="AX262" s="94">
        <f t="shared" si="188"/>
        <v>984.3621399</v>
      </c>
      <c r="AY262" s="94">
        <f t="shared" si="188"/>
        <v>984.3621399</v>
      </c>
      <c r="AZ262" s="94">
        <f t="shared" si="188"/>
        <v>984.3621399</v>
      </c>
      <c r="BA262" s="94">
        <f t="shared" si="188"/>
        <v>984.3621399</v>
      </c>
      <c r="BB262" s="94">
        <f t="shared" si="188"/>
        <v>984.3621399</v>
      </c>
      <c r="BC262" s="94">
        <f t="shared" si="188"/>
        <v>984.3621399</v>
      </c>
      <c r="BD262" s="94">
        <f t="shared" si="188"/>
        <v>984.3621399</v>
      </c>
      <c r="BE262" s="94">
        <f t="shared" si="188"/>
        <v>984.3621399</v>
      </c>
      <c r="BF262" s="94">
        <f t="shared" si="188"/>
        <v>984.3621399</v>
      </c>
      <c r="BG262" s="94">
        <f t="shared" si="188"/>
        <v>984.3621399</v>
      </c>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row>
    <row r="263" ht="15.75" customHeight="1">
      <c r="U263" s="96">
        <v>44620.0</v>
      </c>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f t="shared" ref="AQ263:BH263" si="189">+$AQ$53*$U$60*$X$60</f>
        <v>984.3621399</v>
      </c>
      <c r="AR263" s="94">
        <f t="shared" si="189"/>
        <v>984.3621399</v>
      </c>
      <c r="AS263" s="94">
        <f t="shared" si="189"/>
        <v>984.3621399</v>
      </c>
      <c r="AT263" s="94">
        <f t="shared" si="189"/>
        <v>984.3621399</v>
      </c>
      <c r="AU263" s="94">
        <f t="shared" si="189"/>
        <v>984.3621399</v>
      </c>
      <c r="AV263" s="94">
        <f t="shared" si="189"/>
        <v>984.3621399</v>
      </c>
      <c r="AW263" s="94">
        <f t="shared" si="189"/>
        <v>984.3621399</v>
      </c>
      <c r="AX263" s="94">
        <f t="shared" si="189"/>
        <v>984.3621399</v>
      </c>
      <c r="AY263" s="94">
        <f t="shared" si="189"/>
        <v>984.3621399</v>
      </c>
      <c r="AZ263" s="94">
        <f t="shared" si="189"/>
        <v>984.3621399</v>
      </c>
      <c r="BA263" s="94">
        <f t="shared" si="189"/>
        <v>984.3621399</v>
      </c>
      <c r="BB263" s="94">
        <f t="shared" si="189"/>
        <v>984.3621399</v>
      </c>
      <c r="BC263" s="94">
        <f t="shared" si="189"/>
        <v>984.3621399</v>
      </c>
      <c r="BD263" s="94">
        <f t="shared" si="189"/>
        <v>984.3621399</v>
      </c>
      <c r="BE263" s="94">
        <f t="shared" si="189"/>
        <v>984.3621399</v>
      </c>
      <c r="BF263" s="94">
        <f t="shared" si="189"/>
        <v>984.3621399</v>
      </c>
      <c r="BG263" s="94">
        <f t="shared" si="189"/>
        <v>984.3621399</v>
      </c>
      <c r="BH263" s="94">
        <f t="shared" si="189"/>
        <v>984.3621399</v>
      </c>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row>
    <row r="264" ht="15.75" customHeight="1">
      <c r="U264" s="96">
        <v>44651.0</v>
      </c>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f t="shared" ref="AR264:BI264" si="190">+$AR$53*$U$60*$X$60</f>
        <v>984.3621399</v>
      </c>
      <c r="AS264" s="94">
        <f t="shared" si="190"/>
        <v>984.3621399</v>
      </c>
      <c r="AT264" s="94">
        <f t="shared" si="190"/>
        <v>984.3621399</v>
      </c>
      <c r="AU264" s="94">
        <f t="shared" si="190"/>
        <v>984.3621399</v>
      </c>
      <c r="AV264" s="94">
        <f t="shared" si="190"/>
        <v>984.3621399</v>
      </c>
      <c r="AW264" s="94">
        <f t="shared" si="190"/>
        <v>984.3621399</v>
      </c>
      <c r="AX264" s="94">
        <f t="shared" si="190"/>
        <v>984.3621399</v>
      </c>
      <c r="AY264" s="94">
        <f t="shared" si="190"/>
        <v>984.3621399</v>
      </c>
      <c r="AZ264" s="94">
        <f t="shared" si="190"/>
        <v>984.3621399</v>
      </c>
      <c r="BA264" s="94">
        <f t="shared" si="190"/>
        <v>984.3621399</v>
      </c>
      <c r="BB264" s="94">
        <f t="shared" si="190"/>
        <v>984.3621399</v>
      </c>
      <c r="BC264" s="94">
        <f t="shared" si="190"/>
        <v>984.3621399</v>
      </c>
      <c r="BD264" s="94">
        <f t="shared" si="190"/>
        <v>984.3621399</v>
      </c>
      <c r="BE264" s="94">
        <f t="shared" si="190"/>
        <v>984.3621399</v>
      </c>
      <c r="BF264" s="94">
        <f t="shared" si="190"/>
        <v>984.3621399</v>
      </c>
      <c r="BG264" s="94">
        <f t="shared" si="190"/>
        <v>984.3621399</v>
      </c>
      <c r="BH264" s="94">
        <f t="shared" si="190"/>
        <v>984.3621399</v>
      </c>
      <c r="BI264" s="94">
        <f t="shared" si="190"/>
        <v>984.3621399</v>
      </c>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row>
    <row r="265" ht="15.75" customHeight="1">
      <c r="U265" s="96">
        <v>44681.0</v>
      </c>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f t="shared" ref="AS265:BJ265" si="191">+$AS$53*$U$60*$X$60</f>
        <v>984.3621399</v>
      </c>
      <c r="AT265" s="94">
        <f t="shared" si="191"/>
        <v>984.3621399</v>
      </c>
      <c r="AU265" s="94">
        <f t="shared" si="191"/>
        <v>984.3621399</v>
      </c>
      <c r="AV265" s="94">
        <f t="shared" si="191"/>
        <v>984.3621399</v>
      </c>
      <c r="AW265" s="94">
        <f t="shared" si="191"/>
        <v>984.3621399</v>
      </c>
      <c r="AX265" s="94">
        <f t="shared" si="191"/>
        <v>984.3621399</v>
      </c>
      <c r="AY265" s="94">
        <f t="shared" si="191"/>
        <v>984.3621399</v>
      </c>
      <c r="AZ265" s="94">
        <f t="shared" si="191"/>
        <v>984.3621399</v>
      </c>
      <c r="BA265" s="94">
        <f t="shared" si="191"/>
        <v>984.3621399</v>
      </c>
      <c r="BB265" s="94">
        <f t="shared" si="191"/>
        <v>984.3621399</v>
      </c>
      <c r="BC265" s="94">
        <f t="shared" si="191"/>
        <v>984.3621399</v>
      </c>
      <c r="BD265" s="94">
        <f t="shared" si="191"/>
        <v>984.3621399</v>
      </c>
      <c r="BE265" s="94">
        <f t="shared" si="191"/>
        <v>984.3621399</v>
      </c>
      <c r="BF265" s="94">
        <f t="shared" si="191"/>
        <v>984.3621399</v>
      </c>
      <c r="BG265" s="94">
        <f t="shared" si="191"/>
        <v>984.3621399</v>
      </c>
      <c r="BH265" s="94">
        <f t="shared" si="191"/>
        <v>984.3621399</v>
      </c>
      <c r="BI265" s="94">
        <f t="shared" si="191"/>
        <v>984.3621399</v>
      </c>
      <c r="BJ265" s="94">
        <f t="shared" si="191"/>
        <v>984.3621399</v>
      </c>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row>
    <row r="266" ht="15.75" customHeight="1">
      <c r="U266" s="96">
        <v>44712.0</v>
      </c>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f t="shared" ref="AT266:BK266" si="192">+$AT$53*$U$60*$X$60</f>
        <v>984.3621399</v>
      </c>
      <c r="AU266" s="94">
        <f t="shared" si="192"/>
        <v>984.3621399</v>
      </c>
      <c r="AV266" s="94">
        <f t="shared" si="192"/>
        <v>984.3621399</v>
      </c>
      <c r="AW266" s="94">
        <f t="shared" si="192"/>
        <v>984.3621399</v>
      </c>
      <c r="AX266" s="94">
        <f t="shared" si="192"/>
        <v>984.3621399</v>
      </c>
      <c r="AY266" s="94">
        <f t="shared" si="192"/>
        <v>984.3621399</v>
      </c>
      <c r="AZ266" s="94">
        <f t="shared" si="192"/>
        <v>984.3621399</v>
      </c>
      <c r="BA266" s="94">
        <f t="shared" si="192"/>
        <v>984.3621399</v>
      </c>
      <c r="BB266" s="94">
        <f t="shared" si="192"/>
        <v>984.3621399</v>
      </c>
      <c r="BC266" s="94">
        <f t="shared" si="192"/>
        <v>984.3621399</v>
      </c>
      <c r="BD266" s="94">
        <f t="shared" si="192"/>
        <v>984.3621399</v>
      </c>
      <c r="BE266" s="94">
        <f t="shared" si="192"/>
        <v>984.3621399</v>
      </c>
      <c r="BF266" s="94">
        <f t="shared" si="192"/>
        <v>984.3621399</v>
      </c>
      <c r="BG266" s="94">
        <f t="shared" si="192"/>
        <v>984.3621399</v>
      </c>
      <c r="BH266" s="94">
        <f t="shared" si="192"/>
        <v>984.3621399</v>
      </c>
      <c r="BI266" s="94">
        <f t="shared" si="192"/>
        <v>984.3621399</v>
      </c>
      <c r="BJ266" s="94">
        <f t="shared" si="192"/>
        <v>984.3621399</v>
      </c>
      <c r="BK266" s="94">
        <f t="shared" si="192"/>
        <v>984.3621399</v>
      </c>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row>
    <row r="267" ht="15.75" customHeight="1">
      <c r="U267" s="96">
        <v>44742.0</v>
      </c>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f t="shared" ref="AU267:BL267" si="193">+$AU$53*$U$60*$X$60</f>
        <v>492.18107</v>
      </c>
      <c r="AV267" s="94">
        <f t="shared" si="193"/>
        <v>492.18107</v>
      </c>
      <c r="AW267" s="94">
        <f t="shared" si="193"/>
        <v>492.18107</v>
      </c>
      <c r="AX267" s="94">
        <f t="shared" si="193"/>
        <v>492.18107</v>
      </c>
      <c r="AY267" s="94">
        <f t="shared" si="193"/>
        <v>492.18107</v>
      </c>
      <c r="AZ267" s="94">
        <f t="shared" si="193"/>
        <v>492.18107</v>
      </c>
      <c r="BA267" s="94">
        <f t="shared" si="193"/>
        <v>492.18107</v>
      </c>
      <c r="BB267" s="94">
        <f t="shared" si="193"/>
        <v>492.18107</v>
      </c>
      <c r="BC267" s="94">
        <f t="shared" si="193"/>
        <v>492.18107</v>
      </c>
      <c r="BD267" s="94">
        <f t="shared" si="193"/>
        <v>492.18107</v>
      </c>
      <c r="BE267" s="94">
        <f t="shared" si="193"/>
        <v>492.18107</v>
      </c>
      <c r="BF267" s="94">
        <f t="shared" si="193"/>
        <v>492.18107</v>
      </c>
      <c r="BG267" s="94">
        <f t="shared" si="193"/>
        <v>492.18107</v>
      </c>
      <c r="BH267" s="94">
        <f t="shared" si="193"/>
        <v>492.18107</v>
      </c>
      <c r="BI267" s="94">
        <f t="shared" si="193"/>
        <v>492.18107</v>
      </c>
      <c r="BJ267" s="94">
        <f t="shared" si="193"/>
        <v>492.18107</v>
      </c>
      <c r="BK267" s="94">
        <f t="shared" si="193"/>
        <v>492.18107</v>
      </c>
      <c r="BL267" s="94">
        <f t="shared" si="193"/>
        <v>492.18107</v>
      </c>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row>
    <row r="268" ht="15.75" customHeight="1">
      <c r="U268" s="96">
        <v>44773.0</v>
      </c>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f t="shared" ref="AV268:BM268" si="194">+$AV$53*$U$60*$X$60</f>
        <v>492.18107</v>
      </c>
      <c r="AW268" s="94">
        <f t="shared" si="194"/>
        <v>492.18107</v>
      </c>
      <c r="AX268" s="94">
        <f t="shared" si="194"/>
        <v>492.18107</v>
      </c>
      <c r="AY268" s="94">
        <f t="shared" si="194"/>
        <v>492.18107</v>
      </c>
      <c r="AZ268" s="94">
        <f t="shared" si="194"/>
        <v>492.18107</v>
      </c>
      <c r="BA268" s="94">
        <f t="shared" si="194"/>
        <v>492.18107</v>
      </c>
      <c r="BB268" s="94">
        <f t="shared" si="194"/>
        <v>492.18107</v>
      </c>
      <c r="BC268" s="94">
        <f t="shared" si="194"/>
        <v>492.18107</v>
      </c>
      <c r="BD268" s="94">
        <f t="shared" si="194"/>
        <v>492.18107</v>
      </c>
      <c r="BE268" s="94">
        <f t="shared" si="194"/>
        <v>492.18107</v>
      </c>
      <c r="BF268" s="94">
        <f t="shared" si="194"/>
        <v>492.18107</v>
      </c>
      <c r="BG268" s="94">
        <f t="shared" si="194"/>
        <v>492.18107</v>
      </c>
      <c r="BH268" s="94">
        <f t="shared" si="194"/>
        <v>492.18107</v>
      </c>
      <c r="BI268" s="94">
        <f t="shared" si="194"/>
        <v>492.18107</v>
      </c>
      <c r="BJ268" s="94">
        <f t="shared" si="194"/>
        <v>492.18107</v>
      </c>
      <c r="BK268" s="94">
        <f t="shared" si="194"/>
        <v>492.18107</v>
      </c>
      <c r="BL268" s="94">
        <f t="shared" si="194"/>
        <v>492.18107</v>
      </c>
      <c r="BM268" s="94">
        <f t="shared" si="194"/>
        <v>492.18107</v>
      </c>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row>
    <row r="269" ht="15.75" customHeight="1">
      <c r="U269" s="96">
        <v>44804.0</v>
      </c>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94">
        <f t="shared" ref="AW269:BN269" si="195">+$AW$53*$U$60*$X$60</f>
        <v>787.4897119</v>
      </c>
      <c r="AX269" s="94">
        <f t="shared" si="195"/>
        <v>787.4897119</v>
      </c>
      <c r="AY269" s="94">
        <f t="shared" si="195"/>
        <v>787.4897119</v>
      </c>
      <c r="AZ269" s="94">
        <f t="shared" si="195"/>
        <v>787.4897119</v>
      </c>
      <c r="BA269" s="94">
        <f t="shared" si="195"/>
        <v>787.4897119</v>
      </c>
      <c r="BB269" s="94">
        <f t="shared" si="195"/>
        <v>787.4897119</v>
      </c>
      <c r="BC269" s="94">
        <f t="shared" si="195"/>
        <v>787.4897119</v>
      </c>
      <c r="BD269" s="94">
        <f t="shared" si="195"/>
        <v>787.4897119</v>
      </c>
      <c r="BE269" s="94">
        <f t="shared" si="195"/>
        <v>787.4897119</v>
      </c>
      <c r="BF269" s="94">
        <f t="shared" si="195"/>
        <v>787.4897119</v>
      </c>
      <c r="BG269" s="94">
        <f t="shared" si="195"/>
        <v>787.4897119</v>
      </c>
      <c r="BH269" s="94">
        <f t="shared" si="195"/>
        <v>787.4897119</v>
      </c>
      <c r="BI269" s="94">
        <f t="shared" si="195"/>
        <v>787.4897119</v>
      </c>
      <c r="BJ269" s="94">
        <f t="shared" si="195"/>
        <v>787.4897119</v>
      </c>
      <c r="BK269" s="94">
        <f t="shared" si="195"/>
        <v>787.4897119</v>
      </c>
      <c r="BL269" s="94">
        <f t="shared" si="195"/>
        <v>787.4897119</v>
      </c>
      <c r="BM269" s="94">
        <f t="shared" si="195"/>
        <v>787.4897119</v>
      </c>
      <c r="BN269" s="94">
        <f t="shared" si="195"/>
        <v>787.4897119</v>
      </c>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row>
    <row r="270" ht="15.75" customHeight="1">
      <c r="U270" s="96">
        <v>44834.0</v>
      </c>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94"/>
      <c r="AX270" s="94">
        <f t="shared" ref="AX270:BO270" si="196">+$AX$53*$U$60*$X$60</f>
        <v>1476.54321</v>
      </c>
      <c r="AY270" s="94">
        <f t="shared" si="196"/>
        <v>1476.54321</v>
      </c>
      <c r="AZ270" s="94">
        <f t="shared" si="196"/>
        <v>1476.54321</v>
      </c>
      <c r="BA270" s="94">
        <f t="shared" si="196"/>
        <v>1476.54321</v>
      </c>
      <c r="BB270" s="94">
        <f t="shared" si="196"/>
        <v>1476.54321</v>
      </c>
      <c r="BC270" s="94">
        <f t="shared" si="196"/>
        <v>1476.54321</v>
      </c>
      <c r="BD270" s="94">
        <f t="shared" si="196"/>
        <v>1476.54321</v>
      </c>
      <c r="BE270" s="94">
        <f t="shared" si="196"/>
        <v>1476.54321</v>
      </c>
      <c r="BF270" s="94">
        <f t="shared" si="196"/>
        <v>1476.54321</v>
      </c>
      <c r="BG270" s="94">
        <f t="shared" si="196"/>
        <v>1476.54321</v>
      </c>
      <c r="BH270" s="94">
        <f t="shared" si="196"/>
        <v>1476.54321</v>
      </c>
      <c r="BI270" s="94">
        <f t="shared" si="196"/>
        <v>1476.54321</v>
      </c>
      <c r="BJ270" s="94">
        <f t="shared" si="196"/>
        <v>1476.54321</v>
      </c>
      <c r="BK270" s="94">
        <f t="shared" si="196"/>
        <v>1476.54321</v>
      </c>
      <c r="BL270" s="94">
        <f t="shared" si="196"/>
        <v>1476.54321</v>
      </c>
      <c r="BM270" s="94">
        <f t="shared" si="196"/>
        <v>1476.54321</v>
      </c>
      <c r="BN270" s="94">
        <f t="shared" si="196"/>
        <v>1476.54321</v>
      </c>
      <c r="BO270" s="94">
        <f t="shared" si="196"/>
        <v>1476.54321</v>
      </c>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row>
    <row r="271" ht="15.75" customHeight="1">
      <c r="U271" s="96">
        <v>44865.0</v>
      </c>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94"/>
      <c r="AX271" s="94"/>
      <c r="AY271" s="94">
        <f t="shared" ref="AY271:BP271" si="197">+$AY$53*$U$60*$X$60</f>
        <v>1476.54321</v>
      </c>
      <c r="AZ271" s="94">
        <f t="shared" si="197"/>
        <v>1476.54321</v>
      </c>
      <c r="BA271" s="94">
        <f t="shared" si="197"/>
        <v>1476.54321</v>
      </c>
      <c r="BB271" s="94">
        <f t="shared" si="197"/>
        <v>1476.54321</v>
      </c>
      <c r="BC271" s="94">
        <f t="shared" si="197"/>
        <v>1476.54321</v>
      </c>
      <c r="BD271" s="94">
        <f t="shared" si="197"/>
        <v>1476.54321</v>
      </c>
      <c r="BE271" s="94">
        <f t="shared" si="197"/>
        <v>1476.54321</v>
      </c>
      <c r="BF271" s="94">
        <f t="shared" si="197"/>
        <v>1476.54321</v>
      </c>
      <c r="BG271" s="94">
        <f t="shared" si="197"/>
        <v>1476.54321</v>
      </c>
      <c r="BH271" s="94">
        <f t="shared" si="197"/>
        <v>1476.54321</v>
      </c>
      <c r="BI271" s="94">
        <f t="shared" si="197"/>
        <v>1476.54321</v>
      </c>
      <c r="BJ271" s="94">
        <f t="shared" si="197"/>
        <v>1476.54321</v>
      </c>
      <c r="BK271" s="94">
        <f t="shared" si="197"/>
        <v>1476.54321</v>
      </c>
      <c r="BL271" s="94">
        <f t="shared" si="197"/>
        <v>1476.54321</v>
      </c>
      <c r="BM271" s="94">
        <f t="shared" si="197"/>
        <v>1476.54321</v>
      </c>
      <c r="BN271" s="94">
        <f t="shared" si="197"/>
        <v>1476.54321</v>
      </c>
      <c r="BO271" s="94">
        <f t="shared" si="197"/>
        <v>1476.54321</v>
      </c>
      <c r="BP271" s="94">
        <f t="shared" si="197"/>
        <v>1476.54321</v>
      </c>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row>
    <row r="272" ht="15.75" customHeight="1">
      <c r="U272" s="96">
        <v>44895.0</v>
      </c>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94"/>
      <c r="AX272" s="94"/>
      <c r="AY272" s="94"/>
      <c r="AZ272" s="94">
        <f t="shared" ref="AZ272:BQ272" si="198">+$AZ$53*$U$60*$X$60</f>
        <v>759.3650794</v>
      </c>
      <c r="BA272" s="94">
        <f t="shared" si="198"/>
        <v>759.3650794</v>
      </c>
      <c r="BB272" s="94">
        <f t="shared" si="198"/>
        <v>759.3650794</v>
      </c>
      <c r="BC272" s="94">
        <f t="shared" si="198"/>
        <v>759.3650794</v>
      </c>
      <c r="BD272" s="94">
        <f t="shared" si="198"/>
        <v>759.3650794</v>
      </c>
      <c r="BE272" s="94">
        <f t="shared" si="198"/>
        <v>759.3650794</v>
      </c>
      <c r="BF272" s="94">
        <f t="shared" si="198"/>
        <v>759.3650794</v>
      </c>
      <c r="BG272" s="94">
        <f t="shared" si="198"/>
        <v>759.3650794</v>
      </c>
      <c r="BH272" s="94">
        <f t="shared" si="198"/>
        <v>759.3650794</v>
      </c>
      <c r="BI272" s="94">
        <f t="shared" si="198"/>
        <v>759.3650794</v>
      </c>
      <c r="BJ272" s="94">
        <f t="shared" si="198"/>
        <v>759.3650794</v>
      </c>
      <c r="BK272" s="94">
        <f t="shared" si="198"/>
        <v>759.3650794</v>
      </c>
      <c r="BL272" s="94">
        <f t="shared" si="198"/>
        <v>759.3650794</v>
      </c>
      <c r="BM272" s="94">
        <f t="shared" si="198"/>
        <v>759.3650794</v>
      </c>
      <c r="BN272" s="94">
        <f t="shared" si="198"/>
        <v>759.3650794</v>
      </c>
      <c r="BO272" s="94">
        <f t="shared" si="198"/>
        <v>759.3650794</v>
      </c>
      <c r="BP272" s="94">
        <f t="shared" si="198"/>
        <v>759.3650794</v>
      </c>
      <c r="BQ272" s="94">
        <f t="shared" si="198"/>
        <v>759.3650794</v>
      </c>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row>
    <row r="273" ht="15.75" customHeight="1">
      <c r="U273" s="96">
        <v>44926.0</v>
      </c>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94"/>
      <c r="AX273" s="94"/>
      <c r="AY273" s="94"/>
      <c r="AZ273" s="94"/>
      <c r="BA273" s="94">
        <f t="shared" ref="BA273:BR273" si="199">+$BA$53*$U$60*$X$60</f>
        <v>759.3650794</v>
      </c>
      <c r="BB273" s="94">
        <f t="shared" si="199"/>
        <v>759.3650794</v>
      </c>
      <c r="BC273" s="94">
        <f t="shared" si="199"/>
        <v>759.3650794</v>
      </c>
      <c r="BD273" s="94">
        <f t="shared" si="199"/>
        <v>759.3650794</v>
      </c>
      <c r="BE273" s="94">
        <f t="shared" si="199"/>
        <v>759.3650794</v>
      </c>
      <c r="BF273" s="94">
        <f t="shared" si="199"/>
        <v>759.3650794</v>
      </c>
      <c r="BG273" s="94">
        <f t="shared" si="199"/>
        <v>759.3650794</v>
      </c>
      <c r="BH273" s="94">
        <f t="shared" si="199"/>
        <v>759.3650794</v>
      </c>
      <c r="BI273" s="94">
        <f t="shared" si="199"/>
        <v>759.3650794</v>
      </c>
      <c r="BJ273" s="94">
        <f t="shared" si="199"/>
        <v>759.3650794</v>
      </c>
      <c r="BK273" s="94">
        <f t="shared" si="199"/>
        <v>759.3650794</v>
      </c>
      <c r="BL273" s="94">
        <f t="shared" si="199"/>
        <v>759.3650794</v>
      </c>
      <c r="BM273" s="94">
        <f t="shared" si="199"/>
        <v>759.3650794</v>
      </c>
      <c r="BN273" s="94">
        <f t="shared" si="199"/>
        <v>759.3650794</v>
      </c>
      <c r="BO273" s="94">
        <f t="shared" si="199"/>
        <v>759.3650794</v>
      </c>
      <c r="BP273" s="94">
        <f t="shared" si="199"/>
        <v>759.3650794</v>
      </c>
      <c r="BQ273" s="94">
        <f t="shared" si="199"/>
        <v>759.3650794</v>
      </c>
      <c r="BR273" s="94">
        <f t="shared" si="199"/>
        <v>759.3650794</v>
      </c>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row>
    <row r="274" ht="15.75" customHeight="1">
      <c r="U274" s="96">
        <v>44957.0</v>
      </c>
      <c r="BB274" s="94">
        <f t="shared" ref="BB274:BS274" si="200">+$BB$53*$U$60*$X$60</f>
        <v>664.4444444</v>
      </c>
      <c r="BC274" s="94">
        <f t="shared" si="200"/>
        <v>664.4444444</v>
      </c>
      <c r="BD274" s="94">
        <f t="shared" si="200"/>
        <v>664.4444444</v>
      </c>
      <c r="BE274" s="94">
        <f t="shared" si="200"/>
        <v>664.4444444</v>
      </c>
      <c r="BF274" s="94">
        <f t="shared" si="200"/>
        <v>664.4444444</v>
      </c>
      <c r="BG274" s="94">
        <f t="shared" si="200"/>
        <v>664.4444444</v>
      </c>
      <c r="BH274" s="94">
        <f t="shared" si="200"/>
        <v>664.4444444</v>
      </c>
      <c r="BI274" s="94">
        <f t="shared" si="200"/>
        <v>664.4444444</v>
      </c>
      <c r="BJ274" s="94">
        <f t="shared" si="200"/>
        <v>664.4444444</v>
      </c>
      <c r="BK274" s="94">
        <f t="shared" si="200"/>
        <v>664.4444444</v>
      </c>
      <c r="BL274" s="94">
        <f t="shared" si="200"/>
        <v>664.4444444</v>
      </c>
      <c r="BM274" s="94">
        <f t="shared" si="200"/>
        <v>664.4444444</v>
      </c>
      <c r="BN274" s="94">
        <f t="shared" si="200"/>
        <v>664.4444444</v>
      </c>
      <c r="BO274" s="94">
        <f t="shared" si="200"/>
        <v>664.4444444</v>
      </c>
      <c r="BP274" s="94">
        <f t="shared" si="200"/>
        <v>664.4444444</v>
      </c>
      <c r="BQ274" s="94">
        <f t="shared" si="200"/>
        <v>664.4444444</v>
      </c>
      <c r="BR274" s="94">
        <f t="shared" si="200"/>
        <v>664.4444444</v>
      </c>
      <c r="BS274" s="94">
        <f t="shared" si="200"/>
        <v>664.4444444</v>
      </c>
    </row>
    <row r="275" ht="15.75" customHeight="1">
      <c r="U275" s="96">
        <v>44985.0</v>
      </c>
      <c r="BC275" s="94">
        <f t="shared" ref="BC275:BT275" si="201">+$BC$53*$U$60*$X$60</f>
        <v>332.2222222</v>
      </c>
      <c r="BD275" s="94">
        <f t="shared" si="201"/>
        <v>332.2222222</v>
      </c>
      <c r="BE275" s="94">
        <f t="shared" si="201"/>
        <v>332.2222222</v>
      </c>
      <c r="BF275" s="94">
        <f t="shared" si="201"/>
        <v>332.2222222</v>
      </c>
      <c r="BG275" s="94">
        <f t="shared" si="201"/>
        <v>332.2222222</v>
      </c>
      <c r="BH275" s="94">
        <f t="shared" si="201"/>
        <v>332.2222222</v>
      </c>
      <c r="BI275" s="94">
        <f t="shared" si="201"/>
        <v>332.2222222</v>
      </c>
      <c r="BJ275" s="94">
        <f t="shared" si="201"/>
        <v>332.2222222</v>
      </c>
      <c r="BK275" s="94">
        <f t="shared" si="201"/>
        <v>332.2222222</v>
      </c>
      <c r="BL275" s="94">
        <f t="shared" si="201"/>
        <v>332.2222222</v>
      </c>
      <c r="BM275" s="94">
        <f t="shared" si="201"/>
        <v>332.2222222</v>
      </c>
      <c r="BN275" s="94">
        <f t="shared" si="201"/>
        <v>332.2222222</v>
      </c>
      <c r="BO275" s="94">
        <f t="shared" si="201"/>
        <v>332.2222222</v>
      </c>
      <c r="BP275" s="94">
        <f t="shared" si="201"/>
        <v>332.2222222</v>
      </c>
      <c r="BQ275" s="94">
        <f t="shared" si="201"/>
        <v>332.2222222</v>
      </c>
      <c r="BR275" s="94">
        <f t="shared" si="201"/>
        <v>332.2222222</v>
      </c>
      <c r="BS275" s="94">
        <f t="shared" si="201"/>
        <v>332.2222222</v>
      </c>
      <c r="BT275" s="94">
        <f t="shared" si="201"/>
        <v>332.2222222</v>
      </c>
    </row>
    <row r="276" ht="15.75" customHeight="1">
      <c r="U276" s="96">
        <v>45016.0</v>
      </c>
      <c r="BD276" s="94">
        <f t="shared" ref="BD276:BU276" si="202">+$BD$53*$U$60*$X$60</f>
        <v>332.2222222</v>
      </c>
      <c r="BE276" s="94">
        <f t="shared" si="202"/>
        <v>332.2222222</v>
      </c>
      <c r="BF276" s="94">
        <f t="shared" si="202"/>
        <v>332.2222222</v>
      </c>
      <c r="BG276" s="94">
        <f t="shared" si="202"/>
        <v>332.2222222</v>
      </c>
      <c r="BH276" s="94">
        <f t="shared" si="202"/>
        <v>332.2222222</v>
      </c>
      <c r="BI276" s="94">
        <f t="shared" si="202"/>
        <v>332.2222222</v>
      </c>
      <c r="BJ276" s="94">
        <f t="shared" si="202"/>
        <v>332.2222222</v>
      </c>
      <c r="BK276" s="94">
        <f t="shared" si="202"/>
        <v>332.2222222</v>
      </c>
      <c r="BL276" s="94">
        <f t="shared" si="202"/>
        <v>332.2222222</v>
      </c>
      <c r="BM276" s="94">
        <f t="shared" si="202"/>
        <v>332.2222222</v>
      </c>
      <c r="BN276" s="94">
        <f t="shared" si="202"/>
        <v>332.2222222</v>
      </c>
      <c r="BO276" s="94">
        <f t="shared" si="202"/>
        <v>332.2222222</v>
      </c>
      <c r="BP276" s="94">
        <f t="shared" si="202"/>
        <v>332.2222222</v>
      </c>
      <c r="BQ276" s="94">
        <f t="shared" si="202"/>
        <v>332.2222222</v>
      </c>
      <c r="BR276" s="94">
        <f t="shared" si="202"/>
        <v>332.2222222</v>
      </c>
      <c r="BS276" s="94">
        <f t="shared" si="202"/>
        <v>332.2222222</v>
      </c>
      <c r="BT276" s="94">
        <f t="shared" si="202"/>
        <v>332.2222222</v>
      </c>
      <c r="BU276" s="94">
        <f t="shared" si="202"/>
        <v>332.2222222</v>
      </c>
    </row>
    <row r="277" ht="15.75" customHeight="1">
      <c r="U277" s="96">
        <v>45046.0</v>
      </c>
      <c r="BE277" s="94">
        <f t="shared" ref="BE277:BV277" si="203">+$BE$53*$U$60*$X$60</f>
        <v>332.2222222</v>
      </c>
      <c r="BF277" s="94">
        <f t="shared" si="203"/>
        <v>332.2222222</v>
      </c>
      <c r="BG277" s="94">
        <f t="shared" si="203"/>
        <v>332.2222222</v>
      </c>
      <c r="BH277" s="94">
        <f t="shared" si="203"/>
        <v>332.2222222</v>
      </c>
      <c r="BI277" s="94">
        <f t="shared" si="203"/>
        <v>332.2222222</v>
      </c>
      <c r="BJ277" s="94">
        <f t="shared" si="203"/>
        <v>332.2222222</v>
      </c>
      <c r="BK277" s="94">
        <f t="shared" si="203"/>
        <v>332.2222222</v>
      </c>
      <c r="BL277" s="94">
        <f t="shared" si="203"/>
        <v>332.2222222</v>
      </c>
      <c r="BM277" s="94">
        <f t="shared" si="203"/>
        <v>332.2222222</v>
      </c>
      <c r="BN277" s="94">
        <f t="shared" si="203"/>
        <v>332.2222222</v>
      </c>
      <c r="BO277" s="94">
        <f t="shared" si="203"/>
        <v>332.2222222</v>
      </c>
      <c r="BP277" s="94">
        <f t="shared" si="203"/>
        <v>332.2222222</v>
      </c>
      <c r="BQ277" s="94">
        <f t="shared" si="203"/>
        <v>332.2222222</v>
      </c>
      <c r="BR277" s="94">
        <f t="shared" si="203"/>
        <v>332.2222222</v>
      </c>
      <c r="BS277" s="94">
        <f t="shared" si="203"/>
        <v>332.2222222</v>
      </c>
      <c r="BT277" s="94">
        <f t="shared" si="203"/>
        <v>332.2222222</v>
      </c>
      <c r="BU277" s="94">
        <f t="shared" si="203"/>
        <v>332.2222222</v>
      </c>
      <c r="BV277" s="94">
        <f t="shared" si="203"/>
        <v>332.2222222</v>
      </c>
    </row>
    <row r="278" ht="15.75" customHeight="1">
      <c r="U278" s="96">
        <v>45077.0</v>
      </c>
      <c r="BF278" s="94">
        <f t="shared" ref="BF278:BW278" si="204">+$BF$53*$U$60*$X$60</f>
        <v>465.1111111</v>
      </c>
      <c r="BG278" s="94">
        <f t="shared" si="204"/>
        <v>465.1111111</v>
      </c>
      <c r="BH278" s="94">
        <f t="shared" si="204"/>
        <v>465.1111111</v>
      </c>
      <c r="BI278" s="94">
        <f t="shared" si="204"/>
        <v>465.1111111</v>
      </c>
      <c r="BJ278" s="94">
        <f t="shared" si="204"/>
        <v>465.1111111</v>
      </c>
      <c r="BK278" s="94">
        <f t="shared" si="204"/>
        <v>465.1111111</v>
      </c>
      <c r="BL278" s="94">
        <f t="shared" si="204"/>
        <v>465.1111111</v>
      </c>
      <c r="BM278" s="94">
        <f t="shared" si="204"/>
        <v>465.1111111</v>
      </c>
      <c r="BN278" s="94">
        <f t="shared" si="204"/>
        <v>465.1111111</v>
      </c>
      <c r="BO278" s="94">
        <f t="shared" si="204"/>
        <v>465.1111111</v>
      </c>
      <c r="BP278" s="94">
        <f t="shared" si="204"/>
        <v>465.1111111</v>
      </c>
      <c r="BQ278" s="94">
        <f t="shared" si="204"/>
        <v>465.1111111</v>
      </c>
      <c r="BR278" s="94">
        <f t="shared" si="204"/>
        <v>465.1111111</v>
      </c>
      <c r="BS278" s="94">
        <f t="shared" si="204"/>
        <v>465.1111111</v>
      </c>
      <c r="BT278" s="94">
        <f t="shared" si="204"/>
        <v>465.1111111</v>
      </c>
      <c r="BU278" s="94">
        <f t="shared" si="204"/>
        <v>465.1111111</v>
      </c>
      <c r="BV278" s="94">
        <f t="shared" si="204"/>
        <v>465.1111111</v>
      </c>
      <c r="BW278" s="94">
        <f t="shared" si="204"/>
        <v>465.1111111</v>
      </c>
    </row>
    <row r="279" ht="15.75" customHeight="1">
      <c r="U279" s="96">
        <v>45107.0</v>
      </c>
      <c r="BG279" s="94">
        <f t="shared" ref="BG279:BX279" si="205">+$BG$53*$U$60*$X$60</f>
        <v>465.1111111</v>
      </c>
      <c r="BH279" s="94">
        <f t="shared" si="205"/>
        <v>465.1111111</v>
      </c>
      <c r="BI279" s="94">
        <f t="shared" si="205"/>
        <v>465.1111111</v>
      </c>
      <c r="BJ279" s="94">
        <f t="shared" si="205"/>
        <v>465.1111111</v>
      </c>
      <c r="BK279" s="94">
        <f t="shared" si="205"/>
        <v>465.1111111</v>
      </c>
      <c r="BL279" s="94">
        <f t="shared" si="205"/>
        <v>465.1111111</v>
      </c>
      <c r="BM279" s="94">
        <f t="shared" si="205"/>
        <v>465.1111111</v>
      </c>
      <c r="BN279" s="94">
        <f t="shared" si="205"/>
        <v>465.1111111</v>
      </c>
      <c r="BO279" s="94">
        <f t="shared" si="205"/>
        <v>465.1111111</v>
      </c>
      <c r="BP279" s="94">
        <f t="shared" si="205"/>
        <v>465.1111111</v>
      </c>
      <c r="BQ279" s="94">
        <f t="shared" si="205"/>
        <v>465.1111111</v>
      </c>
      <c r="BR279" s="94">
        <f t="shared" si="205"/>
        <v>465.1111111</v>
      </c>
      <c r="BS279" s="94">
        <f t="shared" si="205"/>
        <v>465.1111111</v>
      </c>
      <c r="BT279" s="94">
        <f t="shared" si="205"/>
        <v>465.1111111</v>
      </c>
      <c r="BU279" s="94">
        <f t="shared" si="205"/>
        <v>465.1111111</v>
      </c>
      <c r="BV279" s="94">
        <f t="shared" si="205"/>
        <v>465.1111111</v>
      </c>
      <c r="BW279" s="94">
        <f t="shared" si="205"/>
        <v>465.1111111</v>
      </c>
      <c r="BX279" s="94">
        <f t="shared" si="205"/>
        <v>465.1111111</v>
      </c>
    </row>
    <row r="280" ht="15.75" customHeight="1">
      <c r="U280" s="96">
        <v>45138.0</v>
      </c>
      <c r="BH280" s="94">
        <f t="shared" ref="BH280:BY280" si="206">+$BH$53*$U$60*$X$60</f>
        <v>531.5555556</v>
      </c>
      <c r="BI280" s="94">
        <f t="shared" si="206"/>
        <v>531.5555556</v>
      </c>
      <c r="BJ280" s="94">
        <f t="shared" si="206"/>
        <v>531.5555556</v>
      </c>
      <c r="BK280" s="94">
        <f t="shared" si="206"/>
        <v>531.5555556</v>
      </c>
      <c r="BL280" s="94">
        <f t="shared" si="206"/>
        <v>531.5555556</v>
      </c>
      <c r="BM280" s="94">
        <f t="shared" si="206"/>
        <v>531.5555556</v>
      </c>
      <c r="BN280" s="94">
        <f t="shared" si="206"/>
        <v>531.5555556</v>
      </c>
      <c r="BO280" s="94">
        <f t="shared" si="206"/>
        <v>531.5555556</v>
      </c>
      <c r="BP280" s="94">
        <f t="shared" si="206"/>
        <v>531.5555556</v>
      </c>
      <c r="BQ280" s="94">
        <f t="shared" si="206"/>
        <v>531.5555556</v>
      </c>
      <c r="BR280" s="94">
        <f t="shared" si="206"/>
        <v>531.5555556</v>
      </c>
      <c r="BS280" s="94">
        <f t="shared" si="206"/>
        <v>531.5555556</v>
      </c>
      <c r="BT280" s="94">
        <f t="shared" si="206"/>
        <v>531.5555556</v>
      </c>
      <c r="BU280" s="94">
        <f t="shared" si="206"/>
        <v>531.5555556</v>
      </c>
      <c r="BV280" s="94">
        <f t="shared" si="206"/>
        <v>531.5555556</v>
      </c>
      <c r="BW280" s="94">
        <f t="shared" si="206"/>
        <v>531.5555556</v>
      </c>
      <c r="BX280" s="94">
        <f t="shared" si="206"/>
        <v>531.5555556</v>
      </c>
      <c r="BY280" s="94">
        <f t="shared" si="206"/>
        <v>531.5555556</v>
      </c>
    </row>
    <row r="281" ht="15.75" customHeight="1">
      <c r="U281" s="96">
        <v>45169.0</v>
      </c>
      <c r="BI281" s="94">
        <f t="shared" ref="BI281:BZ281" si="207">+$BI$53*$U$60*$X$60</f>
        <v>531.5555556</v>
      </c>
      <c r="BJ281" s="94">
        <f t="shared" si="207"/>
        <v>531.5555556</v>
      </c>
      <c r="BK281" s="94">
        <f t="shared" si="207"/>
        <v>531.5555556</v>
      </c>
      <c r="BL281" s="94">
        <f t="shared" si="207"/>
        <v>531.5555556</v>
      </c>
      <c r="BM281" s="94">
        <f t="shared" si="207"/>
        <v>531.5555556</v>
      </c>
      <c r="BN281" s="94">
        <f t="shared" si="207"/>
        <v>531.5555556</v>
      </c>
      <c r="BO281" s="94">
        <f t="shared" si="207"/>
        <v>531.5555556</v>
      </c>
      <c r="BP281" s="94">
        <f t="shared" si="207"/>
        <v>531.5555556</v>
      </c>
      <c r="BQ281" s="94">
        <f t="shared" si="207"/>
        <v>531.5555556</v>
      </c>
      <c r="BR281" s="94">
        <f t="shared" si="207"/>
        <v>531.5555556</v>
      </c>
      <c r="BS281" s="94">
        <f t="shared" si="207"/>
        <v>531.5555556</v>
      </c>
      <c r="BT281" s="94">
        <f t="shared" si="207"/>
        <v>531.5555556</v>
      </c>
      <c r="BU281" s="94">
        <f t="shared" si="207"/>
        <v>531.5555556</v>
      </c>
      <c r="BV281" s="94">
        <f t="shared" si="207"/>
        <v>531.5555556</v>
      </c>
      <c r="BW281" s="94">
        <f t="shared" si="207"/>
        <v>531.5555556</v>
      </c>
      <c r="BX281" s="94">
        <f t="shared" si="207"/>
        <v>531.5555556</v>
      </c>
      <c r="BY281" s="94">
        <f t="shared" si="207"/>
        <v>531.5555556</v>
      </c>
      <c r="BZ281" s="94">
        <f t="shared" si="207"/>
        <v>531.5555556</v>
      </c>
    </row>
    <row r="282" ht="15.75" customHeight="1">
      <c r="U282" s="96">
        <v>45199.0</v>
      </c>
      <c r="BJ282" s="94">
        <f t="shared" ref="BJ282:CA282" si="208">+$BJ$53*$U$60*$X$60</f>
        <v>531.5555556</v>
      </c>
      <c r="BK282" s="94">
        <f t="shared" si="208"/>
        <v>531.5555556</v>
      </c>
      <c r="BL282" s="94">
        <f t="shared" si="208"/>
        <v>531.5555556</v>
      </c>
      <c r="BM282" s="94">
        <f t="shared" si="208"/>
        <v>531.5555556</v>
      </c>
      <c r="BN282" s="94">
        <f t="shared" si="208"/>
        <v>531.5555556</v>
      </c>
      <c r="BO282" s="94">
        <f t="shared" si="208"/>
        <v>531.5555556</v>
      </c>
      <c r="BP282" s="94">
        <f t="shared" si="208"/>
        <v>531.5555556</v>
      </c>
      <c r="BQ282" s="94">
        <f t="shared" si="208"/>
        <v>531.5555556</v>
      </c>
      <c r="BR282" s="94">
        <f t="shared" si="208"/>
        <v>531.5555556</v>
      </c>
      <c r="BS282" s="94">
        <f t="shared" si="208"/>
        <v>531.5555556</v>
      </c>
      <c r="BT282" s="94">
        <f t="shared" si="208"/>
        <v>531.5555556</v>
      </c>
      <c r="BU282" s="94">
        <f t="shared" si="208"/>
        <v>531.5555556</v>
      </c>
      <c r="BV282" s="94">
        <f t="shared" si="208"/>
        <v>531.5555556</v>
      </c>
      <c r="BW282" s="94">
        <f t="shared" si="208"/>
        <v>531.5555556</v>
      </c>
      <c r="BX282" s="94">
        <f t="shared" si="208"/>
        <v>531.5555556</v>
      </c>
      <c r="BY282" s="94">
        <f t="shared" si="208"/>
        <v>531.5555556</v>
      </c>
      <c r="BZ282" s="94">
        <f t="shared" si="208"/>
        <v>531.5555556</v>
      </c>
      <c r="CA282" s="94">
        <f t="shared" si="208"/>
        <v>531.5555556</v>
      </c>
    </row>
    <row r="283" ht="15.75" customHeight="1">
      <c r="U283" s="96">
        <v>45230.0</v>
      </c>
      <c r="BK283" s="94">
        <f t="shared" ref="BK283:CB283" si="209">+$BK$53*$U$60*$X$60</f>
        <v>531.5555556</v>
      </c>
      <c r="BL283" s="94">
        <f t="shared" si="209"/>
        <v>531.5555556</v>
      </c>
      <c r="BM283" s="94">
        <f t="shared" si="209"/>
        <v>531.5555556</v>
      </c>
      <c r="BN283" s="94">
        <f t="shared" si="209"/>
        <v>531.5555556</v>
      </c>
      <c r="BO283" s="94">
        <f t="shared" si="209"/>
        <v>531.5555556</v>
      </c>
      <c r="BP283" s="94">
        <f t="shared" si="209"/>
        <v>531.5555556</v>
      </c>
      <c r="BQ283" s="94">
        <f t="shared" si="209"/>
        <v>531.5555556</v>
      </c>
      <c r="BR283" s="94">
        <f t="shared" si="209"/>
        <v>531.5555556</v>
      </c>
      <c r="BS283" s="94">
        <f t="shared" si="209"/>
        <v>531.5555556</v>
      </c>
      <c r="BT283" s="94">
        <f t="shared" si="209"/>
        <v>531.5555556</v>
      </c>
      <c r="BU283" s="94">
        <f t="shared" si="209"/>
        <v>531.5555556</v>
      </c>
      <c r="BV283" s="94">
        <f t="shared" si="209"/>
        <v>531.5555556</v>
      </c>
      <c r="BW283" s="94">
        <f t="shared" si="209"/>
        <v>531.5555556</v>
      </c>
      <c r="BX283" s="94">
        <f t="shared" si="209"/>
        <v>531.5555556</v>
      </c>
      <c r="BY283" s="94">
        <f t="shared" si="209"/>
        <v>531.5555556</v>
      </c>
      <c r="BZ283" s="94">
        <f t="shared" si="209"/>
        <v>531.5555556</v>
      </c>
      <c r="CA283" s="94">
        <f t="shared" si="209"/>
        <v>531.5555556</v>
      </c>
      <c r="CB283" s="94">
        <f t="shared" si="209"/>
        <v>531.5555556</v>
      </c>
    </row>
    <row r="284" ht="15.75" customHeight="1">
      <c r="U284" s="96">
        <v>45260.0</v>
      </c>
      <c r="BL284" s="94">
        <f t="shared" ref="BL284:CC284" si="210">+$BL$53*$U$60*$X$60</f>
        <v>465.1111111</v>
      </c>
      <c r="BM284" s="94">
        <f t="shared" si="210"/>
        <v>465.1111111</v>
      </c>
      <c r="BN284" s="94">
        <f t="shared" si="210"/>
        <v>465.1111111</v>
      </c>
      <c r="BO284" s="94">
        <f t="shared" si="210"/>
        <v>465.1111111</v>
      </c>
      <c r="BP284" s="94">
        <f t="shared" si="210"/>
        <v>465.1111111</v>
      </c>
      <c r="BQ284" s="94">
        <f t="shared" si="210"/>
        <v>465.1111111</v>
      </c>
      <c r="BR284" s="94">
        <f t="shared" si="210"/>
        <v>465.1111111</v>
      </c>
      <c r="BS284" s="94">
        <f t="shared" si="210"/>
        <v>465.1111111</v>
      </c>
      <c r="BT284" s="94">
        <f t="shared" si="210"/>
        <v>465.1111111</v>
      </c>
      <c r="BU284" s="94">
        <f t="shared" si="210"/>
        <v>465.1111111</v>
      </c>
      <c r="BV284" s="94">
        <f t="shared" si="210"/>
        <v>465.1111111</v>
      </c>
      <c r="BW284" s="94">
        <f t="shared" si="210"/>
        <v>465.1111111</v>
      </c>
      <c r="BX284" s="94">
        <f t="shared" si="210"/>
        <v>465.1111111</v>
      </c>
      <c r="BY284" s="94">
        <f t="shared" si="210"/>
        <v>465.1111111</v>
      </c>
      <c r="BZ284" s="94">
        <f t="shared" si="210"/>
        <v>465.1111111</v>
      </c>
      <c r="CA284" s="94">
        <f t="shared" si="210"/>
        <v>465.1111111</v>
      </c>
      <c r="CB284" s="94">
        <f t="shared" si="210"/>
        <v>465.1111111</v>
      </c>
      <c r="CC284" s="94">
        <f t="shared" si="210"/>
        <v>465.1111111</v>
      </c>
    </row>
    <row r="285" ht="15.75" customHeight="1">
      <c r="U285" s="96">
        <v>45291.0</v>
      </c>
      <c r="BM285" s="94">
        <f t="shared" ref="BM285:CD285" si="211">+$BM$53*$U$60*$X$60</f>
        <v>332.2222222</v>
      </c>
      <c r="BN285" s="94">
        <f t="shared" si="211"/>
        <v>332.2222222</v>
      </c>
      <c r="BO285" s="94">
        <f t="shared" si="211"/>
        <v>332.2222222</v>
      </c>
      <c r="BP285" s="94">
        <f t="shared" si="211"/>
        <v>332.2222222</v>
      </c>
      <c r="BQ285" s="94">
        <f t="shared" si="211"/>
        <v>332.2222222</v>
      </c>
      <c r="BR285" s="94">
        <f t="shared" si="211"/>
        <v>332.2222222</v>
      </c>
      <c r="BS285" s="94">
        <f t="shared" si="211"/>
        <v>332.2222222</v>
      </c>
      <c r="BT285" s="94">
        <f t="shared" si="211"/>
        <v>332.2222222</v>
      </c>
      <c r="BU285" s="94">
        <f t="shared" si="211"/>
        <v>332.2222222</v>
      </c>
      <c r="BV285" s="94">
        <f t="shared" si="211"/>
        <v>332.2222222</v>
      </c>
      <c r="BW285" s="94">
        <f t="shared" si="211"/>
        <v>332.2222222</v>
      </c>
      <c r="BX285" s="94">
        <f t="shared" si="211"/>
        <v>332.2222222</v>
      </c>
      <c r="BY285" s="94">
        <f t="shared" si="211"/>
        <v>332.2222222</v>
      </c>
      <c r="BZ285" s="94">
        <f t="shared" si="211"/>
        <v>332.2222222</v>
      </c>
      <c r="CA285" s="94">
        <f t="shared" si="211"/>
        <v>332.2222222</v>
      </c>
      <c r="CB285" s="94">
        <f t="shared" si="211"/>
        <v>332.2222222</v>
      </c>
      <c r="CC285" s="94">
        <f t="shared" si="211"/>
        <v>332.2222222</v>
      </c>
      <c r="CD285" s="94">
        <f t="shared" si="211"/>
        <v>332.2222222</v>
      </c>
    </row>
    <row r="286" ht="15.75" customHeight="1">
      <c r="U286" s="96">
        <v>45322.0</v>
      </c>
      <c r="BN286" s="94">
        <f t="shared" ref="BN286:CE286" si="212">+$BN$53*$U$60*$X$60</f>
        <v>531.5555556</v>
      </c>
      <c r="BO286" s="94">
        <f t="shared" si="212"/>
        <v>531.5555556</v>
      </c>
      <c r="BP286" s="94">
        <f t="shared" si="212"/>
        <v>531.5555556</v>
      </c>
      <c r="BQ286" s="94">
        <f t="shared" si="212"/>
        <v>531.5555556</v>
      </c>
      <c r="BR286" s="94">
        <f t="shared" si="212"/>
        <v>531.5555556</v>
      </c>
      <c r="BS286" s="94">
        <f t="shared" si="212"/>
        <v>531.5555556</v>
      </c>
      <c r="BT286" s="94">
        <f t="shared" si="212"/>
        <v>531.5555556</v>
      </c>
      <c r="BU286" s="94">
        <f t="shared" si="212"/>
        <v>531.5555556</v>
      </c>
      <c r="BV286" s="94">
        <f t="shared" si="212"/>
        <v>531.5555556</v>
      </c>
      <c r="BW286" s="94">
        <f t="shared" si="212"/>
        <v>531.5555556</v>
      </c>
      <c r="BX286" s="94">
        <f t="shared" si="212"/>
        <v>531.5555556</v>
      </c>
      <c r="BY286" s="94">
        <f t="shared" si="212"/>
        <v>531.5555556</v>
      </c>
      <c r="BZ286" s="94">
        <f t="shared" si="212"/>
        <v>531.5555556</v>
      </c>
      <c r="CA286" s="94">
        <f t="shared" si="212"/>
        <v>531.5555556</v>
      </c>
      <c r="CB286" s="94">
        <f t="shared" si="212"/>
        <v>531.5555556</v>
      </c>
      <c r="CC286" s="94">
        <f t="shared" si="212"/>
        <v>531.5555556</v>
      </c>
      <c r="CD286" s="94">
        <f t="shared" si="212"/>
        <v>531.5555556</v>
      </c>
      <c r="CE286" s="94">
        <f t="shared" si="212"/>
        <v>531.5555556</v>
      </c>
    </row>
    <row r="287" ht="15.75" customHeight="1">
      <c r="U287" s="96">
        <v>45351.0</v>
      </c>
      <c r="BO287" s="94">
        <f t="shared" ref="BO287:CF287" si="213">+$BO$53*$U$60*$X$60</f>
        <v>797.3333333</v>
      </c>
      <c r="BP287" s="94">
        <f t="shared" si="213"/>
        <v>797.3333333</v>
      </c>
      <c r="BQ287" s="94">
        <f t="shared" si="213"/>
        <v>797.3333333</v>
      </c>
      <c r="BR287" s="94">
        <f t="shared" si="213"/>
        <v>797.3333333</v>
      </c>
      <c r="BS287" s="94">
        <f t="shared" si="213"/>
        <v>797.3333333</v>
      </c>
      <c r="BT287" s="94">
        <f t="shared" si="213"/>
        <v>797.3333333</v>
      </c>
      <c r="BU287" s="94">
        <f t="shared" si="213"/>
        <v>797.3333333</v>
      </c>
      <c r="BV287" s="94">
        <f t="shared" si="213"/>
        <v>797.3333333</v>
      </c>
      <c r="BW287" s="94">
        <f t="shared" si="213"/>
        <v>797.3333333</v>
      </c>
      <c r="BX287" s="94">
        <f t="shared" si="213"/>
        <v>797.3333333</v>
      </c>
      <c r="BY287" s="94">
        <f t="shared" si="213"/>
        <v>797.3333333</v>
      </c>
      <c r="BZ287" s="94">
        <f t="shared" si="213"/>
        <v>797.3333333</v>
      </c>
      <c r="CA287" s="94">
        <f t="shared" si="213"/>
        <v>797.3333333</v>
      </c>
      <c r="CB287" s="94">
        <f t="shared" si="213"/>
        <v>797.3333333</v>
      </c>
      <c r="CC287" s="94">
        <f t="shared" si="213"/>
        <v>797.3333333</v>
      </c>
      <c r="CD287" s="94">
        <f t="shared" si="213"/>
        <v>797.3333333</v>
      </c>
      <c r="CE287" s="94">
        <f t="shared" si="213"/>
        <v>797.3333333</v>
      </c>
      <c r="CF287" s="94">
        <f t="shared" si="213"/>
        <v>797.3333333</v>
      </c>
    </row>
    <row r="288" ht="15.75" customHeight="1">
      <c r="U288" s="96">
        <v>45382.0</v>
      </c>
      <c r="BP288" s="94">
        <f t="shared" ref="BP288:CG288" si="214">+$BP$53*$U$60*$X$60</f>
        <v>1328.888889</v>
      </c>
      <c r="BQ288" s="94">
        <f t="shared" si="214"/>
        <v>1328.888889</v>
      </c>
      <c r="BR288" s="94">
        <f t="shared" si="214"/>
        <v>1328.888889</v>
      </c>
      <c r="BS288" s="94">
        <f t="shared" si="214"/>
        <v>1328.888889</v>
      </c>
      <c r="BT288" s="94">
        <f t="shared" si="214"/>
        <v>1328.888889</v>
      </c>
      <c r="BU288" s="94">
        <f t="shared" si="214"/>
        <v>1328.888889</v>
      </c>
      <c r="BV288" s="94">
        <f t="shared" si="214"/>
        <v>1328.888889</v>
      </c>
      <c r="BW288" s="94">
        <f t="shared" si="214"/>
        <v>1328.888889</v>
      </c>
      <c r="BX288" s="94">
        <f t="shared" si="214"/>
        <v>1328.888889</v>
      </c>
      <c r="BY288" s="94">
        <f t="shared" si="214"/>
        <v>1328.888889</v>
      </c>
      <c r="BZ288" s="94">
        <f t="shared" si="214"/>
        <v>1328.888889</v>
      </c>
      <c r="CA288" s="94">
        <f t="shared" si="214"/>
        <v>1328.888889</v>
      </c>
      <c r="CB288" s="94">
        <f t="shared" si="214"/>
        <v>1328.888889</v>
      </c>
      <c r="CC288" s="94">
        <f t="shared" si="214"/>
        <v>1328.888889</v>
      </c>
      <c r="CD288" s="94">
        <f t="shared" si="214"/>
        <v>1328.888889</v>
      </c>
      <c r="CE288" s="94">
        <f t="shared" si="214"/>
        <v>1328.888889</v>
      </c>
      <c r="CF288" s="94">
        <f t="shared" si="214"/>
        <v>1328.888889</v>
      </c>
      <c r="CG288" s="94">
        <f t="shared" si="214"/>
        <v>1328.888889</v>
      </c>
    </row>
    <row r="289" ht="15.75" customHeight="1">
      <c r="U289" s="96">
        <v>45412.0</v>
      </c>
      <c r="BQ289" s="94">
        <f t="shared" ref="BQ289:CH289" si="215">+$BQ$53*$U$60*$X$60</f>
        <v>1328.888889</v>
      </c>
      <c r="BR289" s="94">
        <f t="shared" si="215"/>
        <v>1328.888889</v>
      </c>
      <c r="BS289" s="94">
        <f t="shared" si="215"/>
        <v>1328.888889</v>
      </c>
      <c r="BT289" s="94">
        <f t="shared" si="215"/>
        <v>1328.888889</v>
      </c>
      <c r="BU289" s="94">
        <f t="shared" si="215"/>
        <v>1328.888889</v>
      </c>
      <c r="BV289" s="94">
        <f t="shared" si="215"/>
        <v>1328.888889</v>
      </c>
      <c r="BW289" s="94">
        <f t="shared" si="215"/>
        <v>1328.888889</v>
      </c>
      <c r="BX289" s="94">
        <f t="shared" si="215"/>
        <v>1328.888889</v>
      </c>
      <c r="BY289" s="94">
        <f t="shared" si="215"/>
        <v>1328.888889</v>
      </c>
      <c r="BZ289" s="94">
        <f t="shared" si="215"/>
        <v>1328.888889</v>
      </c>
      <c r="CA289" s="94">
        <f t="shared" si="215"/>
        <v>1328.888889</v>
      </c>
      <c r="CB289" s="94">
        <f t="shared" si="215"/>
        <v>1328.888889</v>
      </c>
      <c r="CC289" s="94">
        <f t="shared" si="215"/>
        <v>1328.888889</v>
      </c>
      <c r="CD289" s="94">
        <f t="shared" si="215"/>
        <v>1328.888889</v>
      </c>
      <c r="CE289" s="94">
        <f t="shared" si="215"/>
        <v>1328.888889</v>
      </c>
      <c r="CF289" s="94">
        <f t="shared" si="215"/>
        <v>1328.888889</v>
      </c>
      <c r="CG289" s="94">
        <f t="shared" si="215"/>
        <v>1328.888889</v>
      </c>
      <c r="CH289" s="94">
        <f t="shared" si="215"/>
        <v>1328.888889</v>
      </c>
    </row>
    <row r="290" ht="15.75" customHeight="1">
      <c r="U290" s="96">
        <v>45443.0</v>
      </c>
      <c r="BR290" s="94">
        <f t="shared" ref="BR290:CI290" si="216">+$BR$53*$U$60*$X$60</f>
        <v>1476.54321</v>
      </c>
      <c r="BS290" s="94">
        <f t="shared" si="216"/>
        <v>1476.54321</v>
      </c>
      <c r="BT290" s="94">
        <f t="shared" si="216"/>
        <v>1476.54321</v>
      </c>
      <c r="BU290" s="94">
        <f t="shared" si="216"/>
        <v>1476.54321</v>
      </c>
      <c r="BV290" s="94">
        <f t="shared" si="216"/>
        <v>1476.54321</v>
      </c>
      <c r="BW290" s="94">
        <f t="shared" si="216"/>
        <v>1476.54321</v>
      </c>
      <c r="BX290" s="94">
        <f t="shared" si="216"/>
        <v>1476.54321</v>
      </c>
      <c r="BY290" s="94">
        <f t="shared" si="216"/>
        <v>1476.54321</v>
      </c>
      <c r="BZ290" s="94">
        <f t="shared" si="216"/>
        <v>1476.54321</v>
      </c>
      <c r="CA290" s="94">
        <f t="shared" si="216"/>
        <v>1476.54321</v>
      </c>
      <c r="CB290" s="94">
        <f t="shared" si="216"/>
        <v>1476.54321</v>
      </c>
      <c r="CC290" s="94">
        <f t="shared" si="216"/>
        <v>1476.54321</v>
      </c>
      <c r="CD290" s="94">
        <f t="shared" si="216"/>
        <v>1476.54321</v>
      </c>
      <c r="CE290" s="94">
        <f t="shared" si="216"/>
        <v>1476.54321</v>
      </c>
      <c r="CF290" s="94">
        <f t="shared" si="216"/>
        <v>1476.54321</v>
      </c>
      <c r="CG290" s="94">
        <f t="shared" si="216"/>
        <v>1476.54321</v>
      </c>
      <c r="CH290" s="94">
        <f t="shared" si="216"/>
        <v>1476.54321</v>
      </c>
      <c r="CI290" s="94">
        <f t="shared" si="216"/>
        <v>1476.54321</v>
      </c>
    </row>
    <row r="291" ht="15.75" customHeight="1">
      <c r="U291" s="96">
        <v>45473.0</v>
      </c>
      <c r="BS291" s="94">
        <f t="shared" ref="BS291:CJ291" si="217">+$BS$53*$U$60*$X$60</f>
        <v>1476.54321</v>
      </c>
      <c r="BT291" s="94">
        <f t="shared" si="217"/>
        <v>1476.54321</v>
      </c>
      <c r="BU291" s="94">
        <f t="shared" si="217"/>
        <v>1476.54321</v>
      </c>
      <c r="BV291" s="94">
        <f t="shared" si="217"/>
        <v>1476.54321</v>
      </c>
      <c r="BW291" s="94">
        <f t="shared" si="217"/>
        <v>1476.54321</v>
      </c>
      <c r="BX291" s="94">
        <f t="shared" si="217"/>
        <v>1476.54321</v>
      </c>
      <c r="BY291" s="94">
        <f t="shared" si="217"/>
        <v>1476.54321</v>
      </c>
      <c r="BZ291" s="94">
        <f t="shared" si="217"/>
        <v>1476.54321</v>
      </c>
      <c r="CA291" s="94">
        <f t="shared" si="217"/>
        <v>1476.54321</v>
      </c>
      <c r="CB291" s="94">
        <f t="shared" si="217"/>
        <v>1476.54321</v>
      </c>
      <c r="CC291" s="94">
        <f t="shared" si="217"/>
        <v>1476.54321</v>
      </c>
      <c r="CD291" s="94">
        <f t="shared" si="217"/>
        <v>1476.54321</v>
      </c>
      <c r="CE291" s="94">
        <f t="shared" si="217"/>
        <v>1476.54321</v>
      </c>
      <c r="CF291" s="94">
        <f t="shared" si="217"/>
        <v>1476.54321</v>
      </c>
      <c r="CG291" s="94">
        <f t="shared" si="217"/>
        <v>1476.54321</v>
      </c>
      <c r="CH291" s="94">
        <f t="shared" si="217"/>
        <v>1476.54321</v>
      </c>
      <c r="CI291" s="94">
        <f t="shared" si="217"/>
        <v>1476.54321</v>
      </c>
      <c r="CJ291" s="94">
        <f t="shared" si="217"/>
        <v>1476.54321</v>
      </c>
    </row>
    <row r="292" ht="15.75" customHeight="1">
      <c r="U292" s="96">
        <v>45504.0</v>
      </c>
      <c r="BT292" s="94">
        <f t="shared" ref="BT292:CK292" si="218">+$BT$53*$U$60*$X$60</f>
        <v>1661.111111</v>
      </c>
      <c r="BU292" s="94">
        <f t="shared" si="218"/>
        <v>1661.111111</v>
      </c>
      <c r="BV292" s="94">
        <f t="shared" si="218"/>
        <v>1661.111111</v>
      </c>
      <c r="BW292" s="94">
        <f t="shared" si="218"/>
        <v>1661.111111</v>
      </c>
      <c r="BX292" s="94">
        <f t="shared" si="218"/>
        <v>1661.111111</v>
      </c>
      <c r="BY292" s="94">
        <f t="shared" si="218"/>
        <v>1661.111111</v>
      </c>
      <c r="BZ292" s="94">
        <f t="shared" si="218"/>
        <v>1661.111111</v>
      </c>
      <c r="CA292" s="94">
        <f t="shared" si="218"/>
        <v>1661.111111</v>
      </c>
      <c r="CB292" s="94">
        <f t="shared" si="218"/>
        <v>1661.111111</v>
      </c>
      <c r="CC292" s="94">
        <f t="shared" si="218"/>
        <v>1661.111111</v>
      </c>
      <c r="CD292" s="94">
        <f t="shared" si="218"/>
        <v>1661.111111</v>
      </c>
      <c r="CE292" s="94">
        <f t="shared" si="218"/>
        <v>1661.111111</v>
      </c>
      <c r="CF292" s="94">
        <f t="shared" si="218"/>
        <v>1661.111111</v>
      </c>
      <c r="CG292" s="94">
        <f t="shared" si="218"/>
        <v>1661.111111</v>
      </c>
      <c r="CH292" s="94">
        <f t="shared" si="218"/>
        <v>1661.111111</v>
      </c>
      <c r="CI292" s="94">
        <f t="shared" si="218"/>
        <v>1661.111111</v>
      </c>
      <c r="CJ292" s="94">
        <f t="shared" si="218"/>
        <v>1661.111111</v>
      </c>
      <c r="CK292" s="94">
        <f t="shared" si="218"/>
        <v>1661.111111</v>
      </c>
    </row>
    <row r="293" ht="15.75" customHeight="1">
      <c r="U293" s="96">
        <v>45535.0</v>
      </c>
      <c r="BU293" s="94">
        <f t="shared" ref="BU293:CL293" si="219">+$BU$53*$U$60*$X$60</f>
        <v>1898.412698</v>
      </c>
      <c r="BV293" s="94">
        <f t="shared" si="219"/>
        <v>1898.412698</v>
      </c>
      <c r="BW293" s="94">
        <f t="shared" si="219"/>
        <v>1898.412698</v>
      </c>
      <c r="BX293" s="94">
        <f t="shared" si="219"/>
        <v>1898.412698</v>
      </c>
      <c r="BY293" s="94">
        <f t="shared" si="219"/>
        <v>1898.412698</v>
      </c>
      <c r="BZ293" s="94">
        <f t="shared" si="219"/>
        <v>1898.412698</v>
      </c>
      <c r="CA293" s="94">
        <f t="shared" si="219"/>
        <v>1898.412698</v>
      </c>
      <c r="CB293" s="94">
        <f t="shared" si="219"/>
        <v>1898.412698</v>
      </c>
      <c r="CC293" s="94">
        <f t="shared" si="219"/>
        <v>1898.412698</v>
      </c>
      <c r="CD293" s="94">
        <f t="shared" si="219"/>
        <v>1898.412698</v>
      </c>
      <c r="CE293" s="94">
        <f t="shared" si="219"/>
        <v>1898.412698</v>
      </c>
      <c r="CF293" s="94">
        <f t="shared" si="219"/>
        <v>1898.412698</v>
      </c>
      <c r="CG293" s="94">
        <f t="shared" si="219"/>
        <v>1898.412698</v>
      </c>
      <c r="CH293" s="94">
        <f t="shared" si="219"/>
        <v>1898.412698</v>
      </c>
      <c r="CI293" s="94">
        <f t="shared" si="219"/>
        <v>1898.412698</v>
      </c>
      <c r="CJ293" s="94">
        <f t="shared" si="219"/>
        <v>1898.412698</v>
      </c>
      <c r="CK293" s="94">
        <f t="shared" si="219"/>
        <v>1898.412698</v>
      </c>
      <c r="CL293" s="94">
        <f t="shared" si="219"/>
        <v>1898.412698</v>
      </c>
    </row>
    <row r="294" ht="15.75" customHeight="1">
      <c r="U294" s="96">
        <v>45565.0</v>
      </c>
      <c r="BV294" s="94">
        <f t="shared" ref="BV294:CM294" si="220">+$BV$53*$U$60*$X$60</f>
        <v>1139.047619</v>
      </c>
      <c r="BW294" s="94">
        <f t="shared" si="220"/>
        <v>1139.047619</v>
      </c>
      <c r="BX294" s="94">
        <f t="shared" si="220"/>
        <v>1139.047619</v>
      </c>
      <c r="BY294" s="94">
        <f t="shared" si="220"/>
        <v>1139.047619</v>
      </c>
      <c r="BZ294" s="94">
        <f t="shared" si="220"/>
        <v>1139.047619</v>
      </c>
      <c r="CA294" s="94">
        <f t="shared" si="220"/>
        <v>1139.047619</v>
      </c>
      <c r="CB294" s="94">
        <f t="shared" si="220"/>
        <v>1139.047619</v>
      </c>
      <c r="CC294" s="94">
        <f t="shared" si="220"/>
        <v>1139.047619</v>
      </c>
      <c r="CD294" s="94">
        <f t="shared" si="220"/>
        <v>1139.047619</v>
      </c>
      <c r="CE294" s="94">
        <f t="shared" si="220"/>
        <v>1139.047619</v>
      </c>
      <c r="CF294" s="94">
        <f t="shared" si="220"/>
        <v>1139.047619</v>
      </c>
      <c r="CG294" s="94">
        <f t="shared" si="220"/>
        <v>1139.047619</v>
      </c>
      <c r="CH294" s="94">
        <f t="shared" si="220"/>
        <v>1139.047619</v>
      </c>
      <c r="CI294" s="94">
        <f t="shared" si="220"/>
        <v>1139.047619</v>
      </c>
      <c r="CJ294" s="94">
        <f t="shared" si="220"/>
        <v>1139.047619</v>
      </c>
      <c r="CK294" s="94">
        <f t="shared" si="220"/>
        <v>1139.047619</v>
      </c>
      <c r="CL294" s="94">
        <f t="shared" si="220"/>
        <v>1139.047619</v>
      </c>
      <c r="CM294" s="94">
        <f t="shared" si="220"/>
        <v>1139.047619</v>
      </c>
    </row>
    <row r="295" ht="15.75" customHeight="1">
      <c r="U295" s="96">
        <v>45596.0</v>
      </c>
      <c r="BW295" s="94">
        <f t="shared" ref="BW295:CN295" si="221">+$BW$53*$U$60*$X$60</f>
        <v>1139.047619</v>
      </c>
      <c r="BX295" s="94">
        <f t="shared" si="221"/>
        <v>1139.047619</v>
      </c>
      <c r="BY295" s="94">
        <f t="shared" si="221"/>
        <v>1139.047619</v>
      </c>
      <c r="BZ295" s="94">
        <f t="shared" si="221"/>
        <v>1139.047619</v>
      </c>
      <c r="CA295" s="94">
        <f t="shared" si="221"/>
        <v>1139.047619</v>
      </c>
      <c r="CB295" s="94">
        <f t="shared" si="221"/>
        <v>1139.047619</v>
      </c>
      <c r="CC295" s="94">
        <f t="shared" si="221"/>
        <v>1139.047619</v>
      </c>
      <c r="CD295" s="94">
        <f t="shared" si="221"/>
        <v>1139.047619</v>
      </c>
      <c r="CE295" s="94">
        <f t="shared" si="221"/>
        <v>1139.047619</v>
      </c>
      <c r="CF295" s="94">
        <f t="shared" si="221"/>
        <v>1139.047619</v>
      </c>
      <c r="CG295" s="94">
        <f t="shared" si="221"/>
        <v>1139.047619</v>
      </c>
      <c r="CH295" s="94">
        <f t="shared" si="221"/>
        <v>1139.047619</v>
      </c>
      <c r="CI295" s="94">
        <f t="shared" si="221"/>
        <v>1139.047619</v>
      </c>
      <c r="CJ295" s="94">
        <f t="shared" si="221"/>
        <v>1139.047619</v>
      </c>
      <c r="CK295" s="94">
        <f t="shared" si="221"/>
        <v>1139.047619</v>
      </c>
      <c r="CL295" s="94">
        <f t="shared" si="221"/>
        <v>1139.047619</v>
      </c>
      <c r="CM295" s="94">
        <f t="shared" si="221"/>
        <v>1139.047619</v>
      </c>
      <c r="CN295" s="94">
        <f t="shared" si="221"/>
        <v>1139.047619</v>
      </c>
    </row>
    <row r="296" ht="15.75" customHeight="1">
      <c r="U296" s="96">
        <v>45626.0</v>
      </c>
      <c r="BX296" s="94">
        <f t="shared" ref="BX296:CO296" si="222">+$BX$53*$U$60*$X$60</f>
        <v>996.6666667</v>
      </c>
      <c r="BY296" s="94">
        <f t="shared" si="222"/>
        <v>996.6666667</v>
      </c>
      <c r="BZ296" s="94">
        <f t="shared" si="222"/>
        <v>996.6666667</v>
      </c>
      <c r="CA296" s="94">
        <f t="shared" si="222"/>
        <v>996.6666667</v>
      </c>
      <c r="CB296" s="94">
        <f t="shared" si="222"/>
        <v>996.6666667</v>
      </c>
      <c r="CC296" s="94">
        <f t="shared" si="222"/>
        <v>996.6666667</v>
      </c>
      <c r="CD296" s="94">
        <f t="shared" si="222"/>
        <v>996.6666667</v>
      </c>
      <c r="CE296" s="94">
        <f t="shared" si="222"/>
        <v>996.6666667</v>
      </c>
      <c r="CF296" s="94">
        <f t="shared" si="222"/>
        <v>996.6666667</v>
      </c>
      <c r="CG296" s="94">
        <f t="shared" si="222"/>
        <v>996.6666667</v>
      </c>
      <c r="CH296" s="94">
        <f t="shared" si="222"/>
        <v>996.6666667</v>
      </c>
      <c r="CI296" s="94">
        <f t="shared" si="222"/>
        <v>996.6666667</v>
      </c>
      <c r="CJ296" s="94">
        <f t="shared" si="222"/>
        <v>996.6666667</v>
      </c>
      <c r="CK296" s="94">
        <f t="shared" si="222"/>
        <v>996.6666667</v>
      </c>
      <c r="CL296" s="94">
        <f t="shared" si="222"/>
        <v>996.6666667</v>
      </c>
      <c r="CM296" s="94">
        <f t="shared" si="222"/>
        <v>996.6666667</v>
      </c>
      <c r="CN296" s="94">
        <f t="shared" si="222"/>
        <v>996.6666667</v>
      </c>
      <c r="CO296" s="94">
        <f t="shared" si="222"/>
        <v>996.6666667</v>
      </c>
    </row>
    <row r="297" ht="15.75" customHeight="1">
      <c r="U297" s="96">
        <v>45657.0</v>
      </c>
      <c r="BY297" s="94">
        <f t="shared" ref="BY297:CP297" si="223">+$BY$53*$U$60*$X$60</f>
        <v>996.6666667</v>
      </c>
      <c r="BZ297" s="94">
        <f t="shared" si="223"/>
        <v>996.6666667</v>
      </c>
      <c r="CA297" s="94">
        <f t="shared" si="223"/>
        <v>996.6666667</v>
      </c>
      <c r="CB297" s="94">
        <f t="shared" si="223"/>
        <v>996.6666667</v>
      </c>
      <c r="CC297" s="94">
        <f t="shared" si="223"/>
        <v>996.6666667</v>
      </c>
      <c r="CD297" s="94">
        <f t="shared" si="223"/>
        <v>996.6666667</v>
      </c>
      <c r="CE297" s="94">
        <f t="shared" si="223"/>
        <v>996.6666667</v>
      </c>
      <c r="CF297" s="94">
        <f t="shared" si="223"/>
        <v>996.6666667</v>
      </c>
      <c r="CG297" s="94">
        <f t="shared" si="223"/>
        <v>996.6666667</v>
      </c>
      <c r="CH297" s="94">
        <f t="shared" si="223"/>
        <v>996.6666667</v>
      </c>
      <c r="CI297" s="94">
        <f t="shared" si="223"/>
        <v>996.6666667</v>
      </c>
      <c r="CJ297" s="94">
        <f t="shared" si="223"/>
        <v>996.6666667</v>
      </c>
      <c r="CK297" s="94">
        <f t="shared" si="223"/>
        <v>996.6666667</v>
      </c>
      <c r="CL297" s="94">
        <f t="shared" si="223"/>
        <v>996.6666667</v>
      </c>
      <c r="CM297" s="94">
        <f t="shared" si="223"/>
        <v>996.6666667</v>
      </c>
      <c r="CN297" s="94">
        <f t="shared" si="223"/>
        <v>996.6666667</v>
      </c>
      <c r="CO297" s="94">
        <f t="shared" si="223"/>
        <v>996.6666667</v>
      </c>
      <c r="CP297" s="94">
        <f t="shared" si="223"/>
        <v>996.6666667</v>
      </c>
    </row>
    <row r="298" ht="15.75" customHeight="1">
      <c r="U298" s="96">
        <v>45688.0</v>
      </c>
      <c r="BZ298" s="94">
        <f t="shared" ref="BZ298:CQ298" si="224">+$BZ$53*$U$60*$X$60</f>
        <v>1898.412698</v>
      </c>
      <c r="CA298" s="94">
        <f t="shared" si="224"/>
        <v>1898.412698</v>
      </c>
      <c r="CB298" s="94">
        <f t="shared" si="224"/>
        <v>1898.412698</v>
      </c>
      <c r="CC298" s="94">
        <f t="shared" si="224"/>
        <v>1898.412698</v>
      </c>
      <c r="CD298" s="94">
        <f t="shared" si="224"/>
        <v>1898.412698</v>
      </c>
      <c r="CE298" s="94">
        <f t="shared" si="224"/>
        <v>1898.412698</v>
      </c>
      <c r="CF298" s="94">
        <f t="shared" si="224"/>
        <v>1898.412698</v>
      </c>
      <c r="CG298" s="94">
        <f t="shared" si="224"/>
        <v>1898.412698</v>
      </c>
      <c r="CH298" s="94">
        <f t="shared" si="224"/>
        <v>1898.412698</v>
      </c>
      <c r="CI298" s="94">
        <f t="shared" si="224"/>
        <v>1898.412698</v>
      </c>
      <c r="CJ298" s="94">
        <f t="shared" si="224"/>
        <v>1898.412698</v>
      </c>
      <c r="CK298" s="94">
        <f t="shared" si="224"/>
        <v>1898.412698</v>
      </c>
      <c r="CL298" s="94">
        <f t="shared" si="224"/>
        <v>1898.412698</v>
      </c>
      <c r="CM298" s="94">
        <f t="shared" si="224"/>
        <v>1898.412698</v>
      </c>
      <c r="CN298" s="94">
        <f t="shared" si="224"/>
        <v>1898.412698</v>
      </c>
      <c r="CO298" s="94">
        <f t="shared" si="224"/>
        <v>1898.412698</v>
      </c>
      <c r="CP298" s="94">
        <f t="shared" si="224"/>
        <v>1898.412698</v>
      </c>
      <c r="CQ298" s="94">
        <f t="shared" si="224"/>
        <v>1898.412698</v>
      </c>
    </row>
    <row r="299" ht="15.75" customHeight="1">
      <c r="U299" s="96">
        <v>45716.0</v>
      </c>
      <c r="CA299" s="94">
        <f t="shared" ref="CA299:CR299" si="225">+$CA$53*$U$60*$X$60</f>
        <v>759.3650794</v>
      </c>
      <c r="CB299" s="94">
        <f t="shared" si="225"/>
        <v>759.3650794</v>
      </c>
      <c r="CC299" s="94">
        <f t="shared" si="225"/>
        <v>759.3650794</v>
      </c>
      <c r="CD299" s="94">
        <f t="shared" si="225"/>
        <v>759.3650794</v>
      </c>
      <c r="CE299" s="94">
        <f t="shared" si="225"/>
        <v>759.3650794</v>
      </c>
      <c r="CF299" s="94">
        <f t="shared" si="225"/>
        <v>759.3650794</v>
      </c>
      <c r="CG299" s="94">
        <f t="shared" si="225"/>
        <v>759.3650794</v>
      </c>
      <c r="CH299" s="94">
        <f t="shared" si="225"/>
        <v>759.3650794</v>
      </c>
      <c r="CI299" s="94">
        <f t="shared" si="225"/>
        <v>759.3650794</v>
      </c>
      <c r="CJ299" s="94">
        <f t="shared" si="225"/>
        <v>759.3650794</v>
      </c>
      <c r="CK299" s="94">
        <f t="shared" si="225"/>
        <v>759.3650794</v>
      </c>
      <c r="CL299" s="94">
        <f t="shared" si="225"/>
        <v>759.3650794</v>
      </c>
      <c r="CM299" s="94">
        <f t="shared" si="225"/>
        <v>759.3650794</v>
      </c>
      <c r="CN299" s="94">
        <f t="shared" si="225"/>
        <v>759.3650794</v>
      </c>
      <c r="CO299" s="94">
        <f t="shared" si="225"/>
        <v>759.3650794</v>
      </c>
      <c r="CP299" s="94">
        <f t="shared" si="225"/>
        <v>759.3650794</v>
      </c>
      <c r="CQ299" s="94">
        <f t="shared" si="225"/>
        <v>759.3650794</v>
      </c>
      <c r="CR299" s="94">
        <f t="shared" si="225"/>
        <v>759.3650794</v>
      </c>
    </row>
    <row r="300" ht="15.75" customHeight="1">
      <c r="U300" s="96">
        <v>45747.0</v>
      </c>
      <c r="CB300" s="94">
        <f t="shared" ref="CB300:CS300" si="226">+$CB$53*$U$60*$X$60</f>
        <v>759.3650794</v>
      </c>
      <c r="CC300" s="94">
        <f t="shared" si="226"/>
        <v>759.3650794</v>
      </c>
      <c r="CD300" s="94">
        <f t="shared" si="226"/>
        <v>759.3650794</v>
      </c>
      <c r="CE300" s="94">
        <f t="shared" si="226"/>
        <v>759.3650794</v>
      </c>
      <c r="CF300" s="94">
        <f t="shared" si="226"/>
        <v>759.3650794</v>
      </c>
      <c r="CG300" s="94">
        <f t="shared" si="226"/>
        <v>759.3650794</v>
      </c>
      <c r="CH300" s="94">
        <f t="shared" si="226"/>
        <v>759.3650794</v>
      </c>
      <c r="CI300" s="94">
        <f t="shared" si="226"/>
        <v>759.3650794</v>
      </c>
      <c r="CJ300" s="94">
        <f t="shared" si="226"/>
        <v>759.3650794</v>
      </c>
      <c r="CK300" s="94">
        <f t="shared" si="226"/>
        <v>759.3650794</v>
      </c>
      <c r="CL300" s="94">
        <f t="shared" si="226"/>
        <v>759.3650794</v>
      </c>
      <c r="CM300" s="94">
        <f t="shared" si="226"/>
        <v>759.3650794</v>
      </c>
      <c r="CN300" s="94">
        <f t="shared" si="226"/>
        <v>759.3650794</v>
      </c>
      <c r="CO300" s="94">
        <f t="shared" si="226"/>
        <v>759.3650794</v>
      </c>
      <c r="CP300" s="94">
        <f t="shared" si="226"/>
        <v>759.3650794</v>
      </c>
      <c r="CQ300" s="94">
        <f t="shared" si="226"/>
        <v>759.3650794</v>
      </c>
      <c r="CR300" s="94">
        <f t="shared" si="226"/>
        <v>759.3650794</v>
      </c>
      <c r="CS300" s="94">
        <f t="shared" si="226"/>
        <v>759.3650794</v>
      </c>
    </row>
    <row r="301" ht="15.75" customHeight="1">
      <c r="U301" s="96">
        <v>45777.0</v>
      </c>
      <c r="CC301" s="94">
        <f t="shared" ref="CC301:CT301" si="227">+$CC$53*$U$60*$X$60</f>
        <v>759.3650794</v>
      </c>
      <c r="CD301" s="94">
        <f t="shared" si="227"/>
        <v>759.3650794</v>
      </c>
      <c r="CE301" s="94">
        <f t="shared" si="227"/>
        <v>759.3650794</v>
      </c>
      <c r="CF301" s="94">
        <f t="shared" si="227"/>
        <v>759.3650794</v>
      </c>
      <c r="CG301" s="94">
        <f t="shared" si="227"/>
        <v>759.3650794</v>
      </c>
      <c r="CH301" s="94">
        <f t="shared" si="227"/>
        <v>759.3650794</v>
      </c>
      <c r="CI301" s="94">
        <f t="shared" si="227"/>
        <v>759.3650794</v>
      </c>
      <c r="CJ301" s="94">
        <f t="shared" si="227"/>
        <v>759.3650794</v>
      </c>
      <c r="CK301" s="94">
        <f t="shared" si="227"/>
        <v>759.3650794</v>
      </c>
      <c r="CL301" s="94">
        <f t="shared" si="227"/>
        <v>759.3650794</v>
      </c>
      <c r="CM301" s="94">
        <f t="shared" si="227"/>
        <v>759.3650794</v>
      </c>
      <c r="CN301" s="94">
        <f t="shared" si="227"/>
        <v>759.3650794</v>
      </c>
      <c r="CO301" s="94">
        <f t="shared" si="227"/>
        <v>759.3650794</v>
      </c>
      <c r="CP301" s="94">
        <f t="shared" si="227"/>
        <v>759.3650794</v>
      </c>
      <c r="CQ301" s="94">
        <f t="shared" si="227"/>
        <v>759.3650794</v>
      </c>
      <c r="CR301" s="94">
        <f t="shared" si="227"/>
        <v>759.3650794</v>
      </c>
      <c r="CS301" s="94">
        <f t="shared" si="227"/>
        <v>759.3650794</v>
      </c>
      <c r="CT301" s="94">
        <f t="shared" si="227"/>
        <v>759.3650794</v>
      </c>
    </row>
    <row r="302" ht="15.75" customHeight="1">
      <c r="U302" s="96">
        <v>45808.0</v>
      </c>
      <c r="CC302" s="176"/>
      <c r="CD302" s="94">
        <f t="shared" ref="CD302:CU302" si="228">+$CD$53*$U$60*$X$60</f>
        <v>759.3650794</v>
      </c>
      <c r="CE302" s="94">
        <f t="shared" si="228"/>
        <v>759.3650794</v>
      </c>
      <c r="CF302" s="94">
        <f t="shared" si="228"/>
        <v>759.3650794</v>
      </c>
      <c r="CG302" s="94">
        <f t="shared" si="228"/>
        <v>759.3650794</v>
      </c>
      <c r="CH302" s="94">
        <f t="shared" si="228"/>
        <v>759.3650794</v>
      </c>
      <c r="CI302" s="94">
        <f t="shared" si="228"/>
        <v>759.3650794</v>
      </c>
      <c r="CJ302" s="94">
        <f t="shared" si="228"/>
        <v>759.3650794</v>
      </c>
      <c r="CK302" s="94">
        <f t="shared" si="228"/>
        <v>759.3650794</v>
      </c>
      <c r="CL302" s="94">
        <f t="shared" si="228"/>
        <v>759.3650794</v>
      </c>
      <c r="CM302" s="94">
        <f t="shared" si="228"/>
        <v>759.3650794</v>
      </c>
      <c r="CN302" s="94">
        <f t="shared" si="228"/>
        <v>759.3650794</v>
      </c>
      <c r="CO302" s="94">
        <f t="shared" si="228"/>
        <v>759.3650794</v>
      </c>
      <c r="CP302" s="94">
        <f t="shared" si="228"/>
        <v>759.3650794</v>
      </c>
      <c r="CQ302" s="94">
        <f t="shared" si="228"/>
        <v>759.3650794</v>
      </c>
      <c r="CR302" s="94">
        <f t="shared" si="228"/>
        <v>759.3650794</v>
      </c>
      <c r="CS302" s="94">
        <f t="shared" si="228"/>
        <v>759.3650794</v>
      </c>
      <c r="CT302" s="94">
        <f t="shared" si="228"/>
        <v>759.3650794</v>
      </c>
      <c r="CU302" s="94">
        <f t="shared" si="228"/>
        <v>759.3650794</v>
      </c>
      <c r="CV302" s="176"/>
      <c r="CW302" s="176"/>
      <c r="CX302" s="176"/>
      <c r="CY302" s="176"/>
      <c r="CZ302" s="176"/>
    </row>
    <row r="303" ht="15.75" customHeight="1">
      <c r="U303" s="96">
        <v>45838.0</v>
      </c>
      <c r="CC303" s="176"/>
      <c r="CD303" s="176"/>
      <c r="CE303" s="94">
        <f t="shared" ref="CE303:CV303" si="229">+$CE$53*$U$60*$X$60</f>
        <v>759.3650794</v>
      </c>
      <c r="CF303" s="94">
        <f t="shared" si="229"/>
        <v>759.3650794</v>
      </c>
      <c r="CG303" s="94">
        <f t="shared" si="229"/>
        <v>759.3650794</v>
      </c>
      <c r="CH303" s="94">
        <f t="shared" si="229"/>
        <v>759.3650794</v>
      </c>
      <c r="CI303" s="94">
        <f t="shared" si="229"/>
        <v>759.3650794</v>
      </c>
      <c r="CJ303" s="94">
        <f t="shared" si="229"/>
        <v>759.3650794</v>
      </c>
      <c r="CK303" s="94">
        <f t="shared" si="229"/>
        <v>759.3650794</v>
      </c>
      <c r="CL303" s="94">
        <f t="shared" si="229"/>
        <v>759.3650794</v>
      </c>
      <c r="CM303" s="94">
        <f t="shared" si="229"/>
        <v>759.3650794</v>
      </c>
      <c r="CN303" s="94">
        <f t="shared" si="229"/>
        <v>759.3650794</v>
      </c>
      <c r="CO303" s="94">
        <f t="shared" si="229"/>
        <v>759.3650794</v>
      </c>
      <c r="CP303" s="94">
        <f t="shared" si="229"/>
        <v>759.3650794</v>
      </c>
      <c r="CQ303" s="94">
        <f t="shared" si="229"/>
        <v>759.3650794</v>
      </c>
      <c r="CR303" s="94">
        <f t="shared" si="229"/>
        <v>759.3650794</v>
      </c>
      <c r="CS303" s="94">
        <f t="shared" si="229"/>
        <v>759.3650794</v>
      </c>
      <c r="CT303" s="94">
        <f t="shared" si="229"/>
        <v>759.3650794</v>
      </c>
      <c r="CU303" s="94">
        <f t="shared" si="229"/>
        <v>759.3650794</v>
      </c>
      <c r="CV303" s="94">
        <f t="shared" si="229"/>
        <v>759.3650794</v>
      </c>
      <c r="CW303" s="176"/>
      <c r="CX303" s="176"/>
      <c r="CY303" s="176"/>
      <c r="CZ303" s="176"/>
    </row>
    <row r="304" ht="15.75" customHeight="1">
      <c r="U304" s="96">
        <v>45869.0</v>
      </c>
      <c r="CC304" s="176"/>
      <c r="CD304" s="176"/>
      <c r="CE304" s="176"/>
      <c r="CF304" s="94">
        <f t="shared" ref="CF304:CW304" si="230">+$CF$53*$U$60*$X$60</f>
        <v>759.3650794</v>
      </c>
      <c r="CG304" s="94">
        <f t="shared" si="230"/>
        <v>759.3650794</v>
      </c>
      <c r="CH304" s="94">
        <f t="shared" si="230"/>
        <v>759.3650794</v>
      </c>
      <c r="CI304" s="94">
        <f t="shared" si="230"/>
        <v>759.3650794</v>
      </c>
      <c r="CJ304" s="94">
        <f t="shared" si="230"/>
        <v>759.3650794</v>
      </c>
      <c r="CK304" s="94">
        <f t="shared" si="230"/>
        <v>759.3650794</v>
      </c>
      <c r="CL304" s="94">
        <f t="shared" si="230"/>
        <v>759.3650794</v>
      </c>
      <c r="CM304" s="94">
        <f t="shared" si="230"/>
        <v>759.3650794</v>
      </c>
      <c r="CN304" s="94">
        <f t="shared" si="230"/>
        <v>759.3650794</v>
      </c>
      <c r="CO304" s="94">
        <f t="shared" si="230"/>
        <v>759.3650794</v>
      </c>
      <c r="CP304" s="94">
        <f t="shared" si="230"/>
        <v>759.3650794</v>
      </c>
      <c r="CQ304" s="94">
        <f t="shared" si="230"/>
        <v>759.3650794</v>
      </c>
      <c r="CR304" s="94">
        <f t="shared" si="230"/>
        <v>759.3650794</v>
      </c>
      <c r="CS304" s="94">
        <f t="shared" si="230"/>
        <v>759.3650794</v>
      </c>
      <c r="CT304" s="94">
        <f t="shared" si="230"/>
        <v>759.3650794</v>
      </c>
      <c r="CU304" s="94">
        <f t="shared" si="230"/>
        <v>759.3650794</v>
      </c>
      <c r="CV304" s="94">
        <f t="shared" si="230"/>
        <v>759.3650794</v>
      </c>
      <c r="CW304" s="94">
        <f t="shared" si="230"/>
        <v>759.3650794</v>
      </c>
      <c r="CX304" s="176"/>
      <c r="CY304" s="176"/>
      <c r="CZ304" s="176"/>
    </row>
    <row r="305" ht="15.75" customHeight="1">
      <c r="U305" s="96">
        <v>45900.0</v>
      </c>
      <c r="CC305" s="176"/>
      <c r="CD305" s="176"/>
      <c r="CE305" s="176"/>
      <c r="CF305" s="176"/>
      <c r="CG305" s="94">
        <f t="shared" ref="CG305:CX305" si="231">+$CG$53*$U$60*$X$60</f>
        <v>759.3650794</v>
      </c>
      <c r="CH305" s="94">
        <f t="shared" si="231"/>
        <v>759.3650794</v>
      </c>
      <c r="CI305" s="94">
        <f t="shared" si="231"/>
        <v>759.3650794</v>
      </c>
      <c r="CJ305" s="94">
        <f t="shared" si="231"/>
        <v>759.3650794</v>
      </c>
      <c r="CK305" s="94">
        <f t="shared" si="231"/>
        <v>759.3650794</v>
      </c>
      <c r="CL305" s="94">
        <f t="shared" si="231"/>
        <v>759.3650794</v>
      </c>
      <c r="CM305" s="94">
        <f t="shared" si="231"/>
        <v>759.3650794</v>
      </c>
      <c r="CN305" s="94">
        <f t="shared" si="231"/>
        <v>759.3650794</v>
      </c>
      <c r="CO305" s="94">
        <f t="shared" si="231"/>
        <v>759.3650794</v>
      </c>
      <c r="CP305" s="94">
        <f t="shared" si="231"/>
        <v>759.3650794</v>
      </c>
      <c r="CQ305" s="94">
        <f t="shared" si="231"/>
        <v>759.3650794</v>
      </c>
      <c r="CR305" s="94">
        <f t="shared" si="231"/>
        <v>759.3650794</v>
      </c>
      <c r="CS305" s="94">
        <f t="shared" si="231"/>
        <v>759.3650794</v>
      </c>
      <c r="CT305" s="94">
        <f t="shared" si="231"/>
        <v>759.3650794</v>
      </c>
      <c r="CU305" s="94">
        <f t="shared" si="231"/>
        <v>759.3650794</v>
      </c>
      <c r="CV305" s="94">
        <f t="shared" si="231"/>
        <v>759.3650794</v>
      </c>
      <c r="CW305" s="94">
        <f t="shared" si="231"/>
        <v>759.3650794</v>
      </c>
      <c r="CX305" s="94">
        <f t="shared" si="231"/>
        <v>759.3650794</v>
      </c>
      <c r="CY305" s="176"/>
      <c r="CZ305" s="176"/>
    </row>
    <row r="306" ht="15.75" customHeight="1">
      <c r="U306" s="96">
        <v>45930.0</v>
      </c>
      <c r="CC306" s="176"/>
      <c r="CD306" s="176"/>
      <c r="CE306" s="176"/>
      <c r="CF306" s="176"/>
      <c r="CG306" s="176"/>
      <c r="CH306" s="94">
        <f t="shared" ref="CH306:CY306" si="232">+$CH$53*$U$60*$X$60</f>
        <v>759.3650794</v>
      </c>
      <c r="CI306" s="94">
        <f t="shared" si="232"/>
        <v>759.3650794</v>
      </c>
      <c r="CJ306" s="94">
        <f t="shared" si="232"/>
        <v>759.3650794</v>
      </c>
      <c r="CK306" s="94">
        <f t="shared" si="232"/>
        <v>759.3650794</v>
      </c>
      <c r="CL306" s="94">
        <f t="shared" si="232"/>
        <v>759.3650794</v>
      </c>
      <c r="CM306" s="94">
        <f t="shared" si="232"/>
        <v>759.3650794</v>
      </c>
      <c r="CN306" s="94">
        <f t="shared" si="232"/>
        <v>759.3650794</v>
      </c>
      <c r="CO306" s="94">
        <f t="shared" si="232"/>
        <v>759.3650794</v>
      </c>
      <c r="CP306" s="94">
        <f t="shared" si="232"/>
        <v>759.3650794</v>
      </c>
      <c r="CQ306" s="94">
        <f t="shared" si="232"/>
        <v>759.3650794</v>
      </c>
      <c r="CR306" s="94">
        <f t="shared" si="232"/>
        <v>759.3650794</v>
      </c>
      <c r="CS306" s="94">
        <f t="shared" si="232"/>
        <v>759.3650794</v>
      </c>
      <c r="CT306" s="94">
        <f t="shared" si="232"/>
        <v>759.3650794</v>
      </c>
      <c r="CU306" s="94">
        <f t="shared" si="232"/>
        <v>759.3650794</v>
      </c>
      <c r="CV306" s="94">
        <f t="shared" si="232"/>
        <v>759.3650794</v>
      </c>
      <c r="CW306" s="94">
        <f t="shared" si="232"/>
        <v>759.3650794</v>
      </c>
      <c r="CX306" s="94">
        <f t="shared" si="232"/>
        <v>759.3650794</v>
      </c>
      <c r="CY306" s="94">
        <f t="shared" si="232"/>
        <v>759.3650794</v>
      </c>
      <c r="CZ306" s="176"/>
    </row>
    <row r="307" ht="15.75" customHeight="1">
      <c r="U307" s="96">
        <v>45961.0</v>
      </c>
      <c r="CC307" s="176"/>
      <c r="CD307" s="176"/>
      <c r="CE307" s="176"/>
      <c r="CF307" s="176"/>
      <c r="CG307" s="176"/>
      <c r="CH307" s="176"/>
      <c r="CI307" s="94">
        <f t="shared" ref="CI307:CZ307" si="233">+$CI$53*$U$60*$X$60</f>
        <v>1139.047619</v>
      </c>
      <c r="CJ307" s="94">
        <f t="shared" si="233"/>
        <v>1139.047619</v>
      </c>
      <c r="CK307" s="94">
        <f t="shared" si="233"/>
        <v>1139.047619</v>
      </c>
      <c r="CL307" s="94">
        <f t="shared" si="233"/>
        <v>1139.047619</v>
      </c>
      <c r="CM307" s="94">
        <f t="shared" si="233"/>
        <v>1139.047619</v>
      </c>
      <c r="CN307" s="94">
        <f t="shared" si="233"/>
        <v>1139.047619</v>
      </c>
      <c r="CO307" s="94">
        <f t="shared" si="233"/>
        <v>1139.047619</v>
      </c>
      <c r="CP307" s="94">
        <f t="shared" si="233"/>
        <v>1139.047619</v>
      </c>
      <c r="CQ307" s="94">
        <f t="shared" si="233"/>
        <v>1139.047619</v>
      </c>
      <c r="CR307" s="94">
        <f t="shared" si="233"/>
        <v>1139.047619</v>
      </c>
      <c r="CS307" s="94">
        <f t="shared" si="233"/>
        <v>1139.047619</v>
      </c>
      <c r="CT307" s="94">
        <f t="shared" si="233"/>
        <v>1139.047619</v>
      </c>
      <c r="CU307" s="94">
        <f t="shared" si="233"/>
        <v>1139.047619</v>
      </c>
      <c r="CV307" s="94">
        <f t="shared" si="233"/>
        <v>1139.047619</v>
      </c>
      <c r="CW307" s="94">
        <f t="shared" si="233"/>
        <v>1139.047619</v>
      </c>
      <c r="CX307" s="94">
        <f t="shared" si="233"/>
        <v>1139.047619</v>
      </c>
      <c r="CY307" s="94">
        <f t="shared" si="233"/>
        <v>1139.047619</v>
      </c>
      <c r="CZ307" s="94">
        <f t="shared" si="233"/>
        <v>1139.047619</v>
      </c>
    </row>
    <row r="308" ht="15.75" customHeight="1">
      <c r="U308" s="96">
        <v>45991.0</v>
      </c>
      <c r="CC308" s="176"/>
      <c r="CD308" s="176"/>
      <c r="CE308" s="176"/>
      <c r="CF308" s="176"/>
      <c r="CG308" s="176"/>
      <c r="CH308" s="176"/>
      <c r="CI308" s="176"/>
      <c r="CJ308" s="94">
        <f t="shared" ref="CJ308:DA308" si="234">+$CJ$53*$U$60*$X$60</f>
        <v>1139.047619</v>
      </c>
      <c r="CK308" s="94">
        <f t="shared" si="234"/>
        <v>1139.047619</v>
      </c>
      <c r="CL308" s="94">
        <f t="shared" si="234"/>
        <v>1139.047619</v>
      </c>
      <c r="CM308" s="94">
        <f t="shared" si="234"/>
        <v>1139.047619</v>
      </c>
      <c r="CN308" s="94">
        <f t="shared" si="234"/>
        <v>1139.047619</v>
      </c>
      <c r="CO308" s="94">
        <f t="shared" si="234"/>
        <v>1139.047619</v>
      </c>
      <c r="CP308" s="94">
        <f t="shared" si="234"/>
        <v>1139.047619</v>
      </c>
      <c r="CQ308" s="94">
        <f t="shared" si="234"/>
        <v>1139.047619</v>
      </c>
      <c r="CR308" s="94">
        <f t="shared" si="234"/>
        <v>1139.047619</v>
      </c>
      <c r="CS308" s="94">
        <f t="shared" si="234"/>
        <v>1139.047619</v>
      </c>
      <c r="CT308" s="94">
        <f t="shared" si="234"/>
        <v>1139.047619</v>
      </c>
      <c r="CU308" s="94">
        <f t="shared" si="234"/>
        <v>1139.047619</v>
      </c>
      <c r="CV308" s="94">
        <f t="shared" si="234"/>
        <v>1139.047619</v>
      </c>
      <c r="CW308" s="94">
        <f t="shared" si="234"/>
        <v>1139.047619</v>
      </c>
      <c r="CX308" s="94">
        <f t="shared" si="234"/>
        <v>1139.047619</v>
      </c>
      <c r="CY308" s="94">
        <f t="shared" si="234"/>
        <v>1139.047619</v>
      </c>
      <c r="CZ308" s="94">
        <f t="shared" si="234"/>
        <v>1139.047619</v>
      </c>
      <c r="DA308" s="94">
        <f t="shared" si="234"/>
        <v>1139.047619</v>
      </c>
    </row>
    <row r="309" ht="15.75" customHeight="1">
      <c r="U309" s="96">
        <v>46022.0</v>
      </c>
      <c r="CC309" s="176"/>
      <c r="CD309" s="176"/>
      <c r="CE309" s="176"/>
      <c r="CF309" s="176"/>
      <c r="CG309" s="176"/>
      <c r="CH309" s="176"/>
      <c r="CI309" s="176"/>
      <c r="CJ309" s="176"/>
      <c r="CK309" s="94">
        <f t="shared" ref="CK309:DB309" si="235">+$CK$53*$U$60*$X$60</f>
        <v>1139.047619</v>
      </c>
      <c r="CL309" s="94">
        <f t="shared" si="235"/>
        <v>1139.047619</v>
      </c>
      <c r="CM309" s="94">
        <f t="shared" si="235"/>
        <v>1139.047619</v>
      </c>
      <c r="CN309" s="94">
        <f t="shared" si="235"/>
        <v>1139.047619</v>
      </c>
      <c r="CO309" s="94">
        <f t="shared" si="235"/>
        <v>1139.047619</v>
      </c>
      <c r="CP309" s="94">
        <f t="shared" si="235"/>
        <v>1139.047619</v>
      </c>
      <c r="CQ309" s="94">
        <f t="shared" si="235"/>
        <v>1139.047619</v>
      </c>
      <c r="CR309" s="94">
        <f t="shared" si="235"/>
        <v>1139.047619</v>
      </c>
      <c r="CS309" s="94">
        <f t="shared" si="235"/>
        <v>1139.047619</v>
      </c>
      <c r="CT309" s="94">
        <f t="shared" si="235"/>
        <v>1139.047619</v>
      </c>
      <c r="CU309" s="94">
        <f t="shared" si="235"/>
        <v>1139.047619</v>
      </c>
      <c r="CV309" s="94">
        <f t="shared" si="235"/>
        <v>1139.047619</v>
      </c>
      <c r="CW309" s="94">
        <f t="shared" si="235"/>
        <v>1139.047619</v>
      </c>
      <c r="CX309" s="94">
        <f t="shared" si="235"/>
        <v>1139.047619</v>
      </c>
      <c r="CY309" s="94">
        <f t="shared" si="235"/>
        <v>1139.047619</v>
      </c>
      <c r="CZ309" s="94">
        <f t="shared" si="235"/>
        <v>1139.047619</v>
      </c>
      <c r="DA309" s="94">
        <f t="shared" si="235"/>
        <v>1139.047619</v>
      </c>
      <c r="DB309" s="94">
        <f t="shared" si="235"/>
        <v>1139.047619</v>
      </c>
    </row>
    <row r="310" ht="15.75" customHeight="1">
      <c r="U310" s="96">
        <v>46053.0</v>
      </c>
      <c r="CL310" s="94">
        <f t="shared" ref="CL310:DC310" si="236">+$CL$53*$U$60*$X$60</f>
        <v>1139.047619</v>
      </c>
      <c r="CM310" s="94">
        <f t="shared" si="236"/>
        <v>1139.047619</v>
      </c>
      <c r="CN310" s="94">
        <f t="shared" si="236"/>
        <v>1139.047619</v>
      </c>
      <c r="CO310" s="94">
        <f t="shared" si="236"/>
        <v>1139.047619</v>
      </c>
      <c r="CP310" s="94">
        <f t="shared" si="236"/>
        <v>1139.047619</v>
      </c>
      <c r="CQ310" s="94">
        <f t="shared" si="236"/>
        <v>1139.047619</v>
      </c>
      <c r="CR310" s="94">
        <f t="shared" si="236"/>
        <v>1139.047619</v>
      </c>
      <c r="CS310" s="94">
        <f t="shared" si="236"/>
        <v>1139.047619</v>
      </c>
      <c r="CT310" s="94">
        <f t="shared" si="236"/>
        <v>1139.047619</v>
      </c>
      <c r="CU310" s="94">
        <f t="shared" si="236"/>
        <v>1139.047619</v>
      </c>
      <c r="CV310" s="94">
        <f t="shared" si="236"/>
        <v>1139.047619</v>
      </c>
      <c r="CW310" s="94">
        <f t="shared" si="236"/>
        <v>1139.047619</v>
      </c>
      <c r="CX310" s="94">
        <f t="shared" si="236"/>
        <v>1139.047619</v>
      </c>
      <c r="CY310" s="94">
        <f t="shared" si="236"/>
        <v>1139.047619</v>
      </c>
      <c r="CZ310" s="94">
        <f t="shared" si="236"/>
        <v>1139.047619</v>
      </c>
      <c r="DA310" s="94">
        <f t="shared" si="236"/>
        <v>1139.047619</v>
      </c>
      <c r="DB310" s="94">
        <f t="shared" si="236"/>
        <v>1139.047619</v>
      </c>
      <c r="DC310" s="94">
        <f t="shared" si="236"/>
        <v>1139.047619</v>
      </c>
    </row>
    <row r="311" ht="15.75" customHeight="1">
      <c r="U311" s="96">
        <v>46081.0</v>
      </c>
      <c r="CM311" s="94">
        <f t="shared" ref="CM311:DD311" si="237">+$CM$53*$U$60*$X$60</f>
        <v>1139.047619</v>
      </c>
      <c r="CN311" s="94">
        <f t="shared" si="237"/>
        <v>1139.047619</v>
      </c>
      <c r="CO311" s="94">
        <f t="shared" si="237"/>
        <v>1139.047619</v>
      </c>
      <c r="CP311" s="94">
        <f t="shared" si="237"/>
        <v>1139.047619</v>
      </c>
      <c r="CQ311" s="94">
        <f t="shared" si="237"/>
        <v>1139.047619</v>
      </c>
      <c r="CR311" s="94">
        <f t="shared" si="237"/>
        <v>1139.047619</v>
      </c>
      <c r="CS311" s="94">
        <f t="shared" si="237"/>
        <v>1139.047619</v>
      </c>
      <c r="CT311" s="94">
        <f t="shared" si="237"/>
        <v>1139.047619</v>
      </c>
      <c r="CU311" s="94">
        <f t="shared" si="237"/>
        <v>1139.047619</v>
      </c>
      <c r="CV311" s="94">
        <f t="shared" si="237"/>
        <v>1139.047619</v>
      </c>
      <c r="CW311" s="94">
        <f t="shared" si="237"/>
        <v>1139.047619</v>
      </c>
      <c r="CX311" s="94">
        <f t="shared" si="237"/>
        <v>1139.047619</v>
      </c>
      <c r="CY311" s="94">
        <f t="shared" si="237"/>
        <v>1139.047619</v>
      </c>
      <c r="CZ311" s="94">
        <f t="shared" si="237"/>
        <v>1139.047619</v>
      </c>
      <c r="DA311" s="94">
        <f t="shared" si="237"/>
        <v>1139.047619</v>
      </c>
      <c r="DB311" s="94">
        <f t="shared" si="237"/>
        <v>1139.047619</v>
      </c>
      <c r="DC311" s="94">
        <f t="shared" si="237"/>
        <v>1139.047619</v>
      </c>
      <c r="DD311" s="94">
        <f t="shared" si="237"/>
        <v>1139.047619</v>
      </c>
    </row>
    <row r="312" ht="15.75" customHeight="1">
      <c r="U312" s="96">
        <v>46112.0</v>
      </c>
      <c r="CN312" s="94">
        <f t="shared" ref="CN312:DE312" si="238">+$CN$53*$U$60*$X$60</f>
        <v>1518.730159</v>
      </c>
      <c r="CO312" s="94">
        <f t="shared" si="238"/>
        <v>1518.730159</v>
      </c>
      <c r="CP312" s="94">
        <f t="shared" si="238"/>
        <v>1518.730159</v>
      </c>
      <c r="CQ312" s="94">
        <f t="shared" si="238"/>
        <v>1518.730159</v>
      </c>
      <c r="CR312" s="94">
        <f t="shared" si="238"/>
        <v>1518.730159</v>
      </c>
      <c r="CS312" s="94">
        <f t="shared" si="238"/>
        <v>1518.730159</v>
      </c>
      <c r="CT312" s="94">
        <f t="shared" si="238"/>
        <v>1518.730159</v>
      </c>
      <c r="CU312" s="94">
        <f t="shared" si="238"/>
        <v>1518.730159</v>
      </c>
      <c r="CV312" s="94">
        <f t="shared" si="238"/>
        <v>1518.730159</v>
      </c>
      <c r="CW312" s="94">
        <f t="shared" si="238"/>
        <v>1518.730159</v>
      </c>
      <c r="CX312" s="94">
        <f t="shared" si="238"/>
        <v>1518.730159</v>
      </c>
      <c r="CY312" s="94">
        <f t="shared" si="238"/>
        <v>1518.730159</v>
      </c>
      <c r="CZ312" s="94">
        <f t="shared" si="238"/>
        <v>1518.730159</v>
      </c>
      <c r="DA312" s="94">
        <f t="shared" si="238"/>
        <v>1518.730159</v>
      </c>
      <c r="DB312" s="94">
        <f t="shared" si="238"/>
        <v>1518.730159</v>
      </c>
      <c r="DC312" s="94">
        <f t="shared" si="238"/>
        <v>1518.730159</v>
      </c>
      <c r="DD312" s="94">
        <f t="shared" si="238"/>
        <v>1518.730159</v>
      </c>
      <c r="DE312" s="94">
        <f t="shared" si="238"/>
        <v>1518.730159</v>
      </c>
    </row>
    <row r="313" ht="15.75" customHeight="1">
      <c r="U313" s="96">
        <v>46142.0</v>
      </c>
      <c r="CO313" s="94">
        <f t="shared" ref="CO313:DF313" si="239">+$CO$53*$U$60*$X$60</f>
        <v>1898.412698</v>
      </c>
      <c r="CP313" s="94">
        <f t="shared" si="239"/>
        <v>1898.412698</v>
      </c>
      <c r="CQ313" s="94">
        <f t="shared" si="239"/>
        <v>1898.412698</v>
      </c>
      <c r="CR313" s="94">
        <f t="shared" si="239"/>
        <v>1898.412698</v>
      </c>
      <c r="CS313" s="94">
        <f t="shared" si="239"/>
        <v>1898.412698</v>
      </c>
      <c r="CT313" s="94">
        <f t="shared" si="239"/>
        <v>1898.412698</v>
      </c>
      <c r="CU313" s="94">
        <f t="shared" si="239"/>
        <v>1898.412698</v>
      </c>
      <c r="CV313" s="94">
        <f t="shared" si="239"/>
        <v>1898.412698</v>
      </c>
      <c r="CW313" s="94">
        <f t="shared" si="239"/>
        <v>1898.412698</v>
      </c>
      <c r="CX313" s="94">
        <f t="shared" si="239"/>
        <v>1898.412698</v>
      </c>
      <c r="CY313" s="94">
        <f t="shared" si="239"/>
        <v>1898.412698</v>
      </c>
      <c r="CZ313" s="94">
        <f t="shared" si="239"/>
        <v>1898.412698</v>
      </c>
      <c r="DA313" s="94">
        <f t="shared" si="239"/>
        <v>1898.412698</v>
      </c>
      <c r="DB313" s="94">
        <f t="shared" si="239"/>
        <v>1898.412698</v>
      </c>
      <c r="DC313" s="94">
        <f t="shared" si="239"/>
        <v>1898.412698</v>
      </c>
      <c r="DD313" s="94">
        <f t="shared" si="239"/>
        <v>1898.412698</v>
      </c>
      <c r="DE313" s="94">
        <f t="shared" si="239"/>
        <v>1898.412698</v>
      </c>
      <c r="DF313" s="94">
        <f t="shared" si="239"/>
        <v>1898.412698</v>
      </c>
    </row>
    <row r="314" ht="15.75" customHeight="1">
      <c r="U314" s="96">
        <v>46173.0</v>
      </c>
      <c r="CP314" s="94">
        <f t="shared" ref="CP314:DG314" si="240">+$CP$53*$U$60*$X$60</f>
        <v>1898.412698</v>
      </c>
      <c r="CQ314" s="94">
        <f t="shared" si="240"/>
        <v>1898.412698</v>
      </c>
      <c r="CR314" s="94">
        <f t="shared" si="240"/>
        <v>1898.412698</v>
      </c>
      <c r="CS314" s="94">
        <f t="shared" si="240"/>
        <v>1898.412698</v>
      </c>
      <c r="CT314" s="94">
        <f t="shared" si="240"/>
        <v>1898.412698</v>
      </c>
      <c r="CU314" s="94">
        <f t="shared" si="240"/>
        <v>1898.412698</v>
      </c>
      <c r="CV314" s="94">
        <f t="shared" si="240"/>
        <v>1898.412698</v>
      </c>
      <c r="CW314" s="94">
        <f t="shared" si="240"/>
        <v>1898.412698</v>
      </c>
      <c r="CX314" s="94">
        <f t="shared" si="240"/>
        <v>1898.412698</v>
      </c>
      <c r="CY314" s="94">
        <f t="shared" si="240"/>
        <v>1898.412698</v>
      </c>
      <c r="CZ314" s="94">
        <f t="shared" si="240"/>
        <v>1898.412698</v>
      </c>
      <c r="DA314" s="94">
        <f t="shared" si="240"/>
        <v>1898.412698</v>
      </c>
      <c r="DB314" s="94">
        <f t="shared" si="240"/>
        <v>1898.412698</v>
      </c>
      <c r="DC314" s="94">
        <f t="shared" si="240"/>
        <v>1898.412698</v>
      </c>
      <c r="DD314" s="94">
        <f t="shared" si="240"/>
        <v>1898.412698</v>
      </c>
      <c r="DE314" s="94">
        <f t="shared" si="240"/>
        <v>1898.412698</v>
      </c>
      <c r="DF314" s="94">
        <f t="shared" si="240"/>
        <v>1898.412698</v>
      </c>
      <c r="DG314" s="94">
        <f t="shared" si="240"/>
        <v>1898.412698</v>
      </c>
    </row>
    <row r="315" ht="15.75" customHeight="1">
      <c r="U315" s="96">
        <v>46203.0</v>
      </c>
      <c r="CQ315" s="94">
        <f t="shared" ref="CQ315:DH315" si="241">+$CQ$53*$U$60*$X$60</f>
        <v>1898.412698</v>
      </c>
      <c r="CR315" s="94">
        <f t="shared" si="241"/>
        <v>1898.412698</v>
      </c>
      <c r="CS315" s="94">
        <f t="shared" si="241"/>
        <v>1898.412698</v>
      </c>
      <c r="CT315" s="94">
        <f t="shared" si="241"/>
        <v>1898.412698</v>
      </c>
      <c r="CU315" s="94">
        <f t="shared" si="241"/>
        <v>1898.412698</v>
      </c>
      <c r="CV315" s="94">
        <f t="shared" si="241"/>
        <v>1898.412698</v>
      </c>
      <c r="CW315" s="94">
        <f t="shared" si="241"/>
        <v>1898.412698</v>
      </c>
      <c r="CX315" s="94">
        <f t="shared" si="241"/>
        <v>1898.412698</v>
      </c>
      <c r="CY315" s="94">
        <f t="shared" si="241"/>
        <v>1898.412698</v>
      </c>
      <c r="CZ315" s="94">
        <f t="shared" si="241"/>
        <v>1898.412698</v>
      </c>
      <c r="DA315" s="94">
        <f t="shared" si="241"/>
        <v>1898.412698</v>
      </c>
      <c r="DB315" s="94">
        <f t="shared" si="241"/>
        <v>1898.412698</v>
      </c>
      <c r="DC315" s="94">
        <f t="shared" si="241"/>
        <v>1898.412698</v>
      </c>
      <c r="DD315" s="94">
        <f t="shared" si="241"/>
        <v>1898.412698</v>
      </c>
      <c r="DE315" s="94">
        <f t="shared" si="241"/>
        <v>1898.412698</v>
      </c>
      <c r="DF315" s="94">
        <f t="shared" si="241"/>
        <v>1898.412698</v>
      </c>
      <c r="DG315" s="94">
        <f t="shared" si="241"/>
        <v>1898.412698</v>
      </c>
      <c r="DH315" s="94">
        <f t="shared" si="241"/>
        <v>1898.412698</v>
      </c>
    </row>
    <row r="316" ht="15.75" customHeight="1">
      <c r="U316" s="96">
        <v>46234.0</v>
      </c>
      <c r="CR316" s="94">
        <f t="shared" ref="CR316:DI316" si="242">+$CR$53*$U$60*$X$60</f>
        <v>2278.095238</v>
      </c>
      <c r="CS316" s="94">
        <f t="shared" si="242"/>
        <v>2278.095238</v>
      </c>
      <c r="CT316" s="94">
        <f t="shared" si="242"/>
        <v>2278.095238</v>
      </c>
      <c r="CU316" s="94">
        <f t="shared" si="242"/>
        <v>2278.095238</v>
      </c>
      <c r="CV316" s="94">
        <f t="shared" si="242"/>
        <v>2278.095238</v>
      </c>
      <c r="CW316" s="94">
        <f t="shared" si="242"/>
        <v>2278.095238</v>
      </c>
      <c r="CX316" s="94">
        <f t="shared" si="242"/>
        <v>2278.095238</v>
      </c>
      <c r="CY316" s="94">
        <f t="shared" si="242"/>
        <v>2278.095238</v>
      </c>
      <c r="CZ316" s="94">
        <f t="shared" si="242"/>
        <v>2278.095238</v>
      </c>
      <c r="DA316" s="94">
        <f t="shared" si="242"/>
        <v>2278.095238</v>
      </c>
      <c r="DB316" s="94">
        <f t="shared" si="242"/>
        <v>2278.095238</v>
      </c>
      <c r="DC316" s="94">
        <f t="shared" si="242"/>
        <v>2278.095238</v>
      </c>
      <c r="DD316" s="94">
        <f t="shared" si="242"/>
        <v>2278.095238</v>
      </c>
      <c r="DE316" s="94">
        <f t="shared" si="242"/>
        <v>2278.095238</v>
      </c>
      <c r="DF316" s="94">
        <f t="shared" si="242"/>
        <v>2278.095238</v>
      </c>
      <c r="DG316" s="94">
        <f t="shared" si="242"/>
        <v>2278.095238</v>
      </c>
      <c r="DH316" s="94">
        <f t="shared" si="242"/>
        <v>2278.095238</v>
      </c>
      <c r="DI316" s="94">
        <f t="shared" si="242"/>
        <v>2278.095238</v>
      </c>
    </row>
    <row r="317" ht="15.75" customHeight="1">
      <c r="U317" s="96">
        <v>46265.0</v>
      </c>
      <c r="CS317" s="94">
        <f t="shared" ref="CS317:DI317" si="243">+$CS$53*$U$60*$X$60</f>
        <v>2278.095238</v>
      </c>
      <c r="CT317" s="94">
        <f t="shared" si="243"/>
        <v>2278.095238</v>
      </c>
      <c r="CU317" s="94">
        <f t="shared" si="243"/>
        <v>2278.095238</v>
      </c>
      <c r="CV317" s="94">
        <f t="shared" si="243"/>
        <v>2278.095238</v>
      </c>
      <c r="CW317" s="94">
        <f t="shared" si="243"/>
        <v>2278.095238</v>
      </c>
      <c r="CX317" s="94">
        <f t="shared" si="243"/>
        <v>2278.095238</v>
      </c>
      <c r="CY317" s="94">
        <f t="shared" si="243"/>
        <v>2278.095238</v>
      </c>
      <c r="CZ317" s="94">
        <f t="shared" si="243"/>
        <v>2278.095238</v>
      </c>
      <c r="DA317" s="94">
        <f t="shared" si="243"/>
        <v>2278.095238</v>
      </c>
      <c r="DB317" s="94">
        <f t="shared" si="243"/>
        <v>2278.095238</v>
      </c>
      <c r="DC317" s="94">
        <f t="shared" si="243"/>
        <v>2278.095238</v>
      </c>
      <c r="DD317" s="94">
        <f t="shared" si="243"/>
        <v>2278.095238</v>
      </c>
      <c r="DE317" s="94">
        <f t="shared" si="243"/>
        <v>2278.095238</v>
      </c>
      <c r="DF317" s="94">
        <f t="shared" si="243"/>
        <v>2278.095238</v>
      </c>
      <c r="DG317" s="94">
        <f t="shared" si="243"/>
        <v>2278.095238</v>
      </c>
      <c r="DH317" s="94">
        <f t="shared" si="243"/>
        <v>2278.095238</v>
      </c>
      <c r="DI317" s="94">
        <f t="shared" si="243"/>
        <v>2278.095238</v>
      </c>
    </row>
    <row r="318" ht="15.75" customHeight="1">
      <c r="U318" s="96">
        <v>46295.0</v>
      </c>
      <c r="CT318" s="94">
        <f t="shared" ref="CT318:DI318" si="244">+$CT$53*$U$60*$X$60</f>
        <v>2278.095238</v>
      </c>
      <c r="CU318" s="94">
        <f t="shared" si="244"/>
        <v>2278.095238</v>
      </c>
      <c r="CV318" s="94">
        <f t="shared" si="244"/>
        <v>2278.095238</v>
      </c>
      <c r="CW318" s="94">
        <f t="shared" si="244"/>
        <v>2278.095238</v>
      </c>
      <c r="CX318" s="94">
        <f t="shared" si="244"/>
        <v>2278.095238</v>
      </c>
      <c r="CY318" s="94">
        <f t="shared" si="244"/>
        <v>2278.095238</v>
      </c>
      <c r="CZ318" s="94">
        <f t="shared" si="244"/>
        <v>2278.095238</v>
      </c>
      <c r="DA318" s="94">
        <f t="shared" si="244"/>
        <v>2278.095238</v>
      </c>
      <c r="DB318" s="94">
        <f t="shared" si="244"/>
        <v>2278.095238</v>
      </c>
      <c r="DC318" s="94">
        <f t="shared" si="244"/>
        <v>2278.095238</v>
      </c>
      <c r="DD318" s="94">
        <f t="shared" si="244"/>
        <v>2278.095238</v>
      </c>
      <c r="DE318" s="94">
        <f t="shared" si="244"/>
        <v>2278.095238</v>
      </c>
      <c r="DF318" s="94">
        <f t="shared" si="244"/>
        <v>2278.095238</v>
      </c>
      <c r="DG318" s="94">
        <f t="shared" si="244"/>
        <v>2278.095238</v>
      </c>
      <c r="DH318" s="94">
        <f t="shared" si="244"/>
        <v>2278.095238</v>
      </c>
      <c r="DI318" s="94">
        <f t="shared" si="244"/>
        <v>2278.095238</v>
      </c>
    </row>
    <row r="319" ht="15.75" customHeight="1">
      <c r="U319" s="96">
        <v>46326.0</v>
      </c>
      <c r="CU319" s="94">
        <f t="shared" ref="CU319:DI319" si="245">+$CU$53*$U$60*$X$60</f>
        <v>2278.095238</v>
      </c>
      <c r="CV319" s="94">
        <f t="shared" si="245"/>
        <v>2278.095238</v>
      </c>
      <c r="CW319" s="94">
        <f t="shared" si="245"/>
        <v>2278.095238</v>
      </c>
      <c r="CX319" s="94">
        <f t="shared" si="245"/>
        <v>2278.095238</v>
      </c>
      <c r="CY319" s="94">
        <f t="shared" si="245"/>
        <v>2278.095238</v>
      </c>
      <c r="CZ319" s="94">
        <f t="shared" si="245"/>
        <v>2278.095238</v>
      </c>
      <c r="DA319" s="94">
        <f t="shared" si="245"/>
        <v>2278.095238</v>
      </c>
      <c r="DB319" s="94">
        <f t="shared" si="245"/>
        <v>2278.095238</v>
      </c>
      <c r="DC319" s="94">
        <f t="shared" si="245"/>
        <v>2278.095238</v>
      </c>
      <c r="DD319" s="94">
        <f t="shared" si="245"/>
        <v>2278.095238</v>
      </c>
      <c r="DE319" s="94">
        <f t="shared" si="245"/>
        <v>2278.095238</v>
      </c>
      <c r="DF319" s="94">
        <f t="shared" si="245"/>
        <v>2278.095238</v>
      </c>
      <c r="DG319" s="94">
        <f t="shared" si="245"/>
        <v>2278.095238</v>
      </c>
      <c r="DH319" s="94">
        <f t="shared" si="245"/>
        <v>2278.095238</v>
      </c>
      <c r="DI319" s="94">
        <f t="shared" si="245"/>
        <v>2278.095238</v>
      </c>
    </row>
    <row r="320" ht="15.75" customHeight="1">
      <c r="U320" s="96">
        <v>46356.0</v>
      </c>
      <c r="CV320" s="94">
        <f t="shared" ref="CV320:DI320" si="246">+$CV$53*$U$60*$X$60</f>
        <v>2278.095238</v>
      </c>
      <c r="CW320" s="94">
        <f t="shared" si="246"/>
        <v>2278.095238</v>
      </c>
      <c r="CX320" s="94">
        <f t="shared" si="246"/>
        <v>2278.095238</v>
      </c>
      <c r="CY320" s="94">
        <f t="shared" si="246"/>
        <v>2278.095238</v>
      </c>
      <c r="CZ320" s="94">
        <f t="shared" si="246"/>
        <v>2278.095238</v>
      </c>
      <c r="DA320" s="94">
        <f t="shared" si="246"/>
        <v>2278.095238</v>
      </c>
      <c r="DB320" s="94">
        <f t="shared" si="246"/>
        <v>2278.095238</v>
      </c>
      <c r="DC320" s="94">
        <f t="shared" si="246"/>
        <v>2278.095238</v>
      </c>
      <c r="DD320" s="94">
        <f t="shared" si="246"/>
        <v>2278.095238</v>
      </c>
      <c r="DE320" s="94">
        <f t="shared" si="246"/>
        <v>2278.095238</v>
      </c>
      <c r="DF320" s="94">
        <f t="shared" si="246"/>
        <v>2278.095238</v>
      </c>
      <c r="DG320" s="94">
        <f t="shared" si="246"/>
        <v>2278.095238</v>
      </c>
      <c r="DH320" s="94">
        <f t="shared" si="246"/>
        <v>2278.095238</v>
      </c>
      <c r="DI320" s="94">
        <f t="shared" si="246"/>
        <v>2278.095238</v>
      </c>
    </row>
    <row r="321" ht="15.75" customHeight="1">
      <c r="U321" s="96">
        <v>46387.0</v>
      </c>
      <c r="CW321" s="94">
        <f t="shared" ref="CW321:DI321" si="247">+$CW$53*$U$60*$X$60</f>
        <v>2278.095238</v>
      </c>
      <c r="CX321" s="94">
        <f t="shared" si="247"/>
        <v>2278.095238</v>
      </c>
      <c r="CY321" s="94">
        <f t="shared" si="247"/>
        <v>2278.095238</v>
      </c>
      <c r="CZ321" s="94">
        <f t="shared" si="247"/>
        <v>2278.095238</v>
      </c>
      <c r="DA321" s="94">
        <f t="shared" si="247"/>
        <v>2278.095238</v>
      </c>
      <c r="DB321" s="94">
        <f t="shared" si="247"/>
        <v>2278.095238</v>
      </c>
      <c r="DC321" s="94">
        <f t="shared" si="247"/>
        <v>2278.095238</v>
      </c>
      <c r="DD321" s="94">
        <f t="shared" si="247"/>
        <v>2278.095238</v>
      </c>
      <c r="DE321" s="94">
        <f t="shared" si="247"/>
        <v>2278.095238</v>
      </c>
      <c r="DF321" s="94">
        <f t="shared" si="247"/>
        <v>2278.095238</v>
      </c>
      <c r="DG321" s="94">
        <f t="shared" si="247"/>
        <v>2278.095238</v>
      </c>
      <c r="DH321" s="94">
        <f t="shared" si="247"/>
        <v>2278.095238</v>
      </c>
      <c r="DI321" s="94">
        <f t="shared" si="247"/>
        <v>2278.095238</v>
      </c>
    </row>
    <row r="322" ht="15.75" customHeight="1">
      <c r="U322" s="96">
        <v>46418.0</v>
      </c>
      <c r="CX322" s="94">
        <f t="shared" ref="CX322:DI322" si="248">+$CX$53*$U$60*$X$60</f>
        <v>2325.555556</v>
      </c>
      <c r="CY322" s="94">
        <f t="shared" si="248"/>
        <v>2325.555556</v>
      </c>
      <c r="CZ322" s="94">
        <f t="shared" si="248"/>
        <v>2325.555556</v>
      </c>
      <c r="DA322" s="94">
        <f t="shared" si="248"/>
        <v>2325.555556</v>
      </c>
      <c r="DB322" s="94">
        <f t="shared" si="248"/>
        <v>2325.555556</v>
      </c>
      <c r="DC322" s="94">
        <f t="shared" si="248"/>
        <v>2325.555556</v>
      </c>
      <c r="DD322" s="94">
        <f t="shared" si="248"/>
        <v>2325.555556</v>
      </c>
      <c r="DE322" s="94">
        <f t="shared" si="248"/>
        <v>2325.555556</v>
      </c>
      <c r="DF322" s="94">
        <f t="shared" si="248"/>
        <v>2325.555556</v>
      </c>
      <c r="DG322" s="94">
        <f t="shared" si="248"/>
        <v>2325.555556</v>
      </c>
      <c r="DH322" s="94">
        <f t="shared" si="248"/>
        <v>2325.555556</v>
      </c>
      <c r="DI322" s="94">
        <f t="shared" si="248"/>
        <v>2325.555556</v>
      </c>
    </row>
    <row r="323" ht="15.75" customHeight="1">
      <c r="U323" s="96">
        <v>46446.0</v>
      </c>
      <c r="CY323" s="94">
        <f t="shared" ref="CY323:DI323" si="249">+$CY$53*$U$60*$X$60</f>
        <v>2325.555556</v>
      </c>
      <c r="CZ323" s="94">
        <f t="shared" si="249"/>
        <v>2325.555556</v>
      </c>
      <c r="DA323" s="94">
        <f t="shared" si="249"/>
        <v>2325.555556</v>
      </c>
      <c r="DB323" s="94">
        <f t="shared" si="249"/>
        <v>2325.555556</v>
      </c>
      <c r="DC323" s="94">
        <f t="shared" si="249"/>
        <v>2325.555556</v>
      </c>
      <c r="DD323" s="94">
        <f t="shared" si="249"/>
        <v>2325.555556</v>
      </c>
      <c r="DE323" s="94">
        <f t="shared" si="249"/>
        <v>2325.555556</v>
      </c>
      <c r="DF323" s="94">
        <f t="shared" si="249"/>
        <v>2325.555556</v>
      </c>
      <c r="DG323" s="94">
        <f t="shared" si="249"/>
        <v>2325.555556</v>
      </c>
      <c r="DH323" s="94">
        <f t="shared" si="249"/>
        <v>2325.555556</v>
      </c>
      <c r="DI323" s="94">
        <f t="shared" si="249"/>
        <v>2325.555556</v>
      </c>
    </row>
    <row r="324" ht="15.75" customHeight="1">
      <c r="U324" s="96">
        <v>46477.0</v>
      </c>
      <c r="CZ324" s="94">
        <f t="shared" ref="CZ324:DI324" si="250">+$CZ$53*$U$60*$X$60</f>
        <v>2657.777778</v>
      </c>
      <c r="DA324" s="94">
        <f t="shared" si="250"/>
        <v>2657.777778</v>
      </c>
      <c r="DB324" s="94">
        <f t="shared" si="250"/>
        <v>2657.777778</v>
      </c>
      <c r="DC324" s="94">
        <f t="shared" si="250"/>
        <v>2657.777778</v>
      </c>
      <c r="DD324" s="94">
        <f t="shared" si="250"/>
        <v>2657.777778</v>
      </c>
      <c r="DE324" s="94">
        <f t="shared" si="250"/>
        <v>2657.777778</v>
      </c>
      <c r="DF324" s="94">
        <f t="shared" si="250"/>
        <v>2657.777778</v>
      </c>
      <c r="DG324" s="94">
        <f t="shared" si="250"/>
        <v>2657.777778</v>
      </c>
      <c r="DH324" s="94">
        <f t="shared" si="250"/>
        <v>2657.777778</v>
      </c>
      <c r="DI324" s="94">
        <f t="shared" si="250"/>
        <v>2657.777778</v>
      </c>
    </row>
    <row r="325" ht="15.75" customHeight="1">
      <c r="U325" s="96">
        <v>46507.0</v>
      </c>
      <c r="DA325" s="94">
        <f t="shared" ref="DA325:DI325" si="251">+$DA$53*$U$60*$X$60</f>
        <v>2657.777778</v>
      </c>
      <c r="DB325" s="94">
        <f t="shared" si="251"/>
        <v>2657.777778</v>
      </c>
      <c r="DC325" s="94">
        <f t="shared" si="251"/>
        <v>2657.777778</v>
      </c>
      <c r="DD325" s="94">
        <f t="shared" si="251"/>
        <v>2657.777778</v>
      </c>
      <c r="DE325" s="94">
        <f t="shared" si="251"/>
        <v>2657.777778</v>
      </c>
      <c r="DF325" s="94">
        <f t="shared" si="251"/>
        <v>2657.777778</v>
      </c>
      <c r="DG325" s="94">
        <f t="shared" si="251"/>
        <v>2657.777778</v>
      </c>
      <c r="DH325" s="94">
        <f t="shared" si="251"/>
        <v>2657.777778</v>
      </c>
      <c r="DI325" s="94">
        <f t="shared" si="251"/>
        <v>2657.777778</v>
      </c>
    </row>
    <row r="326" ht="15.75" customHeight="1">
      <c r="U326" s="96">
        <v>46538.0</v>
      </c>
      <c r="DB326" s="94">
        <f t="shared" ref="DB326:DI326" si="252">+$DB$53*$U$60*$X$60</f>
        <v>2657.777778</v>
      </c>
      <c r="DC326" s="94">
        <f t="shared" si="252"/>
        <v>2657.777778</v>
      </c>
      <c r="DD326" s="94">
        <f t="shared" si="252"/>
        <v>2657.777778</v>
      </c>
      <c r="DE326" s="94">
        <f t="shared" si="252"/>
        <v>2657.777778</v>
      </c>
      <c r="DF326" s="94">
        <f t="shared" si="252"/>
        <v>2657.777778</v>
      </c>
      <c r="DG326" s="94">
        <f t="shared" si="252"/>
        <v>2657.777778</v>
      </c>
      <c r="DH326" s="94">
        <f t="shared" si="252"/>
        <v>2657.777778</v>
      </c>
      <c r="DI326" s="94">
        <f t="shared" si="252"/>
        <v>2657.777778</v>
      </c>
    </row>
    <row r="327" ht="15.75" customHeight="1">
      <c r="U327" s="96">
        <v>46568.0</v>
      </c>
      <c r="DC327" s="94">
        <f t="shared" ref="DC327:DI327" si="253">+$DC$53*$U$60*$X$60</f>
        <v>2990</v>
      </c>
      <c r="DD327" s="94">
        <f t="shared" si="253"/>
        <v>2990</v>
      </c>
      <c r="DE327" s="94">
        <f t="shared" si="253"/>
        <v>2990</v>
      </c>
      <c r="DF327" s="94">
        <f t="shared" si="253"/>
        <v>2990</v>
      </c>
      <c r="DG327" s="94">
        <f t="shared" si="253"/>
        <v>2990</v>
      </c>
      <c r="DH327" s="94">
        <f t="shared" si="253"/>
        <v>2990</v>
      </c>
      <c r="DI327" s="94">
        <f t="shared" si="253"/>
        <v>2990</v>
      </c>
    </row>
    <row r="328" ht="15.75" customHeight="1">
      <c r="U328" s="96">
        <v>46599.0</v>
      </c>
      <c r="DD328" s="94">
        <f t="shared" ref="DD328:DI328" si="254">+$DD$53*$U$60*$X$60</f>
        <v>2990</v>
      </c>
      <c r="DE328" s="94">
        <f t="shared" si="254"/>
        <v>2990</v>
      </c>
      <c r="DF328" s="94">
        <f t="shared" si="254"/>
        <v>2990</v>
      </c>
      <c r="DG328" s="94">
        <f t="shared" si="254"/>
        <v>2990</v>
      </c>
      <c r="DH328" s="94">
        <f t="shared" si="254"/>
        <v>2990</v>
      </c>
      <c r="DI328" s="94">
        <f t="shared" si="254"/>
        <v>2990</v>
      </c>
    </row>
    <row r="329" ht="15.75" customHeight="1">
      <c r="U329" s="96">
        <v>46630.0</v>
      </c>
      <c r="DE329" s="94">
        <f t="shared" ref="DE329:DI329" si="255">+$DE$53*$U$60*$X$60</f>
        <v>3322.222222</v>
      </c>
      <c r="DF329" s="94">
        <f t="shared" si="255"/>
        <v>3322.222222</v>
      </c>
      <c r="DG329" s="94">
        <f t="shared" si="255"/>
        <v>3322.222222</v>
      </c>
      <c r="DH329" s="94">
        <f t="shared" si="255"/>
        <v>3322.222222</v>
      </c>
      <c r="DI329" s="94">
        <f t="shared" si="255"/>
        <v>3322.222222</v>
      </c>
    </row>
    <row r="330" ht="15.75" customHeight="1">
      <c r="U330" s="96">
        <v>46660.0</v>
      </c>
      <c r="DF330" s="94">
        <f t="shared" ref="DF330:DI330" si="256">+$DF$53*$U$60*$X$60</f>
        <v>3322.222222</v>
      </c>
      <c r="DG330" s="94">
        <f t="shared" si="256"/>
        <v>3322.222222</v>
      </c>
      <c r="DH330" s="94">
        <f t="shared" si="256"/>
        <v>3322.222222</v>
      </c>
      <c r="DI330" s="94">
        <f t="shared" si="256"/>
        <v>3322.222222</v>
      </c>
    </row>
    <row r="331" ht="15.75" customHeight="1">
      <c r="U331" s="96">
        <v>46691.0</v>
      </c>
      <c r="DG331" s="94">
        <f t="shared" ref="DG331:DI331" si="257">+$DG$53*$U$60*$X$60</f>
        <v>3322.222222</v>
      </c>
      <c r="DH331" s="94">
        <f t="shared" si="257"/>
        <v>3322.222222</v>
      </c>
      <c r="DI331" s="94">
        <f t="shared" si="257"/>
        <v>3322.222222</v>
      </c>
    </row>
    <row r="332" ht="15.75" customHeight="1">
      <c r="U332" s="96">
        <v>46721.0</v>
      </c>
      <c r="DH332" s="94">
        <f t="shared" ref="DH332:DI332" si="258">+$DH$53*$U$60*$X$60</f>
        <v>3322.222222</v>
      </c>
      <c r="DI332" s="94">
        <f t="shared" si="258"/>
        <v>3322.222222</v>
      </c>
    </row>
    <row r="333" ht="15.75" customHeight="1">
      <c r="U333" s="96">
        <v>46752.0</v>
      </c>
      <c r="DI333" s="94">
        <f>+$DI$53*$U$60*$X$60</f>
        <v>3322.222222</v>
      </c>
    </row>
    <row r="334" ht="15.75" customHeight="1">
      <c r="U334" s="96"/>
    </row>
    <row r="335" ht="15.75" customHeight="1"/>
    <row r="336" ht="15.75" customHeight="1">
      <c r="A336" s="91" t="s">
        <v>291</v>
      </c>
      <c r="B336" s="91"/>
      <c r="C336" s="91"/>
      <c r="D336" s="91"/>
      <c r="E336" s="91"/>
      <c r="F336" s="91"/>
      <c r="G336" s="91"/>
      <c r="H336" s="91"/>
      <c r="I336" s="91"/>
      <c r="J336" s="91"/>
      <c r="K336" s="91"/>
      <c r="L336" s="91"/>
      <c r="M336" s="91"/>
      <c r="N336" s="91"/>
      <c r="O336" s="91"/>
      <c r="P336" s="91"/>
      <c r="Q336" s="91"/>
      <c r="R336" s="91"/>
      <c r="S336" s="91"/>
      <c r="T336" s="91"/>
      <c r="U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6">
        <f>+U241</f>
        <v>43951</v>
      </c>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6">
        <v>43982.0</v>
      </c>
      <c r="V338" s="94">
        <f t="shared" ref="V338:AY338" si="259">+$V$53*$U$59*$X$59</f>
        <v>14.63194444</v>
      </c>
      <c r="W338" s="94">
        <f t="shared" si="259"/>
        <v>14.63194444</v>
      </c>
      <c r="X338" s="94">
        <f t="shared" si="259"/>
        <v>14.63194444</v>
      </c>
      <c r="Y338" s="94">
        <f t="shared" si="259"/>
        <v>14.63194444</v>
      </c>
      <c r="Z338" s="94">
        <f t="shared" si="259"/>
        <v>14.63194444</v>
      </c>
      <c r="AA338" s="94">
        <f t="shared" si="259"/>
        <v>14.63194444</v>
      </c>
      <c r="AB338" s="94">
        <f t="shared" si="259"/>
        <v>14.63194444</v>
      </c>
      <c r="AC338" s="94">
        <f t="shared" si="259"/>
        <v>14.63194444</v>
      </c>
      <c r="AD338" s="94">
        <f t="shared" si="259"/>
        <v>14.63194444</v>
      </c>
      <c r="AE338" s="94">
        <f t="shared" si="259"/>
        <v>14.63194444</v>
      </c>
      <c r="AF338" s="94">
        <f t="shared" si="259"/>
        <v>14.63194444</v>
      </c>
      <c r="AG338" s="94">
        <f t="shared" si="259"/>
        <v>14.63194444</v>
      </c>
      <c r="AH338" s="94">
        <f t="shared" si="259"/>
        <v>14.63194444</v>
      </c>
      <c r="AI338" s="94">
        <f t="shared" si="259"/>
        <v>14.63194444</v>
      </c>
      <c r="AJ338" s="94">
        <f t="shared" si="259"/>
        <v>14.63194444</v>
      </c>
      <c r="AK338" s="94">
        <f t="shared" si="259"/>
        <v>14.63194444</v>
      </c>
      <c r="AL338" s="94">
        <f t="shared" si="259"/>
        <v>14.63194444</v>
      </c>
      <c r="AM338" s="94">
        <f t="shared" si="259"/>
        <v>14.63194444</v>
      </c>
      <c r="AN338" s="94">
        <f t="shared" si="259"/>
        <v>14.63194444</v>
      </c>
      <c r="AO338" s="94">
        <f t="shared" si="259"/>
        <v>14.63194444</v>
      </c>
      <c r="AP338" s="94">
        <f t="shared" si="259"/>
        <v>14.63194444</v>
      </c>
      <c r="AQ338" s="94">
        <f t="shared" si="259"/>
        <v>14.63194444</v>
      </c>
      <c r="AR338" s="94">
        <f t="shared" si="259"/>
        <v>14.63194444</v>
      </c>
      <c r="AS338" s="94">
        <f t="shared" si="259"/>
        <v>14.63194444</v>
      </c>
      <c r="AT338" s="94">
        <f t="shared" si="259"/>
        <v>14.63194444</v>
      </c>
      <c r="AU338" s="94">
        <f t="shared" si="259"/>
        <v>14.63194444</v>
      </c>
      <c r="AV338" s="94">
        <f t="shared" si="259"/>
        <v>14.63194444</v>
      </c>
      <c r="AW338" s="94">
        <f t="shared" si="259"/>
        <v>14.63194444</v>
      </c>
      <c r="AX338" s="94">
        <f t="shared" si="259"/>
        <v>14.63194444</v>
      </c>
      <c r="AY338" s="94">
        <f t="shared" si="259"/>
        <v>14.63194444</v>
      </c>
      <c r="AZ338" s="94"/>
      <c r="BA338" s="94"/>
      <c r="BB338" s="94"/>
      <c r="BC338" s="94"/>
      <c r="BD338" s="94"/>
      <c r="BE338" s="94"/>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6">
        <v>44012.0</v>
      </c>
      <c r="W339" s="94">
        <f t="shared" ref="W339:AZ339" si="260">+$W$53*$U$59*$X$59</f>
        <v>162.5771605</v>
      </c>
      <c r="X339" s="94">
        <f t="shared" si="260"/>
        <v>162.5771605</v>
      </c>
      <c r="Y339" s="94">
        <f t="shared" si="260"/>
        <v>162.5771605</v>
      </c>
      <c r="Z339" s="94">
        <f t="shared" si="260"/>
        <v>162.5771605</v>
      </c>
      <c r="AA339" s="94">
        <f t="shared" si="260"/>
        <v>162.5771605</v>
      </c>
      <c r="AB339" s="94">
        <f t="shared" si="260"/>
        <v>162.5771605</v>
      </c>
      <c r="AC339" s="94">
        <f t="shared" si="260"/>
        <v>162.5771605</v>
      </c>
      <c r="AD339" s="94">
        <f t="shared" si="260"/>
        <v>162.5771605</v>
      </c>
      <c r="AE339" s="94">
        <f t="shared" si="260"/>
        <v>162.5771605</v>
      </c>
      <c r="AF339" s="94">
        <f t="shared" si="260"/>
        <v>162.5771605</v>
      </c>
      <c r="AG339" s="94">
        <f t="shared" si="260"/>
        <v>162.5771605</v>
      </c>
      <c r="AH339" s="94">
        <f t="shared" si="260"/>
        <v>162.5771605</v>
      </c>
      <c r="AI339" s="94">
        <f t="shared" si="260"/>
        <v>162.5771605</v>
      </c>
      <c r="AJ339" s="94">
        <f t="shared" si="260"/>
        <v>162.5771605</v>
      </c>
      <c r="AK339" s="94">
        <f t="shared" si="260"/>
        <v>162.5771605</v>
      </c>
      <c r="AL339" s="94">
        <f t="shared" si="260"/>
        <v>162.5771605</v>
      </c>
      <c r="AM339" s="94">
        <f t="shared" si="260"/>
        <v>162.5771605</v>
      </c>
      <c r="AN339" s="94">
        <f t="shared" si="260"/>
        <v>162.5771605</v>
      </c>
      <c r="AO339" s="94">
        <f t="shared" si="260"/>
        <v>162.5771605</v>
      </c>
      <c r="AP339" s="94">
        <f t="shared" si="260"/>
        <v>162.5771605</v>
      </c>
      <c r="AQ339" s="94">
        <f t="shared" si="260"/>
        <v>162.5771605</v>
      </c>
      <c r="AR339" s="94">
        <f t="shared" si="260"/>
        <v>162.5771605</v>
      </c>
      <c r="AS339" s="94">
        <f t="shared" si="260"/>
        <v>162.5771605</v>
      </c>
      <c r="AT339" s="94">
        <f t="shared" si="260"/>
        <v>162.5771605</v>
      </c>
      <c r="AU339" s="94">
        <f t="shared" si="260"/>
        <v>162.5771605</v>
      </c>
      <c r="AV339" s="94">
        <f t="shared" si="260"/>
        <v>162.5771605</v>
      </c>
      <c r="AW339" s="94">
        <f t="shared" si="260"/>
        <v>162.5771605</v>
      </c>
      <c r="AX339" s="94">
        <f t="shared" si="260"/>
        <v>162.5771605</v>
      </c>
      <c r="AY339" s="94">
        <f t="shared" si="260"/>
        <v>162.5771605</v>
      </c>
      <c r="AZ339" s="94">
        <f t="shared" si="260"/>
        <v>162.5771605</v>
      </c>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6">
        <v>44043.0</v>
      </c>
      <c r="X340" s="94">
        <f t="shared" ref="X340:BA340" si="261">+$X$53*$U$59*$X$59</f>
        <v>92.90123457</v>
      </c>
      <c r="Y340" s="94">
        <f t="shared" si="261"/>
        <v>92.90123457</v>
      </c>
      <c r="Z340" s="94">
        <f t="shared" si="261"/>
        <v>92.90123457</v>
      </c>
      <c r="AA340" s="94">
        <f t="shared" si="261"/>
        <v>92.90123457</v>
      </c>
      <c r="AB340" s="94">
        <f t="shared" si="261"/>
        <v>92.90123457</v>
      </c>
      <c r="AC340" s="94">
        <f t="shared" si="261"/>
        <v>92.90123457</v>
      </c>
      <c r="AD340" s="94">
        <f t="shared" si="261"/>
        <v>92.90123457</v>
      </c>
      <c r="AE340" s="94">
        <f t="shared" si="261"/>
        <v>92.90123457</v>
      </c>
      <c r="AF340" s="94">
        <f t="shared" si="261"/>
        <v>92.90123457</v>
      </c>
      <c r="AG340" s="94">
        <f t="shared" si="261"/>
        <v>92.90123457</v>
      </c>
      <c r="AH340" s="94">
        <f t="shared" si="261"/>
        <v>92.90123457</v>
      </c>
      <c r="AI340" s="94">
        <f t="shared" si="261"/>
        <v>92.90123457</v>
      </c>
      <c r="AJ340" s="94">
        <f t="shared" si="261"/>
        <v>92.90123457</v>
      </c>
      <c r="AK340" s="94">
        <f t="shared" si="261"/>
        <v>92.90123457</v>
      </c>
      <c r="AL340" s="94">
        <f t="shared" si="261"/>
        <v>92.90123457</v>
      </c>
      <c r="AM340" s="94">
        <f t="shared" si="261"/>
        <v>92.90123457</v>
      </c>
      <c r="AN340" s="94">
        <f t="shared" si="261"/>
        <v>92.90123457</v>
      </c>
      <c r="AO340" s="94">
        <f t="shared" si="261"/>
        <v>92.90123457</v>
      </c>
      <c r="AP340" s="94">
        <f t="shared" si="261"/>
        <v>92.90123457</v>
      </c>
      <c r="AQ340" s="94">
        <f t="shared" si="261"/>
        <v>92.90123457</v>
      </c>
      <c r="AR340" s="94">
        <f t="shared" si="261"/>
        <v>92.90123457</v>
      </c>
      <c r="AS340" s="94">
        <f t="shared" si="261"/>
        <v>92.90123457</v>
      </c>
      <c r="AT340" s="94">
        <f t="shared" si="261"/>
        <v>92.90123457</v>
      </c>
      <c r="AU340" s="94">
        <f t="shared" si="261"/>
        <v>92.90123457</v>
      </c>
      <c r="AV340" s="94">
        <f t="shared" si="261"/>
        <v>92.90123457</v>
      </c>
      <c r="AW340" s="94">
        <f t="shared" si="261"/>
        <v>92.90123457</v>
      </c>
      <c r="AX340" s="94">
        <f t="shared" si="261"/>
        <v>92.90123457</v>
      </c>
      <c r="AY340" s="94">
        <f t="shared" si="261"/>
        <v>92.90123457</v>
      </c>
      <c r="AZ340" s="94">
        <f t="shared" si="261"/>
        <v>92.90123457</v>
      </c>
      <c r="BA340" s="94">
        <f t="shared" si="261"/>
        <v>92.90123457</v>
      </c>
    </row>
    <row r="341" ht="15.75" customHeight="1">
      <c r="A341" s="91"/>
      <c r="B341" s="91"/>
      <c r="C341" s="91"/>
      <c r="D341" s="91"/>
      <c r="E341" s="91"/>
      <c r="F341" s="91"/>
      <c r="G341" s="91"/>
      <c r="H341" s="91"/>
      <c r="I341" s="91"/>
      <c r="J341" s="91"/>
      <c r="K341" s="91"/>
      <c r="L341" s="91"/>
      <c r="M341" s="91"/>
      <c r="N341" s="91"/>
      <c r="O341" s="91"/>
      <c r="P341" s="91"/>
      <c r="Q341" s="91"/>
      <c r="R341" s="91"/>
      <c r="S341" s="91"/>
      <c r="T341" s="91"/>
      <c r="U341" s="96">
        <v>44074.0</v>
      </c>
      <c r="Y341" s="94">
        <f t="shared" ref="Y341:BB341" si="262">+$Y$53*$U$59*$X$59</f>
        <v>92.90123457</v>
      </c>
      <c r="Z341" s="94">
        <f t="shared" si="262"/>
        <v>92.90123457</v>
      </c>
      <c r="AA341" s="94">
        <f t="shared" si="262"/>
        <v>92.90123457</v>
      </c>
      <c r="AB341" s="94">
        <f t="shared" si="262"/>
        <v>92.90123457</v>
      </c>
      <c r="AC341" s="94">
        <f t="shared" si="262"/>
        <v>92.90123457</v>
      </c>
      <c r="AD341" s="94">
        <f t="shared" si="262"/>
        <v>92.90123457</v>
      </c>
      <c r="AE341" s="94">
        <f t="shared" si="262"/>
        <v>92.90123457</v>
      </c>
      <c r="AF341" s="94">
        <f t="shared" si="262"/>
        <v>92.90123457</v>
      </c>
      <c r="AG341" s="94">
        <f t="shared" si="262"/>
        <v>92.90123457</v>
      </c>
      <c r="AH341" s="94">
        <f t="shared" si="262"/>
        <v>92.90123457</v>
      </c>
      <c r="AI341" s="94">
        <f t="shared" si="262"/>
        <v>92.90123457</v>
      </c>
      <c r="AJ341" s="94">
        <f t="shared" si="262"/>
        <v>92.90123457</v>
      </c>
      <c r="AK341" s="94">
        <f t="shared" si="262"/>
        <v>92.90123457</v>
      </c>
      <c r="AL341" s="94">
        <f t="shared" si="262"/>
        <v>92.90123457</v>
      </c>
      <c r="AM341" s="94">
        <f t="shared" si="262"/>
        <v>92.90123457</v>
      </c>
      <c r="AN341" s="94">
        <f t="shared" si="262"/>
        <v>92.90123457</v>
      </c>
      <c r="AO341" s="94">
        <f t="shared" si="262"/>
        <v>92.90123457</v>
      </c>
      <c r="AP341" s="94">
        <f t="shared" si="262"/>
        <v>92.90123457</v>
      </c>
      <c r="AQ341" s="94">
        <f t="shared" si="262"/>
        <v>92.90123457</v>
      </c>
      <c r="AR341" s="94">
        <f t="shared" si="262"/>
        <v>92.90123457</v>
      </c>
      <c r="AS341" s="94">
        <f t="shared" si="262"/>
        <v>92.90123457</v>
      </c>
      <c r="AT341" s="94">
        <f t="shared" si="262"/>
        <v>92.90123457</v>
      </c>
      <c r="AU341" s="94">
        <f t="shared" si="262"/>
        <v>92.90123457</v>
      </c>
      <c r="AV341" s="94">
        <f t="shared" si="262"/>
        <v>92.90123457</v>
      </c>
      <c r="AW341" s="94">
        <f t="shared" si="262"/>
        <v>92.90123457</v>
      </c>
      <c r="AX341" s="94">
        <f t="shared" si="262"/>
        <v>92.90123457</v>
      </c>
      <c r="AY341" s="94">
        <f t="shared" si="262"/>
        <v>92.90123457</v>
      </c>
      <c r="AZ341" s="94">
        <f t="shared" si="262"/>
        <v>92.90123457</v>
      </c>
      <c r="BA341" s="94">
        <f t="shared" si="262"/>
        <v>92.90123457</v>
      </c>
      <c r="BB341" s="94">
        <f t="shared" si="262"/>
        <v>92.90123457</v>
      </c>
    </row>
    <row r="342" ht="15.75" customHeight="1">
      <c r="A342" s="91"/>
      <c r="B342" s="91"/>
      <c r="C342" s="91"/>
      <c r="D342" s="91"/>
      <c r="E342" s="91"/>
      <c r="F342" s="91"/>
      <c r="G342" s="91"/>
      <c r="H342" s="91"/>
      <c r="I342" s="91"/>
      <c r="J342" s="91"/>
      <c r="K342" s="91"/>
      <c r="L342" s="91"/>
      <c r="M342" s="91"/>
      <c r="N342" s="91"/>
      <c r="O342" s="91"/>
      <c r="P342" s="91"/>
      <c r="Q342" s="91"/>
      <c r="R342" s="91"/>
      <c r="S342" s="91"/>
      <c r="T342" s="91"/>
      <c r="U342" s="96">
        <v>44104.0</v>
      </c>
      <c r="Z342" s="94">
        <f t="shared" ref="Z342:BC342" si="263">+$Z$53*$U$59*$X$59</f>
        <v>139.3518519</v>
      </c>
      <c r="AA342" s="94">
        <f t="shared" si="263"/>
        <v>139.3518519</v>
      </c>
      <c r="AB342" s="94">
        <f t="shared" si="263"/>
        <v>139.3518519</v>
      </c>
      <c r="AC342" s="94">
        <f t="shared" si="263"/>
        <v>139.3518519</v>
      </c>
      <c r="AD342" s="94">
        <f t="shared" si="263"/>
        <v>139.3518519</v>
      </c>
      <c r="AE342" s="94">
        <f t="shared" si="263"/>
        <v>139.3518519</v>
      </c>
      <c r="AF342" s="94">
        <f t="shared" si="263"/>
        <v>139.3518519</v>
      </c>
      <c r="AG342" s="94">
        <f t="shared" si="263"/>
        <v>139.3518519</v>
      </c>
      <c r="AH342" s="94">
        <f t="shared" si="263"/>
        <v>139.3518519</v>
      </c>
      <c r="AI342" s="94">
        <f t="shared" si="263"/>
        <v>139.3518519</v>
      </c>
      <c r="AJ342" s="94">
        <f t="shared" si="263"/>
        <v>139.3518519</v>
      </c>
      <c r="AK342" s="94">
        <f t="shared" si="263"/>
        <v>139.3518519</v>
      </c>
      <c r="AL342" s="94">
        <f t="shared" si="263"/>
        <v>139.3518519</v>
      </c>
      <c r="AM342" s="94">
        <f t="shared" si="263"/>
        <v>139.3518519</v>
      </c>
      <c r="AN342" s="94">
        <f t="shared" si="263"/>
        <v>139.3518519</v>
      </c>
      <c r="AO342" s="94">
        <f t="shared" si="263"/>
        <v>139.3518519</v>
      </c>
      <c r="AP342" s="94">
        <f t="shared" si="263"/>
        <v>139.3518519</v>
      </c>
      <c r="AQ342" s="94">
        <f t="shared" si="263"/>
        <v>139.3518519</v>
      </c>
      <c r="AR342" s="94">
        <f t="shared" si="263"/>
        <v>139.3518519</v>
      </c>
      <c r="AS342" s="94">
        <f t="shared" si="263"/>
        <v>139.3518519</v>
      </c>
      <c r="AT342" s="94">
        <f t="shared" si="263"/>
        <v>139.3518519</v>
      </c>
      <c r="AU342" s="94">
        <f t="shared" si="263"/>
        <v>139.3518519</v>
      </c>
      <c r="AV342" s="94">
        <f t="shared" si="263"/>
        <v>139.3518519</v>
      </c>
      <c r="AW342" s="94">
        <f t="shared" si="263"/>
        <v>139.3518519</v>
      </c>
      <c r="AX342" s="94">
        <f t="shared" si="263"/>
        <v>139.3518519</v>
      </c>
      <c r="AY342" s="94">
        <f t="shared" si="263"/>
        <v>139.3518519</v>
      </c>
      <c r="AZ342" s="94">
        <f t="shared" si="263"/>
        <v>139.3518519</v>
      </c>
      <c r="BA342" s="94">
        <f t="shared" si="263"/>
        <v>139.3518519</v>
      </c>
      <c r="BB342" s="94">
        <f t="shared" si="263"/>
        <v>139.3518519</v>
      </c>
      <c r="BC342" s="94">
        <f t="shared" si="263"/>
        <v>139.3518519</v>
      </c>
    </row>
    <row r="343" ht="15.75" customHeight="1">
      <c r="A343" s="91"/>
      <c r="B343" s="91"/>
      <c r="C343" s="91"/>
      <c r="D343" s="91"/>
      <c r="E343" s="91"/>
      <c r="F343" s="91"/>
      <c r="G343" s="91"/>
      <c r="H343" s="91"/>
      <c r="I343" s="91"/>
      <c r="J343" s="91"/>
      <c r="K343" s="91"/>
      <c r="L343" s="91"/>
      <c r="M343" s="91"/>
      <c r="N343" s="91"/>
      <c r="O343" s="91"/>
      <c r="P343" s="91"/>
      <c r="Q343" s="91"/>
      <c r="R343" s="91"/>
      <c r="S343" s="91"/>
      <c r="T343" s="91"/>
      <c r="U343" s="96">
        <v>44135.0</v>
      </c>
      <c r="AA343" s="94">
        <f t="shared" ref="AA343:BD343" si="264">+$AA$53*$U$59*$X$59</f>
        <v>232.2530864</v>
      </c>
      <c r="AB343" s="94">
        <f t="shared" si="264"/>
        <v>232.2530864</v>
      </c>
      <c r="AC343" s="94">
        <f t="shared" si="264"/>
        <v>232.2530864</v>
      </c>
      <c r="AD343" s="94">
        <f t="shared" si="264"/>
        <v>232.2530864</v>
      </c>
      <c r="AE343" s="94">
        <f t="shared" si="264"/>
        <v>232.2530864</v>
      </c>
      <c r="AF343" s="94">
        <f t="shared" si="264"/>
        <v>232.2530864</v>
      </c>
      <c r="AG343" s="94">
        <f t="shared" si="264"/>
        <v>232.2530864</v>
      </c>
      <c r="AH343" s="94">
        <f t="shared" si="264"/>
        <v>232.2530864</v>
      </c>
      <c r="AI343" s="94">
        <f t="shared" si="264"/>
        <v>232.2530864</v>
      </c>
      <c r="AJ343" s="94">
        <f t="shared" si="264"/>
        <v>232.2530864</v>
      </c>
      <c r="AK343" s="94">
        <f t="shared" si="264"/>
        <v>232.2530864</v>
      </c>
      <c r="AL343" s="94">
        <f t="shared" si="264"/>
        <v>232.2530864</v>
      </c>
      <c r="AM343" s="94">
        <f t="shared" si="264"/>
        <v>232.2530864</v>
      </c>
      <c r="AN343" s="94">
        <f t="shared" si="264"/>
        <v>232.2530864</v>
      </c>
      <c r="AO343" s="94">
        <f t="shared" si="264"/>
        <v>232.2530864</v>
      </c>
      <c r="AP343" s="94">
        <f t="shared" si="264"/>
        <v>232.2530864</v>
      </c>
      <c r="AQ343" s="94">
        <f t="shared" si="264"/>
        <v>232.2530864</v>
      </c>
      <c r="AR343" s="94">
        <f t="shared" si="264"/>
        <v>232.2530864</v>
      </c>
      <c r="AS343" s="94">
        <f t="shared" si="264"/>
        <v>232.2530864</v>
      </c>
      <c r="AT343" s="94">
        <f t="shared" si="264"/>
        <v>232.2530864</v>
      </c>
      <c r="AU343" s="94">
        <f t="shared" si="264"/>
        <v>232.2530864</v>
      </c>
      <c r="AV343" s="94">
        <f t="shared" si="264"/>
        <v>232.2530864</v>
      </c>
      <c r="AW343" s="94">
        <f t="shared" si="264"/>
        <v>232.2530864</v>
      </c>
      <c r="AX343" s="94">
        <f t="shared" si="264"/>
        <v>232.2530864</v>
      </c>
      <c r="AY343" s="94">
        <f t="shared" si="264"/>
        <v>232.2530864</v>
      </c>
      <c r="AZ343" s="94">
        <f t="shared" si="264"/>
        <v>232.2530864</v>
      </c>
      <c r="BA343" s="94">
        <f t="shared" si="264"/>
        <v>232.2530864</v>
      </c>
      <c r="BB343" s="94">
        <f t="shared" si="264"/>
        <v>232.2530864</v>
      </c>
      <c r="BC343" s="94">
        <f t="shared" si="264"/>
        <v>232.2530864</v>
      </c>
      <c r="BD343" s="94">
        <f t="shared" si="264"/>
        <v>232.2530864</v>
      </c>
    </row>
    <row r="344" ht="15.75" customHeight="1">
      <c r="A344" s="91"/>
      <c r="B344" s="91"/>
      <c r="C344" s="91"/>
      <c r="D344" s="91"/>
      <c r="E344" s="91"/>
      <c r="F344" s="91"/>
      <c r="G344" s="91"/>
      <c r="H344" s="91"/>
      <c r="I344" s="91"/>
      <c r="J344" s="91"/>
      <c r="K344" s="91"/>
      <c r="L344" s="91"/>
      <c r="M344" s="91"/>
      <c r="N344" s="91"/>
      <c r="O344" s="91"/>
      <c r="P344" s="91"/>
      <c r="Q344" s="91"/>
      <c r="R344" s="91"/>
      <c r="S344" s="91"/>
      <c r="T344" s="91"/>
      <c r="U344" s="96">
        <v>44165.0</v>
      </c>
      <c r="AB344" s="94">
        <f t="shared" ref="AB344:BE344" si="265">+$AB$53*$U$59*$X$59</f>
        <v>557.4074074</v>
      </c>
      <c r="AC344" s="94">
        <f t="shared" si="265"/>
        <v>557.4074074</v>
      </c>
      <c r="AD344" s="94">
        <f t="shared" si="265"/>
        <v>557.4074074</v>
      </c>
      <c r="AE344" s="94">
        <f t="shared" si="265"/>
        <v>557.4074074</v>
      </c>
      <c r="AF344" s="94">
        <f t="shared" si="265"/>
        <v>557.4074074</v>
      </c>
      <c r="AG344" s="94">
        <f t="shared" si="265"/>
        <v>557.4074074</v>
      </c>
      <c r="AH344" s="94">
        <f t="shared" si="265"/>
        <v>557.4074074</v>
      </c>
      <c r="AI344" s="94">
        <f t="shared" si="265"/>
        <v>557.4074074</v>
      </c>
      <c r="AJ344" s="94">
        <f t="shared" si="265"/>
        <v>557.4074074</v>
      </c>
      <c r="AK344" s="94">
        <f t="shared" si="265"/>
        <v>557.4074074</v>
      </c>
      <c r="AL344" s="94">
        <f t="shared" si="265"/>
        <v>557.4074074</v>
      </c>
      <c r="AM344" s="94">
        <f t="shared" si="265"/>
        <v>557.4074074</v>
      </c>
      <c r="AN344" s="94">
        <f t="shared" si="265"/>
        <v>557.4074074</v>
      </c>
      <c r="AO344" s="94">
        <f t="shared" si="265"/>
        <v>557.4074074</v>
      </c>
      <c r="AP344" s="94">
        <f t="shared" si="265"/>
        <v>557.4074074</v>
      </c>
      <c r="AQ344" s="94">
        <f t="shared" si="265"/>
        <v>557.4074074</v>
      </c>
      <c r="AR344" s="94">
        <f t="shared" si="265"/>
        <v>557.4074074</v>
      </c>
      <c r="AS344" s="94">
        <f t="shared" si="265"/>
        <v>557.4074074</v>
      </c>
      <c r="AT344" s="94">
        <f t="shared" si="265"/>
        <v>557.4074074</v>
      </c>
      <c r="AU344" s="94">
        <f t="shared" si="265"/>
        <v>557.4074074</v>
      </c>
      <c r="AV344" s="94">
        <f t="shared" si="265"/>
        <v>557.4074074</v>
      </c>
      <c r="AW344" s="94">
        <f t="shared" si="265"/>
        <v>557.4074074</v>
      </c>
      <c r="AX344" s="94">
        <f t="shared" si="265"/>
        <v>557.4074074</v>
      </c>
      <c r="AY344" s="94">
        <f t="shared" si="265"/>
        <v>557.4074074</v>
      </c>
      <c r="AZ344" s="94">
        <f t="shared" si="265"/>
        <v>557.4074074</v>
      </c>
      <c r="BA344" s="94">
        <f t="shared" si="265"/>
        <v>557.4074074</v>
      </c>
      <c r="BB344" s="94">
        <f t="shared" si="265"/>
        <v>557.4074074</v>
      </c>
      <c r="BC344" s="94">
        <f t="shared" si="265"/>
        <v>557.4074074</v>
      </c>
      <c r="BD344" s="94">
        <f t="shared" si="265"/>
        <v>557.4074074</v>
      </c>
      <c r="BE344" s="94">
        <f t="shared" si="265"/>
        <v>557.4074074</v>
      </c>
    </row>
    <row r="345" ht="15.75" customHeight="1">
      <c r="A345" s="91"/>
      <c r="B345" s="91"/>
      <c r="C345" s="91"/>
      <c r="D345" s="91"/>
      <c r="E345" s="91"/>
      <c r="F345" s="91"/>
      <c r="G345" s="91"/>
      <c r="H345" s="91"/>
      <c r="I345" s="91"/>
      <c r="J345" s="91"/>
      <c r="K345" s="91"/>
      <c r="L345" s="91"/>
      <c r="M345" s="91"/>
      <c r="N345" s="91"/>
      <c r="O345" s="91"/>
      <c r="P345" s="91"/>
      <c r="Q345" s="91"/>
      <c r="R345" s="91"/>
      <c r="S345" s="91"/>
      <c r="T345" s="91"/>
      <c r="U345" s="96">
        <v>44196.0</v>
      </c>
      <c r="AC345" s="94">
        <f t="shared" ref="AC345:BF345" si="266">+$AC$53*$U$59*$X$59</f>
        <v>92.90123457</v>
      </c>
      <c r="AD345" s="94">
        <f t="shared" si="266"/>
        <v>92.90123457</v>
      </c>
      <c r="AE345" s="94">
        <f t="shared" si="266"/>
        <v>92.90123457</v>
      </c>
      <c r="AF345" s="94">
        <f t="shared" si="266"/>
        <v>92.90123457</v>
      </c>
      <c r="AG345" s="94">
        <f t="shared" si="266"/>
        <v>92.90123457</v>
      </c>
      <c r="AH345" s="94">
        <f t="shared" si="266"/>
        <v>92.90123457</v>
      </c>
      <c r="AI345" s="94">
        <f t="shared" si="266"/>
        <v>92.90123457</v>
      </c>
      <c r="AJ345" s="94">
        <f t="shared" si="266"/>
        <v>92.90123457</v>
      </c>
      <c r="AK345" s="94">
        <f t="shared" si="266"/>
        <v>92.90123457</v>
      </c>
      <c r="AL345" s="94">
        <f t="shared" si="266"/>
        <v>92.90123457</v>
      </c>
      <c r="AM345" s="94">
        <f t="shared" si="266"/>
        <v>92.90123457</v>
      </c>
      <c r="AN345" s="94">
        <f t="shared" si="266"/>
        <v>92.90123457</v>
      </c>
      <c r="AO345" s="94">
        <f t="shared" si="266"/>
        <v>92.90123457</v>
      </c>
      <c r="AP345" s="94">
        <f t="shared" si="266"/>
        <v>92.90123457</v>
      </c>
      <c r="AQ345" s="94">
        <f t="shared" si="266"/>
        <v>92.90123457</v>
      </c>
      <c r="AR345" s="94">
        <f t="shared" si="266"/>
        <v>92.90123457</v>
      </c>
      <c r="AS345" s="94">
        <f t="shared" si="266"/>
        <v>92.90123457</v>
      </c>
      <c r="AT345" s="94">
        <f t="shared" si="266"/>
        <v>92.90123457</v>
      </c>
      <c r="AU345" s="94">
        <f t="shared" si="266"/>
        <v>92.90123457</v>
      </c>
      <c r="AV345" s="94">
        <f t="shared" si="266"/>
        <v>92.90123457</v>
      </c>
      <c r="AW345" s="94">
        <f t="shared" si="266"/>
        <v>92.90123457</v>
      </c>
      <c r="AX345" s="94">
        <f t="shared" si="266"/>
        <v>92.90123457</v>
      </c>
      <c r="AY345" s="94">
        <f t="shared" si="266"/>
        <v>92.90123457</v>
      </c>
      <c r="AZ345" s="94">
        <f t="shared" si="266"/>
        <v>92.90123457</v>
      </c>
      <c r="BA345" s="94">
        <f t="shared" si="266"/>
        <v>92.90123457</v>
      </c>
      <c r="BB345" s="94">
        <f t="shared" si="266"/>
        <v>92.90123457</v>
      </c>
      <c r="BC345" s="94">
        <f t="shared" si="266"/>
        <v>92.90123457</v>
      </c>
      <c r="BD345" s="94">
        <f t="shared" si="266"/>
        <v>92.90123457</v>
      </c>
      <c r="BE345" s="94">
        <f t="shared" si="266"/>
        <v>92.90123457</v>
      </c>
      <c r="BF345" s="94">
        <f t="shared" si="266"/>
        <v>92.90123457</v>
      </c>
    </row>
    <row r="346" ht="15.75" customHeight="1">
      <c r="A346" s="91"/>
      <c r="B346" s="91"/>
      <c r="C346" s="91"/>
      <c r="D346" s="91"/>
      <c r="E346" s="91"/>
      <c r="F346" s="91"/>
      <c r="G346" s="91"/>
      <c r="H346" s="91"/>
      <c r="I346" s="91"/>
      <c r="J346" s="91"/>
      <c r="K346" s="91"/>
      <c r="L346" s="91"/>
      <c r="M346" s="91"/>
      <c r="N346" s="91"/>
      <c r="O346" s="91"/>
      <c r="P346" s="91"/>
      <c r="Q346" s="91"/>
      <c r="R346" s="91"/>
      <c r="S346" s="91"/>
      <c r="T346" s="91"/>
      <c r="U346" s="96">
        <v>44227.0</v>
      </c>
      <c r="AD346" s="94">
        <f t="shared" ref="AD346:BG346" si="267">+$AD$53*$U$59*$X$59</f>
        <v>783.8541667</v>
      </c>
      <c r="AE346" s="94">
        <f t="shared" si="267"/>
        <v>783.8541667</v>
      </c>
      <c r="AF346" s="94">
        <f t="shared" si="267"/>
        <v>783.8541667</v>
      </c>
      <c r="AG346" s="94">
        <f t="shared" si="267"/>
        <v>783.8541667</v>
      </c>
      <c r="AH346" s="94">
        <f t="shared" si="267"/>
        <v>783.8541667</v>
      </c>
      <c r="AI346" s="94">
        <f t="shared" si="267"/>
        <v>783.8541667</v>
      </c>
      <c r="AJ346" s="94">
        <f t="shared" si="267"/>
        <v>783.8541667</v>
      </c>
      <c r="AK346" s="94">
        <f t="shared" si="267"/>
        <v>783.8541667</v>
      </c>
      <c r="AL346" s="94">
        <f t="shared" si="267"/>
        <v>783.8541667</v>
      </c>
      <c r="AM346" s="94">
        <f t="shared" si="267"/>
        <v>783.8541667</v>
      </c>
      <c r="AN346" s="94">
        <f t="shared" si="267"/>
        <v>783.8541667</v>
      </c>
      <c r="AO346" s="94">
        <f t="shared" si="267"/>
        <v>783.8541667</v>
      </c>
      <c r="AP346" s="94">
        <f t="shared" si="267"/>
        <v>783.8541667</v>
      </c>
      <c r="AQ346" s="94">
        <f t="shared" si="267"/>
        <v>783.8541667</v>
      </c>
      <c r="AR346" s="94">
        <f t="shared" si="267"/>
        <v>783.8541667</v>
      </c>
      <c r="AS346" s="94">
        <f t="shared" si="267"/>
        <v>783.8541667</v>
      </c>
      <c r="AT346" s="94">
        <f t="shared" si="267"/>
        <v>783.8541667</v>
      </c>
      <c r="AU346" s="94">
        <f t="shared" si="267"/>
        <v>783.8541667</v>
      </c>
      <c r="AV346" s="94">
        <f t="shared" si="267"/>
        <v>783.8541667</v>
      </c>
      <c r="AW346" s="94">
        <f t="shared" si="267"/>
        <v>783.8541667</v>
      </c>
      <c r="AX346" s="94">
        <f t="shared" si="267"/>
        <v>783.8541667</v>
      </c>
      <c r="AY346" s="94">
        <f t="shared" si="267"/>
        <v>783.8541667</v>
      </c>
      <c r="AZ346" s="94">
        <f t="shared" si="267"/>
        <v>783.8541667</v>
      </c>
      <c r="BA346" s="94">
        <f t="shared" si="267"/>
        <v>783.8541667</v>
      </c>
      <c r="BB346" s="94">
        <f t="shared" si="267"/>
        <v>783.8541667</v>
      </c>
      <c r="BC346" s="94">
        <f t="shared" si="267"/>
        <v>783.8541667</v>
      </c>
      <c r="BD346" s="94">
        <f t="shared" si="267"/>
        <v>783.8541667</v>
      </c>
      <c r="BE346" s="94">
        <f t="shared" si="267"/>
        <v>783.8541667</v>
      </c>
      <c r="BF346" s="94">
        <f t="shared" si="267"/>
        <v>783.8541667</v>
      </c>
      <c r="BG346" s="94">
        <f t="shared" si="267"/>
        <v>783.8541667</v>
      </c>
    </row>
    <row r="347" ht="15.75" customHeight="1">
      <c r="A347" s="91"/>
      <c r="B347" s="91"/>
      <c r="C347" s="91"/>
      <c r="D347" s="91"/>
      <c r="E347" s="91"/>
      <c r="F347" s="91"/>
      <c r="G347" s="91"/>
      <c r="H347" s="91"/>
      <c r="I347" s="91"/>
      <c r="J347" s="91"/>
      <c r="K347" s="91"/>
      <c r="L347" s="91"/>
      <c r="M347" s="91"/>
      <c r="N347" s="91"/>
      <c r="O347" s="91"/>
      <c r="P347" s="91"/>
      <c r="Q347" s="91"/>
      <c r="R347" s="91"/>
      <c r="S347" s="91"/>
      <c r="T347" s="91"/>
      <c r="U347" s="96">
        <v>44255.0</v>
      </c>
      <c r="AE347" s="94">
        <f t="shared" ref="AE347:BH347" si="268">+$AE$53*$U$59*$X$59</f>
        <v>888.3680556</v>
      </c>
      <c r="AF347" s="94">
        <f t="shared" si="268"/>
        <v>888.3680556</v>
      </c>
      <c r="AG347" s="94">
        <f t="shared" si="268"/>
        <v>888.3680556</v>
      </c>
      <c r="AH347" s="94">
        <f t="shared" si="268"/>
        <v>888.3680556</v>
      </c>
      <c r="AI347" s="94">
        <f t="shared" si="268"/>
        <v>888.3680556</v>
      </c>
      <c r="AJ347" s="94">
        <f t="shared" si="268"/>
        <v>888.3680556</v>
      </c>
      <c r="AK347" s="94">
        <f t="shared" si="268"/>
        <v>888.3680556</v>
      </c>
      <c r="AL347" s="94">
        <f t="shared" si="268"/>
        <v>888.3680556</v>
      </c>
      <c r="AM347" s="94">
        <f t="shared" si="268"/>
        <v>888.3680556</v>
      </c>
      <c r="AN347" s="94">
        <f t="shared" si="268"/>
        <v>888.3680556</v>
      </c>
      <c r="AO347" s="94">
        <f t="shared" si="268"/>
        <v>888.3680556</v>
      </c>
      <c r="AP347" s="94">
        <f t="shared" si="268"/>
        <v>888.3680556</v>
      </c>
      <c r="AQ347" s="94">
        <f t="shared" si="268"/>
        <v>888.3680556</v>
      </c>
      <c r="AR347" s="94">
        <f t="shared" si="268"/>
        <v>888.3680556</v>
      </c>
      <c r="AS347" s="94">
        <f t="shared" si="268"/>
        <v>888.3680556</v>
      </c>
      <c r="AT347" s="94">
        <f t="shared" si="268"/>
        <v>888.3680556</v>
      </c>
      <c r="AU347" s="94">
        <f t="shared" si="268"/>
        <v>888.3680556</v>
      </c>
      <c r="AV347" s="94">
        <f t="shared" si="268"/>
        <v>888.3680556</v>
      </c>
      <c r="AW347" s="94">
        <f t="shared" si="268"/>
        <v>888.3680556</v>
      </c>
      <c r="AX347" s="94">
        <f t="shared" si="268"/>
        <v>888.3680556</v>
      </c>
      <c r="AY347" s="94">
        <f t="shared" si="268"/>
        <v>888.3680556</v>
      </c>
      <c r="AZ347" s="94">
        <f t="shared" si="268"/>
        <v>888.3680556</v>
      </c>
      <c r="BA347" s="94">
        <f t="shared" si="268"/>
        <v>888.3680556</v>
      </c>
      <c r="BB347" s="94">
        <f t="shared" si="268"/>
        <v>888.3680556</v>
      </c>
      <c r="BC347" s="94">
        <f t="shared" si="268"/>
        <v>888.3680556</v>
      </c>
      <c r="BD347" s="94">
        <f t="shared" si="268"/>
        <v>888.3680556</v>
      </c>
      <c r="BE347" s="94">
        <f t="shared" si="268"/>
        <v>888.3680556</v>
      </c>
      <c r="BF347" s="94">
        <f t="shared" si="268"/>
        <v>888.3680556</v>
      </c>
      <c r="BG347" s="94">
        <f t="shared" si="268"/>
        <v>888.3680556</v>
      </c>
      <c r="BH347" s="94">
        <f t="shared" si="268"/>
        <v>888.3680556</v>
      </c>
    </row>
    <row r="348" ht="15.75" customHeight="1">
      <c r="A348" s="91"/>
      <c r="B348" s="91"/>
      <c r="C348" s="91"/>
      <c r="D348" s="91"/>
      <c r="E348" s="91"/>
      <c r="F348" s="91"/>
      <c r="G348" s="91"/>
      <c r="H348" s="91"/>
      <c r="I348" s="91"/>
      <c r="J348" s="91"/>
      <c r="K348" s="91"/>
      <c r="L348" s="91"/>
      <c r="M348" s="91"/>
      <c r="N348" s="91"/>
      <c r="O348" s="91"/>
      <c r="P348" s="91"/>
      <c r="Q348" s="91"/>
      <c r="R348" s="91"/>
      <c r="S348" s="91"/>
      <c r="T348" s="91"/>
      <c r="U348" s="96">
        <v>44286.0</v>
      </c>
      <c r="AF348" s="94">
        <f t="shared" ref="AF348:BI348" si="269">+$AF$53*$U$59*$X$59</f>
        <v>888.3680556</v>
      </c>
      <c r="AG348" s="94">
        <f t="shared" si="269"/>
        <v>888.3680556</v>
      </c>
      <c r="AH348" s="94">
        <f t="shared" si="269"/>
        <v>888.3680556</v>
      </c>
      <c r="AI348" s="94">
        <f t="shared" si="269"/>
        <v>888.3680556</v>
      </c>
      <c r="AJ348" s="94">
        <f t="shared" si="269"/>
        <v>888.3680556</v>
      </c>
      <c r="AK348" s="94">
        <f t="shared" si="269"/>
        <v>888.3680556</v>
      </c>
      <c r="AL348" s="94">
        <f t="shared" si="269"/>
        <v>888.3680556</v>
      </c>
      <c r="AM348" s="94">
        <f t="shared" si="269"/>
        <v>888.3680556</v>
      </c>
      <c r="AN348" s="94">
        <f t="shared" si="269"/>
        <v>888.3680556</v>
      </c>
      <c r="AO348" s="94">
        <f t="shared" si="269"/>
        <v>888.3680556</v>
      </c>
      <c r="AP348" s="94">
        <f t="shared" si="269"/>
        <v>888.3680556</v>
      </c>
      <c r="AQ348" s="94">
        <f t="shared" si="269"/>
        <v>888.3680556</v>
      </c>
      <c r="AR348" s="94">
        <f t="shared" si="269"/>
        <v>888.3680556</v>
      </c>
      <c r="AS348" s="94">
        <f t="shared" si="269"/>
        <v>888.3680556</v>
      </c>
      <c r="AT348" s="94">
        <f t="shared" si="269"/>
        <v>888.3680556</v>
      </c>
      <c r="AU348" s="94">
        <f t="shared" si="269"/>
        <v>888.3680556</v>
      </c>
      <c r="AV348" s="94">
        <f t="shared" si="269"/>
        <v>888.3680556</v>
      </c>
      <c r="AW348" s="94">
        <f t="shared" si="269"/>
        <v>888.3680556</v>
      </c>
      <c r="AX348" s="94">
        <f t="shared" si="269"/>
        <v>888.3680556</v>
      </c>
      <c r="AY348" s="94">
        <f t="shared" si="269"/>
        <v>888.3680556</v>
      </c>
      <c r="AZ348" s="94">
        <f t="shared" si="269"/>
        <v>888.3680556</v>
      </c>
      <c r="BA348" s="94">
        <f t="shared" si="269"/>
        <v>888.3680556</v>
      </c>
      <c r="BB348" s="94">
        <f t="shared" si="269"/>
        <v>888.3680556</v>
      </c>
      <c r="BC348" s="94">
        <f t="shared" si="269"/>
        <v>888.3680556</v>
      </c>
      <c r="BD348" s="94">
        <f t="shared" si="269"/>
        <v>888.3680556</v>
      </c>
      <c r="BE348" s="94">
        <f t="shared" si="269"/>
        <v>888.3680556</v>
      </c>
      <c r="BF348" s="94">
        <f t="shared" si="269"/>
        <v>888.3680556</v>
      </c>
      <c r="BG348" s="94">
        <f t="shared" si="269"/>
        <v>888.3680556</v>
      </c>
      <c r="BH348" s="94">
        <f t="shared" si="269"/>
        <v>888.3680556</v>
      </c>
      <c r="BI348" s="94">
        <f t="shared" si="269"/>
        <v>888.3680556</v>
      </c>
    </row>
    <row r="349" ht="15.75" customHeight="1">
      <c r="A349" s="91"/>
      <c r="B349" s="91"/>
      <c r="C349" s="91"/>
      <c r="D349" s="91"/>
      <c r="E349" s="91"/>
      <c r="F349" s="91"/>
      <c r="G349" s="91"/>
      <c r="H349" s="91"/>
      <c r="I349" s="91"/>
      <c r="J349" s="91"/>
      <c r="K349" s="91"/>
      <c r="L349" s="91"/>
      <c r="M349" s="91"/>
      <c r="N349" s="91"/>
      <c r="O349" s="91"/>
      <c r="P349" s="91"/>
      <c r="Q349" s="91"/>
      <c r="R349" s="91"/>
      <c r="S349" s="91"/>
      <c r="T349" s="91"/>
      <c r="U349" s="96">
        <v>44316.0</v>
      </c>
      <c r="AG349" s="94">
        <f t="shared" ref="AG349:BJ349" si="270">+$AG$53*$U$59*$X$59</f>
        <v>696.7592593</v>
      </c>
      <c r="AH349" s="94">
        <f t="shared" si="270"/>
        <v>696.7592593</v>
      </c>
      <c r="AI349" s="94">
        <f t="shared" si="270"/>
        <v>696.7592593</v>
      </c>
      <c r="AJ349" s="94">
        <f t="shared" si="270"/>
        <v>696.7592593</v>
      </c>
      <c r="AK349" s="94">
        <f t="shared" si="270"/>
        <v>696.7592593</v>
      </c>
      <c r="AL349" s="94">
        <f t="shared" si="270"/>
        <v>696.7592593</v>
      </c>
      <c r="AM349" s="94">
        <f t="shared" si="270"/>
        <v>696.7592593</v>
      </c>
      <c r="AN349" s="94">
        <f t="shared" si="270"/>
        <v>696.7592593</v>
      </c>
      <c r="AO349" s="94">
        <f t="shared" si="270"/>
        <v>696.7592593</v>
      </c>
      <c r="AP349" s="94">
        <f t="shared" si="270"/>
        <v>696.7592593</v>
      </c>
      <c r="AQ349" s="94">
        <f t="shared" si="270"/>
        <v>696.7592593</v>
      </c>
      <c r="AR349" s="94">
        <f t="shared" si="270"/>
        <v>696.7592593</v>
      </c>
      <c r="AS349" s="94">
        <f t="shared" si="270"/>
        <v>696.7592593</v>
      </c>
      <c r="AT349" s="94">
        <f t="shared" si="270"/>
        <v>696.7592593</v>
      </c>
      <c r="AU349" s="94">
        <f t="shared" si="270"/>
        <v>696.7592593</v>
      </c>
      <c r="AV349" s="94">
        <f t="shared" si="270"/>
        <v>696.7592593</v>
      </c>
      <c r="AW349" s="94">
        <f t="shared" si="270"/>
        <v>696.7592593</v>
      </c>
      <c r="AX349" s="94">
        <f t="shared" si="270"/>
        <v>696.7592593</v>
      </c>
      <c r="AY349" s="94">
        <f t="shared" si="270"/>
        <v>696.7592593</v>
      </c>
      <c r="AZ349" s="94">
        <f t="shared" si="270"/>
        <v>696.7592593</v>
      </c>
      <c r="BA349" s="94">
        <f t="shared" si="270"/>
        <v>696.7592593</v>
      </c>
      <c r="BB349" s="94">
        <f t="shared" si="270"/>
        <v>696.7592593</v>
      </c>
      <c r="BC349" s="94">
        <f t="shared" si="270"/>
        <v>696.7592593</v>
      </c>
      <c r="BD349" s="94">
        <f t="shared" si="270"/>
        <v>696.7592593</v>
      </c>
      <c r="BE349" s="94">
        <f t="shared" si="270"/>
        <v>696.7592593</v>
      </c>
      <c r="BF349" s="94">
        <f t="shared" si="270"/>
        <v>696.7592593</v>
      </c>
      <c r="BG349" s="94">
        <f t="shared" si="270"/>
        <v>696.7592593</v>
      </c>
      <c r="BH349" s="94">
        <f t="shared" si="270"/>
        <v>696.7592593</v>
      </c>
      <c r="BI349" s="94">
        <f t="shared" si="270"/>
        <v>696.7592593</v>
      </c>
      <c r="BJ349" s="94">
        <f t="shared" si="270"/>
        <v>696.7592593</v>
      </c>
    </row>
    <row r="350" ht="15.75" customHeight="1">
      <c r="A350" s="91"/>
      <c r="B350" s="91"/>
      <c r="C350" s="91"/>
      <c r="D350" s="91"/>
      <c r="E350" s="91"/>
      <c r="F350" s="91"/>
      <c r="G350" s="91"/>
      <c r="H350" s="91"/>
      <c r="I350" s="91"/>
      <c r="J350" s="91"/>
      <c r="K350" s="91"/>
      <c r="L350" s="91"/>
      <c r="M350" s="91"/>
      <c r="N350" s="91"/>
      <c r="O350" s="91"/>
      <c r="P350" s="91"/>
      <c r="Q350" s="91"/>
      <c r="R350" s="91"/>
      <c r="S350" s="91"/>
      <c r="T350" s="91"/>
      <c r="U350" s="96">
        <v>44347.0</v>
      </c>
      <c r="AH350" s="94">
        <f t="shared" ref="AH350:BK350" si="271">+$AH$53*$U$59*$X$59</f>
        <v>464.5061728</v>
      </c>
      <c r="AI350" s="94">
        <f t="shared" si="271"/>
        <v>464.5061728</v>
      </c>
      <c r="AJ350" s="94">
        <f t="shared" si="271"/>
        <v>464.5061728</v>
      </c>
      <c r="AK350" s="94">
        <f t="shared" si="271"/>
        <v>464.5061728</v>
      </c>
      <c r="AL350" s="94">
        <f t="shared" si="271"/>
        <v>464.5061728</v>
      </c>
      <c r="AM350" s="94">
        <f t="shared" si="271"/>
        <v>464.5061728</v>
      </c>
      <c r="AN350" s="94">
        <f t="shared" si="271"/>
        <v>464.5061728</v>
      </c>
      <c r="AO350" s="94">
        <f t="shared" si="271"/>
        <v>464.5061728</v>
      </c>
      <c r="AP350" s="94">
        <f t="shared" si="271"/>
        <v>464.5061728</v>
      </c>
      <c r="AQ350" s="94">
        <f t="shared" si="271"/>
        <v>464.5061728</v>
      </c>
      <c r="AR350" s="94">
        <f t="shared" si="271"/>
        <v>464.5061728</v>
      </c>
      <c r="AS350" s="94">
        <f t="shared" si="271"/>
        <v>464.5061728</v>
      </c>
      <c r="AT350" s="94">
        <f t="shared" si="271"/>
        <v>464.5061728</v>
      </c>
      <c r="AU350" s="94">
        <f t="shared" si="271"/>
        <v>464.5061728</v>
      </c>
      <c r="AV350" s="94">
        <f t="shared" si="271"/>
        <v>464.5061728</v>
      </c>
      <c r="AW350" s="94">
        <f t="shared" si="271"/>
        <v>464.5061728</v>
      </c>
      <c r="AX350" s="94">
        <f t="shared" si="271"/>
        <v>464.5061728</v>
      </c>
      <c r="AY350" s="94">
        <f t="shared" si="271"/>
        <v>464.5061728</v>
      </c>
      <c r="AZ350" s="94">
        <f t="shared" si="271"/>
        <v>464.5061728</v>
      </c>
      <c r="BA350" s="94">
        <f t="shared" si="271"/>
        <v>464.5061728</v>
      </c>
      <c r="BB350" s="94">
        <f t="shared" si="271"/>
        <v>464.5061728</v>
      </c>
      <c r="BC350" s="94">
        <f t="shared" si="271"/>
        <v>464.5061728</v>
      </c>
      <c r="BD350" s="94">
        <f t="shared" si="271"/>
        <v>464.5061728</v>
      </c>
      <c r="BE350" s="94">
        <f t="shared" si="271"/>
        <v>464.5061728</v>
      </c>
      <c r="BF350" s="94">
        <f t="shared" si="271"/>
        <v>464.5061728</v>
      </c>
      <c r="BG350" s="94">
        <f t="shared" si="271"/>
        <v>464.5061728</v>
      </c>
      <c r="BH350" s="94">
        <f t="shared" si="271"/>
        <v>464.5061728</v>
      </c>
      <c r="BI350" s="94">
        <f t="shared" si="271"/>
        <v>464.5061728</v>
      </c>
      <c r="BJ350" s="94">
        <f t="shared" si="271"/>
        <v>464.5061728</v>
      </c>
      <c r="BK350" s="94">
        <f t="shared" si="271"/>
        <v>464.5061728</v>
      </c>
    </row>
    <row r="351" ht="15.75" customHeight="1">
      <c r="A351" s="91"/>
      <c r="B351" s="91"/>
      <c r="C351" s="91"/>
      <c r="D351" s="91"/>
      <c r="E351" s="91"/>
      <c r="F351" s="91"/>
      <c r="G351" s="91"/>
      <c r="H351" s="91"/>
      <c r="I351" s="91"/>
      <c r="J351" s="91"/>
      <c r="K351" s="91"/>
      <c r="L351" s="91"/>
      <c r="M351" s="91"/>
      <c r="N351" s="91"/>
      <c r="O351" s="91"/>
      <c r="P351" s="91"/>
      <c r="Q351" s="91"/>
      <c r="R351" s="91"/>
      <c r="S351" s="91"/>
      <c r="T351" s="91"/>
      <c r="U351" s="96">
        <v>44377.0</v>
      </c>
      <c r="AI351" s="94">
        <f t="shared" ref="AI351:BL351" si="272">+$AI$53*$U$59*$X$59</f>
        <v>464.5061728</v>
      </c>
      <c r="AJ351" s="94">
        <f t="shared" si="272"/>
        <v>464.5061728</v>
      </c>
      <c r="AK351" s="94">
        <f t="shared" si="272"/>
        <v>464.5061728</v>
      </c>
      <c r="AL351" s="94">
        <f t="shared" si="272"/>
        <v>464.5061728</v>
      </c>
      <c r="AM351" s="94">
        <f t="shared" si="272"/>
        <v>464.5061728</v>
      </c>
      <c r="AN351" s="94">
        <f t="shared" si="272"/>
        <v>464.5061728</v>
      </c>
      <c r="AO351" s="94">
        <f t="shared" si="272"/>
        <v>464.5061728</v>
      </c>
      <c r="AP351" s="94">
        <f t="shared" si="272"/>
        <v>464.5061728</v>
      </c>
      <c r="AQ351" s="94">
        <f t="shared" si="272"/>
        <v>464.5061728</v>
      </c>
      <c r="AR351" s="94">
        <f t="shared" si="272"/>
        <v>464.5061728</v>
      </c>
      <c r="AS351" s="94">
        <f t="shared" si="272"/>
        <v>464.5061728</v>
      </c>
      <c r="AT351" s="94">
        <f t="shared" si="272"/>
        <v>464.5061728</v>
      </c>
      <c r="AU351" s="94">
        <f t="shared" si="272"/>
        <v>464.5061728</v>
      </c>
      <c r="AV351" s="94">
        <f t="shared" si="272"/>
        <v>464.5061728</v>
      </c>
      <c r="AW351" s="94">
        <f t="shared" si="272"/>
        <v>464.5061728</v>
      </c>
      <c r="AX351" s="94">
        <f t="shared" si="272"/>
        <v>464.5061728</v>
      </c>
      <c r="AY351" s="94">
        <f t="shared" si="272"/>
        <v>464.5061728</v>
      </c>
      <c r="AZ351" s="94">
        <f t="shared" si="272"/>
        <v>464.5061728</v>
      </c>
      <c r="BA351" s="94">
        <f t="shared" si="272"/>
        <v>464.5061728</v>
      </c>
      <c r="BB351" s="94">
        <f t="shared" si="272"/>
        <v>464.5061728</v>
      </c>
      <c r="BC351" s="94">
        <f t="shared" si="272"/>
        <v>464.5061728</v>
      </c>
      <c r="BD351" s="94">
        <f t="shared" si="272"/>
        <v>464.5061728</v>
      </c>
      <c r="BE351" s="94">
        <f t="shared" si="272"/>
        <v>464.5061728</v>
      </c>
      <c r="BF351" s="94">
        <f t="shared" si="272"/>
        <v>464.5061728</v>
      </c>
      <c r="BG351" s="94">
        <f t="shared" si="272"/>
        <v>464.5061728</v>
      </c>
      <c r="BH351" s="94">
        <f t="shared" si="272"/>
        <v>464.5061728</v>
      </c>
      <c r="BI351" s="94">
        <f t="shared" si="272"/>
        <v>464.5061728</v>
      </c>
      <c r="BJ351" s="94">
        <f t="shared" si="272"/>
        <v>464.5061728</v>
      </c>
      <c r="BK351" s="94">
        <f t="shared" si="272"/>
        <v>464.5061728</v>
      </c>
      <c r="BL351" s="94">
        <f t="shared" si="272"/>
        <v>464.5061728</v>
      </c>
    </row>
    <row r="352" ht="15.75" customHeight="1">
      <c r="A352" s="91"/>
      <c r="B352" s="91"/>
      <c r="C352" s="91"/>
      <c r="D352" s="91"/>
      <c r="E352" s="91"/>
      <c r="F352" s="91"/>
      <c r="G352" s="91"/>
      <c r="H352" s="91"/>
      <c r="I352" s="91"/>
      <c r="J352" s="91"/>
      <c r="K352" s="91"/>
      <c r="L352" s="91"/>
      <c r="M352" s="91"/>
      <c r="N352" s="91"/>
      <c r="O352" s="91"/>
      <c r="P352" s="91"/>
      <c r="Q352" s="91"/>
      <c r="R352" s="91"/>
      <c r="S352" s="91"/>
      <c r="T352" s="91"/>
      <c r="U352" s="96">
        <v>44408.0</v>
      </c>
      <c r="AJ352" s="94">
        <f t="shared" ref="AJ352:BM352" si="273">+$AJ$53*$U$59*$X$59</f>
        <v>464.5061728</v>
      </c>
      <c r="AK352" s="94">
        <f t="shared" si="273"/>
        <v>464.5061728</v>
      </c>
      <c r="AL352" s="94">
        <f t="shared" si="273"/>
        <v>464.5061728</v>
      </c>
      <c r="AM352" s="94">
        <f t="shared" si="273"/>
        <v>464.5061728</v>
      </c>
      <c r="AN352" s="94">
        <f t="shared" si="273"/>
        <v>464.5061728</v>
      </c>
      <c r="AO352" s="94">
        <f t="shared" si="273"/>
        <v>464.5061728</v>
      </c>
      <c r="AP352" s="94">
        <f t="shared" si="273"/>
        <v>464.5061728</v>
      </c>
      <c r="AQ352" s="94">
        <f t="shared" si="273"/>
        <v>464.5061728</v>
      </c>
      <c r="AR352" s="94">
        <f t="shared" si="273"/>
        <v>464.5061728</v>
      </c>
      <c r="AS352" s="94">
        <f t="shared" si="273"/>
        <v>464.5061728</v>
      </c>
      <c r="AT352" s="94">
        <f t="shared" si="273"/>
        <v>464.5061728</v>
      </c>
      <c r="AU352" s="94">
        <f t="shared" si="273"/>
        <v>464.5061728</v>
      </c>
      <c r="AV352" s="94">
        <f t="shared" si="273"/>
        <v>464.5061728</v>
      </c>
      <c r="AW352" s="94">
        <f t="shared" si="273"/>
        <v>464.5061728</v>
      </c>
      <c r="AX352" s="94">
        <f t="shared" si="273"/>
        <v>464.5061728</v>
      </c>
      <c r="AY352" s="94">
        <f t="shared" si="273"/>
        <v>464.5061728</v>
      </c>
      <c r="AZ352" s="94">
        <f t="shared" si="273"/>
        <v>464.5061728</v>
      </c>
      <c r="BA352" s="94">
        <f t="shared" si="273"/>
        <v>464.5061728</v>
      </c>
      <c r="BB352" s="94">
        <f t="shared" si="273"/>
        <v>464.5061728</v>
      </c>
      <c r="BC352" s="94">
        <f t="shared" si="273"/>
        <v>464.5061728</v>
      </c>
      <c r="BD352" s="94">
        <f t="shared" si="273"/>
        <v>464.5061728</v>
      </c>
      <c r="BE352" s="94">
        <f t="shared" si="273"/>
        <v>464.5061728</v>
      </c>
      <c r="BF352" s="94">
        <f t="shared" si="273"/>
        <v>464.5061728</v>
      </c>
      <c r="BG352" s="94">
        <f t="shared" si="273"/>
        <v>464.5061728</v>
      </c>
      <c r="BH352" s="94">
        <f t="shared" si="273"/>
        <v>464.5061728</v>
      </c>
      <c r="BI352" s="94">
        <f t="shared" si="273"/>
        <v>464.5061728</v>
      </c>
      <c r="BJ352" s="94">
        <f t="shared" si="273"/>
        <v>464.5061728</v>
      </c>
      <c r="BK352" s="94">
        <f t="shared" si="273"/>
        <v>464.5061728</v>
      </c>
      <c r="BL352" s="94">
        <f t="shared" si="273"/>
        <v>464.5061728</v>
      </c>
      <c r="BM352" s="94">
        <f t="shared" si="273"/>
        <v>464.5061728</v>
      </c>
    </row>
    <row r="353" ht="15.75" customHeight="1">
      <c r="A353" s="91"/>
      <c r="B353" s="91"/>
      <c r="C353" s="91"/>
      <c r="D353" s="91"/>
      <c r="E353" s="91"/>
      <c r="F353" s="91"/>
      <c r="G353" s="91"/>
      <c r="H353" s="91"/>
      <c r="I353" s="91"/>
      <c r="J353" s="91"/>
      <c r="K353" s="91"/>
      <c r="L353" s="91"/>
      <c r="M353" s="91"/>
      <c r="N353" s="91"/>
      <c r="O353" s="91"/>
      <c r="P353" s="91"/>
      <c r="Q353" s="91"/>
      <c r="R353" s="91"/>
      <c r="S353" s="91"/>
      <c r="T353" s="91"/>
      <c r="U353" s="96">
        <v>44439.0</v>
      </c>
      <c r="AK353" s="94">
        <f t="shared" ref="AK353:BN353" si="274">+$AK$53*$U$59*$X$59</f>
        <v>696.7592593</v>
      </c>
      <c r="AL353" s="94">
        <f t="shared" si="274"/>
        <v>696.7592593</v>
      </c>
      <c r="AM353" s="94">
        <f t="shared" si="274"/>
        <v>696.7592593</v>
      </c>
      <c r="AN353" s="94">
        <f t="shared" si="274"/>
        <v>696.7592593</v>
      </c>
      <c r="AO353" s="94">
        <f t="shared" si="274"/>
        <v>696.7592593</v>
      </c>
      <c r="AP353" s="94">
        <f t="shared" si="274"/>
        <v>696.7592593</v>
      </c>
      <c r="AQ353" s="94">
        <f t="shared" si="274"/>
        <v>696.7592593</v>
      </c>
      <c r="AR353" s="94">
        <f t="shared" si="274"/>
        <v>696.7592593</v>
      </c>
      <c r="AS353" s="94">
        <f t="shared" si="274"/>
        <v>696.7592593</v>
      </c>
      <c r="AT353" s="94">
        <f t="shared" si="274"/>
        <v>696.7592593</v>
      </c>
      <c r="AU353" s="94">
        <f t="shared" si="274"/>
        <v>696.7592593</v>
      </c>
      <c r="AV353" s="94">
        <f t="shared" si="274"/>
        <v>696.7592593</v>
      </c>
      <c r="AW353" s="94">
        <f t="shared" si="274"/>
        <v>696.7592593</v>
      </c>
      <c r="AX353" s="94">
        <f t="shared" si="274"/>
        <v>696.7592593</v>
      </c>
      <c r="AY353" s="94">
        <f t="shared" si="274"/>
        <v>696.7592593</v>
      </c>
      <c r="AZ353" s="94">
        <f t="shared" si="274"/>
        <v>696.7592593</v>
      </c>
      <c r="BA353" s="94">
        <f t="shared" si="274"/>
        <v>696.7592593</v>
      </c>
      <c r="BB353" s="94">
        <f t="shared" si="274"/>
        <v>696.7592593</v>
      </c>
      <c r="BC353" s="94">
        <f t="shared" si="274"/>
        <v>696.7592593</v>
      </c>
      <c r="BD353" s="94">
        <f t="shared" si="274"/>
        <v>696.7592593</v>
      </c>
      <c r="BE353" s="94">
        <f t="shared" si="274"/>
        <v>696.7592593</v>
      </c>
      <c r="BF353" s="94">
        <f t="shared" si="274"/>
        <v>696.7592593</v>
      </c>
      <c r="BG353" s="94">
        <f t="shared" si="274"/>
        <v>696.7592593</v>
      </c>
      <c r="BH353" s="94">
        <f t="shared" si="274"/>
        <v>696.7592593</v>
      </c>
      <c r="BI353" s="94">
        <f t="shared" si="274"/>
        <v>696.7592593</v>
      </c>
      <c r="BJ353" s="94">
        <f t="shared" si="274"/>
        <v>696.7592593</v>
      </c>
      <c r="BK353" s="94">
        <f t="shared" si="274"/>
        <v>696.7592593</v>
      </c>
      <c r="BL353" s="94">
        <f t="shared" si="274"/>
        <v>696.7592593</v>
      </c>
      <c r="BM353" s="94">
        <f t="shared" si="274"/>
        <v>696.7592593</v>
      </c>
      <c r="BN353" s="94">
        <f t="shared" si="274"/>
        <v>696.7592593</v>
      </c>
    </row>
    <row r="354" ht="15.75" customHeight="1">
      <c r="A354" s="91"/>
      <c r="B354" s="91"/>
      <c r="C354" s="91"/>
      <c r="D354" s="91"/>
      <c r="E354" s="91"/>
      <c r="F354" s="91"/>
      <c r="G354" s="91"/>
      <c r="H354" s="91"/>
      <c r="I354" s="91"/>
      <c r="J354" s="91"/>
      <c r="K354" s="91"/>
      <c r="L354" s="91"/>
      <c r="M354" s="91"/>
      <c r="N354" s="91"/>
      <c r="O354" s="91"/>
      <c r="P354" s="91"/>
      <c r="Q354" s="91"/>
      <c r="R354" s="91"/>
      <c r="S354" s="91"/>
      <c r="T354" s="91"/>
      <c r="U354" s="96">
        <v>44469.0</v>
      </c>
      <c r="AL354" s="94">
        <f t="shared" ref="AL354:BO354" si="275">+$AL$53*$U$59*$X$59</f>
        <v>929.0123457</v>
      </c>
      <c r="AM354" s="94">
        <f t="shared" si="275"/>
        <v>929.0123457</v>
      </c>
      <c r="AN354" s="94">
        <f t="shared" si="275"/>
        <v>929.0123457</v>
      </c>
      <c r="AO354" s="94">
        <f t="shared" si="275"/>
        <v>929.0123457</v>
      </c>
      <c r="AP354" s="94">
        <f t="shared" si="275"/>
        <v>929.0123457</v>
      </c>
      <c r="AQ354" s="94">
        <f t="shared" si="275"/>
        <v>929.0123457</v>
      </c>
      <c r="AR354" s="94">
        <f t="shared" si="275"/>
        <v>929.0123457</v>
      </c>
      <c r="AS354" s="94">
        <f t="shared" si="275"/>
        <v>929.0123457</v>
      </c>
      <c r="AT354" s="94">
        <f t="shared" si="275"/>
        <v>929.0123457</v>
      </c>
      <c r="AU354" s="94">
        <f t="shared" si="275"/>
        <v>929.0123457</v>
      </c>
      <c r="AV354" s="94">
        <f t="shared" si="275"/>
        <v>929.0123457</v>
      </c>
      <c r="AW354" s="94">
        <f t="shared" si="275"/>
        <v>929.0123457</v>
      </c>
      <c r="AX354" s="94">
        <f t="shared" si="275"/>
        <v>929.0123457</v>
      </c>
      <c r="AY354" s="94">
        <f t="shared" si="275"/>
        <v>929.0123457</v>
      </c>
      <c r="AZ354" s="94">
        <f t="shared" si="275"/>
        <v>929.0123457</v>
      </c>
      <c r="BA354" s="94">
        <f t="shared" si="275"/>
        <v>929.0123457</v>
      </c>
      <c r="BB354" s="94">
        <f t="shared" si="275"/>
        <v>929.0123457</v>
      </c>
      <c r="BC354" s="94">
        <f t="shared" si="275"/>
        <v>929.0123457</v>
      </c>
      <c r="BD354" s="94">
        <f t="shared" si="275"/>
        <v>929.0123457</v>
      </c>
      <c r="BE354" s="94">
        <f t="shared" si="275"/>
        <v>929.0123457</v>
      </c>
      <c r="BF354" s="94">
        <f t="shared" si="275"/>
        <v>929.0123457</v>
      </c>
      <c r="BG354" s="94">
        <f t="shared" si="275"/>
        <v>929.0123457</v>
      </c>
      <c r="BH354" s="94">
        <f t="shared" si="275"/>
        <v>929.0123457</v>
      </c>
      <c r="BI354" s="94">
        <f t="shared" si="275"/>
        <v>929.0123457</v>
      </c>
      <c r="BJ354" s="94">
        <f t="shared" si="275"/>
        <v>929.0123457</v>
      </c>
      <c r="BK354" s="94">
        <f t="shared" si="275"/>
        <v>929.0123457</v>
      </c>
      <c r="BL354" s="94">
        <f t="shared" si="275"/>
        <v>929.0123457</v>
      </c>
      <c r="BM354" s="94">
        <f t="shared" si="275"/>
        <v>929.0123457</v>
      </c>
      <c r="BN354" s="94">
        <f t="shared" si="275"/>
        <v>929.0123457</v>
      </c>
      <c r="BO354" s="94">
        <f t="shared" si="275"/>
        <v>929.0123457</v>
      </c>
    </row>
    <row r="355" ht="15.75" customHeight="1">
      <c r="A355" s="91"/>
      <c r="B355" s="91"/>
      <c r="C355" s="91"/>
      <c r="D355" s="91"/>
      <c r="E355" s="91"/>
      <c r="F355" s="91"/>
      <c r="G355" s="91"/>
      <c r="H355" s="91"/>
      <c r="I355" s="91"/>
      <c r="J355" s="91"/>
      <c r="K355" s="91"/>
      <c r="L355" s="91"/>
      <c r="M355" s="91"/>
      <c r="N355" s="91"/>
      <c r="O355" s="91"/>
      <c r="P355" s="91"/>
      <c r="Q355" s="91"/>
      <c r="R355" s="91"/>
      <c r="S355" s="91"/>
      <c r="T355" s="91"/>
      <c r="U355" s="96">
        <v>44500.0</v>
      </c>
      <c r="AM355" s="94">
        <f t="shared" ref="AM355:BP355" si="276">+$AM$53*$U$59*$X$59</f>
        <v>1393.518519</v>
      </c>
      <c r="AN355" s="94">
        <f t="shared" si="276"/>
        <v>1393.518519</v>
      </c>
      <c r="AO355" s="94">
        <f t="shared" si="276"/>
        <v>1393.518519</v>
      </c>
      <c r="AP355" s="94">
        <f t="shared" si="276"/>
        <v>1393.518519</v>
      </c>
      <c r="AQ355" s="94">
        <f t="shared" si="276"/>
        <v>1393.518519</v>
      </c>
      <c r="AR355" s="94">
        <f t="shared" si="276"/>
        <v>1393.518519</v>
      </c>
      <c r="AS355" s="94">
        <f t="shared" si="276"/>
        <v>1393.518519</v>
      </c>
      <c r="AT355" s="94">
        <f t="shared" si="276"/>
        <v>1393.518519</v>
      </c>
      <c r="AU355" s="94">
        <f t="shared" si="276"/>
        <v>1393.518519</v>
      </c>
      <c r="AV355" s="94">
        <f t="shared" si="276"/>
        <v>1393.518519</v>
      </c>
      <c r="AW355" s="94">
        <f t="shared" si="276"/>
        <v>1393.518519</v>
      </c>
      <c r="AX355" s="94">
        <f t="shared" si="276"/>
        <v>1393.518519</v>
      </c>
      <c r="AY355" s="94">
        <f t="shared" si="276"/>
        <v>1393.518519</v>
      </c>
      <c r="AZ355" s="94">
        <f t="shared" si="276"/>
        <v>1393.518519</v>
      </c>
      <c r="BA355" s="94">
        <f t="shared" si="276"/>
        <v>1393.518519</v>
      </c>
      <c r="BB355" s="94">
        <f t="shared" si="276"/>
        <v>1393.518519</v>
      </c>
      <c r="BC355" s="94">
        <f t="shared" si="276"/>
        <v>1393.518519</v>
      </c>
      <c r="BD355" s="94">
        <f t="shared" si="276"/>
        <v>1393.518519</v>
      </c>
      <c r="BE355" s="94">
        <f t="shared" si="276"/>
        <v>1393.518519</v>
      </c>
      <c r="BF355" s="94">
        <f t="shared" si="276"/>
        <v>1393.518519</v>
      </c>
      <c r="BG355" s="94">
        <f t="shared" si="276"/>
        <v>1393.518519</v>
      </c>
      <c r="BH355" s="94">
        <f t="shared" si="276"/>
        <v>1393.518519</v>
      </c>
      <c r="BI355" s="94">
        <f t="shared" si="276"/>
        <v>1393.518519</v>
      </c>
      <c r="BJ355" s="94">
        <f t="shared" si="276"/>
        <v>1393.518519</v>
      </c>
      <c r="BK355" s="94">
        <f t="shared" si="276"/>
        <v>1393.518519</v>
      </c>
      <c r="BL355" s="94">
        <f t="shared" si="276"/>
        <v>1393.518519</v>
      </c>
      <c r="BM355" s="94">
        <f t="shared" si="276"/>
        <v>1393.518519</v>
      </c>
      <c r="BN355" s="94">
        <f t="shared" si="276"/>
        <v>1393.518519</v>
      </c>
      <c r="BO355" s="94">
        <f t="shared" si="276"/>
        <v>1393.518519</v>
      </c>
      <c r="BP355" s="94">
        <f t="shared" si="276"/>
        <v>1393.518519</v>
      </c>
    </row>
    <row r="356" ht="15.75" customHeight="1">
      <c r="A356" s="91"/>
      <c r="B356" s="91"/>
      <c r="C356" s="91"/>
      <c r="D356" s="91"/>
      <c r="E356" s="91"/>
      <c r="F356" s="91"/>
      <c r="G356" s="91"/>
      <c r="H356" s="91"/>
      <c r="I356" s="91"/>
      <c r="J356" s="91"/>
      <c r="K356" s="91"/>
      <c r="L356" s="91"/>
      <c r="M356" s="91"/>
      <c r="N356" s="91"/>
      <c r="O356" s="91"/>
      <c r="P356" s="91"/>
      <c r="Q356" s="91"/>
      <c r="R356" s="91"/>
      <c r="S356" s="91"/>
      <c r="T356" s="91"/>
      <c r="U356" s="96">
        <v>44530.0</v>
      </c>
      <c r="AN356" s="94">
        <f t="shared" ref="AN356:BQ356" si="277">+$AN$53*$U$59*$X$59</f>
        <v>334.4444444</v>
      </c>
      <c r="AO356" s="94">
        <f t="shared" si="277"/>
        <v>334.4444444</v>
      </c>
      <c r="AP356" s="94">
        <f t="shared" si="277"/>
        <v>334.4444444</v>
      </c>
      <c r="AQ356" s="94">
        <f t="shared" si="277"/>
        <v>334.4444444</v>
      </c>
      <c r="AR356" s="94">
        <f t="shared" si="277"/>
        <v>334.4444444</v>
      </c>
      <c r="AS356" s="94">
        <f t="shared" si="277"/>
        <v>334.4444444</v>
      </c>
      <c r="AT356" s="94">
        <f t="shared" si="277"/>
        <v>334.4444444</v>
      </c>
      <c r="AU356" s="94">
        <f t="shared" si="277"/>
        <v>334.4444444</v>
      </c>
      <c r="AV356" s="94">
        <f t="shared" si="277"/>
        <v>334.4444444</v>
      </c>
      <c r="AW356" s="94">
        <f t="shared" si="277"/>
        <v>334.4444444</v>
      </c>
      <c r="AX356" s="94">
        <f t="shared" si="277"/>
        <v>334.4444444</v>
      </c>
      <c r="AY356" s="94">
        <f t="shared" si="277"/>
        <v>334.4444444</v>
      </c>
      <c r="AZ356" s="94">
        <f t="shared" si="277"/>
        <v>334.4444444</v>
      </c>
      <c r="BA356" s="94">
        <f t="shared" si="277"/>
        <v>334.4444444</v>
      </c>
      <c r="BB356" s="94">
        <f t="shared" si="277"/>
        <v>334.4444444</v>
      </c>
      <c r="BC356" s="94">
        <f t="shared" si="277"/>
        <v>334.4444444</v>
      </c>
      <c r="BD356" s="94">
        <f t="shared" si="277"/>
        <v>334.4444444</v>
      </c>
      <c r="BE356" s="94">
        <f t="shared" si="277"/>
        <v>334.4444444</v>
      </c>
      <c r="BF356" s="94">
        <f t="shared" si="277"/>
        <v>334.4444444</v>
      </c>
      <c r="BG356" s="94">
        <f t="shared" si="277"/>
        <v>334.4444444</v>
      </c>
      <c r="BH356" s="94">
        <f t="shared" si="277"/>
        <v>334.4444444</v>
      </c>
      <c r="BI356" s="94">
        <f t="shared" si="277"/>
        <v>334.4444444</v>
      </c>
      <c r="BJ356" s="94">
        <f t="shared" si="277"/>
        <v>334.4444444</v>
      </c>
      <c r="BK356" s="94">
        <f t="shared" si="277"/>
        <v>334.4444444</v>
      </c>
      <c r="BL356" s="94">
        <f t="shared" si="277"/>
        <v>334.4444444</v>
      </c>
      <c r="BM356" s="94">
        <f t="shared" si="277"/>
        <v>334.4444444</v>
      </c>
      <c r="BN356" s="94">
        <f t="shared" si="277"/>
        <v>334.4444444</v>
      </c>
      <c r="BO356" s="94">
        <f t="shared" si="277"/>
        <v>334.4444444</v>
      </c>
      <c r="BP356" s="94">
        <f t="shared" si="277"/>
        <v>334.4444444</v>
      </c>
      <c r="BQ356" s="94">
        <f t="shared" si="277"/>
        <v>334.4444444</v>
      </c>
    </row>
    <row r="357" ht="15.75" customHeight="1">
      <c r="A357" s="91"/>
      <c r="B357" s="91"/>
      <c r="C357" s="91"/>
      <c r="D357" s="91"/>
      <c r="E357" s="91"/>
      <c r="F357" s="91"/>
      <c r="G357" s="91"/>
      <c r="H357" s="91"/>
      <c r="I357" s="91"/>
      <c r="J357" s="91"/>
      <c r="K357" s="91"/>
      <c r="L357" s="91"/>
      <c r="M357" s="91"/>
      <c r="N357" s="91"/>
      <c r="O357" s="91"/>
      <c r="P357" s="91"/>
      <c r="Q357" s="91"/>
      <c r="R357" s="91"/>
      <c r="S357" s="91"/>
      <c r="T357" s="91"/>
      <c r="U357" s="96">
        <v>44561.0</v>
      </c>
      <c r="AO357" s="94">
        <f t="shared" ref="AO357:BR357" si="278">+$AO$53*$U$59*$X$59</f>
        <v>334.4444444</v>
      </c>
      <c r="AP357" s="94">
        <f t="shared" si="278"/>
        <v>334.4444444</v>
      </c>
      <c r="AQ357" s="94">
        <f t="shared" si="278"/>
        <v>334.4444444</v>
      </c>
      <c r="AR357" s="94">
        <f t="shared" si="278"/>
        <v>334.4444444</v>
      </c>
      <c r="AS357" s="94">
        <f t="shared" si="278"/>
        <v>334.4444444</v>
      </c>
      <c r="AT357" s="94">
        <f t="shared" si="278"/>
        <v>334.4444444</v>
      </c>
      <c r="AU357" s="94">
        <f t="shared" si="278"/>
        <v>334.4444444</v>
      </c>
      <c r="AV357" s="94">
        <f t="shared" si="278"/>
        <v>334.4444444</v>
      </c>
      <c r="AW357" s="94">
        <f t="shared" si="278"/>
        <v>334.4444444</v>
      </c>
      <c r="AX357" s="94">
        <f t="shared" si="278"/>
        <v>334.4444444</v>
      </c>
      <c r="AY357" s="94">
        <f t="shared" si="278"/>
        <v>334.4444444</v>
      </c>
      <c r="AZ357" s="94">
        <f t="shared" si="278"/>
        <v>334.4444444</v>
      </c>
      <c r="BA357" s="94">
        <f t="shared" si="278"/>
        <v>334.4444444</v>
      </c>
      <c r="BB357" s="94">
        <f t="shared" si="278"/>
        <v>334.4444444</v>
      </c>
      <c r="BC357" s="94">
        <f t="shared" si="278"/>
        <v>334.4444444</v>
      </c>
      <c r="BD357" s="94">
        <f t="shared" si="278"/>
        <v>334.4444444</v>
      </c>
      <c r="BE357" s="94">
        <f t="shared" si="278"/>
        <v>334.4444444</v>
      </c>
      <c r="BF357" s="94">
        <f t="shared" si="278"/>
        <v>334.4444444</v>
      </c>
      <c r="BG357" s="94">
        <f t="shared" si="278"/>
        <v>334.4444444</v>
      </c>
      <c r="BH357" s="94">
        <f t="shared" si="278"/>
        <v>334.4444444</v>
      </c>
      <c r="BI357" s="94">
        <f t="shared" si="278"/>
        <v>334.4444444</v>
      </c>
      <c r="BJ357" s="94">
        <f t="shared" si="278"/>
        <v>334.4444444</v>
      </c>
      <c r="BK357" s="94">
        <f t="shared" si="278"/>
        <v>334.4444444</v>
      </c>
      <c r="BL357" s="94">
        <f t="shared" si="278"/>
        <v>334.4444444</v>
      </c>
      <c r="BM357" s="94">
        <f t="shared" si="278"/>
        <v>334.4444444</v>
      </c>
      <c r="BN357" s="94">
        <f t="shared" si="278"/>
        <v>334.4444444</v>
      </c>
      <c r="BO357" s="94">
        <f t="shared" si="278"/>
        <v>334.4444444</v>
      </c>
      <c r="BP357" s="94">
        <f t="shared" si="278"/>
        <v>334.4444444</v>
      </c>
      <c r="BQ357" s="94">
        <f t="shared" si="278"/>
        <v>334.4444444</v>
      </c>
      <c r="BR357" s="94">
        <f t="shared" si="278"/>
        <v>334.4444444</v>
      </c>
    </row>
    <row r="358" ht="15.75" customHeight="1">
      <c r="A358" s="91"/>
      <c r="B358" s="91"/>
      <c r="C358" s="91"/>
      <c r="D358" s="91"/>
      <c r="E358" s="91"/>
      <c r="F358" s="91"/>
      <c r="G358" s="91"/>
      <c r="H358" s="91"/>
      <c r="I358" s="91"/>
      <c r="J358" s="91"/>
      <c r="K358" s="91"/>
      <c r="L358" s="91"/>
      <c r="M358" s="91"/>
      <c r="N358" s="91"/>
      <c r="O358" s="91"/>
      <c r="P358" s="91"/>
      <c r="Q358" s="91"/>
      <c r="R358" s="91"/>
      <c r="S358" s="91"/>
      <c r="T358" s="91"/>
      <c r="U358" s="96">
        <v>44592.0</v>
      </c>
      <c r="AP358" s="94">
        <f t="shared" ref="AP358:BS358" si="279">+$AP$53*$U$59*$X$59</f>
        <v>464.5061728</v>
      </c>
      <c r="AQ358" s="94">
        <f t="shared" si="279"/>
        <v>464.5061728</v>
      </c>
      <c r="AR358" s="94">
        <f t="shared" si="279"/>
        <v>464.5061728</v>
      </c>
      <c r="AS358" s="94">
        <f t="shared" si="279"/>
        <v>464.5061728</v>
      </c>
      <c r="AT358" s="94">
        <f t="shared" si="279"/>
        <v>464.5061728</v>
      </c>
      <c r="AU358" s="94">
        <f t="shared" si="279"/>
        <v>464.5061728</v>
      </c>
      <c r="AV358" s="94">
        <f t="shared" si="279"/>
        <v>464.5061728</v>
      </c>
      <c r="AW358" s="94">
        <f t="shared" si="279"/>
        <v>464.5061728</v>
      </c>
      <c r="AX358" s="94">
        <f t="shared" si="279"/>
        <v>464.5061728</v>
      </c>
      <c r="AY358" s="94">
        <f t="shared" si="279"/>
        <v>464.5061728</v>
      </c>
      <c r="AZ358" s="94">
        <f t="shared" si="279"/>
        <v>464.5061728</v>
      </c>
      <c r="BA358" s="94">
        <f t="shared" si="279"/>
        <v>464.5061728</v>
      </c>
      <c r="BB358" s="94">
        <f t="shared" si="279"/>
        <v>464.5061728</v>
      </c>
      <c r="BC358" s="94">
        <f t="shared" si="279"/>
        <v>464.5061728</v>
      </c>
      <c r="BD358" s="94">
        <f t="shared" si="279"/>
        <v>464.5061728</v>
      </c>
      <c r="BE358" s="94">
        <f t="shared" si="279"/>
        <v>464.5061728</v>
      </c>
      <c r="BF358" s="94">
        <f t="shared" si="279"/>
        <v>464.5061728</v>
      </c>
      <c r="BG358" s="94">
        <f t="shared" si="279"/>
        <v>464.5061728</v>
      </c>
      <c r="BH358" s="94">
        <f t="shared" si="279"/>
        <v>464.5061728</v>
      </c>
      <c r="BI358" s="94">
        <f t="shared" si="279"/>
        <v>464.5061728</v>
      </c>
      <c r="BJ358" s="94">
        <f t="shared" si="279"/>
        <v>464.5061728</v>
      </c>
      <c r="BK358" s="94">
        <f t="shared" si="279"/>
        <v>464.5061728</v>
      </c>
      <c r="BL358" s="94">
        <f t="shared" si="279"/>
        <v>464.5061728</v>
      </c>
      <c r="BM358" s="94">
        <f t="shared" si="279"/>
        <v>464.5061728</v>
      </c>
      <c r="BN358" s="94">
        <f t="shared" si="279"/>
        <v>464.5061728</v>
      </c>
      <c r="BO358" s="94">
        <f t="shared" si="279"/>
        <v>464.5061728</v>
      </c>
      <c r="BP358" s="94">
        <f t="shared" si="279"/>
        <v>464.5061728</v>
      </c>
      <c r="BQ358" s="94">
        <f t="shared" si="279"/>
        <v>464.5061728</v>
      </c>
      <c r="BR358" s="94">
        <f t="shared" si="279"/>
        <v>464.5061728</v>
      </c>
      <c r="BS358" s="94">
        <f t="shared" si="279"/>
        <v>464.5061728</v>
      </c>
    </row>
    <row r="359" ht="15.75" customHeight="1">
      <c r="A359" s="91"/>
      <c r="B359" s="91"/>
      <c r="C359" s="91"/>
      <c r="D359" s="91"/>
      <c r="E359" s="91"/>
      <c r="F359" s="91"/>
      <c r="G359" s="91"/>
      <c r="H359" s="91"/>
      <c r="I359" s="91"/>
      <c r="J359" s="91"/>
      <c r="K359" s="91"/>
      <c r="L359" s="91"/>
      <c r="M359" s="91"/>
      <c r="N359" s="91"/>
      <c r="O359" s="91"/>
      <c r="P359" s="91"/>
      <c r="Q359" s="91"/>
      <c r="R359" s="91"/>
      <c r="S359" s="91"/>
      <c r="T359" s="91"/>
      <c r="U359" s="96">
        <v>44620.0</v>
      </c>
      <c r="AQ359" s="94">
        <f t="shared" ref="AQ359:BT359" si="280">+$AQ$53*$U$59*$X$59</f>
        <v>464.5061728</v>
      </c>
      <c r="AR359" s="94">
        <f t="shared" si="280"/>
        <v>464.5061728</v>
      </c>
      <c r="AS359" s="94">
        <f t="shared" si="280"/>
        <v>464.5061728</v>
      </c>
      <c r="AT359" s="94">
        <f t="shared" si="280"/>
        <v>464.5061728</v>
      </c>
      <c r="AU359" s="94">
        <f t="shared" si="280"/>
        <v>464.5061728</v>
      </c>
      <c r="AV359" s="94">
        <f t="shared" si="280"/>
        <v>464.5061728</v>
      </c>
      <c r="AW359" s="94">
        <f t="shared" si="280"/>
        <v>464.5061728</v>
      </c>
      <c r="AX359" s="94">
        <f t="shared" si="280"/>
        <v>464.5061728</v>
      </c>
      <c r="AY359" s="94">
        <f t="shared" si="280"/>
        <v>464.5061728</v>
      </c>
      <c r="AZ359" s="94">
        <f t="shared" si="280"/>
        <v>464.5061728</v>
      </c>
      <c r="BA359" s="94">
        <f t="shared" si="280"/>
        <v>464.5061728</v>
      </c>
      <c r="BB359" s="94">
        <f t="shared" si="280"/>
        <v>464.5061728</v>
      </c>
      <c r="BC359" s="94">
        <f t="shared" si="280"/>
        <v>464.5061728</v>
      </c>
      <c r="BD359" s="94">
        <f t="shared" si="280"/>
        <v>464.5061728</v>
      </c>
      <c r="BE359" s="94">
        <f t="shared" si="280"/>
        <v>464.5061728</v>
      </c>
      <c r="BF359" s="94">
        <f t="shared" si="280"/>
        <v>464.5061728</v>
      </c>
      <c r="BG359" s="94">
        <f t="shared" si="280"/>
        <v>464.5061728</v>
      </c>
      <c r="BH359" s="94">
        <f t="shared" si="280"/>
        <v>464.5061728</v>
      </c>
      <c r="BI359" s="94">
        <f t="shared" si="280"/>
        <v>464.5061728</v>
      </c>
      <c r="BJ359" s="94">
        <f t="shared" si="280"/>
        <v>464.5061728</v>
      </c>
      <c r="BK359" s="94">
        <f t="shared" si="280"/>
        <v>464.5061728</v>
      </c>
      <c r="BL359" s="94">
        <f t="shared" si="280"/>
        <v>464.5061728</v>
      </c>
      <c r="BM359" s="94">
        <f t="shared" si="280"/>
        <v>464.5061728</v>
      </c>
      <c r="BN359" s="94">
        <f t="shared" si="280"/>
        <v>464.5061728</v>
      </c>
      <c r="BO359" s="94">
        <f t="shared" si="280"/>
        <v>464.5061728</v>
      </c>
      <c r="BP359" s="94">
        <f t="shared" si="280"/>
        <v>464.5061728</v>
      </c>
      <c r="BQ359" s="94">
        <f t="shared" si="280"/>
        <v>464.5061728</v>
      </c>
      <c r="BR359" s="94">
        <f t="shared" si="280"/>
        <v>464.5061728</v>
      </c>
      <c r="BS359" s="94">
        <f t="shared" si="280"/>
        <v>464.5061728</v>
      </c>
      <c r="BT359" s="94">
        <f t="shared" si="280"/>
        <v>464.5061728</v>
      </c>
    </row>
    <row r="360" ht="15.75" customHeight="1">
      <c r="A360" s="91"/>
      <c r="B360" s="91"/>
      <c r="C360" s="91"/>
      <c r="D360" s="91"/>
      <c r="E360" s="91"/>
      <c r="F360" s="91"/>
      <c r="G360" s="91"/>
      <c r="H360" s="91"/>
      <c r="I360" s="91"/>
      <c r="J360" s="91"/>
      <c r="K360" s="91"/>
      <c r="L360" s="91"/>
      <c r="M360" s="91"/>
      <c r="N360" s="91"/>
      <c r="O360" s="91"/>
      <c r="P360" s="91"/>
      <c r="Q360" s="91"/>
      <c r="R360" s="91"/>
      <c r="S360" s="91"/>
      <c r="T360" s="91"/>
      <c r="U360" s="96">
        <v>44651.0</v>
      </c>
      <c r="AR360" s="94">
        <f t="shared" ref="AR360:BU360" si="281">+$AR$53*$U$59*$X$59</f>
        <v>464.5061728</v>
      </c>
      <c r="AS360" s="94">
        <f t="shared" si="281"/>
        <v>464.5061728</v>
      </c>
      <c r="AT360" s="94">
        <f t="shared" si="281"/>
        <v>464.5061728</v>
      </c>
      <c r="AU360" s="94">
        <f t="shared" si="281"/>
        <v>464.5061728</v>
      </c>
      <c r="AV360" s="94">
        <f t="shared" si="281"/>
        <v>464.5061728</v>
      </c>
      <c r="AW360" s="94">
        <f t="shared" si="281"/>
        <v>464.5061728</v>
      </c>
      <c r="AX360" s="94">
        <f t="shared" si="281"/>
        <v>464.5061728</v>
      </c>
      <c r="AY360" s="94">
        <f t="shared" si="281"/>
        <v>464.5061728</v>
      </c>
      <c r="AZ360" s="94">
        <f t="shared" si="281"/>
        <v>464.5061728</v>
      </c>
      <c r="BA360" s="94">
        <f t="shared" si="281"/>
        <v>464.5061728</v>
      </c>
      <c r="BB360" s="94">
        <f t="shared" si="281"/>
        <v>464.5061728</v>
      </c>
      <c r="BC360" s="94">
        <f t="shared" si="281"/>
        <v>464.5061728</v>
      </c>
      <c r="BD360" s="94">
        <f t="shared" si="281"/>
        <v>464.5061728</v>
      </c>
      <c r="BE360" s="94">
        <f t="shared" si="281"/>
        <v>464.5061728</v>
      </c>
      <c r="BF360" s="94">
        <f t="shared" si="281"/>
        <v>464.5061728</v>
      </c>
      <c r="BG360" s="94">
        <f t="shared" si="281"/>
        <v>464.5061728</v>
      </c>
      <c r="BH360" s="94">
        <f t="shared" si="281"/>
        <v>464.5061728</v>
      </c>
      <c r="BI360" s="94">
        <f t="shared" si="281"/>
        <v>464.5061728</v>
      </c>
      <c r="BJ360" s="94">
        <f t="shared" si="281"/>
        <v>464.5061728</v>
      </c>
      <c r="BK360" s="94">
        <f t="shared" si="281"/>
        <v>464.5061728</v>
      </c>
      <c r="BL360" s="94">
        <f t="shared" si="281"/>
        <v>464.5061728</v>
      </c>
      <c r="BM360" s="94">
        <f t="shared" si="281"/>
        <v>464.5061728</v>
      </c>
      <c r="BN360" s="94">
        <f t="shared" si="281"/>
        <v>464.5061728</v>
      </c>
      <c r="BO360" s="94">
        <f t="shared" si="281"/>
        <v>464.5061728</v>
      </c>
      <c r="BP360" s="94">
        <f t="shared" si="281"/>
        <v>464.5061728</v>
      </c>
      <c r="BQ360" s="94">
        <f t="shared" si="281"/>
        <v>464.5061728</v>
      </c>
      <c r="BR360" s="94">
        <f t="shared" si="281"/>
        <v>464.5061728</v>
      </c>
      <c r="BS360" s="94">
        <f t="shared" si="281"/>
        <v>464.5061728</v>
      </c>
      <c r="BT360" s="94">
        <f t="shared" si="281"/>
        <v>464.5061728</v>
      </c>
      <c r="BU360" s="94">
        <f t="shared" si="281"/>
        <v>464.5061728</v>
      </c>
    </row>
    <row r="361" ht="15.75" customHeight="1">
      <c r="A361" s="91"/>
      <c r="B361" s="91"/>
      <c r="C361" s="91"/>
      <c r="D361" s="91"/>
      <c r="E361" s="91"/>
      <c r="F361" s="91"/>
      <c r="G361" s="91"/>
      <c r="H361" s="91"/>
      <c r="I361" s="91"/>
      <c r="J361" s="91"/>
      <c r="K361" s="91"/>
      <c r="L361" s="91"/>
      <c r="M361" s="91"/>
      <c r="N361" s="91"/>
      <c r="O361" s="91"/>
      <c r="P361" s="91"/>
      <c r="Q361" s="91"/>
      <c r="R361" s="91"/>
      <c r="S361" s="91"/>
      <c r="T361" s="91"/>
      <c r="U361" s="96">
        <v>44681.0</v>
      </c>
      <c r="AS361" s="94">
        <f t="shared" ref="AS361:BV361" si="282">+$AS$53*$U$59*$X$59</f>
        <v>464.5061728</v>
      </c>
      <c r="AT361" s="94">
        <f t="shared" si="282"/>
        <v>464.5061728</v>
      </c>
      <c r="AU361" s="94">
        <f t="shared" si="282"/>
        <v>464.5061728</v>
      </c>
      <c r="AV361" s="94">
        <f t="shared" si="282"/>
        <v>464.5061728</v>
      </c>
      <c r="AW361" s="94">
        <f t="shared" si="282"/>
        <v>464.5061728</v>
      </c>
      <c r="AX361" s="94">
        <f t="shared" si="282"/>
        <v>464.5061728</v>
      </c>
      <c r="AY361" s="94">
        <f t="shared" si="282"/>
        <v>464.5061728</v>
      </c>
      <c r="AZ361" s="94">
        <f t="shared" si="282"/>
        <v>464.5061728</v>
      </c>
      <c r="BA361" s="94">
        <f t="shared" si="282"/>
        <v>464.5061728</v>
      </c>
      <c r="BB361" s="94">
        <f t="shared" si="282"/>
        <v>464.5061728</v>
      </c>
      <c r="BC361" s="94">
        <f t="shared" si="282"/>
        <v>464.5061728</v>
      </c>
      <c r="BD361" s="94">
        <f t="shared" si="282"/>
        <v>464.5061728</v>
      </c>
      <c r="BE361" s="94">
        <f t="shared" si="282"/>
        <v>464.5061728</v>
      </c>
      <c r="BF361" s="94">
        <f t="shared" si="282"/>
        <v>464.5061728</v>
      </c>
      <c r="BG361" s="94">
        <f t="shared" si="282"/>
        <v>464.5061728</v>
      </c>
      <c r="BH361" s="94">
        <f t="shared" si="282"/>
        <v>464.5061728</v>
      </c>
      <c r="BI361" s="94">
        <f t="shared" si="282"/>
        <v>464.5061728</v>
      </c>
      <c r="BJ361" s="94">
        <f t="shared" si="282"/>
        <v>464.5061728</v>
      </c>
      <c r="BK361" s="94">
        <f t="shared" si="282"/>
        <v>464.5061728</v>
      </c>
      <c r="BL361" s="94">
        <f t="shared" si="282"/>
        <v>464.5061728</v>
      </c>
      <c r="BM361" s="94">
        <f t="shared" si="282"/>
        <v>464.5061728</v>
      </c>
      <c r="BN361" s="94">
        <f t="shared" si="282"/>
        <v>464.5061728</v>
      </c>
      <c r="BO361" s="94">
        <f t="shared" si="282"/>
        <v>464.5061728</v>
      </c>
      <c r="BP361" s="94">
        <f t="shared" si="282"/>
        <v>464.5061728</v>
      </c>
      <c r="BQ361" s="94">
        <f t="shared" si="282"/>
        <v>464.5061728</v>
      </c>
      <c r="BR361" s="94">
        <f t="shared" si="282"/>
        <v>464.5061728</v>
      </c>
      <c r="BS361" s="94">
        <f t="shared" si="282"/>
        <v>464.5061728</v>
      </c>
      <c r="BT361" s="94">
        <f t="shared" si="282"/>
        <v>464.5061728</v>
      </c>
      <c r="BU361" s="94">
        <f t="shared" si="282"/>
        <v>464.5061728</v>
      </c>
      <c r="BV361" s="94">
        <f t="shared" si="282"/>
        <v>464.5061728</v>
      </c>
    </row>
    <row r="362" ht="15.75" customHeight="1">
      <c r="A362" s="91"/>
      <c r="B362" s="91"/>
      <c r="C362" s="91"/>
      <c r="D362" s="91"/>
      <c r="E362" s="91"/>
      <c r="F362" s="91"/>
      <c r="G362" s="91"/>
      <c r="H362" s="91"/>
      <c r="I362" s="91"/>
      <c r="J362" s="91"/>
      <c r="K362" s="91"/>
      <c r="L362" s="91"/>
      <c r="M362" s="91"/>
      <c r="N362" s="91"/>
      <c r="O362" s="91"/>
      <c r="P362" s="91"/>
      <c r="Q362" s="91"/>
      <c r="R362" s="91"/>
      <c r="S362" s="91"/>
      <c r="T362" s="91"/>
      <c r="U362" s="96">
        <v>44712.0</v>
      </c>
      <c r="AT362" s="94">
        <f t="shared" ref="AT362:BW362" si="283">+$AT$53*$U$59*$X$59</f>
        <v>464.5061728</v>
      </c>
      <c r="AU362" s="94">
        <f t="shared" si="283"/>
        <v>464.5061728</v>
      </c>
      <c r="AV362" s="94">
        <f t="shared" si="283"/>
        <v>464.5061728</v>
      </c>
      <c r="AW362" s="94">
        <f t="shared" si="283"/>
        <v>464.5061728</v>
      </c>
      <c r="AX362" s="94">
        <f t="shared" si="283"/>
        <v>464.5061728</v>
      </c>
      <c r="AY362" s="94">
        <f t="shared" si="283"/>
        <v>464.5061728</v>
      </c>
      <c r="AZ362" s="94">
        <f t="shared" si="283"/>
        <v>464.5061728</v>
      </c>
      <c r="BA362" s="94">
        <f t="shared" si="283"/>
        <v>464.5061728</v>
      </c>
      <c r="BB362" s="94">
        <f t="shared" si="283"/>
        <v>464.5061728</v>
      </c>
      <c r="BC362" s="94">
        <f t="shared" si="283"/>
        <v>464.5061728</v>
      </c>
      <c r="BD362" s="94">
        <f t="shared" si="283"/>
        <v>464.5061728</v>
      </c>
      <c r="BE362" s="94">
        <f t="shared" si="283"/>
        <v>464.5061728</v>
      </c>
      <c r="BF362" s="94">
        <f t="shared" si="283"/>
        <v>464.5061728</v>
      </c>
      <c r="BG362" s="94">
        <f t="shared" si="283"/>
        <v>464.5061728</v>
      </c>
      <c r="BH362" s="94">
        <f t="shared" si="283"/>
        <v>464.5061728</v>
      </c>
      <c r="BI362" s="94">
        <f t="shared" si="283"/>
        <v>464.5061728</v>
      </c>
      <c r="BJ362" s="94">
        <f t="shared" si="283"/>
        <v>464.5061728</v>
      </c>
      <c r="BK362" s="94">
        <f t="shared" si="283"/>
        <v>464.5061728</v>
      </c>
      <c r="BL362" s="94">
        <f t="shared" si="283"/>
        <v>464.5061728</v>
      </c>
      <c r="BM362" s="94">
        <f t="shared" si="283"/>
        <v>464.5061728</v>
      </c>
      <c r="BN362" s="94">
        <f t="shared" si="283"/>
        <v>464.5061728</v>
      </c>
      <c r="BO362" s="94">
        <f t="shared" si="283"/>
        <v>464.5061728</v>
      </c>
      <c r="BP362" s="94">
        <f t="shared" si="283"/>
        <v>464.5061728</v>
      </c>
      <c r="BQ362" s="94">
        <f t="shared" si="283"/>
        <v>464.5061728</v>
      </c>
      <c r="BR362" s="94">
        <f t="shared" si="283"/>
        <v>464.5061728</v>
      </c>
      <c r="BS362" s="94">
        <f t="shared" si="283"/>
        <v>464.5061728</v>
      </c>
      <c r="BT362" s="94">
        <f t="shared" si="283"/>
        <v>464.5061728</v>
      </c>
      <c r="BU362" s="94">
        <f t="shared" si="283"/>
        <v>464.5061728</v>
      </c>
      <c r="BV362" s="94">
        <f t="shared" si="283"/>
        <v>464.5061728</v>
      </c>
      <c r="BW362" s="94">
        <f t="shared" si="283"/>
        <v>464.5061728</v>
      </c>
    </row>
    <row r="363" ht="15.75" customHeight="1">
      <c r="A363" s="91"/>
      <c r="B363" s="91"/>
      <c r="C363" s="91"/>
      <c r="D363" s="91"/>
      <c r="E363" s="91"/>
      <c r="F363" s="91"/>
      <c r="G363" s="91"/>
      <c r="H363" s="91"/>
      <c r="I363" s="91"/>
      <c r="J363" s="91"/>
      <c r="K363" s="91"/>
      <c r="L363" s="91"/>
      <c r="M363" s="91"/>
      <c r="N363" s="91"/>
      <c r="O363" s="91"/>
      <c r="P363" s="91"/>
      <c r="Q363" s="91"/>
      <c r="R363" s="91"/>
      <c r="S363" s="91"/>
      <c r="T363" s="91"/>
      <c r="U363" s="96">
        <v>44742.0</v>
      </c>
      <c r="AU363" s="94">
        <f t="shared" ref="AU363:BX363" si="284">+$AU$53*$U$59*$X$59</f>
        <v>232.2530864</v>
      </c>
      <c r="AV363" s="94">
        <f t="shared" si="284"/>
        <v>232.2530864</v>
      </c>
      <c r="AW363" s="94">
        <f t="shared" si="284"/>
        <v>232.2530864</v>
      </c>
      <c r="AX363" s="94">
        <f t="shared" si="284"/>
        <v>232.2530864</v>
      </c>
      <c r="AY363" s="94">
        <f t="shared" si="284"/>
        <v>232.2530864</v>
      </c>
      <c r="AZ363" s="94">
        <f t="shared" si="284"/>
        <v>232.2530864</v>
      </c>
      <c r="BA363" s="94">
        <f t="shared" si="284"/>
        <v>232.2530864</v>
      </c>
      <c r="BB363" s="94">
        <f t="shared" si="284"/>
        <v>232.2530864</v>
      </c>
      <c r="BC363" s="94">
        <f t="shared" si="284"/>
        <v>232.2530864</v>
      </c>
      <c r="BD363" s="94">
        <f t="shared" si="284"/>
        <v>232.2530864</v>
      </c>
      <c r="BE363" s="94">
        <f t="shared" si="284"/>
        <v>232.2530864</v>
      </c>
      <c r="BF363" s="94">
        <f t="shared" si="284"/>
        <v>232.2530864</v>
      </c>
      <c r="BG363" s="94">
        <f t="shared" si="284"/>
        <v>232.2530864</v>
      </c>
      <c r="BH363" s="94">
        <f t="shared" si="284"/>
        <v>232.2530864</v>
      </c>
      <c r="BI363" s="94">
        <f t="shared" si="284"/>
        <v>232.2530864</v>
      </c>
      <c r="BJ363" s="94">
        <f t="shared" si="284"/>
        <v>232.2530864</v>
      </c>
      <c r="BK363" s="94">
        <f t="shared" si="284"/>
        <v>232.2530864</v>
      </c>
      <c r="BL363" s="94">
        <f t="shared" si="284"/>
        <v>232.2530864</v>
      </c>
      <c r="BM363" s="94">
        <f t="shared" si="284"/>
        <v>232.2530864</v>
      </c>
      <c r="BN363" s="94">
        <f t="shared" si="284"/>
        <v>232.2530864</v>
      </c>
      <c r="BO363" s="94">
        <f t="shared" si="284"/>
        <v>232.2530864</v>
      </c>
      <c r="BP363" s="94">
        <f t="shared" si="284"/>
        <v>232.2530864</v>
      </c>
      <c r="BQ363" s="94">
        <f t="shared" si="284"/>
        <v>232.2530864</v>
      </c>
      <c r="BR363" s="94">
        <f t="shared" si="284"/>
        <v>232.2530864</v>
      </c>
      <c r="BS363" s="94">
        <f t="shared" si="284"/>
        <v>232.2530864</v>
      </c>
      <c r="BT363" s="94">
        <f t="shared" si="284"/>
        <v>232.2530864</v>
      </c>
      <c r="BU363" s="94">
        <f t="shared" si="284"/>
        <v>232.2530864</v>
      </c>
      <c r="BV363" s="94">
        <f t="shared" si="284"/>
        <v>232.2530864</v>
      </c>
      <c r="BW363" s="94">
        <f t="shared" si="284"/>
        <v>232.2530864</v>
      </c>
      <c r="BX363" s="94">
        <f t="shared" si="284"/>
        <v>232.2530864</v>
      </c>
    </row>
    <row r="364" ht="15.75" customHeight="1">
      <c r="A364" s="91"/>
      <c r="B364" s="91"/>
      <c r="C364" s="91"/>
      <c r="D364" s="91"/>
      <c r="E364" s="91"/>
      <c r="F364" s="91"/>
      <c r="G364" s="91"/>
      <c r="H364" s="91"/>
      <c r="I364" s="91"/>
      <c r="J364" s="91"/>
      <c r="K364" s="91"/>
      <c r="L364" s="91"/>
      <c r="M364" s="91"/>
      <c r="N364" s="91"/>
      <c r="O364" s="91"/>
      <c r="P364" s="91"/>
      <c r="Q364" s="91"/>
      <c r="R364" s="91"/>
      <c r="S364" s="91"/>
      <c r="T364" s="91"/>
      <c r="U364" s="96">
        <v>44773.0</v>
      </c>
      <c r="AV364" s="94">
        <f t="shared" ref="AV364:BY364" si="285">+$AV$53*$U$59*$X$59</f>
        <v>232.2530864</v>
      </c>
      <c r="AW364" s="94">
        <f t="shared" si="285"/>
        <v>232.2530864</v>
      </c>
      <c r="AX364" s="94">
        <f t="shared" si="285"/>
        <v>232.2530864</v>
      </c>
      <c r="AY364" s="94">
        <f t="shared" si="285"/>
        <v>232.2530864</v>
      </c>
      <c r="AZ364" s="94">
        <f t="shared" si="285"/>
        <v>232.2530864</v>
      </c>
      <c r="BA364" s="94">
        <f t="shared" si="285"/>
        <v>232.2530864</v>
      </c>
      <c r="BB364" s="94">
        <f t="shared" si="285"/>
        <v>232.2530864</v>
      </c>
      <c r="BC364" s="94">
        <f t="shared" si="285"/>
        <v>232.2530864</v>
      </c>
      <c r="BD364" s="94">
        <f t="shared" si="285"/>
        <v>232.2530864</v>
      </c>
      <c r="BE364" s="94">
        <f t="shared" si="285"/>
        <v>232.2530864</v>
      </c>
      <c r="BF364" s="94">
        <f t="shared" si="285"/>
        <v>232.2530864</v>
      </c>
      <c r="BG364" s="94">
        <f t="shared" si="285"/>
        <v>232.2530864</v>
      </c>
      <c r="BH364" s="94">
        <f t="shared" si="285"/>
        <v>232.2530864</v>
      </c>
      <c r="BI364" s="94">
        <f t="shared" si="285"/>
        <v>232.2530864</v>
      </c>
      <c r="BJ364" s="94">
        <f t="shared" si="285"/>
        <v>232.2530864</v>
      </c>
      <c r="BK364" s="94">
        <f t="shared" si="285"/>
        <v>232.2530864</v>
      </c>
      <c r="BL364" s="94">
        <f t="shared" si="285"/>
        <v>232.2530864</v>
      </c>
      <c r="BM364" s="94">
        <f t="shared" si="285"/>
        <v>232.2530864</v>
      </c>
      <c r="BN364" s="94">
        <f t="shared" si="285"/>
        <v>232.2530864</v>
      </c>
      <c r="BO364" s="94">
        <f t="shared" si="285"/>
        <v>232.2530864</v>
      </c>
      <c r="BP364" s="94">
        <f t="shared" si="285"/>
        <v>232.2530864</v>
      </c>
      <c r="BQ364" s="94">
        <f t="shared" si="285"/>
        <v>232.2530864</v>
      </c>
      <c r="BR364" s="94">
        <f t="shared" si="285"/>
        <v>232.2530864</v>
      </c>
      <c r="BS364" s="94">
        <f t="shared" si="285"/>
        <v>232.2530864</v>
      </c>
      <c r="BT364" s="94">
        <f t="shared" si="285"/>
        <v>232.2530864</v>
      </c>
      <c r="BU364" s="94">
        <f t="shared" si="285"/>
        <v>232.2530864</v>
      </c>
      <c r="BV364" s="94">
        <f t="shared" si="285"/>
        <v>232.2530864</v>
      </c>
      <c r="BW364" s="94">
        <f t="shared" si="285"/>
        <v>232.2530864</v>
      </c>
      <c r="BX364" s="94">
        <f t="shared" si="285"/>
        <v>232.2530864</v>
      </c>
      <c r="BY364" s="94">
        <f t="shared" si="285"/>
        <v>232.2530864</v>
      </c>
    </row>
    <row r="365" ht="15.75" customHeight="1">
      <c r="A365" s="91"/>
      <c r="B365" s="91"/>
      <c r="C365" s="91"/>
      <c r="D365" s="91"/>
      <c r="E365" s="91"/>
      <c r="F365" s="91"/>
      <c r="G365" s="91"/>
      <c r="H365" s="91"/>
      <c r="I365" s="91"/>
      <c r="J365" s="91"/>
      <c r="K365" s="91"/>
      <c r="L365" s="91"/>
      <c r="M365" s="91"/>
      <c r="N365" s="91"/>
      <c r="O365" s="91"/>
      <c r="P365" s="91"/>
      <c r="Q365" s="91"/>
      <c r="R365" s="91"/>
      <c r="S365" s="91"/>
      <c r="T365" s="91"/>
      <c r="U365" s="96">
        <v>44804.0</v>
      </c>
      <c r="AW365" s="94">
        <f t="shared" ref="AW365:BZ365" si="286">+$AW$53*$U$59*$X$59</f>
        <v>371.6049383</v>
      </c>
      <c r="AX365" s="94">
        <f t="shared" si="286"/>
        <v>371.6049383</v>
      </c>
      <c r="AY365" s="94">
        <f t="shared" si="286"/>
        <v>371.6049383</v>
      </c>
      <c r="AZ365" s="94">
        <f t="shared" si="286"/>
        <v>371.6049383</v>
      </c>
      <c r="BA365" s="94">
        <f t="shared" si="286"/>
        <v>371.6049383</v>
      </c>
      <c r="BB365" s="94">
        <f t="shared" si="286"/>
        <v>371.6049383</v>
      </c>
      <c r="BC365" s="94">
        <f t="shared" si="286"/>
        <v>371.6049383</v>
      </c>
      <c r="BD365" s="94">
        <f t="shared" si="286"/>
        <v>371.6049383</v>
      </c>
      <c r="BE365" s="94">
        <f t="shared" si="286"/>
        <v>371.6049383</v>
      </c>
      <c r="BF365" s="94">
        <f t="shared" si="286"/>
        <v>371.6049383</v>
      </c>
      <c r="BG365" s="94">
        <f t="shared" si="286"/>
        <v>371.6049383</v>
      </c>
      <c r="BH365" s="94">
        <f t="shared" si="286"/>
        <v>371.6049383</v>
      </c>
      <c r="BI365" s="94">
        <f t="shared" si="286"/>
        <v>371.6049383</v>
      </c>
      <c r="BJ365" s="94">
        <f t="shared" si="286"/>
        <v>371.6049383</v>
      </c>
      <c r="BK365" s="94">
        <f t="shared" si="286"/>
        <v>371.6049383</v>
      </c>
      <c r="BL365" s="94">
        <f t="shared" si="286"/>
        <v>371.6049383</v>
      </c>
      <c r="BM365" s="94">
        <f t="shared" si="286"/>
        <v>371.6049383</v>
      </c>
      <c r="BN365" s="94">
        <f t="shared" si="286"/>
        <v>371.6049383</v>
      </c>
      <c r="BO365" s="94">
        <f t="shared" si="286"/>
        <v>371.6049383</v>
      </c>
      <c r="BP365" s="94">
        <f t="shared" si="286"/>
        <v>371.6049383</v>
      </c>
      <c r="BQ365" s="94">
        <f t="shared" si="286"/>
        <v>371.6049383</v>
      </c>
      <c r="BR365" s="94">
        <f t="shared" si="286"/>
        <v>371.6049383</v>
      </c>
      <c r="BS365" s="94">
        <f t="shared" si="286"/>
        <v>371.6049383</v>
      </c>
      <c r="BT365" s="94">
        <f t="shared" si="286"/>
        <v>371.6049383</v>
      </c>
      <c r="BU365" s="94">
        <f t="shared" si="286"/>
        <v>371.6049383</v>
      </c>
      <c r="BV365" s="94">
        <f t="shared" si="286"/>
        <v>371.6049383</v>
      </c>
      <c r="BW365" s="94">
        <f t="shared" si="286"/>
        <v>371.6049383</v>
      </c>
      <c r="BX365" s="94">
        <f t="shared" si="286"/>
        <v>371.6049383</v>
      </c>
      <c r="BY365" s="94">
        <f t="shared" si="286"/>
        <v>371.6049383</v>
      </c>
      <c r="BZ365" s="94">
        <f t="shared" si="286"/>
        <v>371.6049383</v>
      </c>
    </row>
    <row r="366" ht="15.75" customHeight="1">
      <c r="A366" s="91"/>
      <c r="B366" s="91"/>
      <c r="C366" s="91"/>
      <c r="D366" s="91"/>
      <c r="E366" s="91"/>
      <c r="F366" s="91"/>
      <c r="G366" s="91"/>
      <c r="H366" s="91"/>
      <c r="I366" s="91"/>
      <c r="J366" s="91"/>
      <c r="K366" s="91"/>
      <c r="L366" s="91"/>
      <c r="M366" s="91"/>
      <c r="N366" s="91"/>
      <c r="O366" s="91"/>
      <c r="P366" s="91"/>
      <c r="Q366" s="91"/>
      <c r="R366" s="91"/>
      <c r="S366" s="91"/>
      <c r="T366" s="91"/>
      <c r="U366" s="96">
        <v>44834.0</v>
      </c>
      <c r="AX366" s="94">
        <f t="shared" ref="AX366:CA366" si="287">+$AX$53*$U$59*$X$59</f>
        <v>696.7592593</v>
      </c>
      <c r="AY366" s="94">
        <f t="shared" si="287"/>
        <v>696.7592593</v>
      </c>
      <c r="AZ366" s="94">
        <f t="shared" si="287"/>
        <v>696.7592593</v>
      </c>
      <c r="BA366" s="94">
        <f t="shared" si="287"/>
        <v>696.7592593</v>
      </c>
      <c r="BB366" s="94">
        <f t="shared" si="287"/>
        <v>696.7592593</v>
      </c>
      <c r="BC366" s="94">
        <f t="shared" si="287"/>
        <v>696.7592593</v>
      </c>
      <c r="BD366" s="94">
        <f t="shared" si="287"/>
        <v>696.7592593</v>
      </c>
      <c r="BE366" s="94">
        <f t="shared" si="287"/>
        <v>696.7592593</v>
      </c>
      <c r="BF366" s="94">
        <f t="shared" si="287"/>
        <v>696.7592593</v>
      </c>
      <c r="BG366" s="94">
        <f t="shared" si="287"/>
        <v>696.7592593</v>
      </c>
      <c r="BH366" s="94">
        <f t="shared" si="287"/>
        <v>696.7592593</v>
      </c>
      <c r="BI366" s="94">
        <f t="shared" si="287"/>
        <v>696.7592593</v>
      </c>
      <c r="BJ366" s="94">
        <f t="shared" si="287"/>
        <v>696.7592593</v>
      </c>
      <c r="BK366" s="94">
        <f t="shared" si="287"/>
        <v>696.7592593</v>
      </c>
      <c r="BL366" s="94">
        <f t="shared" si="287"/>
        <v>696.7592593</v>
      </c>
      <c r="BM366" s="94">
        <f t="shared" si="287"/>
        <v>696.7592593</v>
      </c>
      <c r="BN366" s="94">
        <f t="shared" si="287"/>
        <v>696.7592593</v>
      </c>
      <c r="BO366" s="94">
        <f t="shared" si="287"/>
        <v>696.7592593</v>
      </c>
      <c r="BP366" s="94">
        <f t="shared" si="287"/>
        <v>696.7592593</v>
      </c>
      <c r="BQ366" s="94">
        <f t="shared" si="287"/>
        <v>696.7592593</v>
      </c>
      <c r="BR366" s="94">
        <f t="shared" si="287"/>
        <v>696.7592593</v>
      </c>
      <c r="BS366" s="94">
        <f t="shared" si="287"/>
        <v>696.7592593</v>
      </c>
      <c r="BT366" s="94">
        <f t="shared" si="287"/>
        <v>696.7592593</v>
      </c>
      <c r="BU366" s="94">
        <f t="shared" si="287"/>
        <v>696.7592593</v>
      </c>
      <c r="BV366" s="94">
        <f t="shared" si="287"/>
        <v>696.7592593</v>
      </c>
      <c r="BW366" s="94">
        <f t="shared" si="287"/>
        <v>696.7592593</v>
      </c>
      <c r="BX366" s="94">
        <f t="shared" si="287"/>
        <v>696.7592593</v>
      </c>
      <c r="BY366" s="94">
        <f t="shared" si="287"/>
        <v>696.7592593</v>
      </c>
      <c r="BZ366" s="94">
        <f t="shared" si="287"/>
        <v>696.7592593</v>
      </c>
      <c r="CA366" s="94">
        <f t="shared" si="287"/>
        <v>696.7592593</v>
      </c>
    </row>
    <row r="367" ht="15.75" customHeight="1">
      <c r="A367" s="91"/>
      <c r="B367" s="91"/>
      <c r="C367" s="91"/>
      <c r="D367" s="91"/>
      <c r="E367" s="91"/>
      <c r="F367" s="91"/>
      <c r="G367" s="91"/>
      <c r="H367" s="91"/>
      <c r="I367" s="91"/>
      <c r="J367" s="91"/>
      <c r="K367" s="91"/>
      <c r="L367" s="91"/>
      <c r="M367" s="91"/>
      <c r="N367" s="91"/>
      <c r="O367" s="91"/>
      <c r="P367" s="91"/>
      <c r="Q367" s="91"/>
      <c r="R367" s="91"/>
      <c r="S367" s="91"/>
      <c r="T367" s="91"/>
      <c r="U367" s="96">
        <v>44865.0</v>
      </c>
      <c r="AY367" s="94">
        <f t="shared" ref="AY367:CB367" si="288">+$AY$53*$U$59*$X$59</f>
        <v>696.7592593</v>
      </c>
      <c r="AZ367" s="94">
        <f t="shared" si="288"/>
        <v>696.7592593</v>
      </c>
      <c r="BA367" s="94">
        <f t="shared" si="288"/>
        <v>696.7592593</v>
      </c>
      <c r="BB367" s="94">
        <f t="shared" si="288"/>
        <v>696.7592593</v>
      </c>
      <c r="BC367" s="94">
        <f t="shared" si="288"/>
        <v>696.7592593</v>
      </c>
      <c r="BD367" s="94">
        <f t="shared" si="288"/>
        <v>696.7592593</v>
      </c>
      <c r="BE367" s="94">
        <f t="shared" si="288"/>
        <v>696.7592593</v>
      </c>
      <c r="BF367" s="94">
        <f t="shared" si="288"/>
        <v>696.7592593</v>
      </c>
      <c r="BG367" s="94">
        <f t="shared" si="288"/>
        <v>696.7592593</v>
      </c>
      <c r="BH367" s="94">
        <f t="shared" si="288"/>
        <v>696.7592593</v>
      </c>
      <c r="BI367" s="94">
        <f t="shared" si="288"/>
        <v>696.7592593</v>
      </c>
      <c r="BJ367" s="94">
        <f t="shared" si="288"/>
        <v>696.7592593</v>
      </c>
      <c r="BK367" s="94">
        <f t="shared" si="288"/>
        <v>696.7592593</v>
      </c>
      <c r="BL367" s="94">
        <f t="shared" si="288"/>
        <v>696.7592593</v>
      </c>
      <c r="BM367" s="94">
        <f t="shared" si="288"/>
        <v>696.7592593</v>
      </c>
      <c r="BN367" s="94">
        <f t="shared" si="288"/>
        <v>696.7592593</v>
      </c>
      <c r="BO367" s="94">
        <f t="shared" si="288"/>
        <v>696.7592593</v>
      </c>
      <c r="BP367" s="94">
        <f t="shared" si="288"/>
        <v>696.7592593</v>
      </c>
      <c r="BQ367" s="94">
        <f t="shared" si="288"/>
        <v>696.7592593</v>
      </c>
      <c r="BR367" s="94">
        <f t="shared" si="288"/>
        <v>696.7592593</v>
      </c>
      <c r="BS367" s="94">
        <f t="shared" si="288"/>
        <v>696.7592593</v>
      </c>
      <c r="BT367" s="94">
        <f t="shared" si="288"/>
        <v>696.7592593</v>
      </c>
      <c r="BU367" s="94">
        <f t="shared" si="288"/>
        <v>696.7592593</v>
      </c>
      <c r="BV367" s="94">
        <f t="shared" si="288"/>
        <v>696.7592593</v>
      </c>
      <c r="BW367" s="94">
        <f t="shared" si="288"/>
        <v>696.7592593</v>
      </c>
      <c r="BX367" s="94">
        <f t="shared" si="288"/>
        <v>696.7592593</v>
      </c>
      <c r="BY367" s="94">
        <f t="shared" si="288"/>
        <v>696.7592593</v>
      </c>
      <c r="BZ367" s="94">
        <f t="shared" si="288"/>
        <v>696.7592593</v>
      </c>
      <c r="CA367" s="94">
        <f t="shared" si="288"/>
        <v>696.7592593</v>
      </c>
      <c r="CB367" s="94">
        <f t="shared" si="288"/>
        <v>696.7592593</v>
      </c>
    </row>
    <row r="368" ht="15.75" customHeight="1">
      <c r="A368" s="91"/>
      <c r="B368" s="91"/>
      <c r="C368" s="91"/>
      <c r="D368" s="91"/>
      <c r="E368" s="91"/>
      <c r="F368" s="91"/>
      <c r="G368" s="91"/>
      <c r="H368" s="91"/>
      <c r="I368" s="91"/>
      <c r="J368" s="91"/>
      <c r="K368" s="91"/>
      <c r="L368" s="91"/>
      <c r="M368" s="91"/>
      <c r="N368" s="91"/>
      <c r="O368" s="91"/>
      <c r="P368" s="91"/>
      <c r="Q368" s="91"/>
      <c r="R368" s="91"/>
      <c r="S368" s="91"/>
      <c r="T368" s="91"/>
      <c r="U368" s="96">
        <v>44895.0</v>
      </c>
      <c r="AZ368" s="94">
        <f t="shared" ref="AZ368:CC368" si="289">+$AZ$53*$U$59*$X$59</f>
        <v>358.3333333</v>
      </c>
      <c r="BA368" s="94">
        <f t="shared" si="289"/>
        <v>358.3333333</v>
      </c>
      <c r="BB368" s="94">
        <f t="shared" si="289"/>
        <v>358.3333333</v>
      </c>
      <c r="BC368" s="94">
        <f t="shared" si="289"/>
        <v>358.3333333</v>
      </c>
      <c r="BD368" s="94">
        <f t="shared" si="289"/>
        <v>358.3333333</v>
      </c>
      <c r="BE368" s="94">
        <f t="shared" si="289"/>
        <v>358.3333333</v>
      </c>
      <c r="BF368" s="94">
        <f t="shared" si="289"/>
        <v>358.3333333</v>
      </c>
      <c r="BG368" s="94">
        <f t="shared" si="289"/>
        <v>358.3333333</v>
      </c>
      <c r="BH368" s="94">
        <f t="shared" si="289"/>
        <v>358.3333333</v>
      </c>
      <c r="BI368" s="94">
        <f t="shared" si="289"/>
        <v>358.3333333</v>
      </c>
      <c r="BJ368" s="94">
        <f t="shared" si="289"/>
        <v>358.3333333</v>
      </c>
      <c r="BK368" s="94">
        <f t="shared" si="289"/>
        <v>358.3333333</v>
      </c>
      <c r="BL368" s="94">
        <f t="shared" si="289"/>
        <v>358.3333333</v>
      </c>
      <c r="BM368" s="94">
        <f t="shared" si="289"/>
        <v>358.3333333</v>
      </c>
      <c r="BN368" s="94">
        <f t="shared" si="289"/>
        <v>358.3333333</v>
      </c>
      <c r="BO368" s="94">
        <f t="shared" si="289"/>
        <v>358.3333333</v>
      </c>
      <c r="BP368" s="94">
        <f t="shared" si="289"/>
        <v>358.3333333</v>
      </c>
      <c r="BQ368" s="94">
        <f t="shared" si="289"/>
        <v>358.3333333</v>
      </c>
      <c r="BR368" s="94">
        <f t="shared" si="289"/>
        <v>358.3333333</v>
      </c>
      <c r="BS368" s="94">
        <f t="shared" si="289"/>
        <v>358.3333333</v>
      </c>
      <c r="BT368" s="94">
        <f t="shared" si="289"/>
        <v>358.3333333</v>
      </c>
      <c r="BU368" s="94">
        <f t="shared" si="289"/>
        <v>358.3333333</v>
      </c>
      <c r="BV368" s="94">
        <f t="shared" si="289"/>
        <v>358.3333333</v>
      </c>
      <c r="BW368" s="94">
        <f t="shared" si="289"/>
        <v>358.3333333</v>
      </c>
      <c r="BX368" s="94">
        <f t="shared" si="289"/>
        <v>358.3333333</v>
      </c>
      <c r="BY368" s="94">
        <f t="shared" si="289"/>
        <v>358.3333333</v>
      </c>
      <c r="BZ368" s="94">
        <f t="shared" si="289"/>
        <v>358.3333333</v>
      </c>
      <c r="CA368" s="94">
        <f t="shared" si="289"/>
        <v>358.3333333</v>
      </c>
      <c r="CB368" s="94">
        <f t="shared" si="289"/>
        <v>358.3333333</v>
      </c>
      <c r="CC368" s="94">
        <f t="shared" si="289"/>
        <v>358.3333333</v>
      </c>
    </row>
    <row r="369" ht="15.75" customHeight="1">
      <c r="A369" s="91"/>
      <c r="B369" s="91"/>
      <c r="C369" s="91"/>
      <c r="D369" s="91"/>
      <c r="E369" s="91"/>
      <c r="F369" s="91"/>
      <c r="G369" s="91"/>
      <c r="H369" s="91"/>
      <c r="I369" s="91"/>
      <c r="J369" s="91"/>
      <c r="K369" s="91"/>
      <c r="L369" s="91"/>
      <c r="M369" s="91"/>
      <c r="N369" s="91"/>
      <c r="O369" s="91"/>
      <c r="P369" s="91"/>
      <c r="Q369" s="91"/>
      <c r="R369" s="91"/>
      <c r="S369" s="91"/>
      <c r="T369" s="91"/>
      <c r="U369" s="96">
        <v>44926.0</v>
      </c>
      <c r="BA369" s="94">
        <f t="shared" ref="BA369:CD369" si="290">+$BA$53*$U$59*$X$59</f>
        <v>358.3333333</v>
      </c>
      <c r="BB369" s="94">
        <f t="shared" si="290"/>
        <v>358.3333333</v>
      </c>
      <c r="BC369" s="94">
        <f t="shared" si="290"/>
        <v>358.3333333</v>
      </c>
      <c r="BD369" s="94">
        <f t="shared" si="290"/>
        <v>358.3333333</v>
      </c>
      <c r="BE369" s="94">
        <f t="shared" si="290"/>
        <v>358.3333333</v>
      </c>
      <c r="BF369" s="94">
        <f t="shared" si="290"/>
        <v>358.3333333</v>
      </c>
      <c r="BG369" s="94">
        <f t="shared" si="290"/>
        <v>358.3333333</v>
      </c>
      <c r="BH369" s="94">
        <f t="shared" si="290"/>
        <v>358.3333333</v>
      </c>
      <c r="BI369" s="94">
        <f t="shared" si="290"/>
        <v>358.3333333</v>
      </c>
      <c r="BJ369" s="94">
        <f t="shared" si="290"/>
        <v>358.3333333</v>
      </c>
      <c r="BK369" s="94">
        <f t="shared" si="290"/>
        <v>358.3333333</v>
      </c>
      <c r="BL369" s="94">
        <f t="shared" si="290"/>
        <v>358.3333333</v>
      </c>
      <c r="BM369" s="94">
        <f t="shared" si="290"/>
        <v>358.3333333</v>
      </c>
      <c r="BN369" s="94">
        <f t="shared" si="290"/>
        <v>358.3333333</v>
      </c>
      <c r="BO369" s="94">
        <f t="shared" si="290"/>
        <v>358.3333333</v>
      </c>
      <c r="BP369" s="94">
        <f t="shared" si="290"/>
        <v>358.3333333</v>
      </c>
      <c r="BQ369" s="94">
        <f t="shared" si="290"/>
        <v>358.3333333</v>
      </c>
      <c r="BR369" s="94">
        <f t="shared" si="290"/>
        <v>358.3333333</v>
      </c>
      <c r="BS369" s="94">
        <f t="shared" si="290"/>
        <v>358.3333333</v>
      </c>
      <c r="BT369" s="94">
        <f t="shared" si="290"/>
        <v>358.3333333</v>
      </c>
      <c r="BU369" s="94">
        <f t="shared" si="290"/>
        <v>358.3333333</v>
      </c>
      <c r="BV369" s="94">
        <f t="shared" si="290"/>
        <v>358.3333333</v>
      </c>
      <c r="BW369" s="94">
        <f t="shared" si="290"/>
        <v>358.3333333</v>
      </c>
      <c r="BX369" s="94">
        <f t="shared" si="290"/>
        <v>358.3333333</v>
      </c>
      <c r="BY369" s="94">
        <f t="shared" si="290"/>
        <v>358.3333333</v>
      </c>
      <c r="BZ369" s="94">
        <f t="shared" si="290"/>
        <v>358.3333333</v>
      </c>
      <c r="CA369" s="94">
        <f t="shared" si="290"/>
        <v>358.3333333</v>
      </c>
      <c r="CB369" s="94">
        <f t="shared" si="290"/>
        <v>358.3333333</v>
      </c>
      <c r="CC369" s="94">
        <f t="shared" si="290"/>
        <v>358.3333333</v>
      </c>
      <c r="CD369" s="94">
        <f t="shared" si="290"/>
        <v>358.3333333</v>
      </c>
    </row>
    <row r="370" ht="15.75" customHeight="1">
      <c r="A370" s="91"/>
      <c r="B370" s="91"/>
      <c r="C370" s="91"/>
      <c r="D370" s="91"/>
      <c r="E370" s="91"/>
      <c r="F370" s="91"/>
      <c r="G370" s="91"/>
      <c r="H370" s="91"/>
      <c r="I370" s="91"/>
      <c r="J370" s="91"/>
      <c r="K370" s="91"/>
      <c r="L370" s="91"/>
      <c r="M370" s="91"/>
      <c r="N370" s="91"/>
      <c r="O370" s="91"/>
      <c r="P370" s="91"/>
      <c r="Q370" s="91"/>
      <c r="R370" s="91"/>
      <c r="S370" s="91"/>
      <c r="T370" s="91"/>
      <c r="U370" s="96">
        <v>44957.0</v>
      </c>
      <c r="BB370" s="94">
        <f t="shared" ref="BB370:CE370" si="291">+$BB$53*$U$59*$X$59</f>
        <v>313.5416667</v>
      </c>
      <c r="BC370" s="94">
        <f t="shared" si="291"/>
        <v>313.5416667</v>
      </c>
      <c r="BD370" s="94">
        <f t="shared" si="291"/>
        <v>313.5416667</v>
      </c>
      <c r="BE370" s="94">
        <f t="shared" si="291"/>
        <v>313.5416667</v>
      </c>
      <c r="BF370" s="94">
        <f t="shared" si="291"/>
        <v>313.5416667</v>
      </c>
      <c r="BG370" s="94">
        <f t="shared" si="291"/>
        <v>313.5416667</v>
      </c>
      <c r="BH370" s="94">
        <f t="shared" si="291"/>
        <v>313.5416667</v>
      </c>
      <c r="BI370" s="94">
        <f t="shared" si="291"/>
        <v>313.5416667</v>
      </c>
      <c r="BJ370" s="94">
        <f t="shared" si="291"/>
        <v>313.5416667</v>
      </c>
      <c r="BK370" s="94">
        <f t="shared" si="291"/>
        <v>313.5416667</v>
      </c>
      <c r="BL370" s="94">
        <f t="shared" si="291"/>
        <v>313.5416667</v>
      </c>
      <c r="BM370" s="94">
        <f t="shared" si="291"/>
        <v>313.5416667</v>
      </c>
      <c r="BN370" s="94">
        <f t="shared" si="291"/>
        <v>313.5416667</v>
      </c>
      <c r="BO370" s="94">
        <f t="shared" si="291"/>
        <v>313.5416667</v>
      </c>
      <c r="BP370" s="94">
        <f t="shared" si="291"/>
        <v>313.5416667</v>
      </c>
      <c r="BQ370" s="94">
        <f t="shared" si="291"/>
        <v>313.5416667</v>
      </c>
      <c r="BR370" s="94">
        <f t="shared" si="291"/>
        <v>313.5416667</v>
      </c>
      <c r="BS370" s="94">
        <f t="shared" si="291"/>
        <v>313.5416667</v>
      </c>
      <c r="BT370" s="94">
        <f t="shared" si="291"/>
        <v>313.5416667</v>
      </c>
      <c r="BU370" s="94">
        <f t="shared" si="291"/>
        <v>313.5416667</v>
      </c>
      <c r="BV370" s="94">
        <f t="shared" si="291"/>
        <v>313.5416667</v>
      </c>
      <c r="BW370" s="94">
        <f t="shared" si="291"/>
        <v>313.5416667</v>
      </c>
      <c r="BX370" s="94">
        <f t="shared" si="291"/>
        <v>313.5416667</v>
      </c>
      <c r="BY370" s="94">
        <f t="shared" si="291"/>
        <v>313.5416667</v>
      </c>
      <c r="BZ370" s="94">
        <f t="shared" si="291"/>
        <v>313.5416667</v>
      </c>
      <c r="CA370" s="94">
        <f t="shared" si="291"/>
        <v>313.5416667</v>
      </c>
      <c r="CB370" s="94">
        <f t="shared" si="291"/>
        <v>313.5416667</v>
      </c>
      <c r="CC370" s="94">
        <f t="shared" si="291"/>
        <v>313.5416667</v>
      </c>
      <c r="CD370" s="94">
        <f t="shared" si="291"/>
        <v>313.5416667</v>
      </c>
      <c r="CE370" s="94">
        <f t="shared" si="291"/>
        <v>313.5416667</v>
      </c>
    </row>
    <row r="371" ht="15.75" customHeight="1">
      <c r="A371" s="91"/>
      <c r="B371" s="91"/>
      <c r="C371" s="91"/>
      <c r="D371" s="91"/>
      <c r="E371" s="91"/>
      <c r="F371" s="91"/>
      <c r="G371" s="91"/>
      <c r="H371" s="91"/>
      <c r="I371" s="91"/>
      <c r="J371" s="91"/>
      <c r="K371" s="91"/>
      <c r="L371" s="91"/>
      <c r="M371" s="91"/>
      <c r="N371" s="91"/>
      <c r="O371" s="91"/>
      <c r="P371" s="91"/>
      <c r="Q371" s="91"/>
      <c r="R371" s="91"/>
      <c r="S371" s="91"/>
      <c r="T371" s="91"/>
      <c r="U371" s="96">
        <v>44985.0</v>
      </c>
      <c r="BC371" s="94">
        <f t="shared" ref="BC371:CF371" si="292">+$BC$53*$U$59*$X$59</f>
        <v>156.7708333</v>
      </c>
      <c r="BD371" s="94">
        <f t="shared" si="292"/>
        <v>156.7708333</v>
      </c>
      <c r="BE371" s="94">
        <f t="shared" si="292"/>
        <v>156.7708333</v>
      </c>
      <c r="BF371" s="94">
        <f t="shared" si="292"/>
        <v>156.7708333</v>
      </c>
      <c r="BG371" s="94">
        <f t="shared" si="292"/>
        <v>156.7708333</v>
      </c>
      <c r="BH371" s="94">
        <f t="shared" si="292"/>
        <v>156.7708333</v>
      </c>
      <c r="BI371" s="94">
        <f t="shared" si="292"/>
        <v>156.7708333</v>
      </c>
      <c r="BJ371" s="94">
        <f t="shared" si="292"/>
        <v>156.7708333</v>
      </c>
      <c r="BK371" s="94">
        <f t="shared" si="292"/>
        <v>156.7708333</v>
      </c>
      <c r="BL371" s="94">
        <f t="shared" si="292"/>
        <v>156.7708333</v>
      </c>
      <c r="BM371" s="94">
        <f t="shared" si="292"/>
        <v>156.7708333</v>
      </c>
      <c r="BN371" s="94">
        <f t="shared" si="292"/>
        <v>156.7708333</v>
      </c>
      <c r="BO371" s="94">
        <f t="shared" si="292"/>
        <v>156.7708333</v>
      </c>
      <c r="BP371" s="94">
        <f t="shared" si="292"/>
        <v>156.7708333</v>
      </c>
      <c r="BQ371" s="94">
        <f t="shared" si="292"/>
        <v>156.7708333</v>
      </c>
      <c r="BR371" s="94">
        <f t="shared" si="292"/>
        <v>156.7708333</v>
      </c>
      <c r="BS371" s="94">
        <f t="shared" si="292"/>
        <v>156.7708333</v>
      </c>
      <c r="BT371" s="94">
        <f t="shared" si="292"/>
        <v>156.7708333</v>
      </c>
      <c r="BU371" s="94">
        <f t="shared" si="292"/>
        <v>156.7708333</v>
      </c>
      <c r="BV371" s="94">
        <f t="shared" si="292"/>
        <v>156.7708333</v>
      </c>
      <c r="BW371" s="94">
        <f t="shared" si="292"/>
        <v>156.7708333</v>
      </c>
      <c r="BX371" s="94">
        <f t="shared" si="292"/>
        <v>156.7708333</v>
      </c>
      <c r="BY371" s="94">
        <f t="shared" si="292"/>
        <v>156.7708333</v>
      </c>
      <c r="BZ371" s="94">
        <f t="shared" si="292"/>
        <v>156.7708333</v>
      </c>
      <c r="CA371" s="94">
        <f t="shared" si="292"/>
        <v>156.7708333</v>
      </c>
      <c r="CB371" s="94">
        <f t="shared" si="292"/>
        <v>156.7708333</v>
      </c>
      <c r="CC371" s="94">
        <f t="shared" si="292"/>
        <v>156.7708333</v>
      </c>
      <c r="CD371" s="94">
        <f t="shared" si="292"/>
        <v>156.7708333</v>
      </c>
      <c r="CE371" s="94">
        <f t="shared" si="292"/>
        <v>156.7708333</v>
      </c>
      <c r="CF371" s="94">
        <f t="shared" si="292"/>
        <v>156.7708333</v>
      </c>
    </row>
    <row r="372" ht="15.75" customHeight="1">
      <c r="A372" s="91"/>
      <c r="B372" s="91"/>
      <c r="C372" s="91"/>
      <c r="D372" s="91"/>
      <c r="E372" s="91"/>
      <c r="F372" s="91"/>
      <c r="G372" s="91"/>
      <c r="H372" s="91"/>
      <c r="I372" s="91"/>
      <c r="J372" s="91"/>
      <c r="K372" s="91"/>
      <c r="L372" s="91"/>
      <c r="M372" s="91"/>
      <c r="N372" s="91"/>
      <c r="O372" s="91"/>
      <c r="P372" s="91"/>
      <c r="Q372" s="91"/>
      <c r="R372" s="91"/>
      <c r="S372" s="91"/>
      <c r="T372" s="91"/>
      <c r="U372" s="96">
        <v>45016.0</v>
      </c>
      <c r="BD372" s="94">
        <f t="shared" ref="BD372:CG372" si="293">+$BD$53*$U$59*$X$59</f>
        <v>156.7708333</v>
      </c>
      <c r="BE372" s="94">
        <f t="shared" si="293"/>
        <v>156.7708333</v>
      </c>
      <c r="BF372" s="94">
        <f t="shared" si="293"/>
        <v>156.7708333</v>
      </c>
      <c r="BG372" s="94">
        <f t="shared" si="293"/>
        <v>156.7708333</v>
      </c>
      <c r="BH372" s="94">
        <f t="shared" si="293"/>
        <v>156.7708333</v>
      </c>
      <c r="BI372" s="94">
        <f t="shared" si="293"/>
        <v>156.7708333</v>
      </c>
      <c r="BJ372" s="94">
        <f t="shared" si="293"/>
        <v>156.7708333</v>
      </c>
      <c r="BK372" s="94">
        <f t="shared" si="293"/>
        <v>156.7708333</v>
      </c>
      <c r="BL372" s="94">
        <f t="shared" si="293"/>
        <v>156.7708333</v>
      </c>
      <c r="BM372" s="94">
        <f t="shared" si="293"/>
        <v>156.7708333</v>
      </c>
      <c r="BN372" s="94">
        <f t="shared" si="293"/>
        <v>156.7708333</v>
      </c>
      <c r="BO372" s="94">
        <f t="shared" si="293"/>
        <v>156.7708333</v>
      </c>
      <c r="BP372" s="94">
        <f t="shared" si="293"/>
        <v>156.7708333</v>
      </c>
      <c r="BQ372" s="94">
        <f t="shared" si="293"/>
        <v>156.7708333</v>
      </c>
      <c r="BR372" s="94">
        <f t="shared" si="293"/>
        <v>156.7708333</v>
      </c>
      <c r="BS372" s="94">
        <f t="shared" si="293"/>
        <v>156.7708333</v>
      </c>
      <c r="BT372" s="94">
        <f t="shared" si="293"/>
        <v>156.7708333</v>
      </c>
      <c r="BU372" s="94">
        <f t="shared" si="293"/>
        <v>156.7708333</v>
      </c>
      <c r="BV372" s="94">
        <f t="shared" si="293"/>
        <v>156.7708333</v>
      </c>
      <c r="BW372" s="94">
        <f t="shared" si="293"/>
        <v>156.7708333</v>
      </c>
      <c r="BX372" s="94">
        <f t="shared" si="293"/>
        <v>156.7708333</v>
      </c>
      <c r="BY372" s="94">
        <f t="shared" si="293"/>
        <v>156.7708333</v>
      </c>
      <c r="BZ372" s="94">
        <f t="shared" si="293"/>
        <v>156.7708333</v>
      </c>
      <c r="CA372" s="94">
        <f t="shared" si="293"/>
        <v>156.7708333</v>
      </c>
      <c r="CB372" s="94">
        <f t="shared" si="293"/>
        <v>156.7708333</v>
      </c>
      <c r="CC372" s="94">
        <f t="shared" si="293"/>
        <v>156.7708333</v>
      </c>
      <c r="CD372" s="94">
        <f t="shared" si="293"/>
        <v>156.7708333</v>
      </c>
      <c r="CE372" s="94">
        <f t="shared" si="293"/>
        <v>156.7708333</v>
      </c>
      <c r="CF372" s="94">
        <f t="shared" si="293"/>
        <v>156.7708333</v>
      </c>
      <c r="CG372" s="94">
        <f t="shared" si="293"/>
        <v>156.7708333</v>
      </c>
    </row>
    <row r="373" ht="15.75" customHeight="1">
      <c r="A373" s="91"/>
      <c r="B373" s="91"/>
      <c r="C373" s="91"/>
      <c r="D373" s="91"/>
      <c r="E373" s="91"/>
      <c r="F373" s="91"/>
      <c r="G373" s="91"/>
      <c r="H373" s="91"/>
      <c r="I373" s="91"/>
      <c r="J373" s="91"/>
      <c r="K373" s="91"/>
      <c r="L373" s="91"/>
      <c r="M373" s="91"/>
      <c r="N373" s="91"/>
      <c r="O373" s="91"/>
      <c r="P373" s="91"/>
      <c r="Q373" s="91"/>
      <c r="R373" s="91"/>
      <c r="S373" s="91"/>
      <c r="T373" s="91"/>
      <c r="U373" s="96">
        <v>45046.0</v>
      </c>
      <c r="BE373" s="94">
        <f t="shared" ref="BE373:CH373" si="294">+$BE$53*$U$59*$X$59</f>
        <v>156.7708333</v>
      </c>
      <c r="BF373" s="94">
        <f t="shared" si="294"/>
        <v>156.7708333</v>
      </c>
      <c r="BG373" s="94">
        <f t="shared" si="294"/>
        <v>156.7708333</v>
      </c>
      <c r="BH373" s="94">
        <f t="shared" si="294"/>
        <v>156.7708333</v>
      </c>
      <c r="BI373" s="94">
        <f t="shared" si="294"/>
        <v>156.7708333</v>
      </c>
      <c r="BJ373" s="94">
        <f t="shared" si="294"/>
        <v>156.7708333</v>
      </c>
      <c r="BK373" s="94">
        <f t="shared" si="294"/>
        <v>156.7708333</v>
      </c>
      <c r="BL373" s="94">
        <f t="shared" si="294"/>
        <v>156.7708333</v>
      </c>
      <c r="BM373" s="94">
        <f t="shared" si="294"/>
        <v>156.7708333</v>
      </c>
      <c r="BN373" s="94">
        <f t="shared" si="294"/>
        <v>156.7708333</v>
      </c>
      <c r="BO373" s="94">
        <f t="shared" si="294"/>
        <v>156.7708333</v>
      </c>
      <c r="BP373" s="94">
        <f t="shared" si="294"/>
        <v>156.7708333</v>
      </c>
      <c r="BQ373" s="94">
        <f t="shared" si="294"/>
        <v>156.7708333</v>
      </c>
      <c r="BR373" s="94">
        <f t="shared" si="294"/>
        <v>156.7708333</v>
      </c>
      <c r="BS373" s="94">
        <f t="shared" si="294"/>
        <v>156.7708333</v>
      </c>
      <c r="BT373" s="94">
        <f t="shared" si="294"/>
        <v>156.7708333</v>
      </c>
      <c r="BU373" s="94">
        <f t="shared" si="294"/>
        <v>156.7708333</v>
      </c>
      <c r="BV373" s="94">
        <f t="shared" si="294"/>
        <v>156.7708333</v>
      </c>
      <c r="BW373" s="94">
        <f t="shared" si="294"/>
        <v>156.7708333</v>
      </c>
      <c r="BX373" s="94">
        <f t="shared" si="294"/>
        <v>156.7708333</v>
      </c>
      <c r="BY373" s="94">
        <f t="shared" si="294"/>
        <v>156.7708333</v>
      </c>
      <c r="BZ373" s="94">
        <f t="shared" si="294"/>
        <v>156.7708333</v>
      </c>
      <c r="CA373" s="94">
        <f t="shared" si="294"/>
        <v>156.7708333</v>
      </c>
      <c r="CB373" s="94">
        <f t="shared" si="294"/>
        <v>156.7708333</v>
      </c>
      <c r="CC373" s="94">
        <f t="shared" si="294"/>
        <v>156.7708333</v>
      </c>
      <c r="CD373" s="94">
        <f t="shared" si="294"/>
        <v>156.7708333</v>
      </c>
      <c r="CE373" s="94">
        <f t="shared" si="294"/>
        <v>156.7708333</v>
      </c>
      <c r="CF373" s="94">
        <f t="shared" si="294"/>
        <v>156.7708333</v>
      </c>
      <c r="CG373" s="94">
        <f t="shared" si="294"/>
        <v>156.7708333</v>
      </c>
      <c r="CH373" s="94">
        <f t="shared" si="294"/>
        <v>156.7708333</v>
      </c>
    </row>
    <row r="374" ht="15.75" customHeight="1">
      <c r="A374" s="91"/>
      <c r="B374" s="91"/>
      <c r="C374" s="91"/>
      <c r="D374" s="91"/>
      <c r="E374" s="91"/>
      <c r="F374" s="91"/>
      <c r="G374" s="91"/>
      <c r="H374" s="91"/>
      <c r="I374" s="91"/>
      <c r="J374" s="91"/>
      <c r="K374" s="91"/>
      <c r="L374" s="91"/>
      <c r="M374" s="91"/>
      <c r="N374" s="91"/>
      <c r="O374" s="91"/>
      <c r="P374" s="91"/>
      <c r="Q374" s="91"/>
      <c r="R374" s="91"/>
      <c r="S374" s="91"/>
      <c r="T374" s="91"/>
      <c r="U374" s="96">
        <v>45077.0</v>
      </c>
      <c r="BF374" s="94">
        <f t="shared" ref="BF374:CI374" si="295">+$BF$53*$U$59*$X$59</f>
        <v>219.4791667</v>
      </c>
      <c r="BG374" s="94">
        <f t="shared" si="295"/>
        <v>219.4791667</v>
      </c>
      <c r="BH374" s="94">
        <f t="shared" si="295"/>
        <v>219.4791667</v>
      </c>
      <c r="BI374" s="94">
        <f t="shared" si="295"/>
        <v>219.4791667</v>
      </c>
      <c r="BJ374" s="94">
        <f t="shared" si="295"/>
        <v>219.4791667</v>
      </c>
      <c r="BK374" s="94">
        <f t="shared" si="295"/>
        <v>219.4791667</v>
      </c>
      <c r="BL374" s="94">
        <f t="shared" si="295"/>
        <v>219.4791667</v>
      </c>
      <c r="BM374" s="94">
        <f t="shared" si="295"/>
        <v>219.4791667</v>
      </c>
      <c r="BN374" s="94">
        <f t="shared" si="295"/>
        <v>219.4791667</v>
      </c>
      <c r="BO374" s="94">
        <f t="shared" si="295"/>
        <v>219.4791667</v>
      </c>
      <c r="BP374" s="94">
        <f t="shared" si="295"/>
        <v>219.4791667</v>
      </c>
      <c r="BQ374" s="94">
        <f t="shared" si="295"/>
        <v>219.4791667</v>
      </c>
      <c r="BR374" s="94">
        <f t="shared" si="295"/>
        <v>219.4791667</v>
      </c>
      <c r="BS374" s="94">
        <f t="shared" si="295"/>
        <v>219.4791667</v>
      </c>
      <c r="BT374" s="94">
        <f t="shared" si="295"/>
        <v>219.4791667</v>
      </c>
      <c r="BU374" s="94">
        <f t="shared" si="295"/>
        <v>219.4791667</v>
      </c>
      <c r="BV374" s="94">
        <f t="shared" si="295"/>
        <v>219.4791667</v>
      </c>
      <c r="BW374" s="94">
        <f t="shared" si="295"/>
        <v>219.4791667</v>
      </c>
      <c r="BX374" s="94">
        <f t="shared" si="295"/>
        <v>219.4791667</v>
      </c>
      <c r="BY374" s="94">
        <f t="shared" si="295"/>
        <v>219.4791667</v>
      </c>
      <c r="BZ374" s="94">
        <f t="shared" si="295"/>
        <v>219.4791667</v>
      </c>
      <c r="CA374" s="94">
        <f t="shared" si="295"/>
        <v>219.4791667</v>
      </c>
      <c r="CB374" s="94">
        <f t="shared" si="295"/>
        <v>219.4791667</v>
      </c>
      <c r="CC374" s="94">
        <f t="shared" si="295"/>
        <v>219.4791667</v>
      </c>
      <c r="CD374" s="94">
        <f t="shared" si="295"/>
        <v>219.4791667</v>
      </c>
      <c r="CE374" s="94">
        <f t="shared" si="295"/>
        <v>219.4791667</v>
      </c>
      <c r="CF374" s="94">
        <f t="shared" si="295"/>
        <v>219.4791667</v>
      </c>
      <c r="CG374" s="94">
        <f t="shared" si="295"/>
        <v>219.4791667</v>
      </c>
      <c r="CH374" s="94">
        <f t="shared" si="295"/>
        <v>219.4791667</v>
      </c>
      <c r="CI374" s="94">
        <f t="shared" si="295"/>
        <v>219.4791667</v>
      </c>
    </row>
    <row r="375" ht="15.75" customHeight="1">
      <c r="A375" s="91"/>
      <c r="B375" s="91"/>
      <c r="C375" s="91"/>
      <c r="D375" s="91"/>
      <c r="E375" s="91"/>
      <c r="F375" s="91"/>
      <c r="G375" s="91"/>
      <c r="H375" s="91"/>
      <c r="I375" s="91"/>
      <c r="J375" s="91"/>
      <c r="K375" s="91"/>
      <c r="L375" s="91"/>
      <c r="M375" s="91"/>
      <c r="N375" s="91"/>
      <c r="O375" s="91"/>
      <c r="P375" s="91"/>
      <c r="Q375" s="91"/>
      <c r="R375" s="91"/>
      <c r="S375" s="91"/>
      <c r="T375" s="91"/>
      <c r="U375" s="96">
        <v>45107.0</v>
      </c>
      <c r="BG375" s="94">
        <f t="shared" ref="BG375:CJ375" si="296">+$BG$53*$U$59*$X$59</f>
        <v>219.4791667</v>
      </c>
      <c r="BH375" s="94">
        <f t="shared" si="296"/>
        <v>219.4791667</v>
      </c>
      <c r="BI375" s="94">
        <f t="shared" si="296"/>
        <v>219.4791667</v>
      </c>
      <c r="BJ375" s="94">
        <f t="shared" si="296"/>
        <v>219.4791667</v>
      </c>
      <c r="BK375" s="94">
        <f t="shared" si="296"/>
        <v>219.4791667</v>
      </c>
      <c r="BL375" s="94">
        <f t="shared" si="296"/>
        <v>219.4791667</v>
      </c>
      <c r="BM375" s="94">
        <f t="shared" si="296"/>
        <v>219.4791667</v>
      </c>
      <c r="BN375" s="94">
        <f t="shared" si="296"/>
        <v>219.4791667</v>
      </c>
      <c r="BO375" s="94">
        <f t="shared" si="296"/>
        <v>219.4791667</v>
      </c>
      <c r="BP375" s="94">
        <f t="shared" si="296"/>
        <v>219.4791667</v>
      </c>
      <c r="BQ375" s="94">
        <f t="shared" si="296"/>
        <v>219.4791667</v>
      </c>
      <c r="BR375" s="94">
        <f t="shared" si="296"/>
        <v>219.4791667</v>
      </c>
      <c r="BS375" s="94">
        <f t="shared" si="296"/>
        <v>219.4791667</v>
      </c>
      <c r="BT375" s="94">
        <f t="shared" si="296"/>
        <v>219.4791667</v>
      </c>
      <c r="BU375" s="94">
        <f t="shared" si="296"/>
        <v>219.4791667</v>
      </c>
      <c r="BV375" s="94">
        <f t="shared" si="296"/>
        <v>219.4791667</v>
      </c>
      <c r="BW375" s="94">
        <f t="shared" si="296"/>
        <v>219.4791667</v>
      </c>
      <c r="BX375" s="94">
        <f t="shared" si="296"/>
        <v>219.4791667</v>
      </c>
      <c r="BY375" s="94">
        <f t="shared" si="296"/>
        <v>219.4791667</v>
      </c>
      <c r="BZ375" s="94">
        <f t="shared" si="296"/>
        <v>219.4791667</v>
      </c>
      <c r="CA375" s="94">
        <f t="shared" si="296"/>
        <v>219.4791667</v>
      </c>
      <c r="CB375" s="94">
        <f t="shared" si="296"/>
        <v>219.4791667</v>
      </c>
      <c r="CC375" s="94">
        <f t="shared" si="296"/>
        <v>219.4791667</v>
      </c>
      <c r="CD375" s="94">
        <f t="shared" si="296"/>
        <v>219.4791667</v>
      </c>
      <c r="CE375" s="94">
        <f t="shared" si="296"/>
        <v>219.4791667</v>
      </c>
      <c r="CF375" s="94">
        <f t="shared" si="296"/>
        <v>219.4791667</v>
      </c>
      <c r="CG375" s="94">
        <f t="shared" si="296"/>
        <v>219.4791667</v>
      </c>
      <c r="CH375" s="94">
        <f t="shared" si="296"/>
        <v>219.4791667</v>
      </c>
      <c r="CI375" s="94">
        <f t="shared" si="296"/>
        <v>219.4791667</v>
      </c>
      <c r="CJ375" s="94">
        <f t="shared" si="296"/>
        <v>219.4791667</v>
      </c>
    </row>
    <row r="376" ht="15.75" customHeight="1">
      <c r="A376" s="91"/>
      <c r="B376" s="91"/>
      <c r="C376" s="91"/>
      <c r="D376" s="91"/>
      <c r="E376" s="91"/>
      <c r="F376" s="91"/>
      <c r="G376" s="91"/>
      <c r="H376" s="91"/>
      <c r="I376" s="91"/>
      <c r="J376" s="91"/>
      <c r="K376" s="91"/>
      <c r="L376" s="91"/>
      <c r="M376" s="91"/>
      <c r="N376" s="91"/>
      <c r="O376" s="91"/>
      <c r="P376" s="91"/>
      <c r="Q376" s="91"/>
      <c r="R376" s="91"/>
      <c r="S376" s="91"/>
      <c r="T376" s="91"/>
      <c r="U376" s="96">
        <v>45138.0</v>
      </c>
      <c r="BH376" s="94">
        <f t="shared" ref="BH376:CK376" si="297">+$BH$53*$U$59*$X$59</f>
        <v>250.8333333</v>
      </c>
      <c r="BI376" s="94">
        <f t="shared" si="297"/>
        <v>250.8333333</v>
      </c>
      <c r="BJ376" s="94">
        <f t="shared" si="297"/>
        <v>250.8333333</v>
      </c>
      <c r="BK376" s="94">
        <f t="shared" si="297"/>
        <v>250.8333333</v>
      </c>
      <c r="BL376" s="94">
        <f t="shared" si="297"/>
        <v>250.8333333</v>
      </c>
      <c r="BM376" s="94">
        <f t="shared" si="297"/>
        <v>250.8333333</v>
      </c>
      <c r="BN376" s="94">
        <f t="shared" si="297"/>
        <v>250.8333333</v>
      </c>
      <c r="BO376" s="94">
        <f t="shared" si="297"/>
        <v>250.8333333</v>
      </c>
      <c r="BP376" s="94">
        <f t="shared" si="297"/>
        <v>250.8333333</v>
      </c>
      <c r="BQ376" s="94">
        <f t="shared" si="297"/>
        <v>250.8333333</v>
      </c>
      <c r="BR376" s="94">
        <f t="shared" si="297"/>
        <v>250.8333333</v>
      </c>
      <c r="BS376" s="94">
        <f t="shared" si="297"/>
        <v>250.8333333</v>
      </c>
      <c r="BT376" s="94">
        <f t="shared" si="297"/>
        <v>250.8333333</v>
      </c>
      <c r="BU376" s="94">
        <f t="shared" si="297"/>
        <v>250.8333333</v>
      </c>
      <c r="BV376" s="94">
        <f t="shared" si="297"/>
        <v>250.8333333</v>
      </c>
      <c r="BW376" s="94">
        <f t="shared" si="297"/>
        <v>250.8333333</v>
      </c>
      <c r="BX376" s="94">
        <f t="shared" si="297"/>
        <v>250.8333333</v>
      </c>
      <c r="BY376" s="94">
        <f t="shared" si="297"/>
        <v>250.8333333</v>
      </c>
      <c r="BZ376" s="94">
        <f t="shared" si="297"/>
        <v>250.8333333</v>
      </c>
      <c r="CA376" s="94">
        <f t="shared" si="297"/>
        <v>250.8333333</v>
      </c>
      <c r="CB376" s="94">
        <f t="shared" si="297"/>
        <v>250.8333333</v>
      </c>
      <c r="CC376" s="94">
        <f t="shared" si="297"/>
        <v>250.8333333</v>
      </c>
      <c r="CD376" s="94">
        <f t="shared" si="297"/>
        <v>250.8333333</v>
      </c>
      <c r="CE376" s="94">
        <f t="shared" si="297"/>
        <v>250.8333333</v>
      </c>
      <c r="CF376" s="94">
        <f t="shared" si="297"/>
        <v>250.8333333</v>
      </c>
      <c r="CG376" s="94">
        <f t="shared" si="297"/>
        <v>250.8333333</v>
      </c>
      <c r="CH376" s="94">
        <f t="shared" si="297"/>
        <v>250.8333333</v>
      </c>
      <c r="CI376" s="94">
        <f t="shared" si="297"/>
        <v>250.8333333</v>
      </c>
      <c r="CJ376" s="94">
        <f t="shared" si="297"/>
        <v>250.8333333</v>
      </c>
      <c r="CK376" s="94">
        <f t="shared" si="297"/>
        <v>250.8333333</v>
      </c>
    </row>
    <row r="377" ht="15.75" customHeight="1">
      <c r="A377" s="91"/>
      <c r="B377" s="91"/>
      <c r="C377" s="91"/>
      <c r="D377" s="91"/>
      <c r="E377" s="91"/>
      <c r="F377" s="91"/>
      <c r="G377" s="91"/>
      <c r="H377" s="91"/>
      <c r="I377" s="91"/>
      <c r="J377" s="91"/>
      <c r="K377" s="91"/>
      <c r="L377" s="91"/>
      <c r="M377" s="91"/>
      <c r="N377" s="91"/>
      <c r="O377" s="91"/>
      <c r="P377" s="91"/>
      <c r="Q377" s="91"/>
      <c r="R377" s="91"/>
      <c r="S377" s="91"/>
      <c r="T377" s="91"/>
      <c r="U377" s="96">
        <v>45169.0</v>
      </c>
      <c r="BI377" s="94">
        <f t="shared" ref="BI377:CL377" si="298">+$BI$53*$U$59*$X$59</f>
        <v>250.8333333</v>
      </c>
      <c r="BJ377" s="94">
        <f t="shared" si="298"/>
        <v>250.8333333</v>
      </c>
      <c r="BK377" s="94">
        <f t="shared" si="298"/>
        <v>250.8333333</v>
      </c>
      <c r="BL377" s="94">
        <f t="shared" si="298"/>
        <v>250.8333333</v>
      </c>
      <c r="BM377" s="94">
        <f t="shared" si="298"/>
        <v>250.8333333</v>
      </c>
      <c r="BN377" s="94">
        <f t="shared" si="298"/>
        <v>250.8333333</v>
      </c>
      <c r="BO377" s="94">
        <f t="shared" si="298"/>
        <v>250.8333333</v>
      </c>
      <c r="BP377" s="94">
        <f t="shared" si="298"/>
        <v>250.8333333</v>
      </c>
      <c r="BQ377" s="94">
        <f t="shared" si="298"/>
        <v>250.8333333</v>
      </c>
      <c r="BR377" s="94">
        <f t="shared" si="298"/>
        <v>250.8333333</v>
      </c>
      <c r="BS377" s="94">
        <f t="shared" si="298"/>
        <v>250.8333333</v>
      </c>
      <c r="BT377" s="94">
        <f t="shared" si="298"/>
        <v>250.8333333</v>
      </c>
      <c r="BU377" s="94">
        <f t="shared" si="298"/>
        <v>250.8333333</v>
      </c>
      <c r="BV377" s="94">
        <f t="shared" si="298"/>
        <v>250.8333333</v>
      </c>
      <c r="BW377" s="94">
        <f t="shared" si="298"/>
        <v>250.8333333</v>
      </c>
      <c r="BX377" s="94">
        <f t="shared" si="298"/>
        <v>250.8333333</v>
      </c>
      <c r="BY377" s="94">
        <f t="shared" si="298"/>
        <v>250.8333333</v>
      </c>
      <c r="BZ377" s="94">
        <f t="shared" si="298"/>
        <v>250.8333333</v>
      </c>
      <c r="CA377" s="94">
        <f t="shared" si="298"/>
        <v>250.8333333</v>
      </c>
      <c r="CB377" s="94">
        <f t="shared" si="298"/>
        <v>250.8333333</v>
      </c>
      <c r="CC377" s="94">
        <f t="shared" si="298"/>
        <v>250.8333333</v>
      </c>
      <c r="CD377" s="94">
        <f t="shared" si="298"/>
        <v>250.8333333</v>
      </c>
      <c r="CE377" s="94">
        <f t="shared" si="298"/>
        <v>250.8333333</v>
      </c>
      <c r="CF377" s="94">
        <f t="shared" si="298"/>
        <v>250.8333333</v>
      </c>
      <c r="CG377" s="94">
        <f t="shared" si="298"/>
        <v>250.8333333</v>
      </c>
      <c r="CH377" s="94">
        <f t="shared" si="298"/>
        <v>250.8333333</v>
      </c>
      <c r="CI377" s="94">
        <f t="shared" si="298"/>
        <v>250.8333333</v>
      </c>
      <c r="CJ377" s="94">
        <f t="shared" si="298"/>
        <v>250.8333333</v>
      </c>
      <c r="CK377" s="94">
        <f t="shared" si="298"/>
        <v>250.8333333</v>
      </c>
      <c r="CL377" s="94">
        <f t="shared" si="298"/>
        <v>250.8333333</v>
      </c>
    </row>
    <row r="378" ht="15.75" customHeight="1">
      <c r="A378" s="91"/>
      <c r="B378" s="91"/>
      <c r="C378" s="91"/>
      <c r="D378" s="91"/>
      <c r="E378" s="91"/>
      <c r="F378" s="91"/>
      <c r="G378" s="91"/>
      <c r="H378" s="91"/>
      <c r="I378" s="91"/>
      <c r="J378" s="91"/>
      <c r="K378" s="91"/>
      <c r="L378" s="91"/>
      <c r="M378" s="91"/>
      <c r="N378" s="91"/>
      <c r="O378" s="91"/>
      <c r="P378" s="91"/>
      <c r="Q378" s="91"/>
      <c r="R378" s="91"/>
      <c r="S378" s="91"/>
      <c r="T378" s="91"/>
      <c r="U378" s="96">
        <v>45199.0</v>
      </c>
      <c r="BJ378" s="94">
        <f t="shared" ref="BJ378:CM378" si="299">+$BJ$53*$U$59*$X$59</f>
        <v>250.8333333</v>
      </c>
      <c r="BK378" s="94">
        <f t="shared" si="299"/>
        <v>250.8333333</v>
      </c>
      <c r="BL378" s="94">
        <f t="shared" si="299"/>
        <v>250.8333333</v>
      </c>
      <c r="BM378" s="94">
        <f t="shared" si="299"/>
        <v>250.8333333</v>
      </c>
      <c r="BN378" s="94">
        <f t="shared" si="299"/>
        <v>250.8333333</v>
      </c>
      <c r="BO378" s="94">
        <f t="shared" si="299"/>
        <v>250.8333333</v>
      </c>
      <c r="BP378" s="94">
        <f t="shared" si="299"/>
        <v>250.8333333</v>
      </c>
      <c r="BQ378" s="94">
        <f t="shared" si="299"/>
        <v>250.8333333</v>
      </c>
      <c r="BR378" s="94">
        <f t="shared" si="299"/>
        <v>250.8333333</v>
      </c>
      <c r="BS378" s="94">
        <f t="shared" si="299"/>
        <v>250.8333333</v>
      </c>
      <c r="BT378" s="94">
        <f t="shared" si="299"/>
        <v>250.8333333</v>
      </c>
      <c r="BU378" s="94">
        <f t="shared" si="299"/>
        <v>250.8333333</v>
      </c>
      <c r="BV378" s="94">
        <f t="shared" si="299"/>
        <v>250.8333333</v>
      </c>
      <c r="BW378" s="94">
        <f t="shared" si="299"/>
        <v>250.8333333</v>
      </c>
      <c r="BX378" s="94">
        <f t="shared" si="299"/>
        <v>250.8333333</v>
      </c>
      <c r="BY378" s="94">
        <f t="shared" si="299"/>
        <v>250.8333333</v>
      </c>
      <c r="BZ378" s="94">
        <f t="shared" si="299"/>
        <v>250.8333333</v>
      </c>
      <c r="CA378" s="94">
        <f t="shared" si="299"/>
        <v>250.8333333</v>
      </c>
      <c r="CB378" s="94">
        <f t="shared" si="299"/>
        <v>250.8333333</v>
      </c>
      <c r="CC378" s="94">
        <f t="shared" si="299"/>
        <v>250.8333333</v>
      </c>
      <c r="CD378" s="94">
        <f t="shared" si="299"/>
        <v>250.8333333</v>
      </c>
      <c r="CE378" s="94">
        <f t="shared" si="299"/>
        <v>250.8333333</v>
      </c>
      <c r="CF378" s="94">
        <f t="shared" si="299"/>
        <v>250.8333333</v>
      </c>
      <c r="CG378" s="94">
        <f t="shared" si="299"/>
        <v>250.8333333</v>
      </c>
      <c r="CH378" s="94">
        <f t="shared" si="299"/>
        <v>250.8333333</v>
      </c>
      <c r="CI378" s="94">
        <f t="shared" si="299"/>
        <v>250.8333333</v>
      </c>
      <c r="CJ378" s="94">
        <f t="shared" si="299"/>
        <v>250.8333333</v>
      </c>
      <c r="CK378" s="94">
        <f t="shared" si="299"/>
        <v>250.8333333</v>
      </c>
      <c r="CL378" s="94">
        <f t="shared" si="299"/>
        <v>250.8333333</v>
      </c>
      <c r="CM378" s="94">
        <f t="shared" si="299"/>
        <v>250.8333333</v>
      </c>
    </row>
    <row r="379" ht="15.75" customHeight="1">
      <c r="A379" s="91"/>
      <c r="B379" s="91"/>
      <c r="C379" s="91"/>
      <c r="D379" s="91"/>
      <c r="E379" s="91"/>
      <c r="F379" s="91"/>
      <c r="G379" s="91"/>
      <c r="H379" s="91"/>
      <c r="I379" s="91"/>
      <c r="J379" s="91"/>
      <c r="K379" s="91"/>
      <c r="L379" s="91"/>
      <c r="M379" s="91"/>
      <c r="N379" s="91"/>
      <c r="O379" s="91"/>
      <c r="P379" s="91"/>
      <c r="Q379" s="91"/>
      <c r="R379" s="91"/>
      <c r="S379" s="91"/>
      <c r="T379" s="91"/>
      <c r="U379" s="96">
        <v>45230.0</v>
      </c>
      <c r="BK379" s="94">
        <f t="shared" ref="BK379:CN379" si="300">+$BK$53*$U$59*$X$59</f>
        <v>250.8333333</v>
      </c>
      <c r="BL379" s="94">
        <f t="shared" si="300"/>
        <v>250.8333333</v>
      </c>
      <c r="BM379" s="94">
        <f t="shared" si="300"/>
        <v>250.8333333</v>
      </c>
      <c r="BN379" s="94">
        <f t="shared" si="300"/>
        <v>250.8333333</v>
      </c>
      <c r="BO379" s="94">
        <f t="shared" si="300"/>
        <v>250.8333333</v>
      </c>
      <c r="BP379" s="94">
        <f t="shared" si="300"/>
        <v>250.8333333</v>
      </c>
      <c r="BQ379" s="94">
        <f t="shared" si="300"/>
        <v>250.8333333</v>
      </c>
      <c r="BR379" s="94">
        <f t="shared" si="300"/>
        <v>250.8333333</v>
      </c>
      <c r="BS379" s="94">
        <f t="shared" si="300"/>
        <v>250.8333333</v>
      </c>
      <c r="BT379" s="94">
        <f t="shared" si="300"/>
        <v>250.8333333</v>
      </c>
      <c r="BU379" s="94">
        <f t="shared" si="300"/>
        <v>250.8333333</v>
      </c>
      <c r="BV379" s="94">
        <f t="shared" si="300"/>
        <v>250.8333333</v>
      </c>
      <c r="BW379" s="94">
        <f t="shared" si="300"/>
        <v>250.8333333</v>
      </c>
      <c r="BX379" s="94">
        <f t="shared" si="300"/>
        <v>250.8333333</v>
      </c>
      <c r="BY379" s="94">
        <f t="shared" si="300"/>
        <v>250.8333333</v>
      </c>
      <c r="BZ379" s="94">
        <f t="shared" si="300"/>
        <v>250.8333333</v>
      </c>
      <c r="CA379" s="94">
        <f t="shared" si="300"/>
        <v>250.8333333</v>
      </c>
      <c r="CB379" s="94">
        <f t="shared" si="300"/>
        <v>250.8333333</v>
      </c>
      <c r="CC379" s="94">
        <f t="shared" si="300"/>
        <v>250.8333333</v>
      </c>
      <c r="CD379" s="94">
        <f t="shared" si="300"/>
        <v>250.8333333</v>
      </c>
      <c r="CE379" s="94">
        <f t="shared" si="300"/>
        <v>250.8333333</v>
      </c>
      <c r="CF379" s="94">
        <f t="shared" si="300"/>
        <v>250.8333333</v>
      </c>
      <c r="CG379" s="94">
        <f t="shared" si="300"/>
        <v>250.8333333</v>
      </c>
      <c r="CH379" s="94">
        <f t="shared" si="300"/>
        <v>250.8333333</v>
      </c>
      <c r="CI379" s="94">
        <f t="shared" si="300"/>
        <v>250.8333333</v>
      </c>
      <c r="CJ379" s="94">
        <f t="shared" si="300"/>
        <v>250.8333333</v>
      </c>
      <c r="CK379" s="94">
        <f t="shared" si="300"/>
        <v>250.8333333</v>
      </c>
      <c r="CL379" s="94">
        <f t="shared" si="300"/>
        <v>250.8333333</v>
      </c>
      <c r="CM379" s="94">
        <f t="shared" si="300"/>
        <v>250.8333333</v>
      </c>
      <c r="CN379" s="94">
        <f t="shared" si="300"/>
        <v>250.8333333</v>
      </c>
    </row>
    <row r="380" ht="15.75" customHeight="1">
      <c r="A380" s="91"/>
      <c r="B380" s="91"/>
      <c r="C380" s="91"/>
      <c r="D380" s="91"/>
      <c r="E380" s="91"/>
      <c r="F380" s="91"/>
      <c r="G380" s="91"/>
      <c r="H380" s="91"/>
      <c r="I380" s="91"/>
      <c r="J380" s="91"/>
      <c r="K380" s="91"/>
      <c r="L380" s="91"/>
      <c r="M380" s="91"/>
      <c r="N380" s="91"/>
      <c r="O380" s="91"/>
      <c r="P380" s="91"/>
      <c r="Q380" s="91"/>
      <c r="R380" s="91"/>
      <c r="S380" s="91"/>
      <c r="T380" s="91"/>
      <c r="U380" s="96">
        <v>45260.0</v>
      </c>
      <c r="BL380" s="94">
        <f t="shared" ref="BL380:CO380" si="301">+$BL$53*$U$59*$X$59</f>
        <v>219.4791667</v>
      </c>
      <c r="BM380" s="94">
        <f t="shared" si="301"/>
        <v>219.4791667</v>
      </c>
      <c r="BN380" s="94">
        <f t="shared" si="301"/>
        <v>219.4791667</v>
      </c>
      <c r="BO380" s="94">
        <f t="shared" si="301"/>
        <v>219.4791667</v>
      </c>
      <c r="BP380" s="94">
        <f t="shared" si="301"/>
        <v>219.4791667</v>
      </c>
      <c r="BQ380" s="94">
        <f t="shared" si="301"/>
        <v>219.4791667</v>
      </c>
      <c r="BR380" s="94">
        <f t="shared" si="301"/>
        <v>219.4791667</v>
      </c>
      <c r="BS380" s="94">
        <f t="shared" si="301"/>
        <v>219.4791667</v>
      </c>
      <c r="BT380" s="94">
        <f t="shared" si="301"/>
        <v>219.4791667</v>
      </c>
      <c r="BU380" s="94">
        <f t="shared" si="301"/>
        <v>219.4791667</v>
      </c>
      <c r="BV380" s="94">
        <f t="shared" si="301"/>
        <v>219.4791667</v>
      </c>
      <c r="BW380" s="94">
        <f t="shared" si="301"/>
        <v>219.4791667</v>
      </c>
      <c r="BX380" s="94">
        <f t="shared" si="301"/>
        <v>219.4791667</v>
      </c>
      <c r="BY380" s="94">
        <f t="shared" si="301"/>
        <v>219.4791667</v>
      </c>
      <c r="BZ380" s="94">
        <f t="shared" si="301"/>
        <v>219.4791667</v>
      </c>
      <c r="CA380" s="94">
        <f t="shared" si="301"/>
        <v>219.4791667</v>
      </c>
      <c r="CB380" s="94">
        <f t="shared" si="301"/>
        <v>219.4791667</v>
      </c>
      <c r="CC380" s="94">
        <f t="shared" si="301"/>
        <v>219.4791667</v>
      </c>
      <c r="CD380" s="94">
        <f t="shared" si="301"/>
        <v>219.4791667</v>
      </c>
      <c r="CE380" s="94">
        <f t="shared" si="301"/>
        <v>219.4791667</v>
      </c>
      <c r="CF380" s="94">
        <f t="shared" si="301"/>
        <v>219.4791667</v>
      </c>
      <c r="CG380" s="94">
        <f t="shared" si="301"/>
        <v>219.4791667</v>
      </c>
      <c r="CH380" s="94">
        <f t="shared" si="301"/>
        <v>219.4791667</v>
      </c>
      <c r="CI380" s="94">
        <f t="shared" si="301"/>
        <v>219.4791667</v>
      </c>
      <c r="CJ380" s="94">
        <f t="shared" si="301"/>
        <v>219.4791667</v>
      </c>
      <c r="CK380" s="94">
        <f t="shared" si="301"/>
        <v>219.4791667</v>
      </c>
      <c r="CL380" s="94">
        <f t="shared" si="301"/>
        <v>219.4791667</v>
      </c>
      <c r="CM380" s="94">
        <f t="shared" si="301"/>
        <v>219.4791667</v>
      </c>
      <c r="CN380" s="94">
        <f t="shared" si="301"/>
        <v>219.4791667</v>
      </c>
      <c r="CO380" s="94">
        <f t="shared" si="301"/>
        <v>219.4791667</v>
      </c>
    </row>
    <row r="381" ht="15.75" customHeight="1">
      <c r="A381" s="91"/>
      <c r="B381" s="91"/>
      <c r="C381" s="91"/>
      <c r="D381" s="91"/>
      <c r="E381" s="91"/>
      <c r="F381" s="91"/>
      <c r="G381" s="91"/>
      <c r="H381" s="91"/>
      <c r="I381" s="91"/>
      <c r="J381" s="91"/>
      <c r="K381" s="91"/>
      <c r="L381" s="91"/>
      <c r="M381" s="91"/>
      <c r="N381" s="91"/>
      <c r="O381" s="91"/>
      <c r="P381" s="91"/>
      <c r="Q381" s="91"/>
      <c r="R381" s="91"/>
      <c r="S381" s="91"/>
      <c r="T381" s="91"/>
      <c r="U381" s="96">
        <v>45291.0</v>
      </c>
      <c r="BM381" s="94">
        <f t="shared" ref="BM381:CP381" si="302">+$BM$53*$U$59*$X$59</f>
        <v>156.7708333</v>
      </c>
      <c r="BN381" s="94">
        <f t="shared" si="302"/>
        <v>156.7708333</v>
      </c>
      <c r="BO381" s="94">
        <f t="shared" si="302"/>
        <v>156.7708333</v>
      </c>
      <c r="BP381" s="94">
        <f t="shared" si="302"/>
        <v>156.7708333</v>
      </c>
      <c r="BQ381" s="94">
        <f t="shared" si="302"/>
        <v>156.7708333</v>
      </c>
      <c r="BR381" s="94">
        <f t="shared" si="302"/>
        <v>156.7708333</v>
      </c>
      <c r="BS381" s="94">
        <f t="shared" si="302"/>
        <v>156.7708333</v>
      </c>
      <c r="BT381" s="94">
        <f t="shared" si="302"/>
        <v>156.7708333</v>
      </c>
      <c r="BU381" s="94">
        <f t="shared" si="302"/>
        <v>156.7708333</v>
      </c>
      <c r="BV381" s="94">
        <f t="shared" si="302"/>
        <v>156.7708333</v>
      </c>
      <c r="BW381" s="94">
        <f t="shared" si="302"/>
        <v>156.7708333</v>
      </c>
      <c r="BX381" s="94">
        <f t="shared" si="302"/>
        <v>156.7708333</v>
      </c>
      <c r="BY381" s="94">
        <f t="shared" si="302"/>
        <v>156.7708333</v>
      </c>
      <c r="BZ381" s="94">
        <f t="shared" si="302"/>
        <v>156.7708333</v>
      </c>
      <c r="CA381" s="94">
        <f t="shared" si="302"/>
        <v>156.7708333</v>
      </c>
      <c r="CB381" s="94">
        <f t="shared" si="302"/>
        <v>156.7708333</v>
      </c>
      <c r="CC381" s="94">
        <f t="shared" si="302"/>
        <v>156.7708333</v>
      </c>
      <c r="CD381" s="94">
        <f t="shared" si="302"/>
        <v>156.7708333</v>
      </c>
      <c r="CE381" s="94">
        <f t="shared" si="302"/>
        <v>156.7708333</v>
      </c>
      <c r="CF381" s="94">
        <f t="shared" si="302"/>
        <v>156.7708333</v>
      </c>
      <c r="CG381" s="94">
        <f t="shared" si="302"/>
        <v>156.7708333</v>
      </c>
      <c r="CH381" s="94">
        <f t="shared" si="302"/>
        <v>156.7708333</v>
      </c>
      <c r="CI381" s="94">
        <f t="shared" si="302"/>
        <v>156.7708333</v>
      </c>
      <c r="CJ381" s="94">
        <f t="shared" si="302"/>
        <v>156.7708333</v>
      </c>
      <c r="CK381" s="94">
        <f t="shared" si="302"/>
        <v>156.7708333</v>
      </c>
      <c r="CL381" s="94">
        <f t="shared" si="302"/>
        <v>156.7708333</v>
      </c>
      <c r="CM381" s="94">
        <f t="shared" si="302"/>
        <v>156.7708333</v>
      </c>
      <c r="CN381" s="94">
        <f t="shared" si="302"/>
        <v>156.7708333</v>
      </c>
      <c r="CO381" s="94">
        <f t="shared" si="302"/>
        <v>156.7708333</v>
      </c>
      <c r="CP381" s="94">
        <f t="shared" si="302"/>
        <v>156.7708333</v>
      </c>
    </row>
    <row r="382" ht="15.75" customHeight="1">
      <c r="A382" s="91"/>
      <c r="B382" s="91"/>
      <c r="C382" s="91"/>
      <c r="D382" s="91"/>
      <c r="E382" s="91"/>
      <c r="F382" s="91"/>
      <c r="G382" s="91"/>
      <c r="H382" s="91"/>
      <c r="I382" s="91"/>
      <c r="J382" s="91"/>
      <c r="K382" s="91"/>
      <c r="L382" s="91"/>
      <c r="M382" s="91"/>
      <c r="N382" s="91"/>
      <c r="O382" s="91"/>
      <c r="P382" s="91"/>
      <c r="Q382" s="91"/>
      <c r="R382" s="91"/>
      <c r="S382" s="91"/>
      <c r="T382" s="91"/>
      <c r="U382" s="96">
        <v>45322.0</v>
      </c>
      <c r="BN382" s="94">
        <f t="shared" ref="BN382:CQ382" si="303">+$BN$53*$U$59*$X$59</f>
        <v>250.8333333</v>
      </c>
      <c r="BO382" s="94">
        <f t="shared" si="303"/>
        <v>250.8333333</v>
      </c>
      <c r="BP382" s="94">
        <f t="shared" si="303"/>
        <v>250.8333333</v>
      </c>
      <c r="BQ382" s="94">
        <f t="shared" si="303"/>
        <v>250.8333333</v>
      </c>
      <c r="BR382" s="94">
        <f t="shared" si="303"/>
        <v>250.8333333</v>
      </c>
      <c r="BS382" s="94">
        <f t="shared" si="303"/>
        <v>250.8333333</v>
      </c>
      <c r="BT382" s="94">
        <f t="shared" si="303"/>
        <v>250.8333333</v>
      </c>
      <c r="BU382" s="94">
        <f t="shared" si="303"/>
        <v>250.8333333</v>
      </c>
      <c r="BV382" s="94">
        <f t="shared" si="303"/>
        <v>250.8333333</v>
      </c>
      <c r="BW382" s="94">
        <f t="shared" si="303"/>
        <v>250.8333333</v>
      </c>
      <c r="BX382" s="94">
        <f t="shared" si="303"/>
        <v>250.8333333</v>
      </c>
      <c r="BY382" s="94">
        <f t="shared" si="303"/>
        <v>250.8333333</v>
      </c>
      <c r="BZ382" s="94">
        <f t="shared" si="303"/>
        <v>250.8333333</v>
      </c>
      <c r="CA382" s="94">
        <f t="shared" si="303"/>
        <v>250.8333333</v>
      </c>
      <c r="CB382" s="94">
        <f t="shared" si="303"/>
        <v>250.8333333</v>
      </c>
      <c r="CC382" s="94">
        <f t="shared" si="303"/>
        <v>250.8333333</v>
      </c>
      <c r="CD382" s="94">
        <f t="shared" si="303"/>
        <v>250.8333333</v>
      </c>
      <c r="CE382" s="94">
        <f t="shared" si="303"/>
        <v>250.8333333</v>
      </c>
      <c r="CF382" s="94">
        <f t="shared" si="303"/>
        <v>250.8333333</v>
      </c>
      <c r="CG382" s="94">
        <f t="shared" si="303"/>
        <v>250.8333333</v>
      </c>
      <c r="CH382" s="94">
        <f t="shared" si="303"/>
        <v>250.8333333</v>
      </c>
      <c r="CI382" s="94">
        <f t="shared" si="303"/>
        <v>250.8333333</v>
      </c>
      <c r="CJ382" s="94">
        <f t="shared" si="303"/>
        <v>250.8333333</v>
      </c>
      <c r="CK382" s="94">
        <f t="shared" si="303"/>
        <v>250.8333333</v>
      </c>
      <c r="CL382" s="94">
        <f t="shared" si="303"/>
        <v>250.8333333</v>
      </c>
      <c r="CM382" s="94">
        <f t="shared" si="303"/>
        <v>250.8333333</v>
      </c>
      <c r="CN382" s="94">
        <f t="shared" si="303"/>
        <v>250.8333333</v>
      </c>
      <c r="CO382" s="94">
        <f t="shared" si="303"/>
        <v>250.8333333</v>
      </c>
      <c r="CP382" s="94">
        <f t="shared" si="303"/>
        <v>250.8333333</v>
      </c>
      <c r="CQ382" s="94">
        <f t="shared" si="303"/>
        <v>250.8333333</v>
      </c>
    </row>
    <row r="383" ht="15.75" customHeight="1">
      <c r="A383" s="91"/>
      <c r="B383" s="91"/>
      <c r="C383" s="91"/>
      <c r="D383" s="91"/>
      <c r="E383" s="91"/>
      <c r="F383" s="91"/>
      <c r="G383" s="91"/>
      <c r="H383" s="91"/>
      <c r="I383" s="91"/>
      <c r="J383" s="91"/>
      <c r="K383" s="91"/>
      <c r="L383" s="91"/>
      <c r="M383" s="91"/>
      <c r="N383" s="91"/>
      <c r="O383" s="91"/>
      <c r="P383" s="91"/>
      <c r="Q383" s="91"/>
      <c r="R383" s="91"/>
      <c r="S383" s="91"/>
      <c r="T383" s="91"/>
      <c r="U383" s="96">
        <v>45351.0</v>
      </c>
      <c r="BO383" s="94">
        <f t="shared" ref="BO383:CR383" si="304">+$BO$53*$U$59*$X$59</f>
        <v>376.25</v>
      </c>
      <c r="BP383" s="94">
        <f t="shared" si="304"/>
        <v>376.25</v>
      </c>
      <c r="BQ383" s="94">
        <f t="shared" si="304"/>
        <v>376.25</v>
      </c>
      <c r="BR383" s="94">
        <f t="shared" si="304"/>
        <v>376.25</v>
      </c>
      <c r="BS383" s="94">
        <f t="shared" si="304"/>
        <v>376.25</v>
      </c>
      <c r="BT383" s="94">
        <f t="shared" si="304"/>
        <v>376.25</v>
      </c>
      <c r="BU383" s="94">
        <f t="shared" si="304"/>
        <v>376.25</v>
      </c>
      <c r="BV383" s="94">
        <f t="shared" si="304"/>
        <v>376.25</v>
      </c>
      <c r="BW383" s="94">
        <f t="shared" si="304"/>
        <v>376.25</v>
      </c>
      <c r="BX383" s="94">
        <f t="shared" si="304"/>
        <v>376.25</v>
      </c>
      <c r="BY383" s="94">
        <f t="shared" si="304"/>
        <v>376.25</v>
      </c>
      <c r="BZ383" s="94">
        <f t="shared" si="304"/>
        <v>376.25</v>
      </c>
      <c r="CA383" s="94">
        <f t="shared" si="304"/>
        <v>376.25</v>
      </c>
      <c r="CB383" s="94">
        <f t="shared" si="304"/>
        <v>376.25</v>
      </c>
      <c r="CC383" s="94">
        <f t="shared" si="304"/>
        <v>376.25</v>
      </c>
      <c r="CD383" s="94">
        <f t="shared" si="304"/>
        <v>376.25</v>
      </c>
      <c r="CE383" s="94">
        <f t="shared" si="304"/>
        <v>376.25</v>
      </c>
      <c r="CF383" s="94">
        <f t="shared" si="304"/>
        <v>376.25</v>
      </c>
      <c r="CG383" s="94">
        <f t="shared" si="304"/>
        <v>376.25</v>
      </c>
      <c r="CH383" s="94">
        <f t="shared" si="304"/>
        <v>376.25</v>
      </c>
      <c r="CI383" s="94">
        <f t="shared" si="304"/>
        <v>376.25</v>
      </c>
      <c r="CJ383" s="94">
        <f t="shared" si="304"/>
        <v>376.25</v>
      </c>
      <c r="CK383" s="94">
        <f t="shared" si="304"/>
        <v>376.25</v>
      </c>
      <c r="CL383" s="94">
        <f t="shared" si="304"/>
        <v>376.25</v>
      </c>
      <c r="CM383" s="94">
        <f t="shared" si="304"/>
        <v>376.25</v>
      </c>
      <c r="CN383" s="94">
        <f t="shared" si="304"/>
        <v>376.25</v>
      </c>
      <c r="CO383" s="94">
        <f t="shared" si="304"/>
        <v>376.25</v>
      </c>
      <c r="CP383" s="94">
        <f t="shared" si="304"/>
        <v>376.25</v>
      </c>
      <c r="CQ383" s="94">
        <f t="shared" si="304"/>
        <v>376.25</v>
      </c>
      <c r="CR383" s="94">
        <f t="shared" si="304"/>
        <v>376.25</v>
      </c>
    </row>
    <row r="384" ht="15.75" customHeight="1">
      <c r="A384" s="91"/>
      <c r="B384" s="91"/>
      <c r="C384" s="91"/>
      <c r="D384" s="91"/>
      <c r="E384" s="91"/>
      <c r="F384" s="91"/>
      <c r="G384" s="91"/>
      <c r="H384" s="91"/>
      <c r="I384" s="91"/>
      <c r="J384" s="91"/>
      <c r="K384" s="91"/>
      <c r="L384" s="91"/>
      <c r="M384" s="91"/>
      <c r="N384" s="91"/>
      <c r="O384" s="91"/>
      <c r="P384" s="91"/>
      <c r="Q384" s="91"/>
      <c r="R384" s="91"/>
      <c r="S384" s="91"/>
      <c r="T384" s="91"/>
      <c r="U384" s="96">
        <v>45382.0</v>
      </c>
      <c r="BP384" s="94">
        <f t="shared" ref="BP384:CS384" si="305">+$BP$53*$U$59*$X$59</f>
        <v>627.0833333</v>
      </c>
      <c r="BQ384" s="94">
        <f t="shared" si="305"/>
        <v>627.0833333</v>
      </c>
      <c r="BR384" s="94">
        <f t="shared" si="305"/>
        <v>627.0833333</v>
      </c>
      <c r="BS384" s="94">
        <f t="shared" si="305"/>
        <v>627.0833333</v>
      </c>
      <c r="BT384" s="94">
        <f t="shared" si="305"/>
        <v>627.0833333</v>
      </c>
      <c r="BU384" s="94">
        <f t="shared" si="305"/>
        <v>627.0833333</v>
      </c>
      <c r="BV384" s="94">
        <f t="shared" si="305"/>
        <v>627.0833333</v>
      </c>
      <c r="BW384" s="94">
        <f t="shared" si="305"/>
        <v>627.0833333</v>
      </c>
      <c r="BX384" s="94">
        <f t="shared" si="305"/>
        <v>627.0833333</v>
      </c>
      <c r="BY384" s="94">
        <f t="shared" si="305"/>
        <v>627.0833333</v>
      </c>
      <c r="BZ384" s="94">
        <f t="shared" si="305"/>
        <v>627.0833333</v>
      </c>
      <c r="CA384" s="94">
        <f t="shared" si="305"/>
        <v>627.0833333</v>
      </c>
      <c r="CB384" s="94">
        <f t="shared" si="305"/>
        <v>627.0833333</v>
      </c>
      <c r="CC384" s="94">
        <f t="shared" si="305"/>
        <v>627.0833333</v>
      </c>
      <c r="CD384" s="94">
        <f t="shared" si="305"/>
        <v>627.0833333</v>
      </c>
      <c r="CE384" s="94">
        <f t="shared" si="305"/>
        <v>627.0833333</v>
      </c>
      <c r="CF384" s="94">
        <f t="shared" si="305"/>
        <v>627.0833333</v>
      </c>
      <c r="CG384" s="94">
        <f t="shared" si="305"/>
        <v>627.0833333</v>
      </c>
      <c r="CH384" s="94">
        <f t="shared" si="305"/>
        <v>627.0833333</v>
      </c>
      <c r="CI384" s="94">
        <f t="shared" si="305"/>
        <v>627.0833333</v>
      </c>
      <c r="CJ384" s="94">
        <f t="shared" si="305"/>
        <v>627.0833333</v>
      </c>
      <c r="CK384" s="94">
        <f t="shared" si="305"/>
        <v>627.0833333</v>
      </c>
      <c r="CL384" s="94">
        <f t="shared" si="305"/>
        <v>627.0833333</v>
      </c>
      <c r="CM384" s="94">
        <f t="shared" si="305"/>
        <v>627.0833333</v>
      </c>
      <c r="CN384" s="94">
        <f t="shared" si="305"/>
        <v>627.0833333</v>
      </c>
      <c r="CO384" s="94">
        <f t="shared" si="305"/>
        <v>627.0833333</v>
      </c>
      <c r="CP384" s="94">
        <f t="shared" si="305"/>
        <v>627.0833333</v>
      </c>
      <c r="CQ384" s="94">
        <f t="shared" si="305"/>
        <v>627.0833333</v>
      </c>
      <c r="CR384" s="94">
        <f t="shared" si="305"/>
        <v>627.0833333</v>
      </c>
      <c r="CS384" s="94">
        <f t="shared" si="305"/>
        <v>627.0833333</v>
      </c>
    </row>
    <row r="385" ht="15.75" customHeight="1">
      <c r="A385" s="91"/>
      <c r="B385" s="91"/>
      <c r="C385" s="91"/>
      <c r="D385" s="91"/>
      <c r="E385" s="91"/>
      <c r="F385" s="91"/>
      <c r="G385" s="91"/>
      <c r="H385" s="91"/>
      <c r="I385" s="91"/>
      <c r="J385" s="91"/>
      <c r="K385" s="91"/>
      <c r="L385" s="91"/>
      <c r="M385" s="91"/>
      <c r="N385" s="91"/>
      <c r="O385" s="91"/>
      <c r="P385" s="91"/>
      <c r="Q385" s="91"/>
      <c r="R385" s="91"/>
      <c r="S385" s="91"/>
      <c r="T385" s="91"/>
      <c r="U385" s="96">
        <v>45412.0</v>
      </c>
      <c r="BQ385" s="94">
        <f t="shared" ref="BQ385:CT385" si="306">+$BQ$53*$U$59*$X$59</f>
        <v>627.0833333</v>
      </c>
      <c r="BR385" s="94">
        <f t="shared" si="306"/>
        <v>627.0833333</v>
      </c>
      <c r="BS385" s="94">
        <f t="shared" si="306"/>
        <v>627.0833333</v>
      </c>
      <c r="BT385" s="94">
        <f t="shared" si="306"/>
        <v>627.0833333</v>
      </c>
      <c r="BU385" s="94">
        <f t="shared" si="306"/>
        <v>627.0833333</v>
      </c>
      <c r="BV385" s="94">
        <f t="shared" si="306"/>
        <v>627.0833333</v>
      </c>
      <c r="BW385" s="94">
        <f t="shared" si="306"/>
        <v>627.0833333</v>
      </c>
      <c r="BX385" s="94">
        <f t="shared" si="306"/>
        <v>627.0833333</v>
      </c>
      <c r="BY385" s="94">
        <f t="shared" si="306"/>
        <v>627.0833333</v>
      </c>
      <c r="BZ385" s="94">
        <f t="shared" si="306"/>
        <v>627.0833333</v>
      </c>
      <c r="CA385" s="94">
        <f t="shared" si="306"/>
        <v>627.0833333</v>
      </c>
      <c r="CB385" s="94">
        <f t="shared" si="306"/>
        <v>627.0833333</v>
      </c>
      <c r="CC385" s="94">
        <f t="shared" si="306"/>
        <v>627.0833333</v>
      </c>
      <c r="CD385" s="94">
        <f t="shared" si="306"/>
        <v>627.0833333</v>
      </c>
      <c r="CE385" s="94">
        <f t="shared" si="306"/>
        <v>627.0833333</v>
      </c>
      <c r="CF385" s="94">
        <f t="shared" si="306"/>
        <v>627.0833333</v>
      </c>
      <c r="CG385" s="94">
        <f t="shared" si="306"/>
        <v>627.0833333</v>
      </c>
      <c r="CH385" s="94">
        <f t="shared" si="306"/>
        <v>627.0833333</v>
      </c>
      <c r="CI385" s="94">
        <f t="shared" si="306"/>
        <v>627.0833333</v>
      </c>
      <c r="CJ385" s="94">
        <f t="shared" si="306"/>
        <v>627.0833333</v>
      </c>
      <c r="CK385" s="94">
        <f t="shared" si="306"/>
        <v>627.0833333</v>
      </c>
      <c r="CL385" s="94">
        <f t="shared" si="306"/>
        <v>627.0833333</v>
      </c>
      <c r="CM385" s="94">
        <f t="shared" si="306"/>
        <v>627.0833333</v>
      </c>
      <c r="CN385" s="94">
        <f t="shared" si="306"/>
        <v>627.0833333</v>
      </c>
      <c r="CO385" s="94">
        <f t="shared" si="306"/>
        <v>627.0833333</v>
      </c>
      <c r="CP385" s="94">
        <f t="shared" si="306"/>
        <v>627.0833333</v>
      </c>
      <c r="CQ385" s="94">
        <f t="shared" si="306"/>
        <v>627.0833333</v>
      </c>
      <c r="CR385" s="94">
        <f t="shared" si="306"/>
        <v>627.0833333</v>
      </c>
      <c r="CS385" s="94">
        <f t="shared" si="306"/>
        <v>627.0833333</v>
      </c>
      <c r="CT385" s="94">
        <f t="shared" si="306"/>
        <v>627.0833333</v>
      </c>
    </row>
    <row r="386" ht="15.75" customHeight="1">
      <c r="A386" s="91"/>
      <c r="B386" s="91"/>
      <c r="C386" s="91"/>
      <c r="D386" s="91"/>
      <c r="E386" s="91"/>
      <c r="F386" s="91"/>
      <c r="G386" s="91"/>
      <c r="H386" s="91"/>
      <c r="I386" s="91"/>
      <c r="J386" s="91"/>
      <c r="K386" s="91"/>
      <c r="L386" s="91"/>
      <c r="M386" s="91"/>
      <c r="N386" s="91"/>
      <c r="O386" s="91"/>
      <c r="P386" s="91"/>
      <c r="Q386" s="91"/>
      <c r="R386" s="91"/>
      <c r="S386" s="91"/>
      <c r="T386" s="91"/>
      <c r="U386" s="96">
        <v>45443.0</v>
      </c>
      <c r="BR386" s="94">
        <f t="shared" ref="BR386:CU386" si="307">+$BR$53*$U$59*$X$59</f>
        <v>696.7592593</v>
      </c>
      <c r="BS386" s="94">
        <f t="shared" si="307"/>
        <v>696.7592593</v>
      </c>
      <c r="BT386" s="94">
        <f t="shared" si="307"/>
        <v>696.7592593</v>
      </c>
      <c r="BU386" s="94">
        <f t="shared" si="307"/>
        <v>696.7592593</v>
      </c>
      <c r="BV386" s="94">
        <f t="shared" si="307"/>
        <v>696.7592593</v>
      </c>
      <c r="BW386" s="94">
        <f t="shared" si="307"/>
        <v>696.7592593</v>
      </c>
      <c r="BX386" s="94">
        <f t="shared" si="307"/>
        <v>696.7592593</v>
      </c>
      <c r="BY386" s="94">
        <f t="shared" si="307"/>
        <v>696.7592593</v>
      </c>
      <c r="BZ386" s="94">
        <f t="shared" si="307"/>
        <v>696.7592593</v>
      </c>
      <c r="CA386" s="94">
        <f t="shared" si="307"/>
        <v>696.7592593</v>
      </c>
      <c r="CB386" s="94">
        <f t="shared" si="307"/>
        <v>696.7592593</v>
      </c>
      <c r="CC386" s="94">
        <f t="shared" si="307"/>
        <v>696.7592593</v>
      </c>
      <c r="CD386" s="94">
        <f t="shared" si="307"/>
        <v>696.7592593</v>
      </c>
      <c r="CE386" s="94">
        <f t="shared" si="307"/>
        <v>696.7592593</v>
      </c>
      <c r="CF386" s="94">
        <f t="shared" si="307"/>
        <v>696.7592593</v>
      </c>
      <c r="CG386" s="94">
        <f t="shared" si="307"/>
        <v>696.7592593</v>
      </c>
      <c r="CH386" s="94">
        <f t="shared" si="307"/>
        <v>696.7592593</v>
      </c>
      <c r="CI386" s="94">
        <f t="shared" si="307"/>
        <v>696.7592593</v>
      </c>
      <c r="CJ386" s="94">
        <f t="shared" si="307"/>
        <v>696.7592593</v>
      </c>
      <c r="CK386" s="94">
        <f t="shared" si="307"/>
        <v>696.7592593</v>
      </c>
      <c r="CL386" s="94">
        <f t="shared" si="307"/>
        <v>696.7592593</v>
      </c>
      <c r="CM386" s="94">
        <f t="shared" si="307"/>
        <v>696.7592593</v>
      </c>
      <c r="CN386" s="94">
        <f t="shared" si="307"/>
        <v>696.7592593</v>
      </c>
      <c r="CO386" s="94">
        <f t="shared" si="307"/>
        <v>696.7592593</v>
      </c>
      <c r="CP386" s="94">
        <f t="shared" si="307"/>
        <v>696.7592593</v>
      </c>
      <c r="CQ386" s="94">
        <f t="shared" si="307"/>
        <v>696.7592593</v>
      </c>
      <c r="CR386" s="94">
        <f t="shared" si="307"/>
        <v>696.7592593</v>
      </c>
      <c r="CS386" s="94">
        <f t="shared" si="307"/>
        <v>696.7592593</v>
      </c>
      <c r="CT386" s="94">
        <f t="shared" si="307"/>
        <v>696.7592593</v>
      </c>
      <c r="CU386" s="94">
        <f t="shared" si="307"/>
        <v>696.7592593</v>
      </c>
    </row>
    <row r="387" ht="15.75" customHeight="1">
      <c r="A387" s="91"/>
      <c r="B387" s="91"/>
      <c r="C387" s="91"/>
      <c r="D387" s="91"/>
      <c r="E387" s="91"/>
      <c r="F387" s="91"/>
      <c r="G387" s="91"/>
      <c r="H387" s="91"/>
      <c r="I387" s="91"/>
      <c r="J387" s="91"/>
      <c r="K387" s="91"/>
      <c r="L387" s="91"/>
      <c r="M387" s="91"/>
      <c r="N387" s="91"/>
      <c r="O387" s="91"/>
      <c r="P387" s="91"/>
      <c r="Q387" s="91"/>
      <c r="R387" s="91"/>
      <c r="S387" s="91"/>
      <c r="T387" s="91"/>
      <c r="U387" s="96">
        <v>45473.0</v>
      </c>
      <c r="BS387" s="94">
        <f t="shared" ref="BS387:CV387" si="308">+$BS$53*$U$59*$X$59</f>
        <v>696.7592593</v>
      </c>
      <c r="BT387" s="94">
        <f t="shared" si="308"/>
        <v>696.7592593</v>
      </c>
      <c r="BU387" s="94">
        <f t="shared" si="308"/>
        <v>696.7592593</v>
      </c>
      <c r="BV387" s="94">
        <f t="shared" si="308"/>
        <v>696.7592593</v>
      </c>
      <c r="BW387" s="94">
        <f t="shared" si="308"/>
        <v>696.7592593</v>
      </c>
      <c r="BX387" s="94">
        <f t="shared" si="308"/>
        <v>696.7592593</v>
      </c>
      <c r="BY387" s="94">
        <f t="shared" si="308"/>
        <v>696.7592593</v>
      </c>
      <c r="BZ387" s="94">
        <f t="shared" si="308"/>
        <v>696.7592593</v>
      </c>
      <c r="CA387" s="94">
        <f t="shared" si="308"/>
        <v>696.7592593</v>
      </c>
      <c r="CB387" s="94">
        <f t="shared" si="308"/>
        <v>696.7592593</v>
      </c>
      <c r="CC387" s="94">
        <f t="shared" si="308"/>
        <v>696.7592593</v>
      </c>
      <c r="CD387" s="94">
        <f t="shared" si="308"/>
        <v>696.7592593</v>
      </c>
      <c r="CE387" s="94">
        <f t="shared" si="308"/>
        <v>696.7592593</v>
      </c>
      <c r="CF387" s="94">
        <f t="shared" si="308"/>
        <v>696.7592593</v>
      </c>
      <c r="CG387" s="94">
        <f t="shared" si="308"/>
        <v>696.7592593</v>
      </c>
      <c r="CH387" s="94">
        <f t="shared" si="308"/>
        <v>696.7592593</v>
      </c>
      <c r="CI387" s="94">
        <f t="shared" si="308"/>
        <v>696.7592593</v>
      </c>
      <c r="CJ387" s="94">
        <f t="shared" si="308"/>
        <v>696.7592593</v>
      </c>
      <c r="CK387" s="94">
        <f t="shared" si="308"/>
        <v>696.7592593</v>
      </c>
      <c r="CL387" s="94">
        <f t="shared" si="308"/>
        <v>696.7592593</v>
      </c>
      <c r="CM387" s="94">
        <f t="shared" si="308"/>
        <v>696.7592593</v>
      </c>
      <c r="CN387" s="94">
        <f t="shared" si="308"/>
        <v>696.7592593</v>
      </c>
      <c r="CO387" s="94">
        <f t="shared" si="308"/>
        <v>696.7592593</v>
      </c>
      <c r="CP387" s="94">
        <f t="shared" si="308"/>
        <v>696.7592593</v>
      </c>
      <c r="CQ387" s="94">
        <f t="shared" si="308"/>
        <v>696.7592593</v>
      </c>
      <c r="CR387" s="94">
        <f t="shared" si="308"/>
        <v>696.7592593</v>
      </c>
      <c r="CS387" s="94">
        <f t="shared" si="308"/>
        <v>696.7592593</v>
      </c>
      <c r="CT387" s="94">
        <f t="shared" si="308"/>
        <v>696.7592593</v>
      </c>
      <c r="CU387" s="94">
        <f t="shared" si="308"/>
        <v>696.7592593</v>
      </c>
      <c r="CV387" s="94">
        <f t="shared" si="308"/>
        <v>696.7592593</v>
      </c>
    </row>
    <row r="388" ht="15.75" customHeight="1">
      <c r="A388" s="91"/>
      <c r="B388" s="91"/>
      <c r="C388" s="91"/>
      <c r="D388" s="91"/>
      <c r="E388" s="91"/>
      <c r="F388" s="91"/>
      <c r="G388" s="91"/>
      <c r="H388" s="91"/>
      <c r="I388" s="91"/>
      <c r="J388" s="91"/>
      <c r="K388" s="91"/>
      <c r="L388" s="91"/>
      <c r="M388" s="91"/>
      <c r="N388" s="91"/>
      <c r="O388" s="91"/>
      <c r="P388" s="91"/>
      <c r="Q388" s="91"/>
      <c r="R388" s="91"/>
      <c r="S388" s="91"/>
      <c r="T388" s="91"/>
      <c r="U388" s="96">
        <v>45504.0</v>
      </c>
      <c r="BT388" s="94">
        <f t="shared" ref="BT388:CW388" si="309">+$BT$53*$U$59*$X$59</f>
        <v>783.8541667</v>
      </c>
      <c r="BU388" s="94">
        <f t="shared" si="309"/>
        <v>783.8541667</v>
      </c>
      <c r="BV388" s="94">
        <f t="shared" si="309"/>
        <v>783.8541667</v>
      </c>
      <c r="BW388" s="94">
        <f t="shared" si="309"/>
        <v>783.8541667</v>
      </c>
      <c r="BX388" s="94">
        <f t="shared" si="309"/>
        <v>783.8541667</v>
      </c>
      <c r="BY388" s="94">
        <f t="shared" si="309"/>
        <v>783.8541667</v>
      </c>
      <c r="BZ388" s="94">
        <f t="shared" si="309"/>
        <v>783.8541667</v>
      </c>
      <c r="CA388" s="94">
        <f t="shared" si="309"/>
        <v>783.8541667</v>
      </c>
      <c r="CB388" s="94">
        <f t="shared" si="309"/>
        <v>783.8541667</v>
      </c>
      <c r="CC388" s="94">
        <f t="shared" si="309"/>
        <v>783.8541667</v>
      </c>
      <c r="CD388" s="94">
        <f t="shared" si="309"/>
        <v>783.8541667</v>
      </c>
      <c r="CE388" s="94">
        <f t="shared" si="309"/>
        <v>783.8541667</v>
      </c>
      <c r="CF388" s="94">
        <f t="shared" si="309"/>
        <v>783.8541667</v>
      </c>
      <c r="CG388" s="94">
        <f t="shared" si="309"/>
        <v>783.8541667</v>
      </c>
      <c r="CH388" s="94">
        <f t="shared" si="309"/>
        <v>783.8541667</v>
      </c>
      <c r="CI388" s="94">
        <f t="shared" si="309"/>
        <v>783.8541667</v>
      </c>
      <c r="CJ388" s="94">
        <f t="shared" si="309"/>
        <v>783.8541667</v>
      </c>
      <c r="CK388" s="94">
        <f t="shared" si="309"/>
        <v>783.8541667</v>
      </c>
      <c r="CL388" s="94">
        <f t="shared" si="309"/>
        <v>783.8541667</v>
      </c>
      <c r="CM388" s="94">
        <f t="shared" si="309"/>
        <v>783.8541667</v>
      </c>
      <c r="CN388" s="94">
        <f t="shared" si="309"/>
        <v>783.8541667</v>
      </c>
      <c r="CO388" s="94">
        <f t="shared" si="309"/>
        <v>783.8541667</v>
      </c>
      <c r="CP388" s="94">
        <f t="shared" si="309"/>
        <v>783.8541667</v>
      </c>
      <c r="CQ388" s="94">
        <f t="shared" si="309"/>
        <v>783.8541667</v>
      </c>
      <c r="CR388" s="94">
        <f t="shared" si="309"/>
        <v>783.8541667</v>
      </c>
      <c r="CS388" s="94">
        <f t="shared" si="309"/>
        <v>783.8541667</v>
      </c>
      <c r="CT388" s="94">
        <f t="shared" si="309"/>
        <v>783.8541667</v>
      </c>
      <c r="CU388" s="94">
        <f t="shared" si="309"/>
        <v>783.8541667</v>
      </c>
      <c r="CV388" s="94">
        <f t="shared" si="309"/>
        <v>783.8541667</v>
      </c>
      <c r="CW388" s="94">
        <f t="shared" si="309"/>
        <v>783.8541667</v>
      </c>
    </row>
    <row r="389" ht="15.75" customHeight="1">
      <c r="A389" s="91"/>
      <c r="B389" s="91"/>
      <c r="C389" s="91"/>
      <c r="D389" s="91"/>
      <c r="E389" s="91"/>
      <c r="F389" s="91"/>
      <c r="G389" s="91"/>
      <c r="H389" s="91"/>
      <c r="I389" s="91"/>
      <c r="J389" s="91"/>
      <c r="K389" s="91"/>
      <c r="L389" s="91"/>
      <c r="M389" s="91"/>
      <c r="N389" s="91"/>
      <c r="O389" s="91"/>
      <c r="P389" s="91"/>
      <c r="Q389" s="91"/>
      <c r="R389" s="91"/>
      <c r="S389" s="91"/>
      <c r="T389" s="91"/>
      <c r="U389" s="96">
        <v>45535.0</v>
      </c>
      <c r="BU389" s="94">
        <f t="shared" ref="BU389:CX389" si="310">+$BU$53*$U$59*$X$59</f>
        <v>895.8333333</v>
      </c>
      <c r="BV389" s="94">
        <f t="shared" si="310"/>
        <v>895.8333333</v>
      </c>
      <c r="BW389" s="94">
        <f t="shared" si="310"/>
        <v>895.8333333</v>
      </c>
      <c r="BX389" s="94">
        <f t="shared" si="310"/>
        <v>895.8333333</v>
      </c>
      <c r="BY389" s="94">
        <f t="shared" si="310"/>
        <v>895.8333333</v>
      </c>
      <c r="BZ389" s="94">
        <f t="shared" si="310"/>
        <v>895.8333333</v>
      </c>
      <c r="CA389" s="94">
        <f t="shared" si="310"/>
        <v>895.8333333</v>
      </c>
      <c r="CB389" s="94">
        <f t="shared" si="310"/>
        <v>895.8333333</v>
      </c>
      <c r="CC389" s="94">
        <f t="shared" si="310"/>
        <v>895.8333333</v>
      </c>
      <c r="CD389" s="94">
        <f t="shared" si="310"/>
        <v>895.8333333</v>
      </c>
      <c r="CE389" s="94">
        <f t="shared" si="310"/>
        <v>895.8333333</v>
      </c>
      <c r="CF389" s="94">
        <f t="shared" si="310"/>
        <v>895.8333333</v>
      </c>
      <c r="CG389" s="94">
        <f t="shared" si="310"/>
        <v>895.8333333</v>
      </c>
      <c r="CH389" s="94">
        <f t="shared" si="310"/>
        <v>895.8333333</v>
      </c>
      <c r="CI389" s="94">
        <f t="shared" si="310"/>
        <v>895.8333333</v>
      </c>
      <c r="CJ389" s="94">
        <f t="shared" si="310"/>
        <v>895.8333333</v>
      </c>
      <c r="CK389" s="94">
        <f t="shared" si="310"/>
        <v>895.8333333</v>
      </c>
      <c r="CL389" s="94">
        <f t="shared" si="310"/>
        <v>895.8333333</v>
      </c>
      <c r="CM389" s="94">
        <f t="shared" si="310"/>
        <v>895.8333333</v>
      </c>
      <c r="CN389" s="94">
        <f t="shared" si="310"/>
        <v>895.8333333</v>
      </c>
      <c r="CO389" s="94">
        <f t="shared" si="310"/>
        <v>895.8333333</v>
      </c>
      <c r="CP389" s="94">
        <f t="shared" si="310"/>
        <v>895.8333333</v>
      </c>
      <c r="CQ389" s="94">
        <f t="shared" si="310"/>
        <v>895.8333333</v>
      </c>
      <c r="CR389" s="94">
        <f t="shared" si="310"/>
        <v>895.8333333</v>
      </c>
      <c r="CS389" s="94">
        <f t="shared" si="310"/>
        <v>895.8333333</v>
      </c>
      <c r="CT389" s="94">
        <f t="shared" si="310"/>
        <v>895.8333333</v>
      </c>
      <c r="CU389" s="94">
        <f t="shared" si="310"/>
        <v>895.8333333</v>
      </c>
      <c r="CV389" s="94">
        <f t="shared" si="310"/>
        <v>895.8333333</v>
      </c>
      <c r="CW389" s="94">
        <f t="shared" si="310"/>
        <v>895.8333333</v>
      </c>
      <c r="CX389" s="94">
        <f t="shared" si="310"/>
        <v>895.8333333</v>
      </c>
    </row>
    <row r="390" ht="15.75" customHeight="1">
      <c r="A390" s="91"/>
      <c r="B390" s="91"/>
      <c r="C390" s="91"/>
      <c r="D390" s="91"/>
      <c r="E390" s="91"/>
      <c r="F390" s="91"/>
      <c r="G390" s="91"/>
      <c r="H390" s="91"/>
      <c r="I390" s="91"/>
      <c r="J390" s="91"/>
      <c r="K390" s="91"/>
      <c r="L390" s="91"/>
      <c r="M390" s="91"/>
      <c r="N390" s="91"/>
      <c r="O390" s="91"/>
      <c r="P390" s="91"/>
      <c r="Q390" s="91"/>
      <c r="R390" s="91"/>
      <c r="S390" s="91"/>
      <c r="T390" s="91"/>
      <c r="U390" s="96">
        <v>45565.0</v>
      </c>
      <c r="BV390" s="94">
        <f t="shared" ref="BV390:CY390" si="311">+$BV$53*$U$59*$X$59</f>
        <v>537.5</v>
      </c>
      <c r="BW390" s="94">
        <f t="shared" si="311"/>
        <v>537.5</v>
      </c>
      <c r="BX390" s="94">
        <f t="shared" si="311"/>
        <v>537.5</v>
      </c>
      <c r="BY390" s="94">
        <f t="shared" si="311"/>
        <v>537.5</v>
      </c>
      <c r="BZ390" s="94">
        <f t="shared" si="311"/>
        <v>537.5</v>
      </c>
      <c r="CA390" s="94">
        <f t="shared" si="311"/>
        <v>537.5</v>
      </c>
      <c r="CB390" s="94">
        <f t="shared" si="311"/>
        <v>537.5</v>
      </c>
      <c r="CC390" s="94">
        <f t="shared" si="311"/>
        <v>537.5</v>
      </c>
      <c r="CD390" s="94">
        <f t="shared" si="311"/>
        <v>537.5</v>
      </c>
      <c r="CE390" s="94">
        <f t="shared" si="311"/>
        <v>537.5</v>
      </c>
      <c r="CF390" s="94">
        <f t="shared" si="311"/>
        <v>537.5</v>
      </c>
      <c r="CG390" s="94">
        <f t="shared" si="311"/>
        <v>537.5</v>
      </c>
      <c r="CH390" s="94">
        <f t="shared" si="311"/>
        <v>537.5</v>
      </c>
      <c r="CI390" s="94">
        <f t="shared" si="311"/>
        <v>537.5</v>
      </c>
      <c r="CJ390" s="94">
        <f t="shared" si="311"/>
        <v>537.5</v>
      </c>
      <c r="CK390" s="94">
        <f t="shared" si="311"/>
        <v>537.5</v>
      </c>
      <c r="CL390" s="94">
        <f t="shared" si="311"/>
        <v>537.5</v>
      </c>
      <c r="CM390" s="94">
        <f t="shared" si="311"/>
        <v>537.5</v>
      </c>
      <c r="CN390" s="94">
        <f t="shared" si="311"/>
        <v>537.5</v>
      </c>
      <c r="CO390" s="94">
        <f t="shared" si="311"/>
        <v>537.5</v>
      </c>
      <c r="CP390" s="94">
        <f t="shared" si="311"/>
        <v>537.5</v>
      </c>
      <c r="CQ390" s="94">
        <f t="shared" si="311"/>
        <v>537.5</v>
      </c>
      <c r="CR390" s="94">
        <f t="shared" si="311"/>
        <v>537.5</v>
      </c>
      <c r="CS390" s="94">
        <f t="shared" si="311"/>
        <v>537.5</v>
      </c>
      <c r="CT390" s="94">
        <f t="shared" si="311"/>
        <v>537.5</v>
      </c>
      <c r="CU390" s="94">
        <f t="shared" si="311"/>
        <v>537.5</v>
      </c>
      <c r="CV390" s="94">
        <f t="shared" si="311"/>
        <v>537.5</v>
      </c>
      <c r="CW390" s="94">
        <f t="shared" si="311"/>
        <v>537.5</v>
      </c>
      <c r="CX390" s="94">
        <f t="shared" si="311"/>
        <v>537.5</v>
      </c>
      <c r="CY390" s="94">
        <f t="shared" si="311"/>
        <v>537.5</v>
      </c>
    </row>
    <row r="391" ht="15.75" customHeight="1">
      <c r="A391" s="91"/>
      <c r="B391" s="91"/>
      <c r="C391" s="91"/>
      <c r="D391" s="91"/>
      <c r="E391" s="91"/>
      <c r="F391" s="91"/>
      <c r="G391" s="91"/>
      <c r="H391" s="91"/>
      <c r="I391" s="91"/>
      <c r="J391" s="91"/>
      <c r="K391" s="91"/>
      <c r="L391" s="91"/>
      <c r="M391" s="91"/>
      <c r="N391" s="91"/>
      <c r="O391" s="91"/>
      <c r="P391" s="91"/>
      <c r="Q391" s="91"/>
      <c r="R391" s="91"/>
      <c r="S391" s="91"/>
      <c r="T391" s="91"/>
      <c r="U391" s="96">
        <v>45596.0</v>
      </c>
      <c r="BW391" s="94">
        <f t="shared" ref="BW391:CZ391" si="312">+$BW$53*$U$59*$X$59</f>
        <v>537.5</v>
      </c>
      <c r="BX391" s="94">
        <f t="shared" si="312"/>
        <v>537.5</v>
      </c>
      <c r="BY391" s="94">
        <f t="shared" si="312"/>
        <v>537.5</v>
      </c>
      <c r="BZ391" s="94">
        <f t="shared" si="312"/>
        <v>537.5</v>
      </c>
      <c r="CA391" s="94">
        <f t="shared" si="312"/>
        <v>537.5</v>
      </c>
      <c r="CB391" s="94">
        <f t="shared" si="312"/>
        <v>537.5</v>
      </c>
      <c r="CC391" s="94">
        <f t="shared" si="312"/>
        <v>537.5</v>
      </c>
      <c r="CD391" s="94">
        <f t="shared" si="312"/>
        <v>537.5</v>
      </c>
      <c r="CE391" s="94">
        <f t="shared" si="312"/>
        <v>537.5</v>
      </c>
      <c r="CF391" s="94">
        <f t="shared" si="312"/>
        <v>537.5</v>
      </c>
      <c r="CG391" s="94">
        <f t="shared" si="312"/>
        <v>537.5</v>
      </c>
      <c r="CH391" s="94">
        <f t="shared" si="312"/>
        <v>537.5</v>
      </c>
      <c r="CI391" s="94">
        <f t="shared" si="312"/>
        <v>537.5</v>
      </c>
      <c r="CJ391" s="94">
        <f t="shared" si="312"/>
        <v>537.5</v>
      </c>
      <c r="CK391" s="94">
        <f t="shared" si="312"/>
        <v>537.5</v>
      </c>
      <c r="CL391" s="94">
        <f t="shared" si="312"/>
        <v>537.5</v>
      </c>
      <c r="CM391" s="94">
        <f t="shared" si="312"/>
        <v>537.5</v>
      </c>
      <c r="CN391" s="94">
        <f t="shared" si="312"/>
        <v>537.5</v>
      </c>
      <c r="CO391" s="94">
        <f t="shared" si="312"/>
        <v>537.5</v>
      </c>
      <c r="CP391" s="94">
        <f t="shared" si="312"/>
        <v>537.5</v>
      </c>
      <c r="CQ391" s="94">
        <f t="shared" si="312"/>
        <v>537.5</v>
      </c>
      <c r="CR391" s="94">
        <f t="shared" si="312"/>
        <v>537.5</v>
      </c>
      <c r="CS391" s="94">
        <f t="shared" si="312"/>
        <v>537.5</v>
      </c>
      <c r="CT391" s="94">
        <f t="shared" si="312"/>
        <v>537.5</v>
      </c>
      <c r="CU391" s="94">
        <f t="shared" si="312"/>
        <v>537.5</v>
      </c>
      <c r="CV391" s="94">
        <f t="shared" si="312"/>
        <v>537.5</v>
      </c>
      <c r="CW391" s="94">
        <f t="shared" si="312"/>
        <v>537.5</v>
      </c>
      <c r="CX391" s="94">
        <f t="shared" si="312"/>
        <v>537.5</v>
      </c>
      <c r="CY391" s="94">
        <f t="shared" si="312"/>
        <v>537.5</v>
      </c>
      <c r="CZ391" s="94">
        <f t="shared" si="312"/>
        <v>537.5</v>
      </c>
    </row>
    <row r="392" ht="15.75" customHeight="1">
      <c r="A392" s="91"/>
      <c r="B392" s="91"/>
      <c r="C392" s="91"/>
      <c r="D392" s="91"/>
      <c r="E392" s="91"/>
      <c r="F392" s="91"/>
      <c r="G392" s="91"/>
      <c r="H392" s="91"/>
      <c r="I392" s="91"/>
      <c r="J392" s="91"/>
      <c r="K392" s="91"/>
      <c r="L392" s="91"/>
      <c r="M392" s="91"/>
      <c r="N392" s="91"/>
      <c r="O392" s="91"/>
      <c r="P392" s="91"/>
      <c r="Q392" s="91"/>
      <c r="R392" s="91"/>
      <c r="S392" s="91"/>
      <c r="T392" s="91"/>
      <c r="U392" s="96">
        <v>45626.0</v>
      </c>
      <c r="BX392" s="94">
        <f t="shared" ref="BX392:DA392" si="313">+$BX$53*$U$59*$X$59</f>
        <v>470.3125</v>
      </c>
      <c r="BY392" s="94">
        <f t="shared" si="313"/>
        <v>470.3125</v>
      </c>
      <c r="BZ392" s="94">
        <f t="shared" si="313"/>
        <v>470.3125</v>
      </c>
      <c r="CA392" s="94">
        <f t="shared" si="313"/>
        <v>470.3125</v>
      </c>
      <c r="CB392" s="94">
        <f t="shared" si="313"/>
        <v>470.3125</v>
      </c>
      <c r="CC392" s="94">
        <f t="shared" si="313"/>
        <v>470.3125</v>
      </c>
      <c r="CD392" s="94">
        <f t="shared" si="313"/>
        <v>470.3125</v>
      </c>
      <c r="CE392" s="94">
        <f t="shared" si="313"/>
        <v>470.3125</v>
      </c>
      <c r="CF392" s="94">
        <f t="shared" si="313"/>
        <v>470.3125</v>
      </c>
      <c r="CG392" s="94">
        <f t="shared" si="313"/>
        <v>470.3125</v>
      </c>
      <c r="CH392" s="94">
        <f t="shared" si="313"/>
        <v>470.3125</v>
      </c>
      <c r="CI392" s="94">
        <f t="shared" si="313"/>
        <v>470.3125</v>
      </c>
      <c r="CJ392" s="94">
        <f t="shared" si="313"/>
        <v>470.3125</v>
      </c>
      <c r="CK392" s="94">
        <f t="shared" si="313"/>
        <v>470.3125</v>
      </c>
      <c r="CL392" s="94">
        <f t="shared" si="313"/>
        <v>470.3125</v>
      </c>
      <c r="CM392" s="94">
        <f t="shared" si="313"/>
        <v>470.3125</v>
      </c>
      <c r="CN392" s="94">
        <f t="shared" si="313"/>
        <v>470.3125</v>
      </c>
      <c r="CO392" s="94">
        <f t="shared" si="313"/>
        <v>470.3125</v>
      </c>
      <c r="CP392" s="94">
        <f t="shared" si="313"/>
        <v>470.3125</v>
      </c>
      <c r="CQ392" s="94">
        <f t="shared" si="313"/>
        <v>470.3125</v>
      </c>
      <c r="CR392" s="94">
        <f t="shared" si="313"/>
        <v>470.3125</v>
      </c>
      <c r="CS392" s="94">
        <f t="shared" si="313"/>
        <v>470.3125</v>
      </c>
      <c r="CT392" s="94">
        <f t="shared" si="313"/>
        <v>470.3125</v>
      </c>
      <c r="CU392" s="94">
        <f t="shared" si="313"/>
        <v>470.3125</v>
      </c>
      <c r="CV392" s="94">
        <f t="shared" si="313"/>
        <v>470.3125</v>
      </c>
      <c r="CW392" s="94">
        <f t="shared" si="313"/>
        <v>470.3125</v>
      </c>
      <c r="CX392" s="94">
        <f t="shared" si="313"/>
        <v>470.3125</v>
      </c>
      <c r="CY392" s="94">
        <f t="shared" si="313"/>
        <v>470.3125</v>
      </c>
      <c r="CZ392" s="94">
        <f t="shared" si="313"/>
        <v>470.3125</v>
      </c>
      <c r="DA392" s="94">
        <f t="shared" si="313"/>
        <v>470.3125</v>
      </c>
    </row>
    <row r="393" ht="15.75" customHeight="1">
      <c r="A393" s="91"/>
      <c r="B393" s="91"/>
      <c r="C393" s="91"/>
      <c r="D393" s="91"/>
      <c r="E393" s="91"/>
      <c r="F393" s="91"/>
      <c r="G393" s="91"/>
      <c r="H393" s="91"/>
      <c r="I393" s="91"/>
      <c r="J393" s="91"/>
      <c r="K393" s="91"/>
      <c r="L393" s="91"/>
      <c r="M393" s="91"/>
      <c r="N393" s="91"/>
      <c r="O393" s="91"/>
      <c r="P393" s="91"/>
      <c r="Q393" s="91"/>
      <c r="R393" s="91"/>
      <c r="S393" s="91"/>
      <c r="T393" s="91"/>
      <c r="U393" s="96">
        <v>45657.0</v>
      </c>
      <c r="BY393" s="94">
        <f t="shared" ref="BY393:DB393" si="314">+$BY$53*$U$59*$X$59</f>
        <v>470.3125</v>
      </c>
      <c r="BZ393" s="94">
        <f t="shared" si="314"/>
        <v>470.3125</v>
      </c>
      <c r="CA393" s="94">
        <f t="shared" si="314"/>
        <v>470.3125</v>
      </c>
      <c r="CB393" s="94">
        <f t="shared" si="314"/>
        <v>470.3125</v>
      </c>
      <c r="CC393" s="94">
        <f t="shared" si="314"/>
        <v>470.3125</v>
      </c>
      <c r="CD393" s="94">
        <f t="shared" si="314"/>
        <v>470.3125</v>
      </c>
      <c r="CE393" s="94">
        <f t="shared" si="314"/>
        <v>470.3125</v>
      </c>
      <c r="CF393" s="94">
        <f t="shared" si="314"/>
        <v>470.3125</v>
      </c>
      <c r="CG393" s="94">
        <f t="shared" si="314"/>
        <v>470.3125</v>
      </c>
      <c r="CH393" s="94">
        <f t="shared" si="314"/>
        <v>470.3125</v>
      </c>
      <c r="CI393" s="94">
        <f t="shared" si="314"/>
        <v>470.3125</v>
      </c>
      <c r="CJ393" s="94">
        <f t="shared" si="314"/>
        <v>470.3125</v>
      </c>
      <c r="CK393" s="94">
        <f t="shared" si="314"/>
        <v>470.3125</v>
      </c>
      <c r="CL393" s="94">
        <f t="shared" si="314"/>
        <v>470.3125</v>
      </c>
      <c r="CM393" s="94">
        <f t="shared" si="314"/>
        <v>470.3125</v>
      </c>
      <c r="CN393" s="94">
        <f t="shared" si="314"/>
        <v>470.3125</v>
      </c>
      <c r="CO393" s="94">
        <f t="shared" si="314"/>
        <v>470.3125</v>
      </c>
      <c r="CP393" s="94">
        <f t="shared" si="314"/>
        <v>470.3125</v>
      </c>
      <c r="CQ393" s="94">
        <f t="shared" si="314"/>
        <v>470.3125</v>
      </c>
      <c r="CR393" s="94">
        <f t="shared" si="314"/>
        <v>470.3125</v>
      </c>
      <c r="CS393" s="94">
        <f t="shared" si="314"/>
        <v>470.3125</v>
      </c>
      <c r="CT393" s="94">
        <f t="shared" si="314"/>
        <v>470.3125</v>
      </c>
      <c r="CU393" s="94">
        <f t="shared" si="314"/>
        <v>470.3125</v>
      </c>
      <c r="CV393" s="94">
        <f t="shared" si="314"/>
        <v>470.3125</v>
      </c>
      <c r="CW393" s="94">
        <f t="shared" si="314"/>
        <v>470.3125</v>
      </c>
      <c r="CX393" s="94">
        <f t="shared" si="314"/>
        <v>470.3125</v>
      </c>
      <c r="CY393" s="94">
        <f t="shared" si="314"/>
        <v>470.3125</v>
      </c>
      <c r="CZ393" s="94">
        <f t="shared" si="314"/>
        <v>470.3125</v>
      </c>
      <c r="DA393" s="94">
        <f t="shared" si="314"/>
        <v>470.3125</v>
      </c>
      <c r="DB393" s="94">
        <f t="shared" si="314"/>
        <v>470.3125</v>
      </c>
    </row>
    <row r="394" ht="15.75" customHeight="1">
      <c r="A394" s="91"/>
      <c r="B394" s="91"/>
      <c r="C394" s="91"/>
      <c r="D394" s="91"/>
      <c r="E394" s="91"/>
      <c r="F394" s="91"/>
      <c r="G394" s="91"/>
      <c r="H394" s="91"/>
      <c r="I394" s="91"/>
      <c r="J394" s="91"/>
      <c r="K394" s="91"/>
      <c r="L394" s="91"/>
      <c r="M394" s="91"/>
      <c r="N394" s="91"/>
      <c r="O394" s="91"/>
      <c r="P394" s="91"/>
      <c r="Q394" s="91"/>
      <c r="R394" s="91"/>
      <c r="S394" s="91"/>
      <c r="T394" s="91"/>
      <c r="U394" s="96">
        <v>45688.0</v>
      </c>
      <c r="BZ394" s="94">
        <f t="shared" ref="BZ394:DC394" si="315">+$BZ$53*$U$59*$X$59</f>
        <v>895.8333333</v>
      </c>
      <c r="CA394" s="94">
        <f t="shared" si="315"/>
        <v>895.8333333</v>
      </c>
      <c r="CB394" s="94">
        <f t="shared" si="315"/>
        <v>895.8333333</v>
      </c>
      <c r="CC394" s="94">
        <f t="shared" si="315"/>
        <v>895.8333333</v>
      </c>
      <c r="CD394" s="94">
        <f t="shared" si="315"/>
        <v>895.8333333</v>
      </c>
      <c r="CE394" s="94">
        <f t="shared" si="315"/>
        <v>895.8333333</v>
      </c>
      <c r="CF394" s="94">
        <f t="shared" si="315"/>
        <v>895.8333333</v>
      </c>
      <c r="CG394" s="94">
        <f t="shared" si="315"/>
        <v>895.8333333</v>
      </c>
      <c r="CH394" s="94">
        <f t="shared" si="315"/>
        <v>895.8333333</v>
      </c>
      <c r="CI394" s="94">
        <f t="shared" si="315"/>
        <v>895.8333333</v>
      </c>
      <c r="CJ394" s="94">
        <f t="shared" si="315"/>
        <v>895.8333333</v>
      </c>
      <c r="CK394" s="94">
        <f t="shared" si="315"/>
        <v>895.8333333</v>
      </c>
      <c r="CL394" s="94">
        <f t="shared" si="315"/>
        <v>895.8333333</v>
      </c>
      <c r="CM394" s="94">
        <f t="shared" si="315"/>
        <v>895.8333333</v>
      </c>
      <c r="CN394" s="94">
        <f t="shared" si="315"/>
        <v>895.8333333</v>
      </c>
      <c r="CO394" s="94">
        <f t="shared" si="315"/>
        <v>895.8333333</v>
      </c>
      <c r="CP394" s="94">
        <f t="shared" si="315"/>
        <v>895.8333333</v>
      </c>
      <c r="CQ394" s="94">
        <f t="shared" si="315"/>
        <v>895.8333333</v>
      </c>
      <c r="CR394" s="94">
        <f t="shared" si="315"/>
        <v>895.8333333</v>
      </c>
      <c r="CS394" s="94">
        <f t="shared" si="315"/>
        <v>895.8333333</v>
      </c>
      <c r="CT394" s="94">
        <f t="shared" si="315"/>
        <v>895.8333333</v>
      </c>
      <c r="CU394" s="94">
        <f t="shared" si="315"/>
        <v>895.8333333</v>
      </c>
      <c r="CV394" s="94">
        <f t="shared" si="315"/>
        <v>895.8333333</v>
      </c>
      <c r="CW394" s="94">
        <f t="shared" si="315"/>
        <v>895.8333333</v>
      </c>
      <c r="CX394" s="94">
        <f t="shared" si="315"/>
        <v>895.8333333</v>
      </c>
      <c r="CY394" s="94">
        <f t="shared" si="315"/>
        <v>895.8333333</v>
      </c>
      <c r="CZ394" s="94">
        <f t="shared" si="315"/>
        <v>895.8333333</v>
      </c>
      <c r="DA394" s="94">
        <f t="shared" si="315"/>
        <v>895.8333333</v>
      </c>
      <c r="DB394" s="94">
        <f t="shared" si="315"/>
        <v>895.8333333</v>
      </c>
      <c r="DC394" s="94">
        <f t="shared" si="315"/>
        <v>895.8333333</v>
      </c>
    </row>
    <row r="395" ht="15.75" customHeight="1">
      <c r="A395" s="91"/>
      <c r="B395" s="91"/>
      <c r="C395" s="91"/>
      <c r="D395" s="91"/>
      <c r="E395" s="91"/>
      <c r="F395" s="91"/>
      <c r="G395" s="91"/>
      <c r="H395" s="91"/>
      <c r="I395" s="91"/>
      <c r="J395" s="91"/>
      <c r="K395" s="91"/>
      <c r="L395" s="91"/>
      <c r="M395" s="91"/>
      <c r="N395" s="91"/>
      <c r="O395" s="91"/>
      <c r="P395" s="91"/>
      <c r="Q395" s="91"/>
      <c r="R395" s="91"/>
      <c r="S395" s="91"/>
      <c r="T395" s="91"/>
      <c r="U395" s="96">
        <v>45716.0</v>
      </c>
      <c r="CA395" s="94">
        <f t="shared" ref="CA395:DD395" si="316">+$CA$53*$U$59*$X$59</f>
        <v>358.3333333</v>
      </c>
      <c r="CB395" s="94">
        <f t="shared" si="316"/>
        <v>358.3333333</v>
      </c>
      <c r="CC395" s="94">
        <f t="shared" si="316"/>
        <v>358.3333333</v>
      </c>
      <c r="CD395" s="94">
        <f t="shared" si="316"/>
        <v>358.3333333</v>
      </c>
      <c r="CE395" s="94">
        <f t="shared" si="316"/>
        <v>358.3333333</v>
      </c>
      <c r="CF395" s="94">
        <f t="shared" si="316"/>
        <v>358.3333333</v>
      </c>
      <c r="CG395" s="94">
        <f t="shared" si="316"/>
        <v>358.3333333</v>
      </c>
      <c r="CH395" s="94">
        <f t="shared" si="316"/>
        <v>358.3333333</v>
      </c>
      <c r="CI395" s="94">
        <f t="shared" si="316"/>
        <v>358.3333333</v>
      </c>
      <c r="CJ395" s="94">
        <f t="shared" si="316"/>
        <v>358.3333333</v>
      </c>
      <c r="CK395" s="94">
        <f t="shared" si="316"/>
        <v>358.3333333</v>
      </c>
      <c r="CL395" s="94">
        <f t="shared" si="316"/>
        <v>358.3333333</v>
      </c>
      <c r="CM395" s="94">
        <f t="shared" si="316"/>
        <v>358.3333333</v>
      </c>
      <c r="CN395" s="94">
        <f t="shared" si="316"/>
        <v>358.3333333</v>
      </c>
      <c r="CO395" s="94">
        <f t="shared" si="316"/>
        <v>358.3333333</v>
      </c>
      <c r="CP395" s="94">
        <f t="shared" si="316"/>
        <v>358.3333333</v>
      </c>
      <c r="CQ395" s="94">
        <f t="shared" si="316"/>
        <v>358.3333333</v>
      </c>
      <c r="CR395" s="94">
        <f t="shared" si="316"/>
        <v>358.3333333</v>
      </c>
      <c r="CS395" s="94">
        <f t="shared" si="316"/>
        <v>358.3333333</v>
      </c>
      <c r="CT395" s="94">
        <f t="shared" si="316"/>
        <v>358.3333333</v>
      </c>
      <c r="CU395" s="94">
        <f t="shared" si="316"/>
        <v>358.3333333</v>
      </c>
      <c r="CV395" s="94">
        <f t="shared" si="316"/>
        <v>358.3333333</v>
      </c>
      <c r="CW395" s="94">
        <f t="shared" si="316"/>
        <v>358.3333333</v>
      </c>
      <c r="CX395" s="94">
        <f t="shared" si="316"/>
        <v>358.3333333</v>
      </c>
      <c r="CY395" s="94">
        <f t="shared" si="316"/>
        <v>358.3333333</v>
      </c>
      <c r="CZ395" s="94">
        <f t="shared" si="316"/>
        <v>358.3333333</v>
      </c>
      <c r="DA395" s="94">
        <f t="shared" si="316"/>
        <v>358.3333333</v>
      </c>
      <c r="DB395" s="94">
        <f t="shared" si="316"/>
        <v>358.3333333</v>
      </c>
      <c r="DC395" s="94">
        <f t="shared" si="316"/>
        <v>358.3333333</v>
      </c>
      <c r="DD395" s="94">
        <f t="shared" si="316"/>
        <v>358.3333333</v>
      </c>
    </row>
    <row r="396" ht="15.75" customHeight="1">
      <c r="A396" s="91"/>
      <c r="B396" s="91"/>
      <c r="C396" s="91"/>
      <c r="D396" s="91"/>
      <c r="E396" s="91"/>
      <c r="F396" s="91"/>
      <c r="G396" s="91"/>
      <c r="H396" s="91"/>
      <c r="I396" s="91"/>
      <c r="J396" s="91"/>
      <c r="K396" s="91"/>
      <c r="L396" s="91"/>
      <c r="M396" s="91"/>
      <c r="N396" s="91"/>
      <c r="O396" s="91"/>
      <c r="P396" s="91"/>
      <c r="Q396" s="91"/>
      <c r="R396" s="91"/>
      <c r="S396" s="91"/>
      <c r="T396" s="91"/>
      <c r="U396" s="96">
        <v>45747.0</v>
      </c>
      <c r="CB396" s="94">
        <f t="shared" ref="CB396:DE396" si="317">+$CB$53*$U$59*$X$59</f>
        <v>358.3333333</v>
      </c>
      <c r="CC396" s="94">
        <f t="shared" si="317"/>
        <v>358.3333333</v>
      </c>
      <c r="CD396" s="94">
        <f t="shared" si="317"/>
        <v>358.3333333</v>
      </c>
      <c r="CE396" s="94">
        <f t="shared" si="317"/>
        <v>358.3333333</v>
      </c>
      <c r="CF396" s="94">
        <f t="shared" si="317"/>
        <v>358.3333333</v>
      </c>
      <c r="CG396" s="94">
        <f t="shared" si="317"/>
        <v>358.3333333</v>
      </c>
      <c r="CH396" s="94">
        <f t="shared" si="317"/>
        <v>358.3333333</v>
      </c>
      <c r="CI396" s="94">
        <f t="shared" si="317"/>
        <v>358.3333333</v>
      </c>
      <c r="CJ396" s="94">
        <f t="shared" si="317"/>
        <v>358.3333333</v>
      </c>
      <c r="CK396" s="94">
        <f t="shared" si="317"/>
        <v>358.3333333</v>
      </c>
      <c r="CL396" s="94">
        <f t="shared" si="317"/>
        <v>358.3333333</v>
      </c>
      <c r="CM396" s="94">
        <f t="shared" si="317"/>
        <v>358.3333333</v>
      </c>
      <c r="CN396" s="94">
        <f t="shared" si="317"/>
        <v>358.3333333</v>
      </c>
      <c r="CO396" s="94">
        <f t="shared" si="317"/>
        <v>358.3333333</v>
      </c>
      <c r="CP396" s="94">
        <f t="shared" si="317"/>
        <v>358.3333333</v>
      </c>
      <c r="CQ396" s="94">
        <f t="shared" si="317"/>
        <v>358.3333333</v>
      </c>
      <c r="CR396" s="94">
        <f t="shared" si="317"/>
        <v>358.3333333</v>
      </c>
      <c r="CS396" s="94">
        <f t="shared" si="317"/>
        <v>358.3333333</v>
      </c>
      <c r="CT396" s="94">
        <f t="shared" si="317"/>
        <v>358.3333333</v>
      </c>
      <c r="CU396" s="94">
        <f t="shared" si="317"/>
        <v>358.3333333</v>
      </c>
      <c r="CV396" s="94">
        <f t="shared" si="317"/>
        <v>358.3333333</v>
      </c>
      <c r="CW396" s="94">
        <f t="shared" si="317"/>
        <v>358.3333333</v>
      </c>
      <c r="CX396" s="94">
        <f t="shared" si="317"/>
        <v>358.3333333</v>
      </c>
      <c r="CY396" s="94">
        <f t="shared" si="317"/>
        <v>358.3333333</v>
      </c>
      <c r="CZ396" s="94">
        <f t="shared" si="317"/>
        <v>358.3333333</v>
      </c>
      <c r="DA396" s="94">
        <f t="shared" si="317"/>
        <v>358.3333333</v>
      </c>
      <c r="DB396" s="94">
        <f t="shared" si="317"/>
        <v>358.3333333</v>
      </c>
      <c r="DC396" s="94">
        <f t="shared" si="317"/>
        <v>358.3333333</v>
      </c>
      <c r="DD396" s="94">
        <f t="shared" si="317"/>
        <v>358.3333333</v>
      </c>
      <c r="DE396" s="94">
        <f t="shared" si="317"/>
        <v>358.3333333</v>
      </c>
    </row>
    <row r="397" ht="15.75" customHeight="1">
      <c r="A397" s="91"/>
      <c r="B397" s="91"/>
      <c r="C397" s="91"/>
      <c r="D397" s="91"/>
      <c r="E397" s="91"/>
      <c r="F397" s="91"/>
      <c r="G397" s="91"/>
      <c r="H397" s="91"/>
      <c r="I397" s="91"/>
      <c r="J397" s="91"/>
      <c r="K397" s="91"/>
      <c r="L397" s="91"/>
      <c r="M397" s="91"/>
      <c r="N397" s="91"/>
      <c r="O397" s="91"/>
      <c r="P397" s="91"/>
      <c r="Q397" s="91"/>
      <c r="R397" s="91"/>
      <c r="S397" s="91"/>
      <c r="T397" s="91"/>
      <c r="U397" s="96">
        <v>45777.0</v>
      </c>
      <c r="CC397" s="94">
        <f t="shared" ref="CC397:DF397" si="318">+$CC$53*$U$59*$X$59</f>
        <v>358.3333333</v>
      </c>
      <c r="CD397" s="94">
        <f t="shared" si="318"/>
        <v>358.3333333</v>
      </c>
      <c r="CE397" s="94">
        <f t="shared" si="318"/>
        <v>358.3333333</v>
      </c>
      <c r="CF397" s="94">
        <f t="shared" si="318"/>
        <v>358.3333333</v>
      </c>
      <c r="CG397" s="94">
        <f t="shared" si="318"/>
        <v>358.3333333</v>
      </c>
      <c r="CH397" s="94">
        <f t="shared" si="318"/>
        <v>358.3333333</v>
      </c>
      <c r="CI397" s="94">
        <f t="shared" si="318"/>
        <v>358.3333333</v>
      </c>
      <c r="CJ397" s="94">
        <f t="shared" si="318"/>
        <v>358.3333333</v>
      </c>
      <c r="CK397" s="94">
        <f t="shared" si="318"/>
        <v>358.3333333</v>
      </c>
      <c r="CL397" s="94">
        <f t="shared" si="318"/>
        <v>358.3333333</v>
      </c>
      <c r="CM397" s="94">
        <f t="shared" si="318"/>
        <v>358.3333333</v>
      </c>
      <c r="CN397" s="94">
        <f t="shared" si="318"/>
        <v>358.3333333</v>
      </c>
      <c r="CO397" s="94">
        <f t="shared" si="318"/>
        <v>358.3333333</v>
      </c>
      <c r="CP397" s="94">
        <f t="shared" si="318"/>
        <v>358.3333333</v>
      </c>
      <c r="CQ397" s="94">
        <f t="shared" si="318"/>
        <v>358.3333333</v>
      </c>
      <c r="CR397" s="94">
        <f t="shared" si="318"/>
        <v>358.3333333</v>
      </c>
      <c r="CS397" s="94">
        <f t="shared" si="318"/>
        <v>358.3333333</v>
      </c>
      <c r="CT397" s="94">
        <f t="shared" si="318"/>
        <v>358.3333333</v>
      </c>
      <c r="CU397" s="94">
        <f t="shared" si="318"/>
        <v>358.3333333</v>
      </c>
      <c r="CV397" s="94">
        <f t="shared" si="318"/>
        <v>358.3333333</v>
      </c>
      <c r="CW397" s="94">
        <f t="shared" si="318"/>
        <v>358.3333333</v>
      </c>
      <c r="CX397" s="94">
        <f t="shared" si="318"/>
        <v>358.3333333</v>
      </c>
      <c r="CY397" s="94">
        <f t="shared" si="318"/>
        <v>358.3333333</v>
      </c>
      <c r="CZ397" s="94">
        <f t="shared" si="318"/>
        <v>358.3333333</v>
      </c>
      <c r="DA397" s="94">
        <f t="shared" si="318"/>
        <v>358.3333333</v>
      </c>
      <c r="DB397" s="94">
        <f t="shared" si="318"/>
        <v>358.3333333</v>
      </c>
      <c r="DC397" s="94">
        <f t="shared" si="318"/>
        <v>358.3333333</v>
      </c>
      <c r="DD397" s="94">
        <f t="shared" si="318"/>
        <v>358.3333333</v>
      </c>
      <c r="DE397" s="94">
        <f t="shared" si="318"/>
        <v>358.3333333</v>
      </c>
      <c r="DF397" s="94">
        <f t="shared" si="318"/>
        <v>358.3333333</v>
      </c>
    </row>
    <row r="398" ht="15.75" customHeight="1">
      <c r="A398" s="91"/>
      <c r="B398" s="91"/>
      <c r="C398" s="91"/>
      <c r="D398" s="91"/>
      <c r="E398" s="91"/>
      <c r="F398" s="91"/>
      <c r="G398" s="91"/>
      <c r="H398" s="91"/>
      <c r="I398" s="91"/>
      <c r="J398" s="91"/>
      <c r="K398" s="91"/>
      <c r="L398" s="91"/>
      <c r="M398" s="91"/>
      <c r="N398" s="91"/>
      <c r="O398" s="91"/>
      <c r="P398" s="91"/>
      <c r="Q398" s="91"/>
      <c r="R398" s="91"/>
      <c r="S398" s="91"/>
      <c r="T398" s="91"/>
      <c r="U398" s="96">
        <v>45808.0</v>
      </c>
      <c r="CD398" s="94">
        <f t="shared" ref="CD398:DG398" si="319">+$CD$53*$U$59*$X$59</f>
        <v>358.3333333</v>
      </c>
      <c r="CE398" s="94">
        <f t="shared" si="319"/>
        <v>358.3333333</v>
      </c>
      <c r="CF398" s="94">
        <f t="shared" si="319"/>
        <v>358.3333333</v>
      </c>
      <c r="CG398" s="94">
        <f t="shared" si="319"/>
        <v>358.3333333</v>
      </c>
      <c r="CH398" s="94">
        <f t="shared" si="319"/>
        <v>358.3333333</v>
      </c>
      <c r="CI398" s="94">
        <f t="shared" si="319"/>
        <v>358.3333333</v>
      </c>
      <c r="CJ398" s="94">
        <f t="shared" si="319"/>
        <v>358.3333333</v>
      </c>
      <c r="CK398" s="94">
        <f t="shared" si="319"/>
        <v>358.3333333</v>
      </c>
      <c r="CL398" s="94">
        <f t="shared" si="319"/>
        <v>358.3333333</v>
      </c>
      <c r="CM398" s="94">
        <f t="shared" si="319"/>
        <v>358.3333333</v>
      </c>
      <c r="CN398" s="94">
        <f t="shared" si="319"/>
        <v>358.3333333</v>
      </c>
      <c r="CO398" s="94">
        <f t="shared" si="319"/>
        <v>358.3333333</v>
      </c>
      <c r="CP398" s="94">
        <f t="shared" si="319"/>
        <v>358.3333333</v>
      </c>
      <c r="CQ398" s="94">
        <f t="shared" si="319"/>
        <v>358.3333333</v>
      </c>
      <c r="CR398" s="94">
        <f t="shared" si="319"/>
        <v>358.3333333</v>
      </c>
      <c r="CS398" s="94">
        <f t="shared" si="319"/>
        <v>358.3333333</v>
      </c>
      <c r="CT398" s="94">
        <f t="shared" si="319"/>
        <v>358.3333333</v>
      </c>
      <c r="CU398" s="94">
        <f t="shared" si="319"/>
        <v>358.3333333</v>
      </c>
      <c r="CV398" s="94">
        <f t="shared" si="319"/>
        <v>358.3333333</v>
      </c>
      <c r="CW398" s="94">
        <f t="shared" si="319"/>
        <v>358.3333333</v>
      </c>
      <c r="CX398" s="94">
        <f t="shared" si="319"/>
        <v>358.3333333</v>
      </c>
      <c r="CY398" s="94">
        <f t="shared" si="319"/>
        <v>358.3333333</v>
      </c>
      <c r="CZ398" s="94">
        <f t="shared" si="319"/>
        <v>358.3333333</v>
      </c>
      <c r="DA398" s="94">
        <f t="shared" si="319"/>
        <v>358.3333333</v>
      </c>
      <c r="DB398" s="94">
        <f t="shared" si="319"/>
        <v>358.3333333</v>
      </c>
      <c r="DC398" s="94">
        <f t="shared" si="319"/>
        <v>358.3333333</v>
      </c>
      <c r="DD398" s="94">
        <f t="shared" si="319"/>
        <v>358.3333333</v>
      </c>
      <c r="DE398" s="94">
        <f t="shared" si="319"/>
        <v>358.3333333</v>
      </c>
      <c r="DF398" s="94">
        <f t="shared" si="319"/>
        <v>358.3333333</v>
      </c>
      <c r="DG398" s="94">
        <f t="shared" si="319"/>
        <v>358.3333333</v>
      </c>
    </row>
    <row r="399" ht="15.75" customHeight="1">
      <c r="A399" s="91"/>
      <c r="B399" s="91"/>
      <c r="C399" s="91"/>
      <c r="D399" s="91"/>
      <c r="E399" s="91"/>
      <c r="F399" s="91"/>
      <c r="G399" s="91"/>
      <c r="H399" s="91"/>
      <c r="I399" s="91"/>
      <c r="J399" s="91"/>
      <c r="K399" s="91"/>
      <c r="L399" s="91"/>
      <c r="M399" s="91"/>
      <c r="N399" s="91"/>
      <c r="O399" s="91"/>
      <c r="P399" s="91"/>
      <c r="Q399" s="91"/>
      <c r="R399" s="91"/>
      <c r="S399" s="91"/>
      <c r="T399" s="91"/>
      <c r="U399" s="96">
        <v>45838.0</v>
      </c>
      <c r="CE399" s="94">
        <f t="shared" ref="CE399:DH399" si="320">+$CE$53*$U$59*$X$59</f>
        <v>358.3333333</v>
      </c>
      <c r="CF399" s="94">
        <f t="shared" si="320"/>
        <v>358.3333333</v>
      </c>
      <c r="CG399" s="94">
        <f t="shared" si="320"/>
        <v>358.3333333</v>
      </c>
      <c r="CH399" s="94">
        <f t="shared" si="320"/>
        <v>358.3333333</v>
      </c>
      <c r="CI399" s="94">
        <f t="shared" si="320"/>
        <v>358.3333333</v>
      </c>
      <c r="CJ399" s="94">
        <f t="shared" si="320"/>
        <v>358.3333333</v>
      </c>
      <c r="CK399" s="94">
        <f t="shared" si="320"/>
        <v>358.3333333</v>
      </c>
      <c r="CL399" s="94">
        <f t="shared" si="320"/>
        <v>358.3333333</v>
      </c>
      <c r="CM399" s="94">
        <f t="shared" si="320"/>
        <v>358.3333333</v>
      </c>
      <c r="CN399" s="94">
        <f t="shared" si="320"/>
        <v>358.3333333</v>
      </c>
      <c r="CO399" s="94">
        <f t="shared" si="320"/>
        <v>358.3333333</v>
      </c>
      <c r="CP399" s="94">
        <f t="shared" si="320"/>
        <v>358.3333333</v>
      </c>
      <c r="CQ399" s="94">
        <f t="shared" si="320"/>
        <v>358.3333333</v>
      </c>
      <c r="CR399" s="94">
        <f t="shared" si="320"/>
        <v>358.3333333</v>
      </c>
      <c r="CS399" s="94">
        <f t="shared" si="320"/>
        <v>358.3333333</v>
      </c>
      <c r="CT399" s="94">
        <f t="shared" si="320"/>
        <v>358.3333333</v>
      </c>
      <c r="CU399" s="94">
        <f t="shared" si="320"/>
        <v>358.3333333</v>
      </c>
      <c r="CV399" s="94">
        <f t="shared" si="320"/>
        <v>358.3333333</v>
      </c>
      <c r="CW399" s="94">
        <f t="shared" si="320"/>
        <v>358.3333333</v>
      </c>
      <c r="CX399" s="94">
        <f t="shared" si="320"/>
        <v>358.3333333</v>
      </c>
      <c r="CY399" s="94">
        <f t="shared" si="320"/>
        <v>358.3333333</v>
      </c>
      <c r="CZ399" s="94">
        <f t="shared" si="320"/>
        <v>358.3333333</v>
      </c>
      <c r="DA399" s="94">
        <f t="shared" si="320"/>
        <v>358.3333333</v>
      </c>
      <c r="DB399" s="94">
        <f t="shared" si="320"/>
        <v>358.3333333</v>
      </c>
      <c r="DC399" s="94">
        <f t="shared" si="320"/>
        <v>358.3333333</v>
      </c>
      <c r="DD399" s="94">
        <f t="shared" si="320"/>
        <v>358.3333333</v>
      </c>
      <c r="DE399" s="94">
        <f t="shared" si="320"/>
        <v>358.3333333</v>
      </c>
      <c r="DF399" s="94">
        <f t="shared" si="320"/>
        <v>358.3333333</v>
      </c>
      <c r="DG399" s="94">
        <f t="shared" si="320"/>
        <v>358.3333333</v>
      </c>
      <c r="DH399" s="94">
        <f t="shared" si="320"/>
        <v>358.3333333</v>
      </c>
    </row>
    <row r="400" ht="15.75" customHeight="1">
      <c r="A400" s="91"/>
      <c r="B400" s="91"/>
      <c r="C400" s="91"/>
      <c r="D400" s="91"/>
      <c r="E400" s="91"/>
      <c r="F400" s="91"/>
      <c r="G400" s="91"/>
      <c r="H400" s="91"/>
      <c r="I400" s="91"/>
      <c r="J400" s="91"/>
      <c r="K400" s="91"/>
      <c r="L400" s="91"/>
      <c r="M400" s="91"/>
      <c r="N400" s="91"/>
      <c r="O400" s="91"/>
      <c r="P400" s="91"/>
      <c r="Q400" s="91"/>
      <c r="R400" s="91"/>
      <c r="S400" s="91"/>
      <c r="T400" s="91"/>
      <c r="U400" s="96">
        <v>45869.0</v>
      </c>
      <c r="CF400" s="94">
        <f t="shared" ref="CF400:DI400" si="321">+$CF$53*$U$59*$X$59</f>
        <v>358.3333333</v>
      </c>
      <c r="CG400" s="94">
        <f t="shared" si="321"/>
        <v>358.3333333</v>
      </c>
      <c r="CH400" s="94">
        <f t="shared" si="321"/>
        <v>358.3333333</v>
      </c>
      <c r="CI400" s="94">
        <f t="shared" si="321"/>
        <v>358.3333333</v>
      </c>
      <c r="CJ400" s="94">
        <f t="shared" si="321"/>
        <v>358.3333333</v>
      </c>
      <c r="CK400" s="94">
        <f t="shared" si="321"/>
        <v>358.3333333</v>
      </c>
      <c r="CL400" s="94">
        <f t="shared" si="321"/>
        <v>358.3333333</v>
      </c>
      <c r="CM400" s="94">
        <f t="shared" si="321"/>
        <v>358.3333333</v>
      </c>
      <c r="CN400" s="94">
        <f t="shared" si="321"/>
        <v>358.3333333</v>
      </c>
      <c r="CO400" s="94">
        <f t="shared" si="321"/>
        <v>358.3333333</v>
      </c>
      <c r="CP400" s="94">
        <f t="shared" si="321"/>
        <v>358.3333333</v>
      </c>
      <c r="CQ400" s="94">
        <f t="shared" si="321"/>
        <v>358.3333333</v>
      </c>
      <c r="CR400" s="94">
        <f t="shared" si="321"/>
        <v>358.3333333</v>
      </c>
      <c r="CS400" s="94">
        <f t="shared" si="321"/>
        <v>358.3333333</v>
      </c>
      <c r="CT400" s="94">
        <f t="shared" si="321"/>
        <v>358.3333333</v>
      </c>
      <c r="CU400" s="94">
        <f t="shared" si="321"/>
        <v>358.3333333</v>
      </c>
      <c r="CV400" s="94">
        <f t="shared" si="321"/>
        <v>358.3333333</v>
      </c>
      <c r="CW400" s="94">
        <f t="shared" si="321"/>
        <v>358.3333333</v>
      </c>
      <c r="CX400" s="94">
        <f t="shared" si="321"/>
        <v>358.3333333</v>
      </c>
      <c r="CY400" s="94">
        <f t="shared" si="321"/>
        <v>358.3333333</v>
      </c>
      <c r="CZ400" s="94">
        <f t="shared" si="321"/>
        <v>358.3333333</v>
      </c>
      <c r="DA400" s="94">
        <f t="shared" si="321"/>
        <v>358.3333333</v>
      </c>
      <c r="DB400" s="94">
        <f t="shared" si="321"/>
        <v>358.3333333</v>
      </c>
      <c r="DC400" s="94">
        <f t="shared" si="321"/>
        <v>358.3333333</v>
      </c>
      <c r="DD400" s="94">
        <f t="shared" si="321"/>
        <v>358.3333333</v>
      </c>
      <c r="DE400" s="94">
        <f t="shared" si="321"/>
        <v>358.3333333</v>
      </c>
      <c r="DF400" s="94">
        <f t="shared" si="321"/>
        <v>358.3333333</v>
      </c>
      <c r="DG400" s="94">
        <f t="shared" si="321"/>
        <v>358.3333333</v>
      </c>
      <c r="DH400" s="94">
        <f t="shared" si="321"/>
        <v>358.3333333</v>
      </c>
      <c r="DI400" s="94">
        <f t="shared" si="321"/>
        <v>358.3333333</v>
      </c>
    </row>
    <row r="401" ht="15.75" customHeight="1">
      <c r="A401" s="91"/>
      <c r="B401" s="91"/>
      <c r="C401" s="91"/>
      <c r="D401" s="91"/>
      <c r="E401" s="91"/>
      <c r="F401" s="91"/>
      <c r="G401" s="91"/>
      <c r="H401" s="91"/>
      <c r="I401" s="91"/>
      <c r="J401" s="91"/>
      <c r="K401" s="91"/>
      <c r="L401" s="91"/>
      <c r="M401" s="91"/>
      <c r="N401" s="91"/>
      <c r="O401" s="91"/>
      <c r="P401" s="91"/>
      <c r="Q401" s="91"/>
      <c r="R401" s="91"/>
      <c r="S401" s="91"/>
      <c r="T401" s="91"/>
      <c r="U401" s="96">
        <v>45900.0</v>
      </c>
      <c r="CG401" s="94">
        <f t="shared" ref="CG401:DI401" si="322">+$CG$53*$U$59*$X$59</f>
        <v>358.3333333</v>
      </c>
      <c r="CH401" s="94">
        <f t="shared" si="322"/>
        <v>358.3333333</v>
      </c>
      <c r="CI401" s="94">
        <f t="shared" si="322"/>
        <v>358.3333333</v>
      </c>
      <c r="CJ401" s="94">
        <f t="shared" si="322"/>
        <v>358.3333333</v>
      </c>
      <c r="CK401" s="94">
        <f t="shared" si="322"/>
        <v>358.3333333</v>
      </c>
      <c r="CL401" s="94">
        <f t="shared" si="322"/>
        <v>358.3333333</v>
      </c>
      <c r="CM401" s="94">
        <f t="shared" si="322"/>
        <v>358.3333333</v>
      </c>
      <c r="CN401" s="94">
        <f t="shared" si="322"/>
        <v>358.3333333</v>
      </c>
      <c r="CO401" s="94">
        <f t="shared" si="322"/>
        <v>358.3333333</v>
      </c>
      <c r="CP401" s="94">
        <f t="shared" si="322"/>
        <v>358.3333333</v>
      </c>
      <c r="CQ401" s="94">
        <f t="shared" si="322"/>
        <v>358.3333333</v>
      </c>
      <c r="CR401" s="94">
        <f t="shared" si="322"/>
        <v>358.3333333</v>
      </c>
      <c r="CS401" s="94">
        <f t="shared" si="322"/>
        <v>358.3333333</v>
      </c>
      <c r="CT401" s="94">
        <f t="shared" si="322"/>
        <v>358.3333333</v>
      </c>
      <c r="CU401" s="94">
        <f t="shared" si="322"/>
        <v>358.3333333</v>
      </c>
      <c r="CV401" s="94">
        <f t="shared" si="322"/>
        <v>358.3333333</v>
      </c>
      <c r="CW401" s="94">
        <f t="shared" si="322"/>
        <v>358.3333333</v>
      </c>
      <c r="CX401" s="94">
        <f t="shared" si="322"/>
        <v>358.3333333</v>
      </c>
      <c r="CY401" s="94">
        <f t="shared" si="322"/>
        <v>358.3333333</v>
      </c>
      <c r="CZ401" s="94">
        <f t="shared" si="322"/>
        <v>358.3333333</v>
      </c>
      <c r="DA401" s="94">
        <f t="shared" si="322"/>
        <v>358.3333333</v>
      </c>
      <c r="DB401" s="94">
        <f t="shared" si="322"/>
        <v>358.3333333</v>
      </c>
      <c r="DC401" s="94">
        <f t="shared" si="322"/>
        <v>358.3333333</v>
      </c>
      <c r="DD401" s="94">
        <f t="shared" si="322"/>
        <v>358.3333333</v>
      </c>
      <c r="DE401" s="94">
        <f t="shared" si="322"/>
        <v>358.3333333</v>
      </c>
      <c r="DF401" s="94">
        <f t="shared" si="322"/>
        <v>358.3333333</v>
      </c>
      <c r="DG401" s="94">
        <f t="shared" si="322"/>
        <v>358.3333333</v>
      </c>
      <c r="DH401" s="94">
        <f t="shared" si="322"/>
        <v>358.3333333</v>
      </c>
      <c r="DI401" s="94">
        <f t="shared" si="322"/>
        <v>358.3333333</v>
      </c>
    </row>
    <row r="402" ht="15.75" customHeight="1">
      <c r="A402" s="91"/>
      <c r="B402" s="91"/>
      <c r="C402" s="91"/>
      <c r="D402" s="91"/>
      <c r="E402" s="91"/>
      <c r="F402" s="91"/>
      <c r="G402" s="91"/>
      <c r="H402" s="91"/>
      <c r="I402" s="91"/>
      <c r="J402" s="91"/>
      <c r="K402" s="91"/>
      <c r="L402" s="91"/>
      <c r="M402" s="91"/>
      <c r="N402" s="91"/>
      <c r="O402" s="91"/>
      <c r="P402" s="91"/>
      <c r="Q402" s="91"/>
      <c r="R402" s="91"/>
      <c r="S402" s="91"/>
      <c r="T402" s="91"/>
      <c r="U402" s="96">
        <v>45930.0</v>
      </c>
      <c r="CH402" s="94">
        <f t="shared" ref="CH402:DI402" si="323">+$CH$53*$U$59*$X$59</f>
        <v>358.3333333</v>
      </c>
      <c r="CI402" s="94">
        <f t="shared" si="323"/>
        <v>358.3333333</v>
      </c>
      <c r="CJ402" s="94">
        <f t="shared" si="323"/>
        <v>358.3333333</v>
      </c>
      <c r="CK402" s="94">
        <f t="shared" si="323"/>
        <v>358.3333333</v>
      </c>
      <c r="CL402" s="94">
        <f t="shared" si="323"/>
        <v>358.3333333</v>
      </c>
      <c r="CM402" s="94">
        <f t="shared" si="323"/>
        <v>358.3333333</v>
      </c>
      <c r="CN402" s="94">
        <f t="shared" si="323"/>
        <v>358.3333333</v>
      </c>
      <c r="CO402" s="94">
        <f t="shared" si="323"/>
        <v>358.3333333</v>
      </c>
      <c r="CP402" s="94">
        <f t="shared" si="323"/>
        <v>358.3333333</v>
      </c>
      <c r="CQ402" s="94">
        <f t="shared" si="323"/>
        <v>358.3333333</v>
      </c>
      <c r="CR402" s="94">
        <f t="shared" si="323"/>
        <v>358.3333333</v>
      </c>
      <c r="CS402" s="94">
        <f t="shared" si="323"/>
        <v>358.3333333</v>
      </c>
      <c r="CT402" s="94">
        <f t="shared" si="323"/>
        <v>358.3333333</v>
      </c>
      <c r="CU402" s="94">
        <f t="shared" si="323"/>
        <v>358.3333333</v>
      </c>
      <c r="CV402" s="94">
        <f t="shared" si="323"/>
        <v>358.3333333</v>
      </c>
      <c r="CW402" s="94">
        <f t="shared" si="323"/>
        <v>358.3333333</v>
      </c>
      <c r="CX402" s="94">
        <f t="shared" si="323"/>
        <v>358.3333333</v>
      </c>
      <c r="CY402" s="94">
        <f t="shared" si="323"/>
        <v>358.3333333</v>
      </c>
      <c r="CZ402" s="94">
        <f t="shared" si="323"/>
        <v>358.3333333</v>
      </c>
      <c r="DA402" s="94">
        <f t="shared" si="323"/>
        <v>358.3333333</v>
      </c>
      <c r="DB402" s="94">
        <f t="shared" si="323"/>
        <v>358.3333333</v>
      </c>
      <c r="DC402" s="94">
        <f t="shared" si="323"/>
        <v>358.3333333</v>
      </c>
      <c r="DD402" s="94">
        <f t="shared" si="323"/>
        <v>358.3333333</v>
      </c>
      <c r="DE402" s="94">
        <f t="shared" si="323"/>
        <v>358.3333333</v>
      </c>
      <c r="DF402" s="94">
        <f t="shared" si="323"/>
        <v>358.3333333</v>
      </c>
      <c r="DG402" s="94">
        <f t="shared" si="323"/>
        <v>358.3333333</v>
      </c>
      <c r="DH402" s="94">
        <f t="shared" si="323"/>
        <v>358.3333333</v>
      </c>
      <c r="DI402" s="94">
        <f t="shared" si="323"/>
        <v>358.3333333</v>
      </c>
    </row>
    <row r="403" ht="15.75" customHeight="1">
      <c r="A403" s="91"/>
      <c r="B403" s="91"/>
      <c r="C403" s="91"/>
      <c r="D403" s="91"/>
      <c r="E403" s="91"/>
      <c r="F403" s="91"/>
      <c r="G403" s="91"/>
      <c r="H403" s="91"/>
      <c r="I403" s="91"/>
      <c r="J403" s="91"/>
      <c r="K403" s="91"/>
      <c r="L403" s="91"/>
      <c r="M403" s="91"/>
      <c r="N403" s="91"/>
      <c r="O403" s="91"/>
      <c r="P403" s="91"/>
      <c r="Q403" s="91"/>
      <c r="R403" s="91"/>
      <c r="S403" s="91"/>
      <c r="T403" s="91"/>
      <c r="U403" s="96">
        <v>45961.0</v>
      </c>
      <c r="CI403" s="94">
        <f t="shared" ref="CI403:DI403" si="324">+$CI$53*$U$59*$X$59</f>
        <v>537.5</v>
      </c>
      <c r="CJ403" s="94">
        <f t="shared" si="324"/>
        <v>537.5</v>
      </c>
      <c r="CK403" s="94">
        <f t="shared" si="324"/>
        <v>537.5</v>
      </c>
      <c r="CL403" s="94">
        <f t="shared" si="324"/>
        <v>537.5</v>
      </c>
      <c r="CM403" s="94">
        <f t="shared" si="324"/>
        <v>537.5</v>
      </c>
      <c r="CN403" s="94">
        <f t="shared" si="324"/>
        <v>537.5</v>
      </c>
      <c r="CO403" s="94">
        <f t="shared" si="324"/>
        <v>537.5</v>
      </c>
      <c r="CP403" s="94">
        <f t="shared" si="324"/>
        <v>537.5</v>
      </c>
      <c r="CQ403" s="94">
        <f t="shared" si="324"/>
        <v>537.5</v>
      </c>
      <c r="CR403" s="94">
        <f t="shared" si="324"/>
        <v>537.5</v>
      </c>
      <c r="CS403" s="94">
        <f t="shared" si="324"/>
        <v>537.5</v>
      </c>
      <c r="CT403" s="94">
        <f t="shared" si="324"/>
        <v>537.5</v>
      </c>
      <c r="CU403" s="94">
        <f t="shared" si="324"/>
        <v>537.5</v>
      </c>
      <c r="CV403" s="94">
        <f t="shared" si="324"/>
        <v>537.5</v>
      </c>
      <c r="CW403" s="94">
        <f t="shared" si="324"/>
        <v>537.5</v>
      </c>
      <c r="CX403" s="94">
        <f t="shared" si="324"/>
        <v>537.5</v>
      </c>
      <c r="CY403" s="94">
        <f t="shared" si="324"/>
        <v>537.5</v>
      </c>
      <c r="CZ403" s="94">
        <f t="shared" si="324"/>
        <v>537.5</v>
      </c>
      <c r="DA403" s="94">
        <f t="shared" si="324"/>
        <v>537.5</v>
      </c>
      <c r="DB403" s="94">
        <f t="shared" si="324"/>
        <v>537.5</v>
      </c>
      <c r="DC403" s="94">
        <f t="shared" si="324"/>
        <v>537.5</v>
      </c>
      <c r="DD403" s="94">
        <f t="shared" si="324"/>
        <v>537.5</v>
      </c>
      <c r="DE403" s="94">
        <f t="shared" si="324"/>
        <v>537.5</v>
      </c>
      <c r="DF403" s="94">
        <f t="shared" si="324"/>
        <v>537.5</v>
      </c>
      <c r="DG403" s="94">
        <f t="shared" si="324"/>
        <v>537.5</v>
      </c>
      <c r="DH403" s="94">
        <f t="shared" si="324"/>
        <v>537.5</v>
      </c>
      <c r="DI403" s="94">
        <f t="shared" si="324"/>
        <v>537.5</v>
      </c>
    </row>
    <row r="404" ht="15.75" customHeight="1">
      <c r="A404" s="91"/>
      <c r="B404" s="91"/>
      <c r="C404" s="91"/>
      <c r="D404" s="91"/>
      <c r="E404" s="91"/>
      <c r="F404" s="91"/>
      <c r="G404" s="91"/>
      <c r="H404" s="91"/>
      <c r="I404" s="91"/>
      <c r="J404" s="91"/>
      <c r="K404" s="91"/>
      <c r="L404" s="91"/>
      <c r="M404" s="91"/>
      <c r="N404" s="91"/>
      <c r="O404" s="91"/>
      <c r="P404" s="91"/>
      <c r="Q404" s="91"/>
      <c r="R404" s="91"/>
      <c r="S404" s="91"/>
      <c r="T404" s="91"/>
      <c r="U404" s="96">
        <v>45991.0</v>
      </c>
      <c r="CJ404" s="94">
        <f t="shared" ref="CJ404:DI404" si="325">+$CJ$53*$U$59*$X$59</f>
        <v>537.5</v>
      </c>
      <c r="CK404" s="94">
        <f t="shared" si="325"/>
        <v>537.5</v>
      </c>
      <c r="CL404" s="94">
        <f t="shared" si="325"/>
        <v>537.5</v>
      </c>
      <c r="CM404" s="94">
        <f t="shared" si="325"/>
        <v>537.5</v>
      </c>
      <c r="CN404" s="94">
        <f t="shared" si="325"/>
        <v>537.5</v>
      </c>
      <c r="CO404" s="94">
        <f t="shared" si="325"/>
        <v>537.5</v>
      </c>
      <c r="CP404" s="94">
        <f t="shared" si="325"/>
        <v>537.5</v>
      </c>
      <c r="CQ404" s="94">
        <f t="shared" si="325"/>
        <v>537.5</v>
      </c>
      <c r="CR404" s="94">
        <f t="shared" si="325"/>
        <v>537.5</v>
      </c>
      <c r="CS404" s="94">
        <f t="shared" si="325"/>
        <v>537.5</v>
      </c>
      <c r="CT404" s="94">
        <f t="shared" si="325"/>
        <v>537.5</v>
      </c>
      <c r="CU404" s="94">
        <f t="shared" si="325"/>
        <v>537.5</v>
      </c>
      <c r="CV404" s="94">
        <f t="shared" si="325"/>
        <v>537.5</v>
      </c>
      <c r="CW404" s="94">
        <f t="shared" si="325"/>
        <v>537.5</v>
      </c>
      <c r="CX404" s="94">
        <f t="shared" si="325"/>
        <v>537.5</v>
      </c>
      <c r="CY404" s="94">
        <f t="shared" si="325"/>
        <v>537.5</v>
      </c>
      <c r="CZ404" s="94">
        <f t="shared" si="325"/>
        <v>537.5</v>
      </c>
      <c r="DA404" s="94">
        <f t="shared" si="325"/>
        <v>537.5</v>
      </c>
      <c r="DB404" s="94">
        <f t="shared" si="325"/>
        <v>537.5</v>
      </c>
      <c r="DC404" s="94">
        <f t="shared" si="325"/>
        <v>537.5</v>
      </c>
      <c r="DD404" s="94">
        <f t="shared" si="325"/>
        <v>537.5</v>
      </c>
      <c r="DE404" s="94">
        <f t="shared" si="325"/>
        <v>537.5</v>
      </c>
      <c r="DF404" s="94">
        <f t="shared" si="325"/>
        <v>537.5</v>
      </c>
      <c r="DG404" s="94">
        <f t="shared" si="325"/>
        <v>537.5</v>
      </c>
      <c r="DH404" s="94">
        <f t="shared" si="325"/>
        <v>537.5</v>
      </c>
      <c r="DI404" s="94">
        <f t="shared" si="325"/>
        <v>537.5</v>
      </c>
    </row>
    <row r="405" ht="15.75" customHeight="1">
      <c r="A405" s="91"/>
      <c r="B405" s="91"/>
      <c r="C405" s="91"/>
      <c r="D405" s="91"/>
      <c r="E405" s="91"/>
      <c r="F405" s="91"/>
      <c r="G405" s="91"/>
      <c r="H405" s="91"/>
      <c r="I405" s="91"/>
      <c r="J405" s="91"/>
      <c r="K405" s="91"/>
      <c r="L405" s="91"/>
      <c r="M405" s="91"/>
      <c r="N405" s="91"/>
      <c r="O405" s="91"/>
      <c r="P405" s="91"/>
      <c r="Q405" s="91"/>
      <c r="R405" s="91"/>
      <c r="S405" s="91"/>
      <c r="T405" s="91"/>
      <c r="U405" s="96">
        <v>46022.0</v>
      </c>
      <c r="CK405" s="94">
        <f t="shared" ref="CK405:DI405" si="326">+$CK$53*$U$59*$X$59</f>
        <v>537.5</v>
      </c>
      <c r="CL405" s="94">
        <f t="shared" si="326"/>
        <v>537.5</v>
      </c>
      <c r="CM405" s="94">
        <f t="shared" si="326"/>
        <v>537.5</v>
      </c>
      <c r="CN405" s="94">
        <f t="shared" si="326"/>
        <v>537.5</v>
      </c>
      <c r="CO405" s="94">
        <f t="shared" si="326"/>
        <v>537.5</v>
      </c>
      <c r="CP405" s="94">
        <f t="shared" si="326"/>
        <v>537.5</v>
      </c>
      <c r="CQ405" s="94">
        <f t="shared" si="326"/>
        <v>537.5</v>
      </c>
      <c r="CR405" s="94">
        <f t="shared" si="326"/>
        <v>537.5</v>
      </c>
      <c r="CS405" s="94">
        <f t="shared" si="326"/>
        <v>537.5</v>
      </c>
      <c r="CT405" s="94">
        <f t="shared" si="326"/>
        <v>537.5</v>
      </c>
      <c r="CU405" s="94">
        <f t="shared" si="326"/>
        <v>537.5</v>
      </c>
      <c r="CV405" s="94">
        <f t="shared" si="326"/>
        <v>537.5</v>
      </c>
      <c r="CW405" s="94">
        <f t="shared" si="326"/>
        <v>537.5</v>
      </c>
      <c r="CX405" s="94">
        <f t="shared" si="326"/>
        <v>537.5</v>
      </c>
      <c r="CY405" s="94">
        <f t="shared" si="326"/>
        <v>537.5</v>
      </c>
      <c r="CZ405" s="94">
        <f t="shared" si="326"/>
        <v>537.5</v>
      </c>
      <c r="DA405" s="94">
        <f t="shared" si="326"/>
        <v>537.5</v>
      </c>
      <c r="DB405" s="94">
        <f t="shared" si="326"/>
        <v>537.5</v>
      </c>
      <c r="DC405" s="94">
        <f t="shared" si="326"/>
        <v>537.5</v>
      </c>
      <c r="DD405" s="94">
        <f t="shared" si="326"/>
        <v>537.5</v>
      </c>
      <c r="DE405" s="94">
        <f t="shared" si="326"/>
        <v>537.5</v>
      </c>
      <c r="DF405" s="94">
        <f t="shared" si="326"/>
        <v>537.5</v>
      </c>
      <c r="DG405" s="94">
        <f t="shared" si="326"/>
        <v>537.5</v>
      </c>
      <c r="DH405" s="94">
        <f t="shared" si="326"/>
        <v>537.5</v>
      </c>
      <c r="DI405" s="94">
        <f t="shared" si="326"/>
        <v>537.5</v>
      </c>
    </row>
    <row r="406" ht="15.75" customHeight="1">
      <c r="A406" s="91"/>
      <c r="B406" s="91"/>
      <c r="C406" s="91"/>
      <c r="D406" s="91"/>
      <c r="E406" s="91"/>
      <c r="F406" s="91"/>
      <c r="G406" s="91"/>
      <c r="H406" s="91"/>
      <c r="I406" s="91"/>
      <c r="J406" s="91"/>
      <c r="K406" s="91"/>
      <c r="L406" s="91"/>
      <c r="M406" s="91"/>
      <c r="N406" s="91"/>
      <c r="O406" s="91"/>
      <c r="P406" s="91"/>
      <c r="Q406" s="91"/>
      <c r="R406" s="91"/>
      <c r="S406" s="91"/>
      <c r="T406" s="91"/>
      <c r="U406" s="96">
        <v>46053.0</v>
      </c>
      <c r="CL406" s="94">
        <f t="shared" ref="CL406:DI406" si="327">+$CL$53*$U$59*$X$59</f>
        <v>537.5</v>
      </c>
      <c r="CM406" s="94">
        <f t="shared" si="327"/>
        <v>537.5</v>
      </c>
      <c r="CN406" s="94">
        <f t="shared" si="327"/>
        <v>537.5</v>
      </c>
      <c r="CO406" s="94">
        <f t="shared" si="327"/>
        <v>537.5</v>
      </c>
      <c r="CP406" s="94">
        <f t="shared" si="327"/>
        <v>537.5</v>
      </c>
      <c r="CQ406" s="94">
        <f t="shared" si="327"/>
        <v>537.5</v>
      </c>
      <c r="CR406" s="94">
        <f t="shared" si="327"/>
        <v>537.5</v>
      </c>
      <c r="CS406" s="94">
        <f t="shared" si="327"/>
        <v>537.5</v>
      </c>
      <c r="CT406" s="94">
        <f t="shared" si="327"/>
        <v>537.5</v>
      </c>
      <c r="CU406" s="94">
        <f t="shared" si="327"/>
        <v>537.5</v>
      </c>
      <c r="CV406" s="94">
        <f t="shared" si="327"/>
        <v>537.5</v>
      </c>
      <c r="CW406" s="94">
        <f t="shared" si="327"/>
        <v>537.5</v>
      </c>
      <c r="CX406" s="94">
        <f t="shared" si="327"/>
        <v>537.5</v>
      </c>
      <c r="CY406" s="94">
        <f t="shared" si="327"/>
        <v>537.5</v>
      </c>
      <c r="CZ406" s="94">
        <f t="shared" si="327"/>
        <v>537.5</v>
      </c>
      <c r="DA406" s="94">
        <f t="shared" si="327"/>
        <v>537.5</v>
      </c>
      <c r="DB406" s="94">
        <f t="shared" si="327"/>
        <v>537.5</v>
      </c>
      <c r="DC406" s="94">
        <f t="shared" si="327"/>
        <v>537.5</v>
      </c>
      <c r="DD406" s="94">
        <f t="shared" si="327"/>
        <v>537.5</v>
      </c>
      <c r="DE406" s="94">
        <f t="shared" si="327"/>
        <v>537.5</v>
      </c>
      <c r="DF406" s="94">
        <f t="shared" si="327"/>
        <v>537.5</v>
      </c>
      <c r="DG406" s="94">
        <f t="shared" si="327"/>
        <v>537.5</v>
      </c>
      <c r="DH406" s="94">
        <f t="shared" si="327"/>
        <v>537.5</v>
      </c>
      <c r="DI406" s="94">
        <f t="shared" si="327"/>
        <v>537.5</v>
      </c>
    </row>
    <row r="407" ht="15.75" customHeight="1">
      <c r="A407" s="91"/>
      <c r="B407" s="91"/>
      <c r="C407" s="91"/>
      <c r="D407" s="91"/>
      <c r="E407" s="91"/>
      <c r="F407" s="91"/>
      <c r="G407" s="91"/>
      <c r="H407" s="91"/>
      <c r="I407" s="91"/>
      <c r="J407" s="91"/>
      <c r="K407" s="91"/>
      <c r="L407" s="91"/>
      <c r="M407" s="91"/>
      <c r="N407" s="91"/>
      <c r="O407" s="91"/>
      <c r="P407" s="91"/>
      <c r="Q407" s="91"/>
      <c r="R407" s="91"/>
      <c r="S407" s="91"/>
      <c r="T407" s="91"/>
      <c r="U407" s="96">
        <v>46081.0</v>
      </c>
      <c r="CM407" s="94">
        <f t="shared" ref="CM407:DI407" si="328">+$CM$53*$U$59*$X$59</f>
        <v>537.5</v>
      </c>
      <c r="CN407" s="94">
        <f t="shared" si="328"/>
        <v>537.5</v>
      </c>
      <c r="CO407" s="94">
        <f t="shared" si="328"/>
        <v>537.5</v>
      </c>
      <c r="CP407" s="94">
        <f t="shared" si="328"/>
        <v>537.5</v>
      </c>
      <c r="CQ407" s="94">
        <f t="shared" si="328"/>
        <v>537.5</v>
      </c>
      <c r="CR407" s="94">
        <f t="shared" si="328"/>
        <v>537.5</v>
      </c>
      <c r="CS407" s="94">
        <f t="shared" si="328"/>
        <v>537.5</v>
      </c>
      <c r="CT407" s="94">
        <f t="shared" si="328"/>
        <v>537.5</v>
      </c>
      <c r="CU407" s="94">
        <f t="shared" si="328"/>
        <v>537.5</v>
      </c>
      <c r="CV407" s="94">
        <f t="shared" si="328"/>
        <v>537.5</v>
      </c>
      <c r="CW407" s="94">
        <f t="shared" si="328"/>
        <v>537.5</v>
      </c>
      <c r="CX407" s="94">
        <f t="shared" si="328"/>
        <v>537.5</v>
      </c>
      <c r="CY407" s="94">
        <f t="shared" si="328"/>
        <v>537.5</v>
      </c>
      <c r="CZ407" s="94">
        <f t="shared" si="328"/>
        <v>537.5</v>
      </c>
      <c r="DA407" s="94">
        <f t="shared" si="328"/>
        <v>537.5</v>
      </c>
      <c r="DB407" s="94">
        <f t="shared" si="328"/>
        <v>537.5</v>
      </c>
      <c r="DC407" s="94">
        <f t="shared" si="328"/>
        <v>537.5</v>
      </c>
      <c r="DD407" s="94">
        <f t="shared" si="328"/>
        <v>537.5</v>
      </c>
      <c r="DE407" s="94">
        <f t="shared" si="328"/>
        <v>537.5</v>
      </c>
      <c r="DF407" s="94">
        <f t="shared" si="328"/>
        <v>537.5</v>
      </c>
      <c r="DG407" s="94">
        <f t="shared" si="328"/>
        <v>537.5</v>
      </c>
      <c r="DH407" s="94">
        <f t="shared" si="328"/>
        <v>537.5</v>
      </c>
      <c r="DI407" s="94">
        <f t="shared" si="328"/>
        <v>537.5</v>
      </c>
    </row>
    <row r="408" ht="15.75" customHeight="1">
      <c r="A408" s="91"/>
      <c r="B408" s="91"/>
      <c r="C408" s="91"/>
      <c r="D408" s="91"/>
      <c r="E408" s="91"/>
      <c r="F408" s="91"/>
      <c r="G408" s="91"/>
      <c r="H408" s="91"/>
      <c r="I408" s="91"/>
      <c r="J408" s="91"/>
      <c r="K408" s="91"/>
      <c r="L408" s="91"/>
      <c r="M408" s="91"/>
      <c r="N408" s="91"/>
      <c r="O408" s="91"/>
      <c r="P408" s="91"/>
      <c r="Q408" s="91"/>
      <c r="R408" s="91"/>
      <c r="S408" s="91"/>
      <c r="T408" s="91"/>
      <c r="U408" s="96">
        <v>46112.0</v>
      </c>
      <c r="CN408" s="94">
        <f t="shared" ref="CN408:DI408" si="329">+$CN$53*$U$59*$X$59</f>
        <v>716.6666667</v>
      </c>
      <c r="CO408" s="94">
        <f t="shared" si="329"/>
        <v>716.6666667</v>
      </c>
      <c r="CP408" s="94">
        <f t="shared" si="329"/>
        <v>716.6666667</v>
      </c>
      <c r="CQ408" s="94">
        <f t="shared" si="329"/>
        <v>716.6666667</v>
      </c>
      <c r="CR408" s="94">
        <f t="shared" si="329"/>
        <v>716.6666667</v>
      </c>
      <c r="CS408" s="94">
        <f t="shared" si="329"/>
        <v>716.6666667</v>
      </c>
      <c r="CT408" s="94">
        <f t="shared" si="329"/>
        <v>716.6666667</v>
      </c>
      <c r="CU408" s="94">
        <f t="shared" si="329"/>
        <v>716.6666667</v>
      </c>
      <c r="CV408" s="94">
        <f t="shared" si="329"/>
        <v>716.6666667</v>
      </c>
      <c r="CW408" s="94">
        <f t="shared" si="329"/>
        <v>716.6666667</v>
      </c>
      <c r="CX408" s="94">
        <f t="shared" si="329"/>
        <v>716.6666667</v>
      </c>
      <c r="CY408" s="94">
        <f t="shared" si="329"/>
        <v>716.6666667</v>
      </c>
      <c r="CZ408" s="94">
        <f t="shared" si="329"/>
        <v>716.6666667</v>
      </c>
      <c r="DA408" s="94">
        <f t="shared" si="329"/>
        <v>716.6666667</v>
      </c>
      <c r="DB408" s="94">
        <f t="shared" si="329"/>
        <v>716.6666667</v>
      </c>
      <c r="DC408" s="94">
        <f t="shared" si="329"/>
        <v>716.6666667</v>
      </c>
      <c r="DD408" s="94">
        <f t="shared" si="329"/>
        <v>716.6666667</v>
      </c>
      <c r="DE408" s="94">
        <f t="shared" si="329"/>
        <v>716.6666667</v>
      </c>
      <c r="DF408" s="94">
        <f t="shared" si="329"/>
        <v>716.6666667</v>
      </c>
      <c r="DG408" s="94">
        <f t="shared" si="329"/>
        <v>716.6666667</v>
      </c>
      <c r="DH408" s="94">
        <f t="shared" si="329"/>
        <v>716.6666667</v>
      </c>
      <c r="DI408" s="94">
        <f t="shared" si="329"/>
        <v>716.6666667</v>
      </c>
    </row>
    <row r="409" ht="15.75" customHeight="1">
      <c r="A409" s="91"/>
      <c r="B409" s="91"/>
      <c r="C409" s="91"/>
      <c r="D409" s="91"/>
      <c r="E409" s="91"/>
      <c r="F409" s="91"/>
      <c r="G409" s="91"/>
      <c r="H409" s="91"/>
      <c r="I409" s="91"/>
      <c r="J409" s="91"/>
      <c r="K409" s="91"/>
      <c r="L409" s="91"/>
      <c r="M409" s="91"/>
      <c r="N409" s="91"/>
      <c r="O409" s="91"/>
      <c r="P409" s="91"/>
      <c r="Q409" s="91"/>
      <c r="R409" s="91"/>
      <c r="S409" s="91"/>
      <c r="T409" s="91"/>
      <c r="U409" s="96">
        <v>46142.0</v>
      </c>
      <c r="CO409" s="94">
        <f t="shared" ref="CO409:DI409" si="330">+$CO$53*$U$59*$X$59</f>
        <v>895.8333333</v>
      </c>
      <c r="CP409" s="94">
        <f t="shared" si="330"/>
        <v>895.8333333</v>
      </c>
      <c r="CQ409" s="94">
        <f t="shared" si="330"/>
        <v>895.8333333</v>
      </c>
      <c r="CR409" s="94">
        <f t="shared" si="330"/>
        <v>895.8333333</v>
      </c>
      <c r="CS409" s="94">
        <f t="shared" si="330"/>
        <v>895.8333333</v>
      </c>
      <c r="CT409" s="94">
        <f t="shared" si="330"/>
        <v>895.8333333</v>
      </c>
      <c r="CU409" s="94">
        <f t="shared" si="330"/>
        <v>895.8333333</v>
      </c>
      <c r="CV409" s="94">
        <f t="shared" si="330"/>
        <v>895.8333333</v>
      </c>
      <c r="CW409" s="94">
        <f t="shared" si="330"/>
        <v>895.8333333</v>
      </c>
      <c r="CX409" s="94">
        <f t="shared" si="330"/>
        <v>895.8333333</v>
      </c>
      <c r="CY409" s="94">
        <f t="shared" si="330"/>
        <v>895.8333333</v>
      </c>
      <c r="CZ409" s="94">
        <f t="shared" si="330"/>
        <v>895.8333333</v>
      </c>
      <c r="DA409" s="94">
        <f t="shared" si="330"/>
        <v>895.8333333</v>
      </c>
      <c r="DB409" s="94">
        <f t="shared" si="330"/>
        <v>895.8333333</v>
      </c>
      <c r="DC409" s="94">
        <f t="shared" si="330"/>
        <v>895.8333333</v>
      </c>
      <c r="DD409" s="94">
        <f t="shared" si="330"/>
        <v>895.8333333</v>
      </c>
      <c r="DE409" s="94">
        <f t="shared" si="330"/>
        <v>895.8333333</v>
      </c>
      <c r="DF409" s="94">
        <f t="shared" si="330"/>
        <v>895.8333333</v>
      </c>
      <c r="DG409" s="94">
        <f t="shared" si="330"/>
        <v>895.8333333</v>
      </c>
      <c r="DH409" s="94">
        <f t="shared" si="330"/>
        <v>895.8333333</v>
      </c>
      <c r="DI409" s="94">
        <f t="shared" si="330"/>
        <v>895.8333333</v>
      </c>
    </row>
    <row r="410" ht="15.75" customHeight="1">
      <c r="A410" s="91"/>
      <c r="B410" s="91"/>
      <c r="C410" s="91"/>
      <c r="D410" s="91"/>
      <c r="E410" s="91"/>
      <c r="F410" s="91"/>
      <c r="G410" s="91"/>
      <c r="H410" s="91"/>
      <c r="I410" s="91"/>
      <c r="J410" s="91"/>
      <c r="K410" s="91"/>
      <c r="L410" s="91"/>
      <c r="M410" s="91"/>
      <c r="N410" s="91"/>
      <c r="O410" s="91"/>
      <c r="P410" s="91"/>
      <c r="Q410" s="91"/>
      <c r="R410" s="91"/>
      <c r="S410" s="91"/>
      <c r="T410" s="91"/>
      <c r="U410" s="96">
        <v>46173.0</v>
      </c>
      <c r="CP410" s="94">
        <f t="shared" ref="CP410:DI410" si="331">+$CP$53*$U$59*$X$59</f>
        <v>895.8333333</v>
      </c>
      <c r="CQ410" s="94">
        <f t="shared" si="331"/>
        <v>895.8333333</v>
      </c>
      <c r="CR410" s="94">
        <f t="shared" si="331"/>
        <v>895.8333333</v>
      </c>
      <c r="CS410" s="94">
        <f t="shared" si="331"/>
        <v>895.8333333</v>
      </c>
      <c r="CT410" s="94">
        <f t="shared" si="331"/>
        <v>895.8333333</v>
      </c>
      <c r="CU410" s="94">
        <f t="shared" si="331"/>
        <v>895.8333333</v>
      </c>
      <c r="CV410" s="94">
        <f t="shared" si="331"/>
        <v>895.8333333</v>
      </c>
      <c r="CW410" s="94">
        <f t="shared" si="331"/>
        <v>895.8333333</v>
      </c>
      <c r="CX410" s="94">
        <f t="shared" si="331"/>
        <v>895.8333333</v>
      </c>
      <c r="CY410" s="94">
        <f t="shared" si="331"/>
        <v>895.8333333</v>
      </c>
      <c r="CZ410" s="94">
        <f t="shared" si="331"/>
        <v>895.8333333</v>
      </c>
      <c r="DA410" s="94">
        <f t="shared" si="331"/>
        <v>895.8333333</v>
      </c>
      <c r="DB410" s="94">
        <f t="shared" si="331"/>
        <v>895.8333333</v>
      </c>
      <c r="DC410" s="94">
        <f t="shared" si="331"/>
        <v>895.8333333</v>
      </c>
      <c r="DD410" s="94">
        <f t="shared" si="331"/>
        <v>895.8333333</v>
      </c>
      <c r="DE410" s="94">
        <f t="shared" si="331"/>
        <v>895.8333333</v>
      </c>
      <c r="DF410" s="94">
        <f t="shared" si="331"/>
        <v>895.8333333</v>
      </c>
      <c r="DG410" s="94">
        <f t="shared" si="331"/>
        <v>895.8333333</v>
      </c>
      <c r="DH410" s="94">
        <f t="shared" si="331"/>
        <v>895.8333333</v>
      </c>
      <c r="DI410" s="94">
        <f t="shared" si="331"/>
        <v>895.8333333</v>
      </c>
    </row>
    <row r="411" ht="15.75" customHeight="1">
      <c r="A411" s="91"/>
      <c r="B411" s="91"/>
      <c r="C411" s="91"/>
      <c r="D411" s="91"/>
      <c r="E411" s="91"/>
      <c r="F411" s="91"/>
      <c r="G411" s="91"/>
      <c r="H411" s="91"/>
      <c r="I411" s="91"/>
      <c r="J411" s="91"/>
      <c r="K411" s="91"/>
      <c r="L411" s="91"/>
      <c r="M411" s="91"/>
      <c r="N411" s="91"/>
      <c r="O411" s="91"/>
      <c r="P411" s="91"/>
      <c r="Q411" s="91"/>
      <c r="R411" s="91"/>
      <c r="S411" s="91"/>
      <c r="T411" s="91"/>
      <c r="U411" s="96">
        <v>46203.0</v>
      </c>
      <c r="CQ411" s="94">
        <f t="shared" ref="CQ411:DI411" si="332">+$CQ$53*$U$59*$X$59</f>
        <v>895.8333333</v>
      </c>
      <c r="CR411" s="94">
        <f t="shared" si="332"/>
        <v>895.8333333</v>
      </c>
      <c r="CS411" s="94">
        <f t="shared" si="332"/>
        <v>895.8333333</v>
      </c>
      <c r="CT411" s="94">
        <f t="shared" si="332"/>
        <v>895.8333333</v>
      </c>
      <c r="CU411" s="94">
        <f t="shared" si="332"/>
        <v>895.8333333</v>
      </c>
      <c r="CV411" s="94">
        <f t="shared" si="332"/>
        <v>895.8333333</v>
      </c>
      <c r="CW411" s="94">
        <f t="shared" si="332"/>
        <v>895.8333333</v>
      </c>
      <c r="CX411" s="94">
        <f t="shared" si="332"/>
        <v>895.8333333</v>
      </c>
      <c r="CY411" s="94">
        <f t="shared" si="332"/>
        <v>895.8333333</v>
      </c>
      <c r="CZ411" s="94">
        <f t="shared" si="332"/>
        <v>895.8333333</v>
      </c>
      <c r="DA411" s="94">
        <f t="shared" si="332"/>
        <v>895.8333333</v>
      </c>
      <c r="DB411" s="94">
        <f t="shared" si="332"/>
        <v>895.8333333</v>
      </c>
      <c r="DC411" s="94">
        <f t="shared" si="332"/>
        <v>895.8333333</v>
      </c>
      <c r="DD411" s="94">
        <f t="shared" si="332"/>
        <v>895.8333333</v>
      </c>
      <c r="DE411" s="94">
        <f t="shared" si="332"/>
        <v>895.8333333</v>
      </c>
      <c r="DF411" s="94">
        <f t="shared" si="332"/>
        <v>895.8333333</v>
      </c>
      <c r="DG411" s="94">
        <f t="shared" si="332"/>
        <v>895.8333333</v>
      </c>
      <c r="DH411" s="94">
        <f t="shared" si="332"/>
        <v>895.8333333</v>
      </c>
      <c r="DI411" s="94">
        <f t="shared" si="332"/>
        <v>895.8333333</v>
      </c>
    </row>
    <row r="412" ht="15.75" customHeight="1">
      <c r="A412" s="91"/>
      <c r="B412" s="91"/>
      <c r="C412" s="91"/>
      <c r="D412" s="91"/>
      <c r="E412" s="91"/>
      <c r="F412" s="91"/>
      <c r="G412" s="91"/>
      <c r="H412" s="91"/>
      <c r="I412" s="91"/>
      <c r="J412" s="91"/>
      <c r="K412" s="91"/>
      <c r="L412" s="91"/>
      <c r="M412" s="91"/>
      <c r="N412" s="91"/>
      <c r="O412" s="91"/>
      <c r="P412" s="91"/>
      <c r="Q412" s="91"/>
      <c r="R412" s="91"/>
      <c r="S412" s="91"/>
      <c r="T412" s="91"/>
      <c r="U412" s="96">
        <v>46234.0</v>
      </c>
      <c r="CR412" s="94">
        <f t="shared" ref="CR412:DI412" si="333">+$CR$53*$U$59*$X$59</f>
        <v>1075</v>
      </c>
      <c r="CS412" s="94">
        <f t="shared" si="333"/>
        <v>1075</v>
      </c>
      <c r="CT412" s="94">
        <f t="shared" si="333"/>
        <v>1075</v>
      </c>
      <c r="CU412" s="94">
        <f t="shared" si="333"/>
        <v>1075</v>
      </c>
      <c r="CV412" s="94">
        <f t="shared" si="333"/>
        <v>1075</v>
      </c>
      <c r="CW412" s="94">
        <f t="shared" si="333"/>
        <v>1075</v>
      </c>
      <c r="CX412" s="94">
        <f t="shared" si="333"/>
        <v>1075</v>
      </c>
      <c r="CY412" s="94">
        <f t="shared" si="333"/>
        <v>1075</v>
      </c>
      <c r="CZ412" s="94">
        <f t="shared" si="333"/>
        <v>1075</v>
      </c>
      <c r="DA412" s="94">
        <f t="shared" si="333"/>
        <v>1075</v>
      </c>
      <c r="DB412" s="94">
        <f t="shared" si="333"/>
        <v>1075</v>
      </c>
      <c r="DC412" s="94">
        <f t="shared" si="333"/>
        <v>1075</v>
      </c>
      <c r="DD412" s="94">
        <f t="shared" si="333"/>
        <v>1075</v>
      </c>
      <c r="DE412" s="94">
        <f t="shared" si="333"/>
        <v>1075</v>
      </c>
      <c r="DF412" s="94">
        <f t="shared" si="333"/>
        <v>1075</v>
      </c>
      <c r="DG412" s="94">
        <f t="shared" si="333"/>
        <v>1075</v>
      </c>
      <c r="DH412" s="94">
        <f t="shared" si="333"/>
        <v>1075</v>
      </c>
      <c r="DI412" s="94">
        <f t="shared" si="333"/>
        <v>1075</v>
      </c>
    </row>
    <row r="413" ht="15.75" customHeight="1">
      <c r="A413" s="91"/>
      <c r="B413" s="91"/>
      <c r="C413" s="91"/>
      <c r="D413" s="91"/>
      <c r="E413" s="91"/>
      <c r="F413" s="91"/>
      <c r="G413" s="91"/>
      <c r="H413" s="91"/>
      <c r="I413" s="91"/>
      <c r="J413" s="91"/>
      <c r="K413" s="91"/>
      <c r="L413" s="91"/>
      <c r="M413" s="91"/>
      <c r="N413" s="91"/>
      <c r="O413" s="91"/>
      <c r="P413" s="91"/>
      <c r="Q413" s="91"/>
      <c r="R413" s="91"/>
      <c r="S413" s="91"/>
      <c r="T413" s="91"/>
      <c r="U413" s="96">
        <v>46265.0</v>
      </c>
      <c r="CS413" s="94">
        <f t="shared" ref="CS413:DI413" si="334">+$CS$53*$U$59*$X$59</f>
        <v>1075</v>
      </c>
      <c r="CT413" s="94">
        <f t="shared" si="334"/>
        <v>1075</v>
      </c>
      <c r="CU413" s="94">
        <f t="shared" si="334"/>
        <v>1075</v>
      </c>
      <c r="CV413" s="94">
        <f t="shared" si="334"/>
        <v>1075</v>
      </c>
      <c r="CW413" s="94">
        <f t="shared" si="334"/>
        <v>1075</v>
      </c>
      <c r="CX413" s="94">
        <f t="shared" si="334"/>
        <v>1075</v>
      </c>
      <c r="CY413" s="94">
        <f t="shared" si="334"/>
        <v>1075</v>
      </c>
      <c r="CZ413" s="94">
        <f t="shared" si="334"/>
        <v>1075</v>
      </c>
      <c r="DA413" s="94">
        <f t="shared" si="334"/>
        <v>1075</v>
      </c>
      <c r="DB413" s="94">
        <f t="shared" si="334"/>
        <v>1075</v>
      </c>
      <c r="DC413" s="94">
        <f t="shared" si="334"/>
        <v>1075</v>
      </c>
      <c r="DD413" s="94">
        <f t="shared" si="334"/>
        <v>1075</v>
      </c>
      <c r="DE413" s="94">
        <f t="shared" si="334"/>
        <v>1075</v>
      </c>
      <c r="DF413" s="94">
        <f t="shared" si="334"/>
        <v>1075</v>
      </c>
      <c r="DG413" s="94">
        <f t="shared" si="334"/>
        <v>1075</v>
      </c>
      <c r="DH413" s="94">
        <f t="shared" si="334"/>
        <v>1075</v>
      </c>
      <c r="DI413" s="94">
        <f t="shared" si="334"/>
        <v>1075</v>
      </c>
    </row>
    <row r="414" ht="15.75" customHeight="1">
      <c r="A414" s="91"/>
      <c r="B414" s="91"/>
      <c r="C414" s="91"/>
      <c r="D414" s="91"/>
      <c r="E414" s="91"/>
      <c r="F414" s="91"/>
      <c r="G414" s="91"/>
      <c r="H414" s="91"/>
      <c r="I414" s="91"/>
      <c r="J414" s="91"/>
      <c r="K414" s="91"/>
      <c r="L414" s="91"/>
      <c r="M414" s="91"/>
      <c r="N414" s="91"/>
      <c r="O414" s="91"/>
      <c r="P414" s="91"/>
      <c r="Q414" s="91"/>
      <c r="R414" s="91"/>
      <c r="S414" s="91"/>
      <c r="T414" s="91"/>
      <c r="U414" s="96">
        <v>46295.0</v>
      </c>
      <c r="CT414" s="94">
        <f t="shared" ref="CT414:DI414" si="335">+$CT$53*$U$59*$X$59</f>
        <v>1075</v>
      </c>
      <c r="CU414" s="94">
        <f t="shared" si="335"/>
        <v>1075</v>
      </c>
      <c r="CV414" s="94">
        <f t="shared" si="335"/>
        <v>1075</v>
      </c>
      <c r="CW414" s="94">
        <f t="shared" si="335"/>
        <v>1075</v>
      </c>
      <c r="CX414" s="94">
        <f t="shared" si="335"/>
        <v>1075</v>
      </c>
      <c r="CY414" s="94">
        <f t="shared" si="335"/>
        <v>1075</v>
      </c>
      <c r="CZ414" s="94">
        <f t="shared" si="335"/>
        <v>1075</v>
      </c>
      <c r="DA414" s="94">
        <f t="shared" si="335"/>
        <v>1075</v>
      </c>
      <c r="DB414" s="94">
        <f t="shared" si="335"/>
        <v>1075</v>
      </c>
      <c r="DC414" s="94">
        <f t="shared" si="335"/>
        <v>1075</v>
      </c>
      <c r="DD414" s="94">
        <f t="shared" si="335"/>
        <v>1075</v>
      </c>
      <c r="DE414" s="94">
        <f t="shared" si="335"/>
        <v>1075</v>
      </c>
      <c r="DF414" s="94">
        <f t="shared" si="335"/>
        <v>1075</v>
      </c>
      <c r="DG414" s="94">
        <f t="shared" si="335"/>
        <v>1075</v>
      </c>
      <c r="DH414" s="94">
        <f t="shared" si="335"/>
        <v>1075</v>
      </c>
      <c r="DI414" s="94">
        <f t="shared" si="335"/>
        <v>1075</v>
      </c>
    </row>
    <row r="415" ht="15.75" customHeight="1">
      <c r="A415" s="91"/>
      <c r="B415" s="91"/>
      <c r="C415" s="91"/>
      <c r="D415" s="91"/>
      <c r="E415" s="91"/>
      <c r="F415" s="91"/>
      <c r="G415" s="91"/>
      <c r="H415" s="91"/>
      <c r="I415" s="91"/>
      <c r="J415" s="91"/>
      <c r="K415" s="91"/>
      <c r="L415" s="91"/>
      <c r="M415" s="91"/>
      <c r="N415" s="91"/>
      <c r="O415" s="91"/>
      <c r="P415" s="91"/>
      <c r="Q415" s="91"/>
      <c r="R415" s="91"/>
      <c r="S415" s="91"/>
      <c r="T415" s="91"/>
      <c r="U415" s="96">
        <v>46326.0</v>
      </c>
      <c r="CU415" s="94">
        <f t="shared" ref="CU415:DI415" si="336">+$CU$53*$U$59*$X$59</f>
        <v>1075</v>
      </c>
      <c r="CV415" s="94">
        <f t="shared" si="336"/>
        <v>1075</v>
      </c>
      <c r="CW415" s="94">
        <f t="shared" si="336"/>
        <v>1075</v>
      </c>
      <c r="CX415" s="94">
        <f t="shared" si="336"/>
        <v>1075</v>
      </c>
      <c r="CY415" s="94">
        <f t="shared" si="336"/>
        <v>1075</v>
      </c>
      <c r="CZ415" s="94">
        <f t="shared" si="336"/>
        <v>1075</v>
      </c>
      <c r="DA415" s="94">
        <f t="shared" si="336"/>
        <v>1075</v>
      </c>
      <c r="DB415" s="94">
        <f t="shared" si="336"/>
        <v>1075</v>
      </c>
      <c r="DC415" s="94">
        <f t="shared" si="336"/>
        <v>1075</v>
      </c>
      <c r="DD415" s="94">
        <f t="shared" si="336"/>
        <v>1075</v>
      </c>
      <c r="DE415" s="94">
        <f t="shared" si="336"/>
        <v>1075</v>
      </c>
      <c r="DF415" s="94">
        <f t="shared" si="336"/>
        <v>1075</v>
      </c>
      <c r="DG415" s="94">
        <f t="shared" si="336"/>
        <v>1075</v>
      </c>
      <c r="DH415" s="94">
        <f t="shared" si="336"/>
        <v>1075</v>
      </c>
      <c r="DI415" s="94">
        <f t="shared" si="336"/>
        <v>1075</v>
      </c>
    </row>
    <row r="416" ht="15.75" customHeight="1">
      <c r="A416" s="91"/>
      <c r="B416" s="91"/>
      <c r="C416" s="91"/>
      <c r="D416" s="91"/>
      <c r="E416" s="91"/>
      <c r="F416" s="91"/>
      <c r="G416" s="91"/>
      <c r="H416" s="91"/>
      <c r="I416" s="91"/>
      <c r="J416" s="91"/>
      <c r="K416" s="91"/>
      <c r="L416" s="91"/>
      <c r="M416" s="91"/>
      <c r="N416" s="91"/>
      <c r="O416" s="91"/>
      <c r="P416" s="91"/>
      <c r="Q416" s="91"/>
      <c r="R416" s="91"/>
      <c r="S416" s="91"/>
      <c r="T416" s="91"/>
      <c r="U416" s="96">
        <v>46356.0</v>
      </c>
      <c r="CV416" s="94">
        <f t="shared" ref="CV416:DI416" si="337">+$CV$53*$U$59*$X$59</f>
        <v>1075</v>
      </c>
      <c r="CW416" s="94">
        <f t="shared" si="337"/>
        <v>1075</v>
      </c>
      <c r="CX416" s="94">
        <f t="shared" si="337"/>
        <v>1075</v>
      </c>
      <c r="CY416" s="94">
        <f t="shared" si="337"/>
        <v>1075</v>
      </c>
      <c r="CZ416" s="94">
        <f t="shared" si="337"/>
        <v>1075</v>
      </c>
      <c r="DA416" s="94">
        <f t="shared" si="337"/>
        <v>1075</v>
      </c>
      <c r="DB416" s="94">
        <f t="shared" si="337"/>
        <v>1075</v>
      </c>
      <c r="DC416" s="94">
        <f t="shared" si="337"/>
        <v>1075</v>
      </c>
      <c r="DD416" s="94">
        <f t="shared" si="337"/>
        <v>1075</v>
      </c>
      <c r="DE416" s="94">
        <f t="shared" si="337"/>
        <v>1075</v>
      </c>
      <c r="DF416" s="94">
        <f t="shared" si="337"/>
        <v>1075</v>
      </c>
      <c r="DG416" s="94">
        <f t="shared" si="337"/>
        <v>1075</v>
      </c>
      <c r="DH416" s="94">
        <f t="shared" si="337"/>
        <v>1075</v>
      </c>
      <c r="DI416" s="94">
        <f t="shared" si="337"/>
        <v>1075</v>
      </c>
    </row>
    <row r="417" ht="15.75" customHeight="1">
      <c r="A417" s="91"/>
      <c r="B417" s="91"/>
      <c r="C417" s="91"/>
      <c r="D417" s="91"/>
      <c r="E417" s="91"/>
      <c r="F417" s="91"/>
      <c r="G417" s="91"/>
      <c r="H417" s="91"/>
      <c r="I417" s="91"/>
      <c r="J417" s="91"/>
      <c r="K417" s="91"/>
      <c r="L417" s="91"/>
      <c r="M417" s="91"/>
      <c r="N417" s="91"/>
      <c r="O417" s="91"/>
      <c r="P417" s="91"/>
      <c r="Q417" s="91"/>
      <c r="R417" s="91"/>
      <c r="S417" s="91"/>
      <c r="T417" s="91"/>
      <c r="U417" s="96">
        <v>46387.0</v>
      </c>
      <c r="CW417" s="94">
        <f t="shared" ref="CW417:DI417" si="338">+$CW$53*$U$59*$X$59</f>
        <v>1075</v>
      </c>
      <c r="CX417" s="94">
        <f t="shared" si="338"/>
        <v>1075</v>
      </c>
      <c r="CY417" s="94">
        <f t="shared" si="338"/>
        <v>1075</v>
      </c>
      <c r="CZ417" s="94">
        <f t="shared" si="338"/>
        <v>1075</v>
      </c>
      <c r="DA417" s="94">
        <f t="shared" si="338"/>
        <v>1075</v>
      </c>
      <c r="DB417" s="94">
        <f t="shared" si="338"/>
        <v>1075</v>
      </c>
      <c r="DC417" s="94">
        <f t="shared" si="338"/>
        <v>1075</v>
      </c>
      <c r="DD417" s="94">
        <f t="shared" si="338"/>
        <v>1075</v>
      </c>
      <c r="DE417" s="94">
        <f t="shared" si="338"/>
        <v>1075</v>
      </c>
      <c r="DF417" s="94">
        <f t="shared" si="338"/>
        <v>1075</v>
      </c>
      <c r="DG417" s="94">
        <f t="shared" si="338"/>
        <v>1075</v>
      </c>
      <c r="DH417" s="94">
        <f t="shared" si="338"/>
        <v>1075</v>
      </c>
      <c r="DI417" s="94">
        <f t="shared" si="338"/>
        <v>1075</v>
      </c>
    </row>
    <row r="418" ht="15.75" customHeight="1">
      <c r="A418" s="91"/>
      <c r="B418" s="91"/>
      <c r="C418" s="91"/>
      <c r="D418" s="91"/>
      <c r="E418" s="91"/>
      <c r="F418" s="91"/>
      <c r="G418" s="91"/>
      <c r="H418" s="91"/>
      <c r="I418" s="91"/>
      <c r="J418" s="91"/>
      <c r="K418" s="91"/>
      <c r="L418" s="91"/>
      <c r="M418" s="91"/>
      <c r="N418" s="91"/>
      <c r="O418" s="91"/>
      <c r="P418" s="91"/>
      <c r="Q418" s="91"/>
      <c r="R418" s="91"/>
      <c r="S418" s="91"/>
      <c r="T418" s="91"/>
      <c r="U418" s="96">
        <v>46418.0</v>
      </c>
      <c r="CX418" s="94">
        <f t="shared" ref="CX418:DI418" si="339">+$CX$53*$U$59*$X$59</f>
        <v>1097.395833</v>
      </c>
      <c r="CY418" s="94">
        <f t="shared" si="339"/>
        <v>1097.395833</v>
      </c>
      <c r="CZ418" s="94">
        <f t="shared" si="339"/>
        <v>1097.395833</v>
      </c>
      <c r="DA418" s="94">
        <f t="shared" si="339"/>
        <v>1097.395833</v>
      </c>
      <c r="DB418" s="94">
        <f t="shared" si="339"/>
        <v>1097.395833</v>
      </c>
      <c r="DC418" s="94">
        <f t="shared" si="339"/>
        <v>1097.395833</v>
      </c>
      <c r="DD418" s="94">
        <f t="shared" si="339"/>
        <v>1097.395833</v>
      </c>
      <c r="DE418" s="94">
        <f t="shared" si="339"/>
        <v>1097.395833</v>
      </c>
      <c r="DF418" s="94">
        <f t="shared" si="339"/>
        <v>1097.395833</v>
      </c>
      <c r="DG418" s="94">
        <f t="shared" si="339"/>
        <v>1097.395833</v>
      </c>
      <c r="DH418" s="94">
        <f t="shared" si="339"/>
        <v>1097.395833</v>
      </c>
      <c r="DI418" s="94">
        <f t="shared" si="339"/>
        <v>1097.395833</v>
      </c>
    </row>
    <row r="419" ht="15.75" customHeight="1">
      <c r="A419" s="91"/>
      <c r="B419" s="91"/>
      <c r="C419" s="91"/>
      <c r="D419" s="91"/>
      <c r="E419" s="91"/>
      <c r="F419" s="91"/>
      <c r="G419" s="91"/>
      <c r="H419" s="91"/>
      <c r="I419" s="91"/>
      <c r="J419" s="91"/>
      <c r="K419" s="91"/>
      <c r="L419" s="91"/>
      <c r="M419" s="91"/>
      <c r="N419" s="91"/>
      <c r="O419" s="91"/>
      <c r="P419" s="91"/>
      <c r="Q419" s="91"/>
      <c r="R419" s="91"/>
      <c r="S419" s="91"/>
      <c r="T419" s="91"/>
      <c r="U419" s="96">
        <v>46446.0</v>
      </c>
      <c r="CY419" s="94">
        <f t="shared" ref="CY419:DI419" si="340">+$CY$53*$U$59*$X$59</f>
        <v>1097.395833</v>
      </c>
      <c r="CZ419" s="94">
        <f t="shared" si="340"/>
        <v>1097.395833</v>
      </c>
      <c r="DA419" s="94">
        <f t="shared" si="340"/>
        <v>1097.395833</v>
      </c>
      <c r="DB419" s="94">
        <f t="shared" si="340"/>
        <v>1097.395833</v>
      </c>
      <c r="DC419" s="94">
        <f t="shared" si="340"/>
        <v>1097.395833</v>
      </c>
      <c r="DD419" s="94">
        <f t="shared" si="340"/>
        <v>1097.395833</v>
      </c>
      <c r="DE419" s="94">
        <f t="shared" si="340"/>
        <v>1097.395833</v>
      </c>
      <c r="DF419" s="94">
        <f t="shared" si="340"/>
        <v>1097.395833</v>
      </c>
      <c r="DG419" s="94">
        <f t="shared" si="340"/>
        <v>1097.395833</v>
      </c>
      <c r="DH419" s="94">
        <f t="shared" si="340"/>
        <v>1097.395833</v>
      </c>
      <c r="DI419" s="94">
        <f t="shared" si="340"/>
        <v>1097.395833</v>
      </c>
    </row>
    <row r="420" ht="15.75" customHeight="1">
      <c r="A420" s="91"/>
      <c r="B420" s="91"/>
      <c r="C420" s="91"/>
      <c r="D420" s="91"/>
      <c r="E420" s="91"/>
      <c r="F420" s="91"/>
      <c r="G420" s="91"/>
      <c r="H420" s="91"/>
      <c r="I420" s="91"/>
      <c r="J420" s="91"/>
      <c r="K420" s="91"/>
      <c r="L420" s="91"/>
      <c r="M420" s="91"/>
      <c r="N420" s="91"/>
      <c r="O420" s="91"/>
      <c r="P420" s="91"/>
      <c r="Q420" s="91"/>
      <c r="R420" s="91"/>
      <c r="S420" s="91"/>
      <c r="T420" s="91"/>
      <c r="U420" s="96">
        <v>46477.0</v>
      </c>
      <c r="CZ420" s="94">
        <f t="shared" ref="CZ420:DI420" si="341">+$CZ$53*$U$59*$X$59</f>
        <v>1254.166667</v>
      </c>
      <c r="DA420" s="94">
        <f t="shared" si="341"/>
        <v>1254.166667</v>
      </c>
      <c r="DB420" s="94">
        <f t="shared" si="341"/>
        <v>1254.166667</v>
      </c>
      <c r="DC420" s="94">
        <f t="shared" si="341"/>
        <v>1254.166667</v>
      </c>
      <c r="DD420" s="94">
        <f t="shared" si="341"/>
        <v>1254.166667</v>
      </c>
      <c r="DE420" s="94">
        <f t="shared" si="341"/>
        <v>1254.166667</v>
      </c>
      <c r="DF420" s="94">
        <f t="shared" si="341"/>
        <v>1254.166667</v>
      </c>
      <c r="DG420" s="94">
        <f t="shared" si="341"/>
        <v>1254.166667</v>
      </c>
      <c r="DH420" s="94">
        <f t="shared" si="341"/>
        <v>1254.166667</v>
      </c>
      <c r="DI420" s="94">
        <f t="shared" si="341"/>
        <v>1254.166667</v>
      </c>
    </row>
    <row r="421" ht="15.75" customHeight="1">
      <c r="A421" s="91"/>
      <c r="B421" s="91"/>
      <c r="C421" s="91"/>
      <c r="D421" s="91"/>
      <c r="E421" s="91"/>
      <c r="F421" s="91"/>
      <c r="G421" s="91"/>
      <c r="H421" s="91"/>
      <c r="I421" s="91"/>
      <c r="J421" s="91"/>
      <c r="K421" s="91"/>
      <c r="L421" s="91"/>
      <c r="M421" s="91"/>
      <c r="N421" s="91"/>
      <c r="O421" s="91"/>
      <c r="P421" s="91"/>
      <c r="Q421" s="91"/>
      <c r="R421" s="91"/>
      <c r="S421" s="91"/>
      <c r="T421" s="91"/>
      <c r="U421" s="96">
        <v>46507.0</v>
      </c>
      <c r="DA421" s="94">
        <f t="shared" ref="DA421:DI421" si="342">+$DA$53*$U$59*$X$59</f>
        <v>1254.166667</v>
      </c>
      <c r="DB421" s="94">
        <f t="shared" si="342"/>
        <v>1254.166667</v>
      </c>
      <c r="DC421" s="94">
        <f t="shared" si="342"/>
        <v>1254.166667</v>
      </c>
      <c r="DD421" s="94">
        <f t="shared" si="342"/>
        <v>1254.166667</v>
      </c>
      <c r="DE421" s="94">
        <f t="shared" si="342"/>
        <v>1254.166667</v>
      </c>
      <c r="DF421" s="94">
        <f t="shared" si="342"/>
        <v>1254.166667</v>
      </c>
      <c r="DG421" s="94">
        <f t="shared" si="342"/>
        <v>1254.166667</v>
      </c>
      <c r="DH421" s="94">
        <f t="shared" si="342"/>
        <v>1254.166667</v>
      </c>
      <c r="DI421" s="94">
        <f t="shared" si="342"/>
        <v>1254.166667</v>
      </c>
    </row>
    <row r="422" ht="15.75" customHeight="1">
      <c r="A422" s="91"/>
      <c r="B422" s="91"/>
      <c r="C422" s="91"/>
      <c r="D422" s="91"/>
      <c r="E422" s="91"/>
      <c r="F422" s="91"/>
      <c r="G422" s="91"/>
      <c r="H422" s="91"/>
      <c r="I422" s="91"/>
      <c r="J422" s="91"/>
      <c r="K422" s="91"/>
      <c r="L422" s="91"/>
      <c r="M422" s="91"/>
      <c r="N422" s="91"/>
      <c r="O422" s="91"/>
      <c r="P422" s="91"/>
      <c r="Q422" s="91"/>
      <c r="R422" s="91"/>
      <c r="S422" s="91"/>
      <c r="T422" s="91"/>
      <c r="U422" s="96">
        <v>46538.0</v>
      </c>
      <c r="DB422" s="94">
        <f t="shared" ref="DB422:DI422" si="343">+$DB$53*$U$59*$X$59</f>
        <v>1254.166667</v>
      </c>
      <c r="DC422" s="94">
        <f t="shared" si="343"/>
        <v>1254.166667</v>
      </c>
      <c r="DD422" s="94">
        <f t="shared" si="343"/>
        <v>1254.166667</v>
      </c>
      <c r="DE422" s="94">
        <f t="shared" si="343"/>
        <v>1254.166667</v>
      </c>
      <c r="DF422" s="94">
        <f t="shared" si="343"/>
        <v>1254.166667</v>
      </c>
      <c r="DG422" s="94">
        <f t="shared" si="343"/>
        <v>1254.166667</v>
      </c>
      <c r="DH422" s="94">
        <f t="shared" si="343"/>
        <v>1254.166667</v>
      </c>
      <c r="DI422" s="94">
        <f t="shared" si="343"/>
        <v>1254.166667</v>
      </c>
    </row>
    <row r="423" ht="15.75" customHeight="1">
      <c r="A423" s="91"/>
      <c r="B423" s="91"/>
      <c r="C423" s="91"/>
      <c r="D423" s="91"/>
      <c r="E423" s="91"/>
      <c r="F423" s="91"/>
      <c r="G423" s="91"/>
      <c r="H423" s="91"/>
      <c r="I423" s="91"/>
      <c r="J423" s="91"/>
      <c r="K423" s="91"/>
      <c r="L423" s="91"/>
      <c r="M423" s="91"/>
      <c r="N423" s="91"/>
      <c r="O423" s="91"/>
      <c r="P423" s="91"/>
      <c r="Q423" s="91"/>
      <c r="R423" s="91"/>
      <c r="S423" s="91"/>
      <c r="T423" s="91"/>
      <c r="U423" s="96">
        <v>46568.0</v>
      </c>
      <c r="DC423" s="94">
        <f t="shared" ref="DC423:DI423" si="344">+$DC$53*$U$59*$X$59</f>
        <v>1410.9375</v>
      </c>
      <c r="DD423" s="94">
        <f t="shared" si="344"/>
        <v>1410.9375</v>
      </c>
      <c r="DE423" s="94">
        <f t="shared" si="344"/>
        <v>1410.9375</v>
      </c>
      <c r="DF423" s="94">
        <f t="shared" si="344"/>
        <v>1410.9375</v>
      </c>
      <c r="DG423" s="94">
        <f t="shared" si="344"/>
        <v>1410.9375</v>
      </c>
      <c r="DH423" s="94">
        <f t="shared" si="344"/>
        <v>1410.9375</v>
      </c>
      <c r="DI423" s="94">
        <f t="shared" si="344"/>
        <v>1410.9375</v>
      </c>
    </row>
    <row r="424" ht="15.75" customHeight="1">
      <c r="A424" s="91"/>
      <c r="B424" s="91"/>
      <c r="C424" s="91"/>
      <c r="D424" s="91"/>
      <c r="E424" s="91"/>
      <c r="F424" s="91"/>
      <c r="G424" s="91"/>
      <c r="H424" s="91"/>
      <c r="I424" s="91"/>
      <c r="J424" s="91"/>
      <c r="K424" s="91"/>
      <c r="L424" s="91"/>
      <c r="M424" s="91"/>
      <c r="N424" s="91"/>
      <c r="O424" s="91"/>
      <c r="P424" s="91"/>
      <c r="Q424" s="91"/>
      <c r="R424" s="91"/>
      <c r="S424" s="91"/>
      <c r="T424" s="91"/>
      <c r="U424" s="96">
        <v>46599.0</v>
      </c>
      <c r="DD424" s="94">
        <f t="shared" ref="DD424:DI424" si="345">+$DD$53*$U$59*$X$59</f>
        <v>1410.9375</v>
      </c>
      <c r="DE424" s="94">
        <f t="shared" si="345"/>
        <v>1410.9375</v>
      </c>
      <c r="DF424" s="94">
        <f t="shared" si="345"/>
        <v>1410.9375</v>
      </c>
      <c r="DG424" s="94">
        <f t="shared" si="345"/>
        <v>1410.9375</v>
      </c>
      <c r="DH424" s="94">
        <f t="shared" si="345"/>
        <v>1410.9375</v>
      </c>
      <c r="DI424" s="94">
        <f t="shared" si="345"/>
        <v>1410.9375</v>
      </c>
    </row>
    <row r="425" ht="15.75" customHeight="1">
      <c r="A425" s="91"/>
      <c r="B425" s="91"/>
      <c r="C425" s="91"/>
      <c r="D425" s="91"/>
      <c r="E425" s="91"/>
      <c r="F425" s="91"/>
      <c r="G425" s="91"/>
      <c r="H425" s="91"/>
      <c r="I425" s="91"/>
      <c r="J425" s="91"/>
      <c r="K425" s="91"/>
      <c r="L425" s="91"/>
      <c r="M425" s="91"/>
      <c r="N425" s="91"/>
      <c r="O425" s="91"/>
      <c r="P425" s="91"/>
      <c r="Q425" s="91"/>
      <c r="R425" s="91"/>
      <c r="S425" s="91"/>
      <c r="T425" s="91"/>
      <c r="U425" s="96">
        <v>46630.0</v>
      </c>
      <c r="DE425" s="94">
        <f t="shared" ref="DE425:DI425" si="346">+$DE$53*$U$59*$X$59</f>
        <v>1567.708333</v>
      </c>
      <c r="DF425" s="94">
        <f t="shared" si="346"/>
        <v>1567.708333</v>
      </c>
      <c r="DG425" s="94">
        <f t="shared" si="346"/>
        <v>1567.708333</v>
      </c>
      <c r="DH425" s="94">
        <f t="shared" si="346"/>
        <v>1567.708333</v>
      </c>
      <c r="DI425" s="94">
        <f t="shared" si="346"/>
        <v>1567.708333</v>
      </c>
    </row>
    <row r="426" ht="15.75" customHeight="1">
      <c r="A426" s="91"/>
      <c r="B426" s="91"/>
      <c r="C426" s="91"/>
      <c r="D426" s="91"/>
      <c r="E426" s="91"/>
      <c r="F426" s="91"/>
      <c r="G426" s="91"/>
      <c r="H426" s="91"/>
      <c r="I426" s="91"/>
      <c r="J426" s="91"/>
      <c r="K426" s="91"/>
      <c r="L426" s="91"/>
      <c r="M426" s="91"/>
      <c r="N426" s="91"/>
      <c r="O426" s="91"/>
      <c r="P426" s="91"/>
      <c r="Q426" s="91"/>
      <c r="R426" s="91"/>
      <c r="S426" s="91"/>
      <c r="T426" s="91"/>
      <c r="U426" s="96">
        <v>46660.0</v>
      </c>
      <c r="DF426" s="94">
        <f t="shared" ref="DF426:DI426" si="347">+$DF$53*$U$59*$X$59</f>
        <v>1567.708333</v>
      </c>
      <c r="DG426" s="94">
        <f t="shared" si="347"/>
        <v>1567.708333</v>
      </c>
      <c r="DH426" s="94">
        <f t="shared" si="347"/>
        <v>1567.708333</v>
      </c>
      <c r="DI426" s="94">
        <f t="shared" si="347"/>
        <v>1567.708333</v>
      </c>
    </row>
    <row r="427" ht="15.75" customHeight="1">
      <c r="A427" s="91"/>
      <c r="B427" s="91"/>
      <c r="C427" s="91"/>
      <c r="D427" s="91"/>
      <c r="E427" s="91"/>
      <c r="F427" s="91"/>
      <c r="G427" s="91"/>
      <c r="H427" s="91"/>
      <c r="I427" s="91"/>
      <c r="J427" s="91"/>
      <c r="K427" s="91"/>
      <c r="L427" s="91"/>
      <c r="M427" s="91"/>
      <c r="N427" s="91"/>
      <c r="O427" s="91"/>
      <c r="P427" s="91"/>
      <c r="Q427" s="91"/>
      <c r="R427" s="91"/>
      <c r="S427" s="91"/>
      <c r="T427" s="91"/>
      <c r="U427" s="96">
        <v>46691.0</v>
      </c>
      <c r="DG427" s="94">
        <f t="shared" ref="DG427:DI427" si="348">+$DG$53*$U$59*$X$59</f>
        <v>1567.708333</v>
      </c>
      <c r="DH427" s="94">
        <f t="shared" si="348"/>
        <v>1567.708333</v>
      </c>
      <c r="DI427" s="94">
        <f t="shared" si="348"/>
        <v>1567.708333</v>
      </c>
    </row>
    <row r="428" ht="15.75" customHeight="1">
      <c r="A428" s="91"/>
      <c r="B428" s="91"/>
      <c r="C428" s="91"/>
      <c r="D428" s="91"/>
      <c r="E428" s="91"/>
      <c r="F428" s="91"/>
      <c r="G428" s="91"/>
      <c r="H428" s="91"/>
      <c r="I428" s="91"/>
      <c r="J428" s="91"/>
      <c r="K428" s="91"/>
      <c r="L428" s="91"/>
      <c r="M428" s="91"/>
      <c r="N428" s="91"/>
      <c r="O428" s="91"/>
      <c r="P428" s="91"/>
      <c r="Q428" s="91"/>
      <c r="R428" s="91"/>
      <c r="S428" s="91"/>
      <c r="T428" s="91"/>
      <c r="U428" s="96">
        <v>46721.0</v>
      </c>
      <c r="DH428" s="94">
        <f t="shared" ref="DH428:DI428" si="349">+$DH$53*$U$59*$X$59</f>
        <v>1567.708333</v>
      </c>
      <c r="DI428" s="94">
        <f t="shared" si="349"/>
        <v>1567.708333</v>
      </c>
    </row>
    <row r="429" ht="15.75" customHeight="1">
      <c r="A429" s="91"/>
      <c r="B429" s="91"/>
      <c r="C429" s="91"/>
      <c r="D429" s="91"/>
      <c r="E429" s="91"/>
      <c r="F429" s="91"/>
      <c r="G429" s="91"/>
      <c r="H429" s="91"/>
      <c r="I429" s="91"/>
      <c r="J429" s="91"/>
      <c r="K429" s="91"/>
      <c r="L429" s="91"/>
      <c r="M429" s="91"/>
      <c r="N429" s="91"/>
      <c r="O429" s="91"/>
      <c r="P429" s="91"/>
      <c r="Q429" s="91"/>
      <c r="R429" s="91"/>
      <c r="S429" s="91"/>
      <c r="T429" s="91"/>
      <c r="U429" s="96">
        <v>46752.0</v>
      </c>
      <c r="DI429" s="94">
        <f>+$DI$53*$U$59*$X$59</f>
        <v>1567.708333</v>
      </c>
    </row>
    <row r="430" ht="15.75" customHeight="1">
      <c r="A430" s="91"/>
      <c r="B430" s="91"/>
      <c r="C430" s="91"/>
      <c r="D430" s="91"/>
      <c r="E430" s="91"/>
      <c r="F430" s="91"/>
      <c r="G430" s="91"/>
      <c r="H430" s="91"/>
      <c r="I430" s="91"/>
      <c r="J430" s="91"/>
      <c r="K430" s="91"/>
      <c r="L430" s="91"/>
      <c r="M430" s="91"/>
      <c r="N430" s="91"/>
      <c r="O430" s="91"/>
      <c r="P430" s="91"/>
      <c r="Q430" s="91"/>
      <c r="R430" s="91"/>
      <c r="S430" s="91"/>
      <c r="T430" s="91"/>
      <c r="U430" s="96"/>
    </row>
    <row r="431" ht="15.75" customHeight="1">
      <c r="A431" s="91"/>
      <c r="B431" s="91"/>
      <c r="C431" s="91"/>
      <c r="D431" s="91"/>
      <c r="E431" s="91"/>
      <c r="F431" s="91"/>
      <c r="G431" s="91"/>
      <c r="H431" s="91"/>
      <c r="I431" s="91"/>
      <c r="J431" s="91"/>
      <c r="K431" s="91"/>
      <c r="L431" s="91"/>
      <c r="M431" s="91"/>
      <c r="N431" s="91"/>
      <c r="O431" s="91"/>
      <c r="P431" s="91"/>
      <c r="Q431" s="91"/>
      <c r="R431" s="91"/>
      <c r="S431" s="91"/>
      <c r="T431" s="91"/>
      <c r="U431" s="96"/>
    </row>
    <row r="432" ht="15.75" customHeight="1"/>
    <row r="433" ht="15.75" customHeight="1">
      <c r="A433" s="91" t="s">
        <v>292</v>
      </c>
      <c r="B433" s="91"/>
      <c r="C433" s="91"/>
      <c r="D433" s="91"/>
      <c r="E433" s="91"/>
      <c r="F433" s="91"/>
      <c r="G433" s="91"/>
      <c r="H433" s="91"/>
      <c r="I433" s="91"/>
      <c r="J433" s="91"/>
      <c r="K433" s="91"/>
      <c r="L433" s="91"/>
      <c r="M433" s="91"/>
      <c r="N433" s="91"/>
      <c r="O433" s="91"/>
      <c r="P433" s="91"/>
      <c r="Q433" s="91"/>
      <c r="R433" s="91"/>
      <c r="S433" s="91"/>
      <c r="T433" s="91"/>
      <c r="U433" s="91"/>
    </row>
    <row r="434" ht="15.75" customHeight="1">
      <c r="A434" s="91"/>
      <c r="B434" s="91"/>
      <c r="C434" s="91"/>
      <c r="D434" s="91"/>
      <c r="E434" s="91"/>
      <c r="F434" s="91"/>
      <c r="G434" s="91"/>
      <c r="H434" s="91"/>
      <c r="I434" s="91"/>
      <c r="J434" s="91"/>
      <c r="K434" s="91"/>
      <c r="L434" s="91"/>
      <c r="M434" s="91"/>
      <c r="N434" s="91"/>
      <c r="O434" s="91"/>
      <c r="P434" s="91"/>
      <c r="Q434" s="91"/>
      <c r="R434" s="91"/>
      <c r="S434" s="91"/>
      <c r="T434" s="91"/>
      <c r="U434" s="96">
        <f>+U337</f>
        <v>43951</v>
      </c>
      <c r="V434" s="94">
        <f t="shared" ref="V434:BK434" si="350">+$V$53*$U$58*$X$58</f>
        <v>4.927777778</v>
      </c>
      <c r="W434" s="94">
        <f t="shared" si="350"/>
        <v>4.927777778</v>
      </c>
      <c r="X434" s="94">
        <f t="shared" si="350"/>
        <v>4.927777778</v>
      </c>
      <c r="Y434" s="94">
        <f t="shared" si="350"/>
        <v>4.927777778</v>
      </c>
      <c r="Z434" s="94">
        <f t="shared" si="350"/>
        <v>4.927777778</v>
      </c>
      <c r="AA434" s="94">
        <f t="shared" si="350"/>
        <v>4.927777778</v>
      </c>
      <c r="AB434" s="94">
        <f t="shared" si="350"/>
        <v>4.927777778</v>
      </c>
      <c r="AC434" s="94">
        <f t="shared" si="350"/>
        <v>4.927777778</v>
      </c>
      <c r="AD434" s="94">
        <f t="shared" si="350"/>
        <v>4.927777778</v>
      </c>
      <c r="AE434" s="94">
        <f t="shared" si="350"/>
        <v>4.927777778</v>
      </c>
      <c r="AF434" s="94">
        <f t="shared" si="350"/>
        <v>4.927777778</v>
      </c>
      <c r="AG434" s="94">
        <f t="shared" si="350"/>
        <v>4.927777778</v>
      </c>
      <c r="AH434" s="94">
        <f t="shared" si="350"/>
        <v>4.927777778</v>
      </c>
      <c r="AI434" s="94">
        <f t="shared" si="350"/>
        <v>4.927777778</v>
      </c>
      <c r="AJ434" s="94">
        <f t="shared" si="350"/>
        <v>4.927777778</v>
      </c>
      <c r="AK434" s="94">
        <f t="shared" si="350"/>
        <v>4.927777778</v>
      </c>
      <c r="AL434" s="94">
        <f t="shared" si="350"/>
        <v>4.927777778</v>
      </c>
      <c r="AM434" s="94">
        <f t="shared" si="350"/>
        <v>4.927777778</v>
      </c>
      <c r="AN434" s="94">
        <f t="shared" si="350"/>
        <v>4.927777778</v>
      </c>
      <c r="AO434" s="94">
        <f t="shared" si="350"/>
        <v>4.927777778</v>
      </c>
      <c r="AP434" s="94">
        <f t="shared" si="350"/>
        <v>4.927777778</v>
      </c>
      <c r="AQ434" s="94">
        <f t="shared" si="350"/>
        <v>4.927777778</v>
      </c>
      <c r="AR434" s="94">
        <f t="shared" si="350"/>
        <v>4.927777778</v>
      </c>
      <c r="AS434" s="94">
        <f t="shared" si="350"/>
        <v>4.927777778</v>
      </c>
      <c r="AT434" s="94">
        <f t="shared" si="350"/>
        <v>4.927777778</v>
      </c>
      <c r="AU434" s="94">
        <f t="shared" si="350"/>
        <v>4.927777778</v>
      </c>
      <c r="AV434" s="94">
        <f t="shared" si="350"/>
        <v>4.927777778</v>
      </c>
      <c r="AW434" s="94">
        <f t="shared" si="350"/>
        <v>4.927777778</v>
      </c>
      <c r="AX434" s="94">
        <f t="shared" si="350"/>
        <v>4.927777778</v>
      </c>
      <c r="AY434" s="94">
        <f t="shared" si="350"/>
        <v>4.927777778</v>
      </c>
      <c r="AZ434" s="94">
        <f t="shared" si="350"/>
        <v>4.927777778</v>
      </c>
      <c r="BA434" s="94">
        <f t="shared" si="350"/>
        <v>4.927777778</v>
      </c>
      <c r="BB434" s="94">
        <f t="shared" si="350"/>
        <v>4.927777778</v>
      </c>
      <c r="BC434" s="94">
        <f t="shared" si="350"/>
        <v>4.927777778</v>
      </c>
      <c r="BD434" s="94">
        <f t="shared" si="350"/>
        <v>4.927777778</v>
      </c>
      <c r="BE434" s="94">
        <f t="shared" si="350"/>
        <v>4.927777778</v>
      </c>
      <c r="BF434" s="94">
        <f t="shared" si="350"/>
        <v>4.927777778</v>
      </c>
      <c r="BG434" s="94">
        <f t="shared" si="350"/>
        <v>4.927777778</v>
      </c>
      <c r="BH434" s="94">
        <f t="shared" si="350"/>
        <v>4.927777778</v>
      </c>
      <c r="BI434" s="94">
        <f t="shared" si="350"/>
        <v>4.927777778</v>
      </c>
      <c r="BJ434" s="94">
        <f t="shared" si="350"/>
        <v>4.927777778</v>
      </c>
      <c r="BK434" s="94">
        <f t="shared" si="350"/>
        <v>4.927777778</v>
      </c>
      <c r="BL434" s="94"/>
    </row>
    <row r="435" ht="15.75" customHeight="1">
      <c r="A435" s="91"/>
      <c r="B435" s="91"/>
      <c r="C435" s="91"/>
      <c r="D435" s="91"/>
      <c r="E435" s="91"/>
      <c r="F435" s="91"/>
      <c r="G435" s="91"/>
      <c r="H435" s="91"/>
      <c r="I435" s="91"/>
      <c r="J435" s="91"/>
      <c r="K435" s="91"/>
      <c r="L435" s="91"/>
      <c r="M435" s="91"/>
      <c r="N435" s="91"/>
      <c r="O435" s="91"/>
      <c r="P435" s="91"/>
      <c r="Q435" s="91"/>
      <c r="R435" s="91"/>
      <c r="S435" s="91"/>
      <c r="T435" s="91"/>
      <c r="U435" s="96">
        <v>43982.0</v>
      </c>
      <c r="W435" s="94">
        <f t="shared" ref="W435:BL435" si="351">+$W$53*$U$58*$X$58</f>
        <v>54.75308642</v>
      </c>
      <c r="X435" s="94">
        <f t="shared" si="351"/>
        <v>54.75308642</v>
      </c>
      <c r="Y435" s="94">
        <f t="shared" si="351"/>
        <v>54.75308642</v>
      </c>
      <c r="Z435" s="94">
        <f t="shared" si="351"/>
        <v>54.75308642</v>
      </c>
      <c r="AA435" s="94">
        <f t="shared" si="351"/>
        <v>54.75308642</v>
      </c>
      <c r="AB435" s="94">
        <f t="shared" si="351"/>
        <v>54.75308642</v>
      </c>
      <c r="AC435" s="94">
        <f t="shared" si="351"/>
        <v>54.75308642</v>
      </c>
      <c r="AD435" s="94">
        <f t="shared" si="351"/>
        <v>54.75308642</v>
      </c>
      <c r="AE435" s="94">
        <f t="shared" si="351"/>
        <v>54.75308642</v>
      </c>
      <c r="AF435" s="94">
        <f t="shared" si="351"/>
        <v>54.75308642</v>
      </c>
      <c r="AG435" s="94">
        <f t="shared" si="351"/>
        <v>54.75308642</v>
      </c>
      <c r="AH435" s="94">
        <f t="shared" si="351"/>
        <v>54.75308642</v>
      </c>
      <c r="AI435" s="94">
        <f t="shared" si="351"/>
        <v>54.75308642</v>
      </c>
      <c r="AJ435" s="94">
        <f t="shared" si="351"/>
        <v>54.75308642</v>
      </c>
      <c r="AK435" s="94">
        <f t="shared" si="351"/>
        <v>54.75308642</v>
      </c>
      <c r="AL435" s="94">
        <f t="shared" si="351"/>
        <v>54.75308642</v>
      </c>
      <c r="AM435" s="94">
        <f t="shared" si="351"/>
        <v>54.75308642</v>
      </c>
      <c r="AN435" s="94">
        <f t="shared" si="351"/>
        <v>54.75308642</v>
      </c>
      <c r="AO435" s="94">
        <f t="shared" si="351"/>
        <v>54.75308642</v>
      </c>
      <c r="AP435" s="94">
        <f t="shared" si="351"/>
        <v>54.75308642</v>
      </c>
      <c r="AQ435" s="94">
        <f t="shared" si="351"/>
        <v>54.75308642</v>
      </c>
      <c r="AR435" s="94">
        <f t="shared" si="351"/>
        <v>54.75308642</v>
      </c>
      <c r="AS435" s="94">
        <f t="shared" si="351"/>
        <v>54.75308642</v>
      </c>
      <c r="AT435" s="94">
        <f t="shared" si="351"/>
        <v>54.75308642</v>
      </c>
      <c r="AU435" s="94">
        <f t="shared" si="351"/>
        <v>54.75308642</v>
      </c>
      <c r="AV435" s="94">
        <f t="shared" si="351"/>
        <v>54.75308642</v>
      </c>
      <c r="AW435" s="94">
        <f t="shared" si="351"/>
        <v>54.75308642</v>
      </c>
      <c r="AX435" s="94">
        <f t="shared" si="351"/>
        <v>54.75308642</v>
      </c>
      <c r="AY435" s="94">
        <f t="shared" si="351"/>
        <v>54.75308642</v>
      </c>
      <c r="AZ435" s="94">
        <f t="shared" si="351"/>
        <v>54.75308642</v>
      </c>
      <c r="BA435" s="94">
        <f t="shared" si="351"/>
        <v>54.75308642</v>
      </c>
      <c r="BB435" s="94">
        <f t="shared" si="351"/>
        <v>54.75308642</v>
      </c>
      <c r="BC435" s="94">
        <f t="shared" si="351"/>
        <v>54.75308642</v>
      </c>
      <c r="BD435" s="94">
        <f t="shared" si="351"/>
        <v>54.75308642</v>
      </c>
      <c r="BE435" s="94">
        <f t="shared" si="351"/>
        <v>54.75308642</v>
      </c>
      <c r="BF435" s="94">
        <f t="shared" si="351"/>
        <v>54.75308642</v>
      </c>
      <c r="BG435" s="94">
        <f t="shared" si="351"/>
        <v>54.75308642</v>
      </c>
      <c r="BH435" s="94">
        <f t="shared" si="351"/>
        <v>54.75308642</v>
      </c>
      <c r="BI435" s="94">
        <f t="shared" si="351"/>
        <v>54.75308642</v>
      </c>
      <c r="BJ435" s="94">
        <f t="shared" si="351"/>
        <v>54.75308642</v>
      </c>
      <c r="BK435" s="94">
        <f t="shared" si="351"/>
        <v>54.75308642</v>
      </c>
      <c r="BL435" s="94">
        <f t="shared" si="351"/>
        <v>54.75308642</v>
      </c>
    </row>
    <row r="436" ht="15.75" customHeight="1">
      <c r="A436" s="91"/>
      <c r="B436" s="91"/>
      <c r="C436" s="91"/>
      <c r="D436" s="91"/>
      <c r="E436" s="91"/>
      <c r="F436" s="91"/>
      <c r="G436" s="91"/>
      <c r="H436" s="91"/>
      <c r="I436" s="91"/>
      <c r="J436" s="91"/>
      <c r="K436" s="91"/>
      <c r="L436" s="91"/>
      <c r="M436" s="91"/>
      <c r="N436" s="91"/>
      <c r="O436" s="91"/>
      <c r="P436" s="91"/>
      <c r="Q436" s="91"/>
      <c r="R436" s="91"/>
      <c r="S436" s="91"/>
      <c r="T436" s="91"/>
      <c r="U436" s="96">
        <v>44012.0</v>
      </c>
      <c r="X436" s="94">
        <f t="shared" ref="X436:BM436" si="352">+$X$53*$U$58*$X$58</f>
        <v>31.28747795</v>
      </c>
      <c r="Y436" s="94">
        <f t="shared" si="352"/>
        <v>31.28747795</v>
      </c>
      <c r="Z436" s="94">
        <f t="shared" si="352"/>
        <v>31.28747795</v>
      </c>
      <c r="AA436" s="94">
        <f t="shared" si="352"/>
        <v>31.28747795</v>
      </c>
      <c r="AB436" s="94">
        <f t="shared" si="352"/>
        <v>31.28747795</v>
      </c>
      <c r="AC436" s="94">
        <f t="shared" si="352"/>
        <v>31.28747795</v>
      </c>
      <c r="AD436" s="94">
        <f t="shared" si="352"/>
        <v>31.28747795</v>
      </c>
      <c r="AE436" s="94">
        <f t="shared" si="352"/>
        <v>31.28747795</v>
      </c>
      <c r="AF436" s="94">
        <f t="shared" si="352"/>
        <v>31.28747795</v>
      </c>
      <c r="AG436" s="94">
        <f t="shared" si="352"/>
        <v>31.28747795</v>
      </c>
      <c r="AH436" s="94">
        <f t="shared" si="352"/>
        <v>31.28747795</v>
      </c>
      <c r="AI436" s="94">
        <f t="shared" si="352"/>
        <v>31.28747795</v>
      </c>
      <c r="AJ436" s="94">
        <f t="shared" si="352"/>
        <v>31.28747795</v>
      </c>
      <c r="AK436" s="94">
        <f t="shared" si="352"/>
        <v>31.28747795</v>
      </c>
      <c r="AL436" s="94">
        <f t="shared" si="352"/>
        <v>31.28747795</v>
      </c>
      <c r="AM436" s="94">
        <f t="shared" si="352"/>
        <v>31.28747795</v>
      </c>
      <c r="AN436" s="94">
        <f t="shared" si="352"/>
        <v>31.28747795</v>
      </c>
      <c r="AO436" s="94">
        <f t="shared" si="352"/>
        <v>31.28747795</v>
      </c>
      <c r="AP436" s="94">
        <f t="shared" si="352"/>
        <v>31.28747795</v>
      </c>
      <c r="AQ436" s="94">
        <f t="shared" si="352"/>
        <v>31.28747795</v>
      </c>
      <c r="AR436" s="94">
        <f t="shared" si="352"/>
        <v>31.28747795</v>
      </c>
      <c r="AS436" s="94">
        <f t="shared" si="352"/>
        <v>31.28747795</v>
      </c>
      <c r="AT436" s="94">
        <f t="shared" si="352"/>
        <v>31.28747795</v>
      </c>
      <c r="AU436" s="94">
        <f t="shared" si="352"/>
        <v>31.28747795</v>
      </c>
      <c r="AV436" s="94">
        <f t="shared" si="352"/>
        <v>31.28747795</v>
      </c>
      <c r="AW436" s="94">
        <f t="shared" si="352"/>
        <v>31.28747795</v>
      </c>
      <c r="AX436" s="94">
        <f t="shared" si="352"/>
        <v>31.28747795</v>
      </c>
      <c r="AY436" s="94">
        <f t="shared" si="352"/>
        <v>31.28747795</v>
      </c>
      <c r="AZ436" s="94">
        <f t="shared" si="352"/>
        <v>31.28747795</v>
      </c>
      <c r="BA436" s="94">
        <f t="shared" si="352"/>
        <v>31.28747795</v>
      </c>
      <c r="BB436" s="94">
        <f t="shared" si="352"/>
        <v>31.28747795</v>
      </c>
      <c r="BC436" s="94">
        <f t="shared" si="352"/>
        <v>31.28747795</v>
      </c>
      <c r="BD436" s="94">
        <f t="shared" si="352"/>
        <v>31.28747795</v>
      </c>
      <c r="BE436" s="94">
        <f t="shared" si="352"/>
        <v>31.28747795</v>
      </c>
      <c r="BF436" s="94">
        <f t="shared" si="352"/>
        <v>31.28747795</v>
      </c>
      <c r="BG436" s="94">
        <f t="shared" si="352"/>
        <v>31.28747795</v>
      </c>
      <c r="BH436" s="94">
        <f t="shared" si="352"/>
        <v>31.28747795</v>
      </c>
      <c r="BI436" s="94">
        <f t="shared" si="352"/>
        <v>31.28747795</v>
      </c>
      <c r="BJ436" s="94">
        <f t="shared" si="352"/>
        <v>31.28747795</v>
      </c>
      <c r="BK436" s="94">
        <f t="shared" si="352"/>
        <v>31.28747795</v>
      </c>
      <c r="BL436" s="94">
        <f t="shared" si="352"/>
        <v>31.28747795</v>
      </c>
      <c r="BM436" s="94">
        <f t="shared" si="352"/>
        <v>31.28747795</v>
      </c>
    </row>
    <row r="437" ht="15.75" customHeight="1">
      <c r="A437" s="91"/>
      <c r="B437" s="91"/>
      <c r="C437" s="91"/>
      <c r="D437" s="91"/>
      <c r="E437" s="91"/>
      <c r="F437" s="91"/>
      <c r="G437" s="91"/>
      <c r="H437" s="91"/>
      <c r="I437" s="91"/>
      <c r="J437" s="91"/>
      <c r="K437" s="91"/>
      <c r="L437" s="91"/>
      <c r="M437" s="91"/>
      <c r="N437" s="91"/>
      <c r="O437" s="91"/>
      <c r="P437" s="91"/>
      <c r="Q437" s="91"/>
      <c r="R437" s="91"/>
      <c r="S437" s="91"/>
      <c r="T437" s="91"/>
      <c r="U437" s="96">
        <v>44043.0</v>
      </c>
      <c r="Y437" s="94">
        <f t="shared" ref="Y437:BN437" si="353">+$Y$53*$U$58*$X$58</f>
        <v>31.28747795</v>
      </c>
      <c r="Z437" s="94">
        <f t="shared" si="353"/>
        <v>31.28747795</v>
      </c>
      <c r="AA437" s="94">
        <f t="shared" si="353"/>
        <v>31.28747795</v>
      </c>
      <c r="AB437" s="94">
        <f t="shared" si="353"/>
        <v>31.28747795</v>
      </c>
      <c r="AC437" s="94">
        <f t="shared" si="353"/>
        <v>31.28747795</v>
      </c>
      <c r="AD437" s="94">
        <f t="shared" si="353"/>
        <v>31.28747795</v>
      </c>
      <c r="AE437" s="94">
        <f t="shared" si="353"/>
        <v>31.28747795</v>
      </c>
      <c r="AF437" s="94">
        <f t="shared" si="353"/>
        <v>31.28747795</v>
      </c>
      <c r="AG437" s="94">
        <f t="shared" si="353"/>
        <v>31.28747795</v>
      </c>
      <c r="AH437" s="94">
        <f t="shared" si="353"/>
        <v>31.28747795</v>
      </c>
      <c r="AI437" s="94">
        <f t="shared" si="353"/>
        <v>31.28747795</v>
      </c>
      <c r="AJ437" s="94">
        <f t="shared" si="353"/>
        <v>31.28747795</v>
      </c>
      <c r="AK437" s="94">
        <f t="shared" si="353"/>
        <v>31.28747795</v>
      </c>
      <c r="AL437" s="94">
        <f t="shared" si="353"/>
        <v>31.28747795</v>
      </c>
      <c r="AM437" s="94">
        <f t="shared" si="353"/>
        <v>31.28747795</v>
      </c>
      <c r="AN437" s="94">
        <f t="shared" si="353"/>
        <v>31.28747795</v>
      </c>
      <c r="AO437" s="94">
        <f t="shared" si="353"/>
        <v>31.28747795</v>
      </c>
      <c r="AP437" s="94">
        <f t="shared" si="353"/>
        <v>31.28747795</v>
      </c>
      <c r="AQ437" s="94">
        <f t="shared" si="353"/>
        <v>31.28747795</v>
      </c>
      <c r="AR437" s="94">
        <f t="shared" si="353"/>
        <v>31.28747795</v>
      </c>
      <c r="AS437" s="94">
        <f t="shared" si="353"/>
        <v>31.28747795</v>
      </c>
      <c r="AT437" s="94">
        <f t="shared" si="353"/>
        <v>31.28747795</v>
      </c>
      <c r="AU437" s="94">
        <f t="shared" si="353"/>
        <v>31.28747795</v>
      </c>
      <c r="AV437" s="94">
        <f t="shared" si="353"/>
        <v>31.28747795</v>
      </c>
      <c r="AW437" s="94">
        <f t="shared" si="353"/>
        <v>31.28747795</v>
      </c>
      <c r="AX437" s="94">
        <f t="shared" si="353"/>
        <v>31.28747795</v>
      </c>
      <c r="AY437" s="94">
        <f t="shared" si="353"/>
        <v>31.28747795</v>
      </c>
      <c r="AZ437" s="94">
        <f t="shared" si="353"/>
        <v>31.28747795</v>
      </c>
      <c r="BA437" s="94">
        <f t="shared" si="353"/>
        <v>31.28747795</v>
      </c>
      <c r="BB437" s="94">
        <f t="shared" si="353"/>
        <v>31.28747795</v>
      </c>
      <c r="BC437" s="94">
        <f t="shared" si="353"/>
        <v>31.28747795</v>
      </c>
      <c r="BD437" s="94">
        <f t="shared" si="353"/>
        <v>31.28747795</v>
      </c>
      <c r="BE437" s="94">
        <f t="shared" si="353"/>
        <v>31.28747795</v>
      </c>
      <c r="BF437" s="94">
        <f t="shared" si="353"/>
        <v>31.28747795</v>
      </c>
      <c r="BG437" s="94">
        <f t="shared" si="353"/>
        <v>31.28747795</v>
      </c>
      <c r="BH437" s="94">
        <f t="shared" si="353"/>
        <v>31.28747795</v>
      </c>
      <c r="BI437" s="94">
        <f t="shared" si="353"/>
        <v>31.28747795</v>
      </c>
      <c r="BJ437" s="94">
        <f t="shared" si="353"/>
        <v>31.28747795</v>
      </c>
      <c r="BK437" s="94">
        <f t="shared" si="353"/>
        <v>31.28747795</v>
      </c>
      <c r="BL437" s="94">
        <f t="shared" si="353"/>
        <v>31.28747795</v>
      </c>
      <c r="BM437" s="94">
        <f t="shared" si="353"/>
        <v>31.28747795</v>
      </c>
      <c r="BN437" s="94">
        <f t="shared" si="353"/>
        <v>31.28747795</v>
      </c>
    </row>
    <row r="438" ht="15.75" customHeight="1">
      <c r="A438" s="91"/>
      <c r="B438" s="91"/>
      <c r="C438" s="91"/>
      <c r="D438" s="91"/>
      <c r="E438" s="91"/>
      <c r="F438" s="91"/>
      <c r="G438" s="91"/>
      <c r="H438" s="91"/>
      <c r="I438" s="91"/>
      <c r="J438" s="91"/>
      <c r="K438" s="91"/>
      <c r="L438" s="91"/>
      <c r="M438" s="91"/>
      <c r="N438" s="91"/>
      <c r="O438" s="91"/>
      <c r="P438" s="91"/>
      <c r="Q438" s="91"/>
      <c r="R438" s="91"/>
      <c r="S438" s="91"/>
      <c r="T438" s="91"/>
      <c r="U438" s="96">
        <v>44074.0</v>
      </c>
      <c r="Z438" s="94">
        <f t="shared" ref="Z438:BO438" si="354">+$Z$53*$U$58*$X$58</f>
        <v>46.93121693</v>
      </c>
      <c r="AA438" s="94">
        <f t="shared" si="354"/>
        <v>46.93121693</v>
      </c>
      <c r="AB438" s="94">
        <f t="shared" si="354"/>
        <v>46.93121693</v>
      </c>
      <c r="AC438" s="94">
        <f t="shared" si="354"/>
        <v>46.93121693</v>
      </c>
      <c r="AD438" s="94">
        <f t="shared" si="354"/>
        <v>46.93121693</v>
      </c>
      <c r="AE438" s="94">
        <f t="shared" si="354"/>
        <v>46.93121693</v>
      </c>
      <c r="AF438" s="94">
        <f t="shared" si="354"/>
        <v>46.93121693</v>
      </c>
      <c r="AG438" s="94">
        <f t="shared" si="354"/>
        <v>46.93121693</v>
      </c>
      <c r="AH438" s="94">
        <f t="shared" si="354"/>
        <v>46.93121693</v>
      </c>
      <c r="AI438" s="94">
        <f t="shared" si="354"/>
        <v>46.93121693</v>
      </c>
      <c r="AJ438" s="94">
        <f t="shared" si="354"/>
        <v>46.93121693</v>
      </c>
      <c r="AK438" s="94">
        <f t="shared" si="354"/>
        <v>46.93121693</v>
      </c>
      <c r="AL438" s="94">
        <f t="shared" si="354"/>
        <v>46.93121693</v>
      </c>
      <c r="AM438" s="94">
        <f t="shared" si="354"/>
        <v>46.93121693</v>
      </c>
      <c r="AN438" s="94">
        <f t="shared" si="354"/>
        <v>46.93121693</v>
      </c>
      <c r="AO438" s="94">
        <f t="shared" si="354"/>
        <v>46.93121693</v>
      </c>
      <c r="AP438" s="94">
        <f t="shared" si="354"/>
        <v>46.93121693</v>
      </c>
      <c r="AQ438" s="94">
        <f t="shared" si="354"/>
        <v>46.93121693</v>
      </c>
      <c r="AR438" s="94">
        <f t="shared" si="354"/>
        <v>46.93121693</v>
      </c>
      <c r="AS438" s="94">
        <f t="shared" si="354"/>
        <v>46.93121693</v>
      </c>
      <c r="AT438" s="94">
        <f t="shared" si="354"/>
        <v>46.93121693</v>
      </c>
      <c r="AU438" s="94">
        <f t="shared" si="354"/>
        <v>46.93121693</v>
      </c>
      <c r="AV438" s="94">
        <f t="shared" si="354"/>
        <v>46.93121693</v>
      </c>
      <c r="AW438" s="94">
        <f t="shared" si="354"/>
        <v>46.93121693</v>
      </c>
      <c r="AX438" s="94">
        <f t="shared" si="354"/>
        <v>46.93121693</v>
      </c>
      <c r="AY438" s="94">
        <f t="shared" si="354"/>
        <v>46.93121693</v>
      </c>
      <c r="AZ438" s="94">
        <f t="shared" si="354"/>
        <v>46.93121693</v>
      </c>
      <c r="BA438" s="94">
        <f t="shared" si="354"/>
        <v>46.93121693</v>
      </c>
      <c r="BB438" s="94">
        <f t="shared" si="354"/>
        <v>46.93121693</v>
      </c>
      <c r="BC438" s="94">
        <f t="shared" si="354"/>
        <v>46.93121693</v>
      </c>
      <c r="BD438" s="94">
        <f t="shared" si="354"/>
        <v>46.93121693</v>
      </c>
      <c r="BE438" s="94">
        <f t="shared" si="354"/>
        <v>46.93121693</v>
      </c>
      <c r="BF438" s="94">
        <f t="shared" si="354"/>
        <v>46.93121693</v>
      </c>
      <c r="BG438" s="94">
        <f t="shared" si="354"/>
        <v>46.93121693</v>
      </c>
      <c r="BH438" s="94">
        <f t="shared" si="354"/>
        <v>46.93121693</v>
      </c>
      <c r="BI438" s="94">
        <f t="shared" si="354"/>
        <v>46.93121693</v>
      </c>
      <c r="BJ438" s="94">
        <f t="shared" si="354"/>
        <v>46.93121693</v>
      </c>
      <c r="BK438" s="94">
        <f t="shared" si="354"/>
        <v>46.93121693</v>
      </c>
      <c r="BL438" s="94">
        <f t="shared" si="354"/>
        <v>46.93121693</v>
      </c>
      <c r="BM438" s="94">
        <f t="shared" si="354"/>
        <v>46.93121693</v>
      </c>
      <c r="BN438" s="94">
        <f t="shared" si="354"/>
        <v>46.93121693</v>
      </c>
      <c r="BO438" s="94">
        <f t="shared" si="354"/>
        <v>46.93121693</v>
      </c>
    </row>
    <row r="439" ht="15.75" customHeight="1">
      <c r="A439" s="91"/>
      <c r="B439" s="91"/>
      <c r="C439" s="91"/>
      <c r="D439" s="91"/>
      <c r="E439" s="91"/>
      <c r="F439" s="91"/>
      <c r="G439" s="91"/>
      <c r="H439" s="91"/>
      <c r="I439" s="91"/>
      <c r="J439" s="91"/>
      <c r="K439" s="91"/>
      <c r="L439" s="91"/>
      <c r="M439" s="91"/>
      <c r="N439" s="91"/>
      <c r="O439" s="91"/>
      <c r="P439" s="91"/>
      <c r="Q439" s="91"/>
      <c r="R439" s="91"/>
      <c r="S439" s="91"/>
      <c r="T439" s="91"/>
      <c r="U439" s="96">
        <v>44104.0</v>
      </c>
      <c r="AA439" s="94">
        <f t="shared" ref="AA439:BP439" si="355">+$AA$53*$U$58*$X$58</f>
        <v>78.21869489</v>
      </c>
      <c r="AB439" s="94">
        <f t="shared" si="355"/>
        <v>78.21869489</v>
      </c>
      <c r="AC439" s="94">
        <f t="shared" si="355"/>
        <v>78.21869489</v>
      </c>
      <c r="AD439" s="94">
        <f t="shared" si="355"/>
        <v>78.21869489</v>
      </c>
      <c r="AE439" s="94">
        <f t="shared" si="355"/>
        <v>78.21869489</v>
      </c>
      <c r="AF439" s="94">
        <f t="shared" si="355"/>
        <v>78.21869489</v>
      </c>
      <c r="AG439" s="94">
        <f t="shared" si="355"/>
        <v>78.21869489</v>
      </c>
      <c r="AH439" s="94">
        <f t="shared" si="355"/>
        <v>78.21869489</v>
      </c>
      <c r="AI439" s="94">
        <f t="shared" si="355"/>
        <v>78.21869489</v>
      </c>
      <c r="AJ439" s="94">
        <f t="shared" si="355"/>
        <v>78.21869489</v>
      </c>
      <c r="AK439" s="94">
        <f t="shared" si="355"/>
        <v>78.21869489</v>
      </c>
      <c r="AL439" s="94">
        <f t="shared" si="355"/>
        <v>78.21869489</v>
      </c>
      <c r="AM439" s="94">
        <f t="shared" si="355"/>
        <v>78.21869489</v>
      </c>
      <c r="AN439" s="94">
        <f t="shared" si="355"/>
        <v>78.21869489</v>
      </c>
      <c r="AO439" s="94">
        <f t="shared" si="355"/>
        <v>78.21869489</v>
      </c>
      <c r="AP439" s="94">
        <f t="shared" si="355"/>
        <v>78.21869489</v>
      </c>
      <c r="AQ439" s="94">
        <f t="shared" si="355"/>
        <v>78.21869489</v>
      </c>
      <c r="AR439" s="94">
        <f t="shared" si="355"/>
        <v>78.21869489</v>
      </c>
      <c r="AS439" s="94">
        <f t="shared" si="355"/>
        <v>78.21869489</v>
      </c>
      <c r="AT439" s="94">
        <f t="shared" si="355"/>
        <v>78.21869489</v>
      </c>
      <c r="AU439" s="94">
        <f t="shared" si="355"/>
        <v>78.21869489</v>
      </c>
      <c r="AV439" s="94">
        <f t="shared" si="355"/>
        <v>78.21869489</v>
      </c>
      <c r="AW439" s="94">
        <f t="shared" si="355"/>
        <v>78.21869489</v>
      </c>
      <c r="AX439" s="94">
        <f t="shared" si="355"/>
        <v>78.21869489</v>
      </c>
      <c r="AY439" s="94">
        <f t="shared" si="355"/>
        <v>78.21869489</v>
      </c>
      <c r="AZ439" s="94">
        <f t="shared" si="355"/>
        <v>78.21869489</v>
      </c>
      <c r="BA439" s="94">
        <f t="shared" si="355"/>
        <v>78.21869489</v>
      </c>
      <c r="BB439" s="94">
        <f t="shared" si="355"/>
        <v>78.21869489</v>
      </c>
      <c r="BC439" s="94">
        <f t="shared" si="355"/>
        <v>78.21869489</v>
      </c>
      <c r="BD439" s="94">
        <f t="shared" si="355"/>
        <v>78.21869489</v>
      </c>
      <c r="BE439" s="94">
        <f t="shared" si="355"/>
        <v>78.21869489</v>
      </c>
      <c r="BF439" s="94">
        <f t="shared" si="355"/>
        <v>78.21869489</v>
      </c>
      <c r="BG439" s="94">
        <f t="shared" si="355"/>
        <v>78.21869489</v>
      </c>
      <c r="BH439" s="94">
        <f t="shared" si="355"/>
        <v>78.21869489</v>
      </c>
      <c r="BI439" s="94">
        <f t="shared" si="355"/>
        <v>78.21869489</v>
      </c>
      <c r="BJ439" s="94">
        <f t="shared" si="355"/>
        <v>78.21869489</v>
      </c>
      <c r="BK439" s="94">
        <f t="shared" si="355"/>
        <v>78.21869489</v>
      </c>
      <c r="BL439" s="94">
        <f t="shared" si="355"/>
        <v>78.21869489</v>
      </c>
      <c r="BM439" s="94">
        <f t="shared" si="355"/>
        <v>78.21869489</v>
      </c>
      <c r="BN439" s="94">
        <f t="shared" si="355"/>
        <v>78.21869489</v>
      </c>
      <c r="BO439" s="94">
        <f t="shared" si="355"/>
        <v>78.21869489</v>
      </c>
      <c r="BP439" s="94">
        <f t="shared" si="355"/>
        <v>78.21869489</v>
      </c>
    </row>
    <row r="440" ht="15.75" customHeight="1">
      <c r="A440" s="91"/>
      <c r="B440" s="91"/>
      <c r="C440" s="91"/>
      <c r="D440" s="91"/>
      <c r="E440" s="91"/>
      <c r="F440" s="91"/>
      <c r="G440" s="91"/>
      <c r="H440" s="91"/>
      <c r="I440" s="91"/>
      <c r="J440" s="91"/>
      <c r="K440" s="91"/>
      <c r="L440" s="91"/>
      <c r="M440" s="91"/>
      <c r="N440" s="91"/>
      <c r="O440" s="91"/>
      <c r="P440" s="91"/>
      <c r="Q440" s="91"/>
      <c r="R440" s="91"/>
      <c r="S440" s="91"/>
      <c r="T440" s="91"/>
      <c r="U440" s="96">
        <v>44135.0</v>
      </c>
      <c r="AB440" s="94">
        <f t="shared" ref="AB440:BQ440" si="356">+$AB$53*$U$58*$X$58</f>
        <v>187.7248677</v>
      </c>
      <c r="AC440" s="94">
        <f t="shared" si="356"/>
        <v>187.7248677</v>
      </c>
      <c r="AD440" s="94">
        <f t="shared" si="356"/>
        <v>187.7248677</v>
      </c>
      <c r="AE440" s="94">
        <f t="shared" si="356"/>
        <v>187.7248677</v>
      </c>
      <c r="AF440" s="94">
        <f t="shared" si="356"/>
        <v>187.7248677</v>
      </c>
      <c r="AG440" s="94">
        <f t="shared" si="356"/>
        <v>187.7248677</v>
      </c>
      <c r="AH440" s="94">
        <f t="shared" si="356"/>
        <v>187.7248677</v>
      </c>
      <c r="AI440" s="94">
        <f t="shared" si="356"/>
        <v>187.7248677</v>
      </c>
      <c r="AJ440" s="94">
        <f t="shared" si="356"/>
        <v>187.7248677</v>
      </c>
      <c r="AK440" s="94">
        <f t="shared" si="356"/>
        <v>187.7248677</v>
      </c>
      <c r="AL440" s="94">
        <f t="shared" si="356"/>
        <v>187.7248677</v>
      </c>
      <c r="AM440" s="94">
        <f t="shared" si="356"/>
        <v>187.7248677</v>
      </c>
      <c r="AN440" s="94">
        <f t="shared" si="356"/>
        <v>187.7248677</v>
      </c>
      <c r="AO440" s="94">
        <f t="shared" si="356"/>
        <v>187.7248677</v>
      </c>
      <c r="AP440" s="94">
        <f t="shared" si="356"/>
        <v>187.7248677</v>
      </c>
      <c r="AQ440" s="94">
        <f t="shared" si="356"/>
        <v>187.7248677</v>
      </c>
      <c r="AR440" s="94">
        <f t="shared" si="356"/>
        <v>187.7248677</v>
      </c>
      <c r="AS440" s="94">
        <f t="shared" si="356"/>
        <v>187.7248677</v>
      </c>
      <c r="AT440" s="94">
        <f t="shared" si="356"/>
        <v>187.7248677</v>
      </c>
      <c r="AU440" s="94">
        <f t="shared" si="356"/>
        <v>187.7248677</v>
      </c>
      <c r="AV440" s="94">
        <f t="shared" si="356"/>
        <v>187.7248677</v>
      </c>
      <c r="AW440" s="94">
        <f t="shared" si="356"/>
        <v>187.7248677</v>
      </c>
      <c r="AX440" s="94">
        <f t="shared" si="356"/>
        <v>187.7248677</v>
      </c>
      <c r="AY440" s="94">
        <f t="shared" si="356"/>
        <v>187.7248677</v>
      </c>
      <c r="AZ440" s="94">
        <f t="shared" si="356"/>
        <v>187.7248677</v>
      </c>
      <c r="BA440" s="94">
        <f t="shared" si="356"/>
        <v>187.7248677</v>
      </c>
      <c r="BB440" s="94">
        <f t="shared" si="356"/>
        <v>187.7248677</v>
      </c>
      <c r="BC440" s="94">
        <f t="shared" si="356"/>
        <v>187.7248677</v>
      </c>
      <c r="BD440" s="94">
        <f t="shared" si="356"/>
        <v>187.7248677</v>
      </c>
      <c r="BE440" s="94">
        <f t="shared" si="356"/>
        <v>187.7248677</v>
      </c>
      <c r="BF440" s="94">
        <f t="shared" si="356"/>
        <v>187.7248677</v>
      </c>
      <c r="BG440" s="94">
        <f t="shared" si="356"/>
        <v>187.7248677</v>
      </c>
      <c r="BH440" s="94">
        <f t="shared" si="356"/>
        <v>187.7248677</v>
      </c>
      <c r="BI440" s="94">
        <f t="shared" si="356"/>
        <v>187.7248677</v>
      </c>
      <c r="BJ440" s="94">
        <f t="shared" si="356"/>
        <v>187.7248677</v>
      </c>
      <c r="BK440" s="94">
        <f t="shared" si="356"/>
        <v>187.7248677</v>
      </c>
      <c r="BL440" s="94">
        <f t="shared" si="356"/>
        <v>187.7248677</v>
      </c>
      <c r="BM440" s="94">
        <f t="shared" si="356"/>
        <v>187.7248677</v>
      </c>
      <c r="BN440" s="94">
        <f t="shared" si="356"/>
        <v>187.7248677</v>
      </c>
      <c r="BO440" s="94">
        <f t="shared" si="356"/>
        <v>187.7248677</v>
      </c>
      <c r="BP440" s="94">
        <f t="shared" si="356"/>
        <v>187.7248677</v>
      </c>
      <c r="BQ440" s="94">
        <f t="shared" si="356"/>
        <v>187.7248677</v>
      </c>
    </row>
    <row r="441" ht="15.75" customHeight="1">
      <c r="A441" s="91"/>
      <c r="B441" s="91"/>
      <c r="C441" s="91"/>
      <c r="D441" s="91"/>
      <c r="E441" s="91"/>
      <c r="F441" s="91"/>
      <c r="G441" s="91"/>
      <c r="H441" s="91"/>
      <c r="I441" s="91"/>
      <c r="J441" s="91"/>
      <c r="K441" s="91"/>
      <c r="L441" s="91"/>
      <c r="M441" s="91"/>
      <c r="N441" s="91"/>
      <c r="O441" s="91"/>
      <c r="P441" s="91"/>
      <c r="Q441" s="91"/>
      <c r="R441" s="91"/>
      <c r="S441" s="91"/>
      <c r="T441" s="91"/>
      <c r="U441" s="96">
        <v>44165.0</v>
      </c>
      <c r="AC441" s="94">
        <f t="shared" ref="AC441:BR441" si="357">+$AC$53*$U$58*$X$58</f>
        <v>31.28747795</v>
      </c>
      <c r="AD441" s="94">
        <f t="shared" si="357"/>
        <v>31.28747795</v>
      </c>
      <c r="AE441" s="94">
        <f t="shared" si="357"/>
        <v>31.28747795</v>
      </c>
      <c r="AF441" s="94">
        <f t="shared" si="357"/>
        <v>31.28747795</v>
      </c>
      <c r="AG441" s="94">
        <f t="shared" si="357"/>
        <v>31.28747795</v>
      </c>
      <c r="AH441" s="94">
        <f t="shared" si="357"/>
        <v>31.28747795</v>
      </c>
      <c r="AI441" s="94">
        <f t="shared" si="357"/>
        <v>31.28747795</v>
      </c>
      <c r="AJ441" s="94">
        <f t="shared" si="357"/>
        <v>31.28747795</v>
      </c>
      <c r="AK441" s="94">
        <f t="shared" si="357"/>
        <v>31.28747795</v>
      </c>
      <c r="AL441" s="94">
        <f t="shared" si="357"/>
        <v>31.28747795</v>
      </c>
      <c r="AM441" s="94">
        <f t="shared" si="357"/>
        <v>31.28747795</v>
      </c>
      <c r="AN441" s="94">
        <f t="shared" si="357"/>
        <v>31.28747795</v>
      </c>
      <c r="AO441" s="94">
        <f t="shared" si="357"/>
        <v>31.28747795</v>
      </c>
      <c r="AP441" s="94">
        <f t="shared" si="357"/>
        <v>31.28747795</v>
      </c>
      <c r="AQ441" s="94">
        <f t="shared" si="357"/>
        <v>31.28747795</v>
      </c>
      <c r="AR441" s="94">
        <f t="shared" si="357"/>
        <v>31.28747795</v>
      </c>
      <c r="AS441" s="94">
        <f t="shared" si="357"/>
        <v>31.28747795</v>
      </c>
      <c r="AT441" s="94">
        <f t="shared" si="357"/>
        <v>31.28747795</v>
      </c>
      <c r="AU441" s="94">
        <f t="shared" si="357"/>
        <v>31.28747795</v>
      </c>
      <c r="AV441" s="94">
        <f t="shared" si="357"/>
        <v>31.28747795</v>
      </c>
      <c r="AW441" s="94">
        <f t="shared" si="357"/>
        <v>31.28747795</v>
      </c>
      <c r="AX441" s="94">
        <f t="shared" si="357"/>
        <v>31.28747795</v>
      </c>
      <c r="AY441" s="94">
        <f t="shared" si="357"/>
        <v>31.28747795</v>
      </c>
      <c r="AZ441" s="94">
        <f t="shared" si="357"/>
        <v>31.28747795</v>
      </c>
      <c r="BA441" s="94">
        <f t="shared" si="357"/>
        <v>31.28747795</v>
      </c>
      <c r="BB441" s="94">
        <f t="shared" si="357"/>
        <v>31.28747795</v>
      </c>
      <c r="BC441" s="94">
        <f t="shared" si="357"/>
        <v>31.28747795</v>
      </c>
      <c r="BD441" s="94">
        <f t="shared" si="357"/>
        <v>31.28747795</v>
      </c>
      <c r="BE441" s="94">
        <f t="shared" si="357"/>
        <v>31.28747795</v>
      </c>
      <c r="BF441" s="94">
        <f t="shared" si="357"/>
        <v>31.28747795</v>
      </c>
      <c r="BG441" s="94">
        <f t="shared" si="357"/>
        <v>31.28747795</v>
      </c>
      <c r="BH441" s="94">
        <f t="shared" si="357"/>
        <v>31.28747795</v>
      </c>
      <c r="BI441" s="94">
        <f t="shared" si="357"/>
        <v>31.28747795</v>
      </c>
      <c r="BJ441" s="94">
        <f t="shared" si="357"/>
        <v>31.28747795</v>
      </c>
      <c r="BK441" s="94">
        <f t="shared" si="357"/>
        <v>31.28747795</v>
      </c>
      <c r="BL441" s="94">
        <f t="shared" si="357"/>
        <v>31.28747795</v>
      </c>
      <c r="BM441" s="94">
        <f t="shared" si="357"/>
        <v>31.28747795</v>
      </c>
      <c r="BN441" s="94">
        <f t="shared" si="357"/>
        <v>31.28747795</v>
      </c>
      <c r="BO441" s="94">
        <f t="shared" si="357"/>
        <v>31.28747795</v>
      </c>
      <c r="BP441" s="94">
        <f t="shared" si="357"/>
        <v>31.28747795</v>
      </c>
      <c r="BQ441" s="94">
        <f t="shared" si="357"/>
        <v>31.28747795</v>
      </c>
      <c r="BR441" s="94">
        <f t="shared" si="357"/>
        <v>31.28747795</v>
      </c>
    </row>
    <row r="442" ht="15.75" customHeight="1">
      <c r="A442" s="91"/>
      <c r="B442" s="91"/>
      <c r="C442" s="91"/>
      <c r="D442" s="91"/>
      <c r="E442" s="91"/>
      <c r="F442" s="91"/>
      <c r="G442" s="91"/>
      <c r="H442" s="91"/>
      <c r="I442" s="91"/>
      <c r="J442" s="91"/>
      <c r="K442" s="91"/>
      <c r="L442" s="91"/>
      <c r="M442" s="91"/>
      <c r="N442" s="91"/>
      <c r="O442" s="91"/>
      <c r="P442" s="91"/>
      <c r="Q442" s="91"/>
      <c r="R442" s="91"/>
      <c r="S442" s="91"/>
      <c r="T442" s="91"/>
      <c r="U442" s="96">
        <v>44196.0</v>
      </c>
      <c r="AD442" s="94">
        <f t="shared" ref="AD442:BS442" si="358">+$AD$53*$U$58*$X$58</f>
        <v>263.9880952</v>
      </c>
      <c r="AE442" s="94">
        <f t="shared" si="358"/>
        <v>263.9880952</v>
      </c>
      <c r="AF442" s="94">
        <f t="shared" si="358"/>
        <v>263.9880952</v>
      </c>
      <c r="AG442" s="94">
        <f t="shared" si="358"/>
        <v>263.9880952</v>
      </c>
      <c r="AH442" s="94">
        <f t="shared" si="358"/>
        <v>263.9880952</v>
      </c>
      <c r="AI442" s="94">
        <f t="shared" si="358"/>
        <v>263.9880952</v>
      </c>
      <c r="AJ442" s="94">
        <f t="shared" si="358"/>
        <v>263.9880952</v>
      </c>
      <c r="AK442" s="94">
        <f t="shared" si="358"/>
        <v>263.9880952</v>
      </c>
      <c r="AL442" s="94">
        <f t="shared" si="358"/>
        <v>263.9880952</v>
      </c>
      <c r="AM442" s="94">
        <f t="shared" si="358"/>
        <v>263.9880952</v>
      </c>
      <c r="AN442" s="94">
        <f t="shared" si="358"/>
        <v>263.9880952</v>
      </c>
      <c r="AO442" s="94">
        <f t="shared" si="358"/>
        <v>263.9880952</v>
      </c>
      <c r="AP442" s="94">
        <f t="shared" si="358"/>
        <v>263.9880952</v>
      </c>
      <c r="AQ442" s="94">
        <f t="shared" si="358"/>
        <v>263.9880952</v>
      </c>
      <c r="AR442" s="94">
        <f t="shared" si="358"/>
        <v>263.9880952</v>
      </c>
      <c r="AS442" s="94">
        <f t="shared" si="358"/>
        <v>263.9880952</v>
      </c>
      <c r="AT442" s="94">
        <f t="shared" si="358"/>
        <v>263.9880952</v>
      </c>
      <c r="AU442" s="94">
        <f t="shared" si="358"/>
        <v>263.9880952</v>
      </c>
      <c r="AV442" s="94">
        <f t="shared" si="358"/>
        <v>263.9880952</v>
      </c>
      <c r="AW442" s="94">
        <f t="shared" si="358"/>
        <v>263.9880952</v>
      </c>
      <c r="AX442" s="94">
        <f t="shared" si="358"/>
        <v>263.9880952</v>
      </c>
      <c r="AY442" s="94">
        <f t="shared" si="358"/>
        <v>263.9880952</v>
      </c>
      <c r="AZ442" s="94">
        <f t="shared" si="358"/>
        <v>263.9880952</v>
      </c>
      <c r="BA442" s="94">
        <f t="shared" si="358"/>
        <v>263.9880952</v>
      </c>
      <c r="BB442" s="94">
        <f t="shared" si="358"/>
        <v>263.9880952</v>
      </c>
      <c r="BC442" s="94">
        <f t="shared" si="358"/>
        <v>263.9880952</v>
      </c>
      <c r="BD442" s="94">
        <f t="shared" si="358"/>
        <v>263.9880952</v>
      </c>
      <c r="BE442" s="94">
        <f t="shared" si="358"/>
        <v>263.9880952</v>
      </c>
      <c r="BF442" s="94">
        <f t="shared" si="358"/>
        <v>263.9880952</v>
      </c>
      <c r="BG442" s="94">
        <f t="shared" si="358"/>
        <v>263.9880952</v>
      </c>
      <c r="BH442" s="94">
        <f t="shared" si="358"/>
        <v>263.9880952</v>
      </c>
      <c r="BI442" s="94">
        <f t="shared" si="358"/>
        <v>263.9880952</v>
      </c>
      <c r="BJ442" s="94">
        <f t="shared" si="358"/>
        <v>263.9880952</v>
      </c>
      <c r="BK442" s="94">
        <f t="shared" si="358"/>
        <v>263.9880952</v>
      </c>
      <c r="BL442" s="94">
        <f t="shared" si="358"/>
        <v>263.9880952</v>
      </c>
      <c r="BM442" s="94">
        <f t="shared" si="358"/>
        <v>263.9880952</v>
      </c>
      <c r="BN442" s="94">
        <f t="shared" si="358"/>
        <v>263.9880952</v>
      </c>
      <c r="BO442" s="94">
        <f t="shared" si="358"/>
        <v>263.9880952</v>
      </c>
      <c r="BP442" s="94">
        <f t="shared" si="358"/>
        <v>263.9880952</v>
      </c>
      <c r="BQ442" s="94">
        <f t="shared" si="358"/>
        <v>263.9880952</v>
      </c>
      <c r="BR442" s="94">
        <f t="shared" si="358"/>
        <v>263.9880952</v>
      </c>
      <c r="BS442" s="94">
        <f t="shared" si="358"/>
        <v>263.9880952</v>
      </c>
    </row>
    <row r="443" ht="15.75" customHeight="1">
      <c r="A443" s="91"/>
      <c r="B443" s="91"/>
      <c r="C443" s="91"/>
      <c r="D443" s="91"/>
      <c r="E443" s="91"/>
      <c r="F443" s="91"/>
      <c r="G443" s="91"/>
      <c r="H443" s="91"/>
      <c r="I443" s="91"/>
      <c r="J443" s="91"/>
      <c r="K443" s="91"/>
      <c r="L443" s="91"/>
      <c r="M443" s="91"/>
      <c r="N443" s="91"/>
      <c r="O443" s="91"/>
      <c r="P443" s="91"/>
      <c r="Q443" s="91"/>
      <c r="R443" s="91"/>
      <c r="S443" s="91"/>
      <c r="T443" s="91"/>
      <c r="U443" s="96">
        <v>44227.0</v>
      </c>
      <c r="AE443" s="94">
        <f t="shared" ref="AE443:BT443" si="359">+$AE$53*$U$58*$X$58</f>
        <v>299.1865079</v>
      </c>
      <c r="AF443" s="94">
        <f t="shared" si="359"/>
        <v>299.1865079</v>
      </c>
      <c r="AG443" s="94">
        <f t="shared" si="359"/>
        <v>299.1865079</v>
      </c>
      <c r="AH443" s="94">
        <f t="shared" si="359"/>
        <v>299.1865079</v>
      </c>
      <c r="AI443" s="94">
        <f t="shared" si="359"/>
        <v>299.1865079</v>
      </c>
      <c r="AJ443" s="94">
        <f t="shared" si="359"/>
        <v>299.1865079</v>
      </c>
      <c r="AK443" s="94">
        <f t="shared" si="359"/>
        <v>299.1865079</v>
      </c>
      <c r="AL443" s="94">
        <f t="shared" si="359"/>
        <v>299.1865079</v>
      </c>
      <c r="AM443" s="94">
        <f t="shared" si="359"/>
        <v>299.1865079</v>
      </c>
      <c r="AN443" s="94">
        <f t="shared" si="359"/>
        <v>299.1865079</v>
      </c>
      <c r="AO443" s="94">
        <f t="shared" si="359"/>
        <v>299.1865079</v>
      </c>
      <c r="AP443" s="94">
        <f t="shared" si="359"/>
        <v>299.1865079</v>
      </c>
      <c r="AQ443" s="94">
        <f t="shared" si="359"/>
        <v>299.1865079</v>
      </c>
      <c r="AR443" s="94">
        <f t="shared" si="359"/>
        <v>299.1865079</v>
      </c>
      <c r="AS443" s="94">
        <f t="shared" si="359"/>
        <v>299.1865079</v>
      </c>
      <c r="AT443" s="94">
        <f t="shared" si="359"/>
        <v>299.1865079</v>
      </c>
      <c r="AU443" s="94">
        <f t="shared" si="359"/>
        <v>299.1865079</v>
      </c>
      <c r="AV443" s="94">
        <f t="shared" si="359"/>
        <v>299.1865079</v>
      </c>
      <c r="AW443" s="94">
        <f t="shared" si="359"/>
        <v>299.1865079</v>
      </c>
      <c r="AX443" s="94">
        <f t="shared" si="359"/>
        <v>299.1865079</v>
      </c>
      <c r="AY443" s="94">
        <f t="shared" si="359"/>
        <v>299.1865079</v>
      </c>
      <c r="AZ443" s="94">
        <f t="shared" si="359"/>
        <v>299.1865079</v>
      </c>
      <c r="BA443" s="94">
        <f t="shared" si="359"/>
        <v>299.1865079</v>
      </c>
      <c r="BB443" s="94">
        <f t="shared" si="359"/>
        <v>299.1865079</v>
      </c>
      <c r="BC443" s="94">
        <f t="shared" si="359"/>
        <v>299.1865079</v>
      </c>
      <c r="BD443" s="94">
        <f t="shared" si="359"/>
        <v>299.1865079</v>
      </c>
      <c r="BE443" s="94">
        <f t="shared" si="359"/>
        <v>299.1865079</v>
      </c>
      <c r="BF443" s="94">
        <f t="shared" si="359"/>
        <v>299.1865079</v>
      </c>
      <c r="BG443" s="94">
        <f t="shared" si="359"/>
        <v>299.1865079</v>
      </c>
      <c r="BH443" s="94">
        <f t="shared" si="359"/>
        <v>299.1865079</v>
      </c>
      <c r="BI443" s="94">
        <f t="shared" si="359"/>
        <v>299.1865079</v>
      </c>
      <c r="BJ443" s="94">
        <f t="shared" si="359"/>
        <v>299.1865079</v>
      </c>
      <c r="BK443" s="94">
        <f t="shared" si="359"/>
        <v>299.1865079</v>
      </c>
      <c r="BL443" s="94">
        <f t="shared" si="359"/>
        <v>299.1865079</v>
      </c>
      <c r="BM443" s="94">
        <f t="shared" si="359"/>
        <v>299.1865079</v>
      </c>
      <c r="BN443" s="94">
        <f t="shared" si="359"/>
        <v>299.1865079</v>
      </c>
      <c r="BO443" s="94">
        <f t="shared" si="359"/>
        <v>299.1865079</v>
      </c>
      <c r="BP443" s="94">
        <f t="shared" si="359"/>
        <v>299.1865079</v>
      </c>
      <c r="BQ443" s="94">
        <f t="shared" si="359"/>
        <v>299.1865079</v>
      </c>
      <c r="BR443" s="94">
        <f t="shared" si="359"/>
        <v>299.1865079</v>
      </c>
      <c r="BS443" s="94">
        <f t="shared" si="359"/>
        <v>299.1865079</v>
      </c>
      <c r="BT443" s="94">
        <f t="shared" si="359"/>
        <v>299.1865079</v>
      </c>
    </row>
    <row r="444" ht="15.75" customHeight="1">
      <c r="A444" s="91"/>
      <c r="B444" s="91"/>
      <c r="C444" s="91"/>
      <c r="D444" s="91"/>
      <c r="E444" s="91"/>
      <c r="F444" s="91"/>
      <c r="G444" s="91"/>
      <c r="H444" s="91"/>
      <c r="I444" s="91"/>
      <c r="J444" s="91"/>
      <c r="K444" s="91"/>
      <c r="L444" s="91"/>
      <c r="M444" s="91"/>
      <c r="N444" s="91"/>
      <c r="O444" s="91"/>
      <c r="P444" s="91"/>
      <c r="Q444" s="91"/>
      <c r="R444" s="91"/>
      <c r="S444" s="91"/>
      <c r="T444" s="91"/>
      <c r="U444" s="96">
        <v>44255.0</v>
      </c>
      <c r="AF444" s="94">
        <f t="shared" ref="AF444:BU444" si="360">+$AF$53*$U$58*$X$58</f>
        <v>299.1865079</v>
      </c>
      <c r="AG444" s="94">
        <f t="shared" si="360"/>
        <v>299.1865079</v>
      </c>
      <c r="AH444" s="94">
        <f t="shared" si="360"/>
        <v>299.1865079</v>
      </c>
      <c r="AI444" s="94">
        <f t="shared" si="360"/>
        <v>299.1865079</v>
      </c>
      <c r="AJ444" s="94">
        <f t="shared" si="360"/>
        <v>299.1865079</v>
      </c>
      <c r="AK444" s="94">
        <f t="shared" si="360"/>
        <v>299.1865079</v>
      </c>
      <c r="AL444" s="94">
        <f t="shared" si="360"/>
        <v>299.1865079</v>
      </c>
      <c r="AM444" s="94">
        <f t="shared" si="360"/>
        <v>299.1865079</v>
      </c>
      <c r="AN444" s="94">
        <f t="shared" si="360"/>
        <v>299.1865079</v>
      </c>
      <c r="AO444" s="94">
        <f t="shared" si="360"/>
        <v>299.1865079</v>
      </c>
      <c r="AP444" s="94">
        <f t="shared" si="360"/>
        <v>299.1865079</v>
      </c>
      <c r="AQ444" s="94">
        <f t="shared" si="360"/>
        <v>299.1865079</v>
      </c>
      <c r="AR444" s="94">
        <f t="shared" si="360"/>
        <v>299.1865079</v>
      </c>
      <c r="AS444" s="94">
        <f t="shared" si="360"/>
        <v>299.1865079</v>
      </c>
      <c r="AT444" s="94">
        <f t="shared" si="360"/>
        <v>299.1865079</v>
      </c>
      <c r="AU444" s="94">
        <f t="shared" si="360"/>
        <v>299.1865079</v>
      </c>
      <c r="AV444" s="94">
        <f t="shared" si="360"/>
        <v>299.1865079</v>
      </c>
      <c r="AW444" s="94">
        <f t="shared" si="360"/>
        <v>299.1865079</v>
      </c>
      <c r="AX444" s="94">
        <f t="shared" si="360"/>
        <v>299.1865079</v>
      </c>
      <c r="AY444" s="94">
        <f t="shared" si="360"/>
        <v>299.1865079</v>
      </c>
      <c r="AZ444" s="94">
        <f t="shared" si="360"/>
        <v>299.1865079</v>
      </c>
      <c r="BA444" s="94">
        <f t="shared" si="360"/>
        <v>299.1865079</v>
      </c>
      <c r="BB444" s="94">
        <f t="shared" si="360"/>
        <v>299.1865079</v>
      </c>
      <c r="BC444" s="94">
        <f t="shared" si="360"/>
        <v>299.1865079</v>
      </c>
      <c r="BD444" s="94">
        <f t="shared" si="360"/>
        <v>299.1865079</v>
      </c>
      <c r="BE444" s="94">
        <f t="shared" si="360"/>
        <v>299.1865079</v>
      </c>
      <c r="BF444" s="94">
        <f t="shared" si="360"/>
        <v>299.1865079</v>
      </c>
      <c r="BG444" s="94">
        <f t="shared" si="360"/>
        <v>299.1865079</v>
      </c>
      <c r="BH444" s="94">
        <f t="shared" si="360"/>
        <v>299.1865079</v>
      </c>
      <c r="BI444" s="94">
        <f t="shared" si="360"/>
        <v>299.1865079</v>
      </c>
      <c r="BJ444" s="94">
        <f t="shared" si="360"/>
        <v>299.1865079</v>
      </c>
      <c r="BK444" s="94">
        <f t="shared" si="360"/>
        <v>299.1865079</v>
      </c>
      <c r="BL444" s="94">
        <f t="shared" si="360"/>
        <v>299.1865079</v>
      </c>
      <c r="BM444" s="94">
        <f t="shared" si="360"/>
        <v>299.1865079</v>
      </c>
      <c r="BN444" s="94">
        <f t="shared" si="360"/>
        <v>299.1865079</v>
      </c>
      <c r="BO444" s="94">
        <f t="shared" si="360"/>
        <v>299.1865079</v>
      </c>
      <c r="BP444" s="94">
        <f t="shared" si="360"/>
        <v>299.1865079</v>
      </c>
      <c r="BQ444" s="94">
        <f t="shared" si="360"/>
        <v>299.1865079</v>
      </c>
      <c r="BR444" s="94">
        <f t="shared" si="360"/>
        <v>299.1865079</v>
      </c>
      <c r="BS444" s="94">
        <f t="shared" si="360"/>
        <v>299.1865079</v>
      </c>
      <c r="BT444" s="94">
        <f t="shared" si="360"/>
        <v>299.1865079</v>
      </c>
      <c r="BU444" s="94">
        <f t="shared" si="360"/>
        <v>299.1865079</v>
      </c>
    </row>
    <row r="445" ht="15.75" customHeight="1">
      <c r="A445" s="91"/>
      <c r="B445" s="91"/>
      <c r="C445" s="91"/>
      <c r="D445" s="91"/>
      <c r="E445" s="91"/>
      <c r="F445" s="91"/>
      <c r="G445" s="91"/>
      <c r="H445" s="91"/>
      <c r="I445" s="91"/>
      <c r="J445" s="91"/>
      <c r="K445" s="91"/>
      <c r="L445" s="91"/>
      <c r="M445" s="91"/>
      <c r="N445" s="91"/>
      <c r="O445" s="91"/>
      <c r="P445" s="91"/>
      <c r="Q445" s="91"/>
      <c r="R445" s="91"/>
      <c r="S445" s="91"/>
      <c r="T445" s="91"/>
      <c r="U445" s="96">
        <v>44286.0</v>
      </c>
      <c r="AG445" s="94">
        <f t="shared" ref="AG445:BV445" si="361">+$AG$53*$U$58*$X$58</f>
        <v>234.6560847</v>
      </c>
      <c r="AH445" s="94">
        <f t="shared" si="361"/>
        <v>234.6560847</v>
      </c>
      <c r="AI445" s="94">
        <f t="shared" si="361"/>
        <v>234.6560847</v>
      </c>
      <c r="AJ445" s="94">
        <f t="shared" si="361"/>
        <v>234.6560847</v>
      </c>
      <c r="AK445" s="94">
        <f t="shared" si="361"/>
        <v>234.6560847</v>
      </c>
      <c r="AL445" s="94">
        <f t="shared" si="361"/>
        <v>234.6560847</v>
      </c>
      <c r="AM445" s="94">
        <f t="shared" si="361"/>
        <v>234.6560847</v>
      </c>
      <c r="AN445" s="94">
        <f t="shared" si="361"/>
        <v>234.6560847</v>
      </c>
      <c r="AO445" s="94">
        <f t="shared" si="361"/>
        <v>234.6560847</v>
      </c>
      <c r="AP445" s="94">
        <f t="shared" si="361"/>
        <v>234.6560847</v>
      </c>
      <c r="AQ445" s="94">
        <f t="shared" si="361"/>
        <v>234.6560847</v>
      </c>
      <c r="AR445" s="94">
        <f t="shared" si="361"/>
        <v>234.6560847</v>
      </c>
      <c r="AS445" s="94">
        <f t="shared" si="361"/>
        <v>234.6560847</v>
      </c>
      <c r="AT445" s="94">
        <f t="shared" si="361"/>
        <v>234.6560847</v>
      </c>
      <c r="AU445" s="94">
        <f t="shared" si="361"/>
        <v>234.6560847</v>
      </c>
      <c r="AV445" s="94">
        <f t="shared" si="361"/>
        <v>234.6560847</v>
      </c>
      <c r="AW445" s="94">
        <f t="shared" si="361"/>
        <v>234.6560847</v>
      </c>
      <c r="AX445" s="94">
        <f t="shared" si="361"/>
        <v>234.6560847</v>
      </c>
      <c r="AY445" s="94">
        <f t="shared" si="361"/>
        <v>234.6560847</v>
      </c>
      <c r="AZ445" s="94">
        <f t="shared" si="361"/>
        <v>234.6560847</v>
      </c>
      <c r="BA445" s="94">
        <f t="shared" si="361"/>
        <v>234.6560847</v>
      </c>
      <c r="BB445" s="94">
        <f t="shared" si="361"/>
        <v>234.6560847</v>
      </c>
      <c r="BC445" s="94">
        <f t="shared" si="361"/>
        <v>234.6560847</v>
      </c>
      <c r="BD445" s="94">
        <f t="shared" si="361"/>
        <v>234.6560847</v>
      </c>
      <c r="BE445" s="94">
        <f t="shared" si="361"/>
        <v>234.6560847</v>
      </c>
      <c r="BF445" s="94">
        <f t="shared" si="361"/>
        <v>234.6560847</v>
      </c>
      <c r="BG445" s="94">
        <f t="shared" si="361"/>
        <v>234.6560847</v>
      </c>
      <c r="BH445" s="94">
        <f t="shared" si="361"/>
        <v>234.6560847</v>
      </c>
      <c r="BI445" s="94">
        <f t="shared" si="361"/>
        <v>234.6560847</v>
      </c>
      <c r="BJ445" s="94">
        <f t="shared" si="361"/>
        <v>234.6560847</v>
      </c>
      <c r="BK445" s="94">
        <f t="shared" si="361"/>
        <v>234.6560847</v>
      </c>
      <c r="BL445" s="94">
        <f t="shared" si="361"/>
        <v>234.6560847</v>
      </c>
      <c r="BM445" s="94">
        <f t="shared" si="361"/>
        <v>234.6560847</v>
      </c>
      <c r="BN445" s="94">
        <f t="shared" si="361"/>
        <v>234.6560847</v>
      </c>
      <c r="BO445" s="94">
        <f t="shared" si="361"/>
        <v>234.6560847</v>
      </c>
      <c r="BP445" s="94">
        <f t="shared" si="361"/>
        <v>234.6560847</v>
      </c>
      <c r="BQ445" s="94">
        <f t="shared" si="361"/>
        <v>234.6560847</v>
      </c>
      <c r="BR445" s="94">
        <f t="shared" si="361"/>
        <v>234.6560847</v>
      </c>
      <c r="BS445" s="94">
        <f t="shared" si="361"/>
        <v>234.6560847</v>
      </c>
      <c r="BT445" s="94">
        <f t="shared" si="361"/>
        <v>234.6560847</v>
      </c>
      <c r="BU445" s="94">
        <f t="shared" si="361"/>
        <v>234.6560847</v>
      </c>
      <c r="BV445" s="94">
        <f t="shared" si="361"/>
        <v>234.6560847</v>
      </c>
    </row>
    <row r="446" ht="15.75" customHeight="1">
      <c r="A446" s="91"/>
      <c r="B446" s="91"/>
      <c r="C446" s="91"/>
      <c r="D446" s="91"/>
      <c r="E446" s="91"/>
      <c r="F446" s="91"/>
      <c r="G446" s="91"/>
      <c r="H446" s="91"/>
      <c r="I446" s="91"/>
      <c r="J446" s="91"/>
      <c r="K446" s="91"/>
      <c r="L446" s="91"/>
      <c r="M446" s="91"/>
      <c r="N446" s="91"/>
      <c r="O446" s="91"/>
      <c r="P446" s="91"/>
      <c r="Q446" s="91"/>
      <c r="R446" s="91"/>
      <c r="S446" s="91"/>
      <c r="T446" s="91"/>
      <c r="U446" s="96">
        <v>44316.0</v>
      </c>
      <c r="AH446" s="94">
        <f t="shared" ref="AH446:BW446" si="362">+$AH$53*$U$58*$X$58</f>
        <v>156.4373898</v>
      </c>
      <c r="AI446" s="94">
        <f t="shared" si="362"/>
        <v>156.4373898</v>
      </c>
      <c r="AJ446" s="94">
        <f t="shared" si="362"/>
        <v>156.4373898</v>
      </c>
      <c r="AK446" s="94">
        <f t="shared" si="362"/>
        <v>156.4373898</v>
      </c>
      <c r="AL446" s="94">
        <f t="shared" si="362"/>
        <v>156.4373898</v>
      </c>
      <c r="AM446" s="94">
        <f t="shared" si="362"/>
        <v>156.4373898</v>
      </c>
      <c r="AN446" s="94">
        <f t="shared" si="362"/>
        <v>156.4373898</v>
      </c>
      <c r="AO446" s="94">
        <f t="shared" si="362"/>
        <v>156.4373898</v>
      </c>
      <c r="AP446" s="94">
        <f t="shared" si="362"/>
        <v>156.4373898</v>
      </c>
      <c r="AQ446" s="94">
        <f t="shared" si="362"/>
        <v>156.4373898</v>
      </c>
      <c r="AR446" s="94">
        <f t="shared" si="362"/>
        <v>156.4373898</v>
      </c>
      <c r="AS446" s="94">
        <f t="shared" si="362"/>
        <v>156.4373898</v>
      </c>
      <c r="AT446" s="94">
        <f t="shared" si="362"/>
        <v>156.4373898</v>
      </c>
      <c r="AU446" s="94">
        <f t="shared" si="362"/>
        <v>156.4373898</v>
      </c>
      <c r="AV446" s="94">
        <f t="shared" si="362"/>
        <v>156.4373898</v>
      </c>
      <c r="AW446" s="94">
        <f t="shared" si="362"/>
        <v>156.4373898</v>
      </c>
      <c r="AX446" s="94">
        <f t="shared" si="362"/>
        <v>156.4373898</v>
      </c>
      <c r="AY446" s="94">
        <f t="shared" si="362"/>
        <v>156.4373898</v>
      </c>
      <c r="AZ446" s="94">
        <f t="shared" si="362"/>
        <v>156.4373898</v>
      </c>
      <c r="BA446" s="94">
        <f t="shared" si="362"/>
        <v>156.4373898</v>
      </c>
      <c r="BB446" s="94">
        <f t="shared" si="362"/>
        <v>156.4373898</v>
      </c>
      <c r="BC446" s="94">
        <f t="shared" si="362"/>
        <v>156.4373898</v>
      </c>
      <c r="BD446" s="94">
        <f t="shared" si="362"/>
        <v>156.4373898</v>
      </c>
      <c r="BE446" s="94">
        <f t="shared" si="362"/>
        <v>156.4373898</v>
      </c>
      <c r="BF446" s="94">
        <f t="shared" si="362"/>
        <v>156.4373898</v>
      </c>
      <c r="BG446" s="94">
        <f t="shared" si="362"/>
        <v>156.4373898</v>
      </c>
      <c r="BH446" s="94">
        <f t="shared" si="362"/>
        <v>156.4373898</v>
      </c>
      <c r="BI446" s="94">
        <f t="shared" si="362"/>
        <v>156.4373898</v>
      </c>
      <c r="BJ446" s="94">
        <f t="shared" si="362"/>
        <v>156.4373898</v>
      </c>
      <c r="BK446" s="94">
        <f t="shared" si="362"/>
        <v>156.4373898</v>
      </c>
      <c r="BL446" s="94">
        <f t="shared" si="362"/>
        <v>156.4373898</v>
      </c>
      <c r="BM446" s="94">
        <f t="shared" si="362"/>
        <v>156.4373898</v>
      </c>
      <c r="BN446" s="94">
        <f t="shared" si="362"/>
        <v>156.4373898</v>
      </c>
      <c r="BO446" s="94">
        <f t="shared" si="362"/>
        <v>156.4373898</v>
      </c>
      <c r="BP446" s="94">
        <f t="shared" si="362"/>
        <v>156.4373898</v>
      </c>
      <c r="BQ446" s="94">
        <f t="shared" si="362"/>
        <v>156.4373898</v>
      </c>
      <c r="BR446" s="94">
        <f t="shared" si="362"/>
        <v>156.4373898</v>
      </c>
      <c r="BS446" s="94">
        <f t="shared" si="362"/>
        <v>156.4373898</v>
      </c>
      <c r="BT446" s="94">
        <f t="shared" si="362"/>
        <v>156.4373898</v>
      </c>
      <c r="BU446" s="94">
        <f t="shared" si="362"/>
        <v>156.4373898</v>
      </c>
      <c r="BV446" s="94">
        <f t="shared" si="362"/>
        <v>156.4373898</v>
      </c>
      <c r="BW446" s="94">
        <f t="shared" si="362"/>
        <v>156.4373898</v>
      </c>
    </row>
    <row r="447" ht="15.75" customHeight="1">
      <c r="A447" s="91"/>
      <c r="B447" s="91"/>
      <c r="C447" s="91"/>
      <c r="D447" s="91"/>
      <c r="E447" s="91"/>
      <c r="F447" s="91"/>
      <c r="G447" s="91"/>
      <c r="H447" s="91"/>
      <c r="I447" s="91"/>
      <c r="J447" s="91"/>
      <c r="K447" s="91"/>
      <c r="L447" s="91"/>
      <c r="M447" s="91"/>
      <c r="N447" s="91"/>
      <c r="O447" s="91"/>
      <c r="P447" s="91"/>
      <c r="Q447" s="91"/>
      <c r="R447" s="91"/>
      <c r="S447" s="91"/>
      <c r="T447" s="91"/>
      <c r="U447" s="96">
        <v>44347.0</v>
      </c>
      <c r="AI447" s="94">
        <f t="shared" ref="AI447:BX447" si="363">+$AI$53*$U$58*$X$58</f>
        <v>156.4373898</v>
      </c>
      <c r="AJ447" s="94">
        <f t="shared" si="363"/>
        <v>156.4373898</v>
      </c>
      <c r="AK447" s="94">
        <f t="shared" si="363"/>
        <v>156.4373898</v>
      </c>
      <c r="AL447" s="94">
        <f t="shared" si="363"/>
        <v>156.4373898</v>
      </c>
      <c r="AM447" s="94">
        <f t="shared" si="363"/>
        <v>156.4373898</v>
      </c>
      <c r="AN447" s="94">
        <f t="shared" si="363"/>
        <v>156.4373898</v>
      </c>
      <c r="AO447" s="94">
        <f t="shared" si="363"/>
        <v>156.4373898</v>
      </c>
      <c r="AP447" s="94">
        <f t="shared" si="363"/>
        <v>156.4373898</v>
      </c>
      <c r="AQ447" s="94">
        <f t="shared" si="363"/>
        <v>156.4373898</v>
      </c>
      <c r="AR447" s="94">
        <f t="shared" si="363"/>
        <v>156.4373898</v>
      </c>
      <c r="AS447" s="94">
        <f t="shared" si="363"/>
        <v>156.4373898</v>
      </c>
      <c r="AT447" s="94">
        <f t="shared" si="363"/>
        <v>156.4373898</v>
      </c>
      <c r="AU447" s="94">
        <f t="shared" si="363"/>
        <v>156.4373898</v>
      </c>
      <c r="AV447" s="94">
        <f t="shared" si="363"/>
        <v>156.4373898</v>
      </c>
      <c r="AW447" s="94">
        <f t="shared" si="363"/>
        <v>156.4373898</v>
      </c>
      <c r="AX447" s="94">
        <f t="shared" si="363"/>
        <v>156.4373898</v>
      </c>
      <c r="AY447" s="94">
        <f t="shared" si="363"/>
        <v>156.4373898</v>
      </c>
      <c r="AZ447" s="94">
        <f t="shared" si="363"/>
        <v>156.4373898</v>
      </c>
      <c r="BA447" s="94">
        <f t="shared" si="363"/>
        <v>156.4373898</v>
      </c>
      <c r="BB447" s="94">
        <f t="shared" si="363"/>
        <v>156.4373898</v>
      </c>
      <c r="BC447" s="94">
        <f t="shared" si="363"/>
        <v>156.4373898</v>
      </c>
      <c r="BD447" s="94">
        <f t="shared" si="363"/>
        <v>156.4373898</v>
      </c>
      <c r="BE447" s="94">
        <f t="shared" si="363"/>
        <v>156.4373898</v>
      </c>
      <c r="BF447" s="94">
        <f t="shared" si="363"/>
        <v>156.4373898</v>
      </c>
      <c r="BG447" s="94">
        <f t="shared" si="363"/>
        <v>156.4373898</v>
      </c>
      <c r="BH447" s="94">
        <f t="shared" si="363"/>
        <v>156.4373898</v>
      </c>
      <c r="BI447" s="94">
        <f t="shared" si="363"/>
        <v>156.4373898</v>
      </c>
      <c r="BJ447" s="94">
        <f t="shared" si="363"/>
        <v>156.4373898</v>
      </c>
      <c r="BK447" s="94">
        <f t="shared" si="363"/>
        <v>156.4373898</v>
      </c>
      <c r="BL447" s="94">
        <f t="shared" si="363"/>
        <v>156.4373898</v>
      </c>
      <c r="BM447" s="94">
        <f t="shared" si="363"/>
        <v>156.4373898</v>
      </c>
      <c r="BN447" s="94">
        <f t="shared" si="363"/>
        <v>156.4373898</v>
      </c>
      <c r="BO447" s="94">
        <f t="shared" si="363"/>
        <v>156.4373898</v>
      </c>
      <c r="BP447" s="94">
        <f t="shared" si="363"/>
        <v>156.4373898</v>
      </c>
      <c r="BQ447" s="94">
        <f t="shared" si="363"/>
        <v>156.4373898</v>
      </c>
      <c r="BR447" s="94">
        <f t="shared" si="363"/>
        <v>156.4373898</v>
      </c>
      <c r="BS447" s="94">
        <f t="shared" si="363"/>
        <v>156.4373898</v>
      </c>
      <c r="BT447" s="94">
        <f t="shared" si="363"/>
        <v>156.4373898</v>
      </c>
      <c r="BU447" s="94">
        <f t="shared" si="363"/>
        <v>156.4373898</v>
      </c>
      <c r="BV447" s="94">
        <f t="shared" si="363"/>
        <v>156.4373898</v>
      </c>
      <c r="BW447" s="94">
        <f t="shared" si="363"/>
        <v>156.4373898</v>
      </c>
      <c r="BX447" s="94">
        <f t="shared" si="363"/>
        <v>156.4373898</v>
      </c>
    </row>
    <row r="448" ht="15.75" customHeight="1">
      <c r="A448" s="91"/>
      <c r="B448" s="91"/>
      <c r="C448" s="91"/>
      <c r="D448" s="91"/>
      <c r="E448" s="91"/>
      <c r="F448" s="91"/>
      <c r="G448" s="91"/>
      <c r="H448" s="91"/>
      <c r="I448" s="91"/>
      <c r="J448" s="91"/>
      <c r="K448" s="91"/>
      <c r="L448" s="91"/>
      <c r="M448" s="91"/>
      <c r="N448" s="91"/>
      <c r="O448" s="91"/>
      <c r="P448" s="91"/>
      <c r="Q448" s="91"/>
      <c r="R448" s="91"/>
      <c r="S448" s="91"/>
      <c r="T448" s="91"/>
      <c r="U448" s="96">
        <v>44377.0</v>
      </c>
      <c r="AJ448" s="94">
        <f t="shared" ref="AJ448:BY448" si="364">+$AJ$53*$U$58*$X$58</f>
        <v>156.4373898</v>
      </c>
      <c r="AK448" s="94">
        <f t="shared" si="364"/>
        <v>156.4373898</v>
      </c>
      <c r="AL448" s="94">
        <f t="shared" si="364"/>
        <v>156.4373898</v>
      </c>
      <c r="AM448" s="94">
        <f t="shared" si="364"/>
        <v>156.4373898</v>
      </c>
      <c r="AN448" s="94">
        <f t="shared" si="364"/>
        <v>156.4373898</v>
      </c>
      <c r="AO448" s="94">
        <f t="shared" si="364"/>
        <v>156.4373898</v>
      </c>
      <c r="AP448" s="94">
        <f t="shared" si="364"/>
        <v>156.4373898</v>
      </c>
      <c r="AQ448" s="94">
        <f t="shared" si="364"/>
        <v>156.4373898</v>
      </c>
      <c r="AR448" s="94">
        <f t="shared" si="364"/>
        <v>156.4373898</v>
      </c>
      <c r="AS448" s="94">
        <f t="shared" si="364"/>
        <v>156.4373898</v>
      </c>
      <c r="AT448" s="94">
        <f t="shared" si="364"/>
        <v>156.4373898</v>
      </c>
      <c r="AU448" s="94">
        <f t="shared" si="364"/>
        <v>156.4373898</v>
      </c>
      <c r="AV448" s="94">
        <f t="shared" si="364"/>
        <v>156.4373898</v>
      </c>
      <c r="AW448" s="94">
        <f t="shared" si="364"/>
        <v>156.4373898</v>
      </c>
      <c r="AX448" s="94">
        <f t="shared" si="364"/>
        <v>156.4373898</v>
      </c>
      <c r="AY448" s="94">
        <f t="shared" si="364"/>
        <v>156.4373898</v>
      </c>
      <c r="AZ448" s="94">
        <f t="shared" si="364"/>
        <v>156.4373898</v>
      </c>
      <c r="BA448" s="94">
        <f t="shared" si="364"/>
        <v>156.4373898</v>
      </c>
      <c r="BB448" s="94">
        <f t="shared" si="364"/>
        <v>156.4373898</v>
      </c>
      <c r="BC448" s="94">
        <f t="shared" si="364"/>
        <v>156.4373898</v>
      </c>
      <c r="BD448" s="94">
        <f t="shared" si="364"/>
        <v>156.4373898</v>
      </c>
      <c r="BE448" s="94">
        <f t="shared" si="364"/>
        <v>156.4373898</v>
      </c>
      <c r="BF448" s="94">
        <f t="shared" si="364"/>
        <v>156.4373898</v>
      </c>
      <c r="BG448" s="94">
        <f t="shared" si="364"/>
        <v>156.4373898</v>
      </c>
      <c r="BH448" s="94">
        <f t="shared" si="364"/>
        <v>156.4373898</v>
      </c>
      <c r="BI448" s="94">
        <f t="shared" si="364"/>
        <v>156.4373898</v>
      </c>
      <c r="BJ448" s="94">
        <f t="shared" si="364"/>
        <v>156.4373898</v>
      </c>
      <c r="BK448" s="94">
        <f t="shared" si="364"/>
        <v>156.4373898</v>
      </c>
      <c r="BL448" s="94">
        <f t="shared" si="364"/>
        <v>156.4373898</v>
      </c>
      <c r="BM448" s="94">
        <f t="shared" si="364"/>
        <v>156.4373898</v>
      </c>
      <c r="BN448" s="94">
        <f t="shared" si="364"/>
        <v>156.4373898</v>
      </c>
      <c r="BO448" s="94">
        <f t="shared" si="364"/>
        <v>156.4373898</v>
      </c>
      <c r="BP448" s="94">
        <f t="shared" si="364"/>
        <v>156.4373898</v>
      </c>
      <c r="BQ448" s="94">
        <f t="shared" si="364"/>
        <v>156.4373898</v>
      </c>
      <c r="BR448" s="94">
        <f t="shared" si="364"/>
        <v>156.4373898</v>
      </c>
      <c r="BS448" s="94">
        <f t="shared" si="364"/>
        <v>156.4373898</v>
      </c>
      <c r="BT448" s="94">
        <f t="shared" si="364"/>
        <v>156.4373898</v>
      </c>
      <c r="BU448" s="94">
        <f t="shared" si="364"/>
        <v>156.4373898</v>
      </c>
      <c r="BV448" s="94">
        <f t="shared" si="364"/>
        <v>156.4373898</v>
      </c>
      <c r="BW448" s="94">
        <f t="shared" si="364"/>
        <v>156.4373898</v>
      </c>
      <c r="BX448" s="94">
        <f t="shared" si="364"/>
        <v>156.4373898</v>
      </c>
      <c r="BY448" s="94">
        <f t="shared" si="364"/>
        <v>156.4373898</v>
      </c>
    </row>
    <row r="449" ht="15.75" customHeight="1">
      <c r="A449" s="91"/>
      <c r="B449" s="91"/>
      <c r="C449" s="91"/>
      <c r="D449" s="91"/>
      <c r="E449" s="91"/>
      <c r="F449" s="91"/>
      <c r="G449" s="91"/>
      <c r="H449" s="91"/>
      <c r="I449" s="91"/>
      <c r="J449" s="91"/>
      <c r="K449" s="91"/>
      <c r="L449" s="91"/>
      <c r="M449" s="91"/>
      <c r="N449" s="91"/>
      <c r="O449" s="91"/>
      <c r="P449" s="91"/>
      <c r="Q449" s="91"/>
      <c r="R449" s="91"/>
      <c r="S449" s="91"/>
      <c r="T449" s="91"/>
      <c r="U449" s="96">
        <v>44408.0</v>
      </c>
      <c r="AK449" s="94">
        <f t="shared" ref="AK449:BZ449" si="365">+$AK$53*$U$58*$X$58</f>
        <v>234.6560847</v>
      </c>
      <c r="AL449" s="94">
        <f t="shared" si="365"/>
        <v>234.6560847</v>
      </c>
      <c r="AM449" s="94">
        <f t="shared" si="365"/>
        <v>234.6560847</v>
      </c>
      <c r="AN449" s="94">
        <f t="shared" si="365"/>
        <v>234.6560847</v>
      </c>
      <c r="AO449" s="94">
        <f t="shared" si="365"/>
        <v>234.6560847</v>
      </c>
      <c r="AP449" s="94">
        <f t="shared" si="365"/>
        <v>234.6560847</v>
      </c>
      <c r="AQ449" s="94">
        <f t="shared" si="365"/>
        <v>234.6560847</v>
      </c>
      <c r="AR449" s="94">
        <f t="shared" si="365"/>
        <v>234.6560847</v>
      </c>
      <c r="AS449" s="94">
        <f t="shared" si="365"/>
        <v>234.6560847</v>
      </c>
      <c r="AT449" s="94">
        <f t="shared" si="365"/>
        <v>234.6560847</v>
      </c>
      <c r="AU449" s="94">
        <f t="shared" si="365"/>
        <v>234.6560847</v>
      </c>
      <c r="AV449" s="94">
        <f t="shared" si="365"/>
        <v>234.6560847</v>
      </c>
      <c r="AW449" s="94">
        <f t="shared" si="365"/>
        <v>234.6560847</v>
      </c>
      <c r="AX449" s="94">
        <f t="shared" si="365"/>
        <v>234.6560847</v>
      </c>
      <c r="AY449" s="94">
        <f t="shared" si="365"/>
        <v>234.6560847</v>
      </c>
      <c r="AZ449" s="94">
        <f t="shared" si="365"/>
        <v>234.6560847</v>
      </c>
      <c r="BA449" s="94">
        <f t="shared" si="365"/>
        <v>234.6560847</v>
      </c>
      <c r="BB449" s="94">
        <f t="shared" si="365"/>
        <v>234.6560847</v>
      </c>
      <c r="BC449" s="94">
        <f t="shared" si="365"/>
        <v>234.6560847</v>
      </c>
      <c r="BD449" s="94">
        <f t="shared" si="365"/>
        <v>234.6560847</v>
      </c>
      <c r="BE449" s="94">
        <f t="shared" si="365"/>
        <v>234.6560847</v>
      </c>
      <c r="BF449" s="94">
        <f t="shared" si="365"/>
        <v>234.6560847</v>
      </c>
      <c r="BG449" s="94">
        <f t="shared" si="365"/>
        <v>234.6560847</v>
      </c>
      <c r="BH449" s="94">
        <f t="shared" si="365"/>
        <v>234.6560847</v>
      </c>
      <c r="BI449" s="94">
        <f t="shared" si="365"/>
        <v>234.6560847</v>
      </c>
      <c r="BJ449" s="94">
        <f t="shared" si="365"/>
        <v>234.6560847</v>
      </c>
      <c r="BK449" s="94">
        <f t="shared" si="365"/>
        <v>234.6560847</v>
      </c>
      <c r="BL449" s="94">
        <f t="shared" si="365"/>
        <v>234.6560847</v>
      </c>
      <c r="BM449" s="94">
        <f t="shared" si="365"/>
        <v>234.6560847</v>
      </c>
      <c r="BN449" s="94">
        <f t="shared" si="365"/>
        <v>234.6560847</v>
      </c>
      <c r="BO449" s="94">
        <f t="shared" si="365"/>
        <v>234.6560847</v>
      </c>
      <c r="BP449" s="94">
        <f t="shared" si="365"/>
        <v>234.6560847</v>
      </c>
      <c r="BQ449" s="94">
        <f t="shared" si="365"/>
        <v>234.6560847</v>
      </c>
      <c r="BR449" s="94">
        <f t="shared" si="365"/>
        <v>234.6560847</v>
      </c>
      <c r="BS449" s="94">
        <f t="shared" si="365"/>
        <v>234.6560847</v>
      </c>
      <c r="BT449" s="94">
        <f t="shared" si="365"/>
        <v>234.6560847</v>
      </c>
      <c r="BU449" s="94">
        <f t="shared" si="365"/>
        <v>234.6560847</v>
      </c>
      <c r="BV449" s="94">
        <f t="shared" si="365"/>
        <v>234.6560847</v>
      </c>
      <c r="BW449" s="94">
        <f t="shared" si="365"/>
        <v>234.6560847</v>
      </c>
      <c r="BX449" s="94">
        <f t="shared" si="365"/>
        <v>234.6560847</v>
      </c>
      <c r="BY449" s="94">
        <f t="shared" si="365"/>
        <v>234.6560847</v>
      </c>
      <c r="BZ449" s="94">
        <f t="shared" si="365"/>
        <v>234.6560847</v>
      </c>
    </row>
    <row r="450" ht="15.75" customHeight="1">
      <c r="A450" s="91"/>
      <c r="B450" s="91"/>
      <c r="C450" s="91"/>
      <c r="D450" s="91"/>
      <c r="E450" s="91"/>
      <c r="F450" s="91"/>
      <c r="G450" s="91"/>
      <c r="H450" s="91"/>
      <c r="I450" s="91"/>
      <c r="J450" s="91"/>
      <c r="K450" s="91"/>
      <c r="L450" s="91"/>
      <c r="M450" s="91"/>
      <c r="N450" s="91"/>
      <c r="O450" s="91"/>
      <c r="P450" s="91"/>
      <c r="Q450" s="91"/>
      <c r="R450" s="91"/>
      <c r="S450" s="91"/>
      <c r="T450" s="91"/>
      <c r="U450" s="96">
        <v>44439.0</v>
      </c>
      <c r="AL450" s="94">
        <f t="shared" ref="AL450:CA450" si="366">+$AL$53*$U$58*$X$58</f>
        <v>312.8747795</v>
      </c>
      <c r="AM450" s="94">
        <f t="shared" si="366"/>
        <v>312.8747795</v>
      </c>
      <c r="AN450" s="94">
        <f t="shared" si="366"/>
        <v>312.8747795</v>
      </c>
      <c r="AO450" s="94">
        <f t="shared" si="366"/>
        <v>312.8747795</v>
      </c>
      <c r="AP450" s="94">
        <f t="shared" si="366"/>
        <v>312.8747795</v>
      </c>
      <c r="AQ450" s="94">
        <f t="shared" si="366"/>
        <v>312.8747795</v>
      </c>
      <c r="AR450" s="94">
        <f t="shared" si="366"/>
        <v>312.8747795</v>
      </c>
      <c r="AS450" s="94">
        <f t="shared" si="366"/>
        <v>312.8747795</v>
      </c>
      <c r="AT450" s="94">
        <f t="shared" si="366"/>
        <v>312.8747795</v>
      </c>
      <c r="AU450" s="94">
        <f t="shared" si="366"/>
        <v>312.8747795</v>
      </c>
      <c r="AV450" s="94">
        <f t="shared" si="366"/>
        <v>312.8747795</v>
      </c>
      <c r="AW450" s="94">
        <f t="shared" si="366"/>
        <v>312.8747795</v>
      </c>
      <c r="AX450" s="94">
        <f t="shared" si="366"/>
        <v>312.8747795</v>
      </c>
      <c r="AY450" s="94">
        <f t="shared" si="366"/>
        <v>312.8747795</v>
      </c>
      <c r="AZ450" s="94">
        <f t="shared" si="366"/>
        <v>312.8747795</v>
      </c>
      <c r="BA450" s="94">
        <f t="shared" si="366"/>
        <v>312.8747795</v>
      </c>
      <c r="BB450" s="94">
        <f t="shared" si="366"/>
        <v>312.8747795</v>
      </c>
      <c r="BC450" s="94">
        <f t="shared" si="366"/>
        <v>312.8747795</v>
      </c>
      <c r="BD450" s="94">
        <f t="shared" si="366"/>
        <v>312.8747795</v>
      </c>
      <c r="BE450" s="94">
        <f t="shared" si="366"/>
        <v>312.8747795</v>
      </c>
      <c r="BF450" s="94">
        <f t="shared" si="366"/>
        <v>312.8747795</v>
      </c>
      <c r="BG450" s="94">
        <f t="shared" si="366"/>
        <v>312.8747795</v>
      </c>
      <c r="BH450" s="94">
        <f t="shared" si="366"/>
        <v>312.8747795</v>
      </c>
      <c r="BI450" s="94">
        <f t="shared" si="366"/>
        <v>312.8747795</v>
      </c>
      <c r="BJ450" s="94">
        <f t="shared" si="366"/>
        <v>312.8747795</v>
      </c>
      <c r="BK450" s="94">
        <f t="shared" si="366"/>
        <v>312.8747795</v>
      </c>
      <c r="BL450" s="94">
        <f t="shared" si="366"/>
        <v>312.8747795</v>
      </c>
      <c r="BM450" s="94">
        <f t="shared" si="366"/>
        <v>312.8747795</v>
      </c>
      <c r="BN450" s="94">
        <f t="shared" si="366"/>
        <v>312.8747795</v>
      </c>
      <c r="BO450" s="94">
        <f t="shared" si="366"/>
        <v>312.8747795</v>
      </c>
      <c r="BP450" s="94">
        <f t="shared" si="366"/>
        <v>312.8747795</v>
      </c>
      <c r="BQ450" s="94">
        <f t="shared" si="366"/>
        <v>312.8747795</v>
      </c>
      <c r="BR450" s="94">
        <f t="shared" si="366"/>
        <v>312.8747795</v>
      </c>
      <c r="BS450" s="94">
        <f t="shared" si="366"/>
        <v>312.8747795</v>
      </c>
      <c r="BT450" s="94">
        <f t="shared" si="366"/>
        <v>312.8747795</v>
      </c>
      <c r="BU450" s="94">
        <f t="shared" si="366"/>
        <v>312.8747795</v>
      </c>
      <c r="BV450" s="94">
        <f t="shared" si="366"/>
        <v>312.8747795</v>
      </c>
      <c r="BW450" s="94">
        <f t="shared" si="366"/>
        <v>312.8747795</v>
      </c>
      <c r="BX450" s="94">
        <f t="shared" si="366"/>
        <v>312.8747795</v>
      </c>
      <c r="BY450" s="94">
        <f t="shared" si="366"/>
        <v>312.8747795</v>
      </c>
      <c r="BZ450" s="94">
        <f t="shared" si="366"/>
        <v>312.8747795</v>
      </c>
      <c r="CA450" s="94">
        <f t="shared" si="366"/>
        <v>312.8747795</v>
      </c>
    </row>
    <row r="451" ht="15.75" customHeight="1">
      <c r="A451" s="91"/>
      <c r="B451" s="91"/>
      <c r="C451" s="91"/>
      <c r="D451" s="91"/>
      <c r="E451" s="91"/>
      <c r="F451" s="91"/>
      <c r="G451" s="91"/>
      <c r="H451" s="91"/>
      <c r="I451" s="91"/>
      <c r="J451" s="91"/>
      <c r="K451" s="91"/>
      <c r="L451" s="91"/>
      <c r="M451" s="91"/>
      <c r="N451" s="91"/>
      <c r="O451" s="91"/>
      <c r="P451" s="91"/>
      <c r="Q451" s="91"/>
      <c r="R451" s="91"/>
      <c r="S451" s="91"/>
      <c r="T451" s="91"/>
      <c r="U451" s="96">
        <v>44469.0</v>
      </c>
      <c r="AM451" s="94">
        <f t="shared" ref="AM451:CB451" si="367">+$AM$53*$U$58*$X$58</f>
        <v>469.3121693</v>
      </c>
      <c r="AN451" s="94">
        <f t="shared" si="367"/>
        <v>469.3121693</v>
      </c>
      <c r="AO451" s="94">
        <f t="shared" si="367"/>
        <v>469.3121693</v>
      </c>
      <c r="AP451" s="94">
        <f t="shared" si="367"/>
        <v>469.3121693</v>
      </c>
      <c r="AQ451" s="94">
        <f t="shared" si="367"/>
        <v>469.3121693</v>
      </c>
      <c r="AR451" s="94">
        <f t="shared" si="367"/>
        <v>469.3121693</v>
      </c>
      <c r="AS451" s="94">
        <f t="shared" si="367"/>
        <v>469.3121693</v>
      </c>
      <c r="AT451" s="94">
        <f t="shared" si="367"/>
        <v>469.3121693</v>
      </c>
      <c r="AU451" s="94">
        <f t="shared" si="367"/>
        <v>469.3121693</v>
      </c>
      <c r="AV451" s="94">
        <f t="shared" si="367"/>
        <v>469.3121693</v>
      </c>
      <c r="AW451" s="94">
        <f t="shared" si="367"/>
        <v>469.3121693</v>
      </c>
      <c r="AX451" s="94">
        <f t="shared" si="367"/>
        <v>469.3121693</v>
      </c>
      <c r="AY451" s="94">
        <f t="shared" si="367"/>
        <v>469.3121693</v>
      </c>
      <c r="AZ451" s="94">
        <f t="shared" si="367"/>
        <v>469.3121693</v>
      </c>
      <c r="BA451" s="94">
        <f t="shared" si="367"/>
        <v>469.3121693</v>
      </c>
      <c r="BB451" s="94">
        <f t="shared" si="367"/>
        <v>469.3121693</v>
      </c>
      <c r="BC451" s="94">
        <f t="shared" si="367"/>
        <v>469.3121693</v>
      </c>
      <c r="BD451" s="94">
        <f t="shared" si="367"/>
        <v>469.3121693</v>
      </c>
      <c r="BE451" s="94">
        <f t="shared" si="367"/>
        <v>469.3121693</v>
      </c>
      <c r="BF451" s="94">
        <f t="shared" si="367"/>
        <v>469.3121693</v>
      </c>
      <c r="BG451" s="94">
        <f t="shared" si="367"/>
        <v>469.3121693</v>
      </c>
      <c r="BH451" s="94">
        <f t="shared" si="367"/>
        <v>469.3121693</v>
      </c>
      <c r="BI451" s="94">
        <f t="shared" si="367"/>
        <v>469.3121693</v>
      </c>
      <c r="BJ451" s="94">
        <f t="shared" si="367"/>
        <v>469.3121693</v>
      </c>
      <c r="BK451" s="94">
        <f t="shared" si="367"/>
        <v>469.3121693</v>
      </c>
      <c r="BL451" s="94">
        <f t="shared" si="367"/>
        <v>469.3121693</v>
      </c>
      <c r="BM451" s="94">
        <f t="shared" si="367"/>
        <v>469.3121693</v>
      </c>
      <c r="BN451" s="94">
        <f t="shared" si="367"/>
        <v>469.3121693</v>
      </c>
      <c r="BO451" s="94">
        <f t="shared" si="367"/>
        <v>469.3121693</v>
      </c>
      <c r="BP451" s="94">
        <f t="shared" si="367"/>
        <v>469.3121693</v>
      </c>
      <c r="BQ451" s="94">
        <f t="shared" si="367"/>
        <v>469.3121693</v>
      </c>
      <c r="BR451" s="94">
        <f t="shared" si="367"/>
        <v>469.3121693</v>
      </c>
      <c r="BS451" s="94">
        <f t="shared" si="367"/>
        <v>469.3121693</v>
      </c>
      <c r="BT451" s="94">
        <f t="shared" si="367"/>
        <v>469.3121693</v>
      </c>
      <c r="BU451" s="94">
        <f t="shared" si="367"/>
        <v>469.3121693</v>
      </c>
      <c r="BV451" s="94">
        <f t="shared" si="367"/>
        <v>469.3121693</v>
      </c>
      <c r="BW451" s="94">
        <f t="shared" si="367"/>
        <v>469.3121693</v>
      </c>
      <c r="BX451" s="94">
        <f t="shared" si="367"/>
        <v>469.3121693</v>
      </c>
      <c r="BY451" s="94">
        <f t="shared" si="367"/>
        <v>469.3121693</v>
      </c>
      <c r="BZ451" s="94">
        <f t="shared" si="367"/>
        <v>469.3121693</v>
      </c>
      <c r="CA451" s="94">
        <f t="shared" si="367"/>
        <v>469.3121693</v>
      </c>
      <c r="CB451" s="94">
        <f t="shared" si="367"/>
        <v>469.3121693</v>
      </c>
    </row>
    <row r="452" ht="15.75" customHeight="1">
      <c r="A452" s="91"/>
      <c r="B452" s="91"/>
      <c r="C452" s="91"/>
      <c r="D452" s="91"/>
      <c r="E452" s="91"/>
      <c r="F452" s="91"/>
      <c r="G452" s="91"/>
      <c r="H452" s="91"/>
      <c r="I452" s="91"/>
      <c r="J452" s="91"/>
      <c r="K452" s="91"/>
      <c r="L452" s="91"/>
      <c r="M452" s="91"/>
      <c r="N452" s="91"/>
      <c r="O452" s="91"/>
      <c r="P452" s="91"/>
      <c r="Q452" s="91"/>
      <c r="R452" s="91"/>
      <c r="S452" s="91"/>
      <c r="T452" s="91"/>
      <c r="U452" s="96">
        <v>44500.0</v>
      </c>
      <c r="AN452" s="94">
        <f t="shared" ref="AN452:CC452" si="368">+$AN$53*$U$58*$X$58</f>
        <v>112.6349206</v>
      </c>
      <c r="AO452" s="94">
        <f t="shared" si="368"/>
        <v>112.6349206</v>
      </c>
      <c r="AP452" s="94">
        <f t="shared" si="368"/>
        <v>112.6349206</v>
      </c>
      <c r="AQ452" s="94">
        <f t="shared" si="368"/>
        <v>112.6349206</v>
      </c>
      <c r="AR452" s="94">
        <f t="shared" si="368"/>
        <v>112.6349206</v>
      </c>
      <c r="AS452" s="94">
        <f t="shared" si="368"/>
        <v>112.6349206</v>
      </c>
      <c r="AT452" s="94">
        <f t="shared" si="368"/>
        <v>112.6349206</v>
      </c>
      <c r="AU452" s="94">
        <f t="shared" si="368"/>
        <v>112.6349206</v>
      </c>
      <c r="AV452" s="94">
        <f t="shared" si="368"/>
        <v>112.6349206</v>
      </c>
      <c r="AW452" s="94">
        <f t="shared" si="368"/>
        <v>112.6349206</v>
      </c>
      <c r="AX452" s="94">
        <f t="shared" si="368"/>
        <v>112.6349206</v>
      </c>
      <c r="AY452" s="94">
        <f t="shared" si="368"/>
        <v>112.6349206</v>
      </c>
      <c r="AZ452" s="94">
        <f t="shared" si="368"/>
        <v>112.6349206</v>
      </c>
      <c r="BA452" s="94">
        <f t="shared" si="368"/>
        <v>112.6349206</v>
      </c>
      <c r="BB452" s="94">
        <f t="shared" si="368"/>
        <v>112.6349206</v>
      </c>
      <c r="BC452" s="94">
        <f t="shared" si="368"/>
        <v>112.6349206</v>
      </c>
      <c r="BD452" s="94">
        <f t="shared" si="368"/>
        <v>112.6349206</v>
      </c>
      <c r="BE452" s="94">
        <f t="shared" si="368"/>
        <v>112.6349206</v>
      </c>
      <c r="BF452" s="94">
        <f t="shared" si="368"/>
        <v>112.6349206</v>
      </c>
      <c r="BG452" s="94">
        <f t="shared" si="368"/>
        <v>112.6349206</v>
      </c>
      <c r="BH452" s="94">
        <f t="shared" si="368"/>
        <v>112.6349206</v>
      </c>
      <c r="BI452" s="94">
        <f t="shared" si="368"/>
        <v>112.6349206</v>
      </c>
      <c r="BJ452" s="94">
        <f t="shared" si="368"/>
        <v>112.6349206</v>
      </c>
      <c r="BK452" s="94">
        <f t="shared" si="368"/>
        <v>112.6349206</v>
      </c>
      <c r="BL452" s="94">
        <f t="shared" si="368"/>
        <v>112.6349206</v>
      </c>
      <c r="BM452" s="94">
        <f t="shared" si="368"/>
        <v>112.6349206</v>
      </c>
      <c r="BN452" s="94">
        <f t="shared" si="368"/>
        <v>112.6349206</v>
      </c>
      <c r="BO452" s="94">
        <f t="shared" si="368"/>
        <v>112.6349206</v>
      </c>
      <c r="BP452" s="94">
        <f t="shared" si="368"/>
        <v>112.6349206</v>
      </c>
      <c r="BQ452" s="94">
        <f t="shared" si="368"/>
        <v>112.6349206</v>
      </c>
      <c r="BR452" s="94">
        <f t="shared" si="368"/>
        <v>112.6349206</v>
      </c>
      <c r="BS452" s="94">
        <f t="shared" si="368"/>
        <v>112.6349206</v>
      </c>
      <c r="BT452" s="94">
        <f t="shared" si="368"/>
        <v>112.6349206</v>
      </c>
      <c r="BU452" s="94">
        <f t="shared" si="368"/>
        <v>112.6349206</v>
      </c>
      <c r="BV452" s="94">
        <f t="shared" si="368"/>
        <v>112.6349206</v>
      </c>
      <c r="BW452" s="94">
        <f t="shared" si="368"/>
        <v>112.6349206</v>
      </c>
      <c r="BX452" s="94">
        <f t="shared" si="368"/>
        <v>112.6349206</v>
      </c>
      <c r="BY452" s="94">
        <f t="shared" si="368"/>
        <v>112.6349206</v>
      </c>
      <c r="BZ452" s="94">
        <f t="shared" si="368"/>
        <v>112.6349206</v>
      </c>
      <c r="CA452" s="94">
        <f t="shared" si="368"/>
        <v>112.6349206</v>
      </c>
      <c r="CB452" s="94">
        <f t="shared" si="368"/>
        <v>112.6349206</v>
      </c>
      <c r="CC452" s="94">
        <f t="shared" si="368"/>
        <v>112.6349206</v>
      </c>
    </row>
    <row r="453" ht="15.75" customHeight="1">
      <c r="A453" s="91"/>
      <c r="B453" s="91"/>
      <c r="C453" s="91"/>
      <c r="D453" s="91"/>
      <c r="E453" s="91"/>
      <c r="F453" s="91"/>
      <c r="G453" s="91"/>
      <c r="H453" s="91"/>
      <c r="I453" s="91"/>
      <c r="J453" s="91"/>
      <c r="K453" s="91"/>
      <c r="L453" s="91"/>
      <c r="M453" s="91"/>
      <c r="N453" s="91"/>
      <c r="O453" s="91"/>
      <c r="P453" s="91"/>
      <c r="Q453" s="91"/>
      <c r="R453" s="91"/>
      <c r="S453" s="91"/>
      <c r="T453" s="91"/>
      <c r="U453" s="96">
        <v>44530.0</v>
      </c>
      <c r="AO453" s="94">
        <f t="shared" ref="AO453:CD453" si="369">+$AO$53*$U$58*$X$58</f>
        <v>112.6349206</v>
      </c>
      <c r="AP453" s="94">
        <f t="shared" si="369"/>
        <v>112.6349206</v>
      </c>
      <c r="AQ453" s="94">
        <f t="shared" si="369"/>
        <v>112.6349206</v>
      </c>
      <c r="AR453" s="94">
        <f t="shared" si="369"/>
        <v>112.6349206</v>
      </c>
      <c r="AS453" s="94">
        <f t="shared" si="369"/>
        <v>112.6349206</v>
      </c>
      <c r="AT453" s="94">
        <f t="shared" si="369"/>
        <v>112.6349206</v>
      </c>
      <c r="AU453" s="94">
        <f t="shared" si="369"/>
        <v>112.6349206</v>
      </c>
      <c r="AV453" s="94">
        <f t="shared" si="369"/>
        <v>112.6349206</v>
      </c>
      <c r="AW453" s="94">
        <f t="shared" si="369"/>
        <v>112.6349206</v>
      </c>
      <c r="AX453" s="94">
        <f t="shared" si="369"/>
        <v>112.6349206</v>
      </c>
      <c r="AY453" s="94">
        <f t="shared" si="369"/>
        <v>112.6349206</v>
      </c>
      <c r="AZ453" s="94">
        <f t="shared" si="369"/>
        <v>112.6349206</v>
      </c>
      <c r="BA453" s="94">
        <f t="shared" si="369"/>
        <v>112.6349206</v>
      </c>
      <c r="BB453" s="94">
        <f t="shared" si="369"/>
        <v>112.6349206</v>
      </c>
      <c r="BC453" s="94">
        <f t="shared" si="369"/>
        <v>112.6349206</v>
      </c>
      <c r="BD453" s="94">
        <f t="shared" si="369"/>
        <v>112.6349206</v>
      </c>
      <c r="BE453" s="94">
        <f t="shared" si="369"/>
        <v>112.6349206</v>
      </c>
      <c r="BF453" s="94">
        <f t="shared" si="369"/>
        <v>112.6349206</v>
      </c>
      <c r="BG453" s="94">
        <f t="shared" si="369"/>
        <v>112.6349206</v>
      </c>
      <c r="BH453" s="94">
        <f t="shared" si="369"/>
        <v>112.6349206</v>
      </c>
      <c r="BI453" s="94">
        <f t="shared" si="369"/>
        <v>112.6349206</v>
      </c>
      <c r="BJ453" s="94">
        <f t="shared" si="369"/>
        <v>112.6349206</v>
      </c>
      <c r="BK453" s="94">
        <f t="shared" si="369"/>
        <v>112.6349206</v>
      </c>
      <c r="BL453" s="94">
        <f t="shared" si="369"/>
        <v>112.6349206</v>
      </c>
      <c r="BM453" s="94">
        <f t="shared" si="369"/>
        <v>112.6349206</v>
      </c>
      <c r="BN453" s="94">
        <f t="shared" si="369"/>
        <v>112.6349206</v>
      </c>
      <c r="BO453" s="94">
        <f t="shared" si="369"/>
        <v>112.6349206</v>
      </c>
      <c r="BP453" s="94">
        <f t="shared" si="369"/>
        <v>112.6349206</v>
      </c>
      <c r="BQ453" s="94">
        <f t="shared" si="369"/>
        <v>112.6349206</v>
      </c>
      <c r="BR453" s="94">
        <f t="shared" si="369"/>
        <v>112.6349206</v>
      </c>
      <c r="BS453" s="94">
        <f t="shared" si="369"/>
        <v>112.6349206</v>
      </c>
      <c r="BT453" s="94">
        <f t="shared" si="369"/>
        <v>112.6349206</v>
      </c>
      <c r="BU453" s="94">
        <f t="shared" si="369"/>
        <v>112.6349206</v>
      </c>
      <c r="BV453" s="94">
        <f t="shared" si="369"/>
        <v>112.6349206</v>
      </c>
      <c r="BW453" s="94">
        <f t="shared" si="369"/>
        <v>112.6349206</v>
      </c>
      <c r="BX453" s="94">
        <f t="shared" si="369"/>
        <v>112.6349206</v>
      </c>
      <c r="BY453" s="94">
        <f t="shared" si="369"/>
        <v>112.6349206</v>
      </c>
      <c r="BZ453" s="94">
        <f t="shared" si="369"/>
        <v>112.6349206</v>
      </c>
      <c r="CA453" s="94">
        <f t="shared" si="369"/>
        <v>112.6349206</v>
      </c>
      <c r="CB453" s="94">
        <f t="shared" si="369"/>
        <v>112.6349206</v>
      </c>
      <c r="CC453" s="94">
        <f t="shared" si="369"/>
        <v>112.6349206</v>
      </c>
      <c r="CD453" s="94">
        <f t="shared" si="369"/>
        <v>112.6349206</v>
      </c>
    </row>
    <row r="454" ht="15.75" customHeight="1">
      <c r="A454" s="91"/>
      <c r="B454" s="91"/>
      <c r="C454" s="91"/>
      <c r="D454" s="91"/>
      <c r="E454" s="91"/>
      <c r="F454" s="91"/>
      <c r="G454" s="91"/>
      <c r="H454" s="91"/>
      <c r="I454" s="91"/>
      <c r="J454" s="91"/>
      <c r="K454" s="91"/>
      <c r="L454" s="91"/>
      <c r="M454" s="91"/>
      <c r="N454" s="91"/>
      <c r="O454" s="91"/>
      <c r="P454" s="91"/>
      <c r="Q454" s="91"/>
      <c r="R454" s="91"/>
      <c r="S454" s="91"/>
      <c r="T454" s="91"/>
      <c r="U454" s="96">
        <v>44561.0</v>
      </c>
      <c r="AP454" s="94">
        <f t="shared" ref="AP454:CE454" si="370">+$AP$53*$U$58*$X$58</f>
        <v>156.4373898</v>
      </c>
      <c r="AQ454" s="94">
        <f t="shared" si="370"/>
        <v>156.4373898</v>
      </c>
      <c r="AR454" s="94">
        <f t="shared" si="370"/>
        <v>156.4373898</v>
      </c>
      <c r="AS454" s="94">
        <f t="shared" si="370"/>
        <v>156.4373898</v>
      </c>
      <c r="AT454" s="94">
        <f t="shared" si="370"/>
        <v>156.4373898</v>
      </c>
      <c r="AU454" s="94">
        <f t="shared" si="370"/>
        <v>156.4373898</v>
      </c>
      <c r="AV454" s="94">
        <f t="shared" si="370"/>
        <v>156.4373898</v>
      </c>
      <c r="AW454" s="94">
        <f t="shared" si="370"/>
        <v>156.4373898</v>
      </c>
      <c r="AX454" s="94">
        <f t="shared" si="370"/>
        <v>156.4373898</v>
      </c>
      <c r="AY454" s="94">
        <f t="shared" si="370"/>
        <v>156.4373898</v>
      </c>
      <c r="AZ454" s="94">
        <f t="shared" si="370"/>
        <v>156.4373898</v>
      </c>
      <c r="BA454" s="94">
        <f t="shared" si="370"/>
        <v>156.4373898</v>
      </c>
      <c r="BB454" s="94">
        <f t="shared" si="370"/>
        <v>156.4373898</v>
      </c>
      <c r="BC454" s="94">
        <f t="shared" si="370"/>
        <v>156.4373898</v>
      </c>
      <c r="BD454" s="94">
        <f t="shared" si="370"/>
        <v>156.4373898</v>
      </c>
      <c r="BE454" s="94">
        <f t="shared" si="370"/>
        <v>156.4373898</v>
      </c>
      <c r="BF454" s="94">
        <f t="shared" si="370"/>
        <v>156.4373898</v>
      </c>
      <c r="BG454" s="94">
        <f t="shared" si="370"/>
        <v>156.4373898</v>
      </c>
      <c r="BH454" s="94">
        <f t="shared" si="370"/>
        <v>156.4373898</v>
      </c>
      <c r="BI454" s="94">
        <f t="shared" si="370"/>
        <v>156.4373898</v>
      </c>
      <c r="BJ454" s="94">
        <f t="shared" si="370"/>
        <v>156.4373898</v>
      </c>
      <c r="BK454" s="94">
        <f t="shared" si="370"/>
        <v>156.4373898</v>
      </c>
      <c r="BL454" s="94">
        <f t="shared" si="370"/>
        <v>156.4373898</v>
      </c>
      <c r="BM454" s="94">
        <f t="shared" si="370"/>
        <v>156.4373898</v>
      </c>
      <c r="BN454" s="94">
        <f t="shared" si="370"/>
        <v>156.4373898</v>
      </c>
      <c r="BO454" s="94">
        <f t="shared" si="370"/>
        <v>156.4373898</v>
      </c>
      <c r="BP454" s="94">
        <f t="shared" si="370"/>
        <v>156.4373898</v>
      </c>
      <c r="BQ454" s="94">
        <f t="shared" si="370"/>
        <v>156.4373898</v>
      </c>
      <c r="BR454" s="94">
        <f t="shared" si="370"/>
        <v>156.4373898</v>
      </c>
      <c r="BS454" s="94">
        <f t="shared" si="370"/>
        <v>156.4373898</v>
      </c>
      <c r="BT454" s="94">
        <f t="shared" si="370"/>
        <v>156.4373898</v>
      </c>
      <c r="BU454" s="94">
        <f t="shared" si="370"/>
        <v>156.4373898</v>
      </c>
      <c r="BV454" s="94">
        <f t="shared" si="370"/>
        <v>156.4373898</v>
      </c>
      <c r="BW454" s="94">
        <f t="shared" si="370"/>
        <v>156.4373898</v>
      </c>
      <c r="BX454" s="94">
        <f t="shared" si="370"/>
        <v>156.4373898</v>
      </c>
      <c r="BY454" s="94">
        <f t="shared" si="370"/>
        <v>156.4373898</v>
      </c>
      <c r="BZ454" s="94">
        <f t="shared" si="370"/>
        <v>156.4373898</v>
      </c>
      <c r="CA454" s="94">
        <f t="shared" si="370"/>
        <v>156.4373898</v>
      </c>
      <c r="CB454" s="94">
        <f t="shared" si="370"/>
        <v>156.4373898</v>
      </c>
      <c r="CC454" s="94">
        <f t="shared" si="370"/>
        <v>156.4373898</v>
      </c>
      <c r="CD454" s="94">
        <f t="shared" si="370"/>
        <v>156.4373898</v>
      </c>
      <c r="CE454" s="94">
        <f t="shared" si="370"/>
        <v>156.4373898</v>
      </c>
    </row>
    <row r="455" ht="15.75" customHeight="1">
      <c r="A455" s="91"/>
      <c r="B455" s="91"/>
      <c r="C455" s="91"/>
      <c r="D455" s="91"/>
      <c r="E455" s="91"/>
      <c r="F455" s="91"/>
      <c r="G455" s="91"/>
      <c r="H455" s="91"/>
      <c r="I455" s="91"/>
      <c r="J455" s="91"/>
      <c r="K455" s="91"/>
      <c r="L455" s="91"/>
      <c r="M455" s="91"/>
      <c r="N455" s="91"/>
      <c r="O455" s="91"/>
      <c r="P455" s="91"/>
      <c r="Q455" s="91"/>
      <c r="R455" s="91"/>
      <c r="S455" s="91"/>
      <c r="T455" s="91"/>
      <c r="U455" s="96">
        <v>44592.0</v>
      </c>
      <c r="AQ455" s="94">
        <f t="shared" ref="AQ455:CF455" si="371">+$AQ$53*$U$58*$X$58</f>
        <v>156.4373898</v>
      </c>
      <c r="AR455" s="94">
        <f t="shared" si="371"/>
        <v>156.4373898</v>
      </c>
      <c r="AS455" s="94">
        <f t="shared" si="371"/>
        <v>156.4373898</v>
      </c>
      <c r="AT455" s="94">
        <f t="shared" si="371"/>
        <v>156.4373898</v>
      </c>
      <c r="AU455" s="94">
        <f t="shared" si="371"/>
        <v>156.4373898</v>
      </c>
      <c r="AV455" s="94">
        <f t="shared" si="371"/>
        <v>156.4373898</v>
      </c>
      <c r="AW455" s="94">
        <f t="shared" si="371"/>
        <v>156.4373898</v>
      </c>
      <c r="AX455" s="94">
        <f t="shared" si="371"/>
        <v>156.4373898</v>
      </c>
      <c r="AY455" s="94">
        <f t="shared" si="371"/>
        <v>156.4373898</v>
      </c>
      <c r="AZ455" s="94">
        <f t="shared" si="371"/>
        <v>156.4373898</v>
      </c>
      <c r="BA455" s="94">
        <f t="shared" si="371"/>
        <v>156.4373898</v>
      </c>
      <c r="BB455" s="94">
        <f t="shared" si="371"/>
        <v>156.4373898</v>
      </c>
      <c r="BC455" s="94">
        <f t="shared" si="371"/>
        <v>156.4373898</v>
      </c>
      <c r="BD455" s="94">
        <f t="shared" si="371"/>
        <v>156.4373898</v>
      </c>
      <c r="BE455" s="94">
        <f t="shared" si="371"/>
        <v>156.4373898</v>
      </c>
      <c r="BF455" s="94">
        <f t="shared" si="371"/>
        <v>156.4373898</v>
      </c>
      <c r="BG455" s="94">
        <f t="shared" si="371"/>
        <v>156.4373898</v>
      </c>
      <c r="BH455" s="94">
        <f t="shared" si="371"/>
        <v>156.4373898</v>
      </c>
      <c r="BI455" s="94">
        <f t="shared" si="371"/>
        <v>156.4373898</v>
      </c>
      <c r="BJ455" s="94">
        <f t="shared" si="371"/>
        <v>156.4373898</v>
      </c>
      <c r="BK455" s="94">
        <f t="shared" si="371"/>
        <v>156.4373898</v>
      </c>
      <c r="BL455" s="94">
        <f t="shared" si="371"/>
        <v>156.4373898</v>
      </c>
      <c r="BM455" s="94">
        <f t="shared" si="371"/>
        <v>156.4373898</v>
      </c>
      <c r="BN455" s="94">
        <f t="shared" si="371"/>
        <v>156.4373898</v>
      </c>
      <c r="BO455" s="94">
        <f t="shared" si="371"/>
        <v>156.4373898</v>
      </c>
      <c r="BP455" s="94">
        <f t="shared" si="371"/>
        <v>156.4373898</v>
      </c>
      <c r="BQ455" s="94">
        <f t="shared" si="371"/>
        <v>156.4373898</v>
      </c>
      <c r="BR455" s="94">
        <f t="shared" si="371"/>
        <v>156.4373898</v>
      </c>
      <c r="BS455" s="94">
        <f t="shared" si="371"/>
        <v>156.4373898</v>
      </c>
      <c r="BT455" s="94">
        <f t="shared" si="371"/>
        <v>156.4373898</v>
      </c>
      <c r="BU455" s="94">
        <f t="shared" si="371"/>
        <v>156.4373898</v>
      </c>
      <c r="BV455" s="94">
        <f t="shared" si="371"/>
        <v>156.4373898</v>
      </c>
      <c r="BW455" s="94">
        <f t="shared" si="371"/>
        <v>156.4373898</v>
      </c>
      <c r="BX455" s="94">
        <f t="shared" si="371"/>
        <v>156.4373898</v>
      </c>
      <c r="BY455" s="94">
        <f t="shared" si="371"/>
        <v>156.4373898</v>
      </c>
      <c r="BZ455" s="94">
        <f t="shared" si="371"/>
        <v>156.4373898</v>
      </c>
      <c r="CA455" s="94">
        <f t="shared" si="371"/>
        <v>156.4373898</v>
      </c>
      <c r="CB455" s="94">
        <f t="shared" si="371"/>
        <v>156.4373898</v>
      </c>
      <c r="CC455" s="94">
        <f t="shared" si="371"/>
        <v>156.4373898</v>
      </c>
      <c r="CD455" s="94">
        <f t="shared" si="371"/>
        <v>156.4373898</v>
      </c>
      <c r="CE455" s="94">
        <f t="shared" si="371"/>
        <v>156.4373898</v>
      </c>
      <c r="CF455" s="94">
        <f t="shared" si="371"/>
        <v>156.4373898</v>
      </c>
    </row>
    <row r="456" ht="15.75" customHeight="1">
      <c r="A456" s="91"/>
      <c r="B456" s="91"/>
      <c r="C456" s="91"/>
      <c r="D456" s="91"/>
      <c r="E456" s="91"/>
      <c r="F456" s="91"/>
      <c r="G456" s="91"/>
      <c r="H456" s="91"/>
      <c r="I456" s="91"/>
      <c r="J456" s="91"/>
      <c r="K456" s="91"/>
      <c r="L456" s="91"/>
      <c r="M456" s="91"/>
      <c r="N456" s="91"/>
      <c r="O456" s="91"/>
      <c r="P456" s="91"/>
      <c r="Q456" s="91"/>
      <c r="R456" s="91"/>
      <c r="S456" s="91"/>
      <c r="T456" s="91"/>
      <c r="U456" s="96">
        <v>44620.0</v>
      </c>
      <c r="AR456" s="94">
        <f t="shared" ref="AR456:CG456" si="372">+$AR$53*$U$58*$X$58</f>
        <v>156.4373898</v>
      </c>
      <c r="AS456" s="94">
        <f t="shared" si="372"/>
        <v>156.4373898</v>
      </c>
      <c r="AT456" s="94">
        <f t="shared" si="372"/>
        <v>156.4373898</v>
      </c>
      <c r="AU456" s="94">
        <f t="shared" si="372"/>
        <v>156.4373898</v>
      </c>
      <c r="AV456" s="94">
        <f t="shared" si="372"/>
        <v>156.4373898</v>
      </c>
      <c r="AW456" s="94">
        <f t="shared" si="372"/>
        <v>156.4373898</v>
      </c>
      <c r="AX456" s="94">
        <f t="shared" si="372"/>
        <v>156.4373898</v>
      </c>
      <c r="AY456" s="94">
        <f t="shared" si="372"/>
        <v>156.4373898</v>
      </c>
      <c r="AZ456" s="94">
        <f t="shared" si="372"/>
        <v>156.4373898</v>
      </c>
      <c r="BA456" s="94">
        <f t="shared" si="372"/>
        <v>156.4373898</v>
      </c>
      <c r="BB456" s="94">
        <f t="shared" si="372"/>
        <v>156.4373898</v>
      </c>
      <c r="BC456" s="94">
        <f t="shared" si="372"/>
        <v>156.4373898</v>
      </c>
      <c r="BD456" s="94">
        <f t="shared" si="372"/>
        <v>156.4373898</v>
      </c>
      <c r="BE456" s="94">
        <f t="shared" si="372"/>
        <v>156.4373898</v>
      </c>
      <c r="BF456" s="94">
        <f t="shared" si="372"/>
        <v>156.4373898</v>
      </c>
      <c r="BG456" s="94">
        <f t="shared" si="372"/>
        <v>156.4373898</v>
      </c>
      <c r="BH456" s="94">
        <f t="shared" si="372"/>
        <v>156.4373898</v>
      </c>
      <c r="BI456" s="94">
        <f t="shared" si="372"/>
        <v>156.4373898</v>
      </c>
      <c r="BJ456" s="94">
        <f t="shared" si="372"/>
        <v>156.4373898</v>
      </c>
      <c r="BK456" s="94">
        <f t="shared" si="372"/>
        <v>156.4373898</v>
      </c>
      <c r="BL456" s="94">
        <f t="shared" si="372"/>
        <v>156.4373898</v>
      </c>
      <c r="BM456" s="94">
        <f t="shared" si="372"/>
        <v>156.4373898</v>
      </c>
      <c r="BN456" s="94">
        <f t="shared" si="372"/>
        <v>156.4373898</v>
      </c>
      <c r="BO456" s="94">
        <f t="shared" si="372"/>
        <v>156.4373898</v>
      </c>
      <c r="BP456" s="94">
        <f t="shared" si="372"/>
        <v>156.4373898</v>
      </c>
      <c r="BQ456" s="94">
        <f t="shared" si="372"/>
        <v>156.4373898</v>
      </c>
      <c r="BR456" s="94">
        <f t="shared" si="372"/>
        <v>156.4373898</v>
      </c>
      <c r="BS456" s="94">
        <f t="shared" si="372"/>
        <v>156.4373898</v>
      </c>
      <c r="BT456" s="94">
        <f t="shared" si="372"/>
        <v>156.4373898</v>
      </c>
      <c r="BU456" s="94">
        <f t="shared" si="372"/>
        <v>156.4373898</v>
      </c>
      <c r="BV456" s="94">
        <f t="shared" si="372"/>
        <v>156.4373898</v>
      </c>
      <c r="BW456" s="94">
        <f t="shared" si="372"/>
        <v>156.4373898</v>
      </c>
      <c r="BX456" s="94">
        <f t="shared" si="372"/>
        <v>156.4373898</v>
      </c>
      <c r="BY456" s="94">
        <f t="shared" si="372"/>
        <v>156.4373898</v>
      </c>
      <c r="BZ456" s="94">
        <f t="shared" si="372"/>
        <v>156.4373898</v>
      </c>
      <c r="CA456" s="94">
        <f t="shared" si="372"/>
        <v>156.4373898</v>
      </c>
      <c r="CB456" s="94">
        <f t="shared" si="372"/>
        <v>156.4373898</v>
      </c>
      <c r="CC456" s="94">
        <f t="shared" si="372"/>
        <v>156.4373898</v>
      </c>
      <c r="CD456" s="94">
        <f t="shared" si="372"/>
        <v>156.4373898</v>
      </c>
      <c r="CE456" s="94">
        <f t="shared" si="372"/>
        <v>156.4373898</v>
      </c>
      <c r="CF456" s="94">
        <f t="shared" si="372"/>
        <v>156.4373898</v>
      </c>
      <c r="CG456" s="94">
        <f t="shared" si="372"/>
        <v>156.4373898</v>
      </c>
    </row>
    <row r="457" ht="15.75" customHeight="1">
      <c r="A457" s="91"/>
      <c r="B457" s="91"/>
      <c r="C457" s="91"/>
      <c r="D457" s="91"/>
      <c r="E457" s="91"/>
      <c r="F457" s="91"/>
      <c r="G457" s="91"/>
      <c r="H457" s="91"/>
      <c r="I457" s="91"/>
      <c r="J457" s="91"/>
      <c r="K457" s="91"/>
      <c r="L457" s="91"/>
      <c r="M457" s="91"/>
      <c r="N457" s="91"/>
      <c r="O457" s="91"/>
      <c r="P457" s="91"/>
      <c r="Q457" s="91"/>
      <c r="R457" s="91"/>
      <c r="S457" s="91"/>
      <c r="T457" s="91"/>
      <c r="U457" s="96">
        <v>44651.0</v>
      </c>
      <c r="AS457" s="94">
        <f t="shared" ref="AS457:CH457" si="373">+$AS$53*$U$58*$X$58</f>
        <v>156.4373898</v>
      </c>
      <c r="AT457" s="94">
        <f t="shared" si="373"/>
        <v>156.4373898</v>
      </c>
      <c r="AU457" s="94">
        <f t="shared" si="373"/>
        <v>156.4373898</v>
      </c>
      <c r="AV457" s="94">
        <f t="shared" si="373"/>
        <v>156.4373898</v>
      </c>
      <c r="AW457" s="94">
        <f t="shared" si="373"/>
        <v>156.4373898</v>
      </c>
      <c r="AX457" s="94">
        <f t="shared" si="373"/>
        <v>156.4373898</v>
      </c>
      <c r="AY457" s="94">
        <f t="shared" si="373"/>
        <v>156.4373898</v>
      </c>
      <c r="AZ457" s="94">
        <f t="shared" si="373"/>
        <v>156.4373898</v>
      </c>
      <c r="BA457" s="94">
        <f t="shared" si="373"/>
        <v>156.4373898</v>
      </c>
      <c r="BB457" s="94">
        <f t="shared" si="373"/>
        <v>156.4373898</v>
      </c>
      <c r="BC457" s="94">
        <f t="shared" si="373"/>
        <v>156.4373898</v>
      </c>
      <c r="BD457" s="94">
        <f t="shared" si="373"/>
        <v>156.4373898</v>
      </c>
      <c r="BE457" s="94">
        <f t="shared" si="373"/>
        <v>156.4373898</v>
      </c>
      <c r="BF457" s="94">
        <f t="shared" si="373"/>
        <v>156.4373898</v>
      </c>
      <c r="BG457" s="94">
        <f t="shared" si="373"/>
        <v>156.4373898</v>
      </c>
      <c r="BH457" s="94">
        <f t="shared" si="373"/>
        <v>156.4373898</v>
      </c>
      <c r="BI457" s="94">
        <f t="shared" si="373"/>
        <v>156.4373898</v>
      </c>
      <c r="BJ457" s="94">
        <f t="shared" si="373"/>
        <v>156.4373898</v>
      </c>
      <c r="BK457" s="94">
        <f t="shared" si="373"/>
        <v>156.4373898</v>
      </c>
      <c r="BL457" s="94">
        <f t="shared" si="373"/>
        <v>156.4373898</v>
      </c>
      <c r="BM457" s="94">
        <f t="shared" si="373"/>
        <v>156.4373898</v>
      </c>
      <c r="BN457" s="94">
        <f t="shared" si="373"/>
        <v>156.4373898</v>
      </c>
      <c r="BO457" s="94">
        <f t="shared" si="373"/>
        <v>156.4373898</v>
      </c>
      <c r="BP457" s="94">
        <f t="shared" si="373"/>
        <v>156.4373898</v>
      </c>
      <c r="BQ457" s="94">
        <f t="shared" si="373"/>
        <v>156.4373898</v>
      </c>
      <c r="BR457" s="94">
        <f t="shared" si="373"/>
        <v>156.4373898</v>
      </c>
      <c r="BS457" s="94">
        <f t="shared" si="373"/>
        <v>156.4373898</v>
      </c>
      <c r="BT457" s="94">
        <f t="shared" si="373"/>
        <v>156.4373898</v>
      </c>
      <c r="BU457" s="94">
        <f t="shared" si="373"/>
        <v>156.4373898</v>
      </c>
      <c r="BV457" s="94">
        <f t="shared" si="373"/>
        <v>156.4373898</v>
      </c>
      <c r="BW457" s="94">
        <f t="shared" si="373"/>
        <v>156.4373898</v>
      </c>
      <c r="BX457" s="94">
        <f t="shared" si="373"/>
        <v>156.4373898</v>
      </c>
      <c r="BY457" s="94">
        <f t="shared" si="373"/>
        <v>156.4373898</v>
      </c>
      <c r="BZ457" s="94">
        <f t="shared" si="373"/>
        <v>156.4373898</v>
      </c>
      <c r="CA457" s="94">
        <f t="shared" si="373"/>
        <v>156.4373898</v>
      </c>
      <c r="CB457" s="94">
        <f t="shared" si="373"/>
        <v>156.4373898</v>
      </c>
      <c r="CC457" s="94">
        <f t="shared" si="373"/>
        <v>156.4373898</v>
      </c>
      <c r="CD457" s="94">
        <f t="shared" si="373"/>
        <v>156.4373898</v>
      </c>
      <c r="CE457" s="94">
        <f t="shared" si="373"/>
        <v>156.4373898</v>
      </c>
      <c r="CF457" s="94">
        <f t="shared" si="373"/>
        <v>156.4373898</v>
      </c>
      <c r="CG457" s="94">
        <f t="shared" si="373"/>
        <v>156.4373898</v>
      </c>
      <c r="CH457" s="94">
        <f t="shared" si="373"/>
        <v>156.4373898</v>
      </c>
    </row>
    <row r="458" ht="15.75" customHeight="1">
      <c r="A458" s="91"/>
      <c r="B458" s="91"/>
      <c r="C458" s="91"/>
      <c r="D458" s="91"/>
      <c r="E458" s="91"/>
      <c r="F458" s="91"/>
      <c r="G458" s="91"/>
      <c r="H458" s="91"/>
      <c r="I458" s="91"/>
      <c r="J458" s="91"/>
      <c r="K458" s="91"/>
      <c r="L458" s="91"/>
      <c r="M458" s="91"/>
      <c r="N458" s="91"/>
      <c r="O458" s="91"/>
      <c r="P458" s="91"/>
      <c r="Q458" s="91"/>
      <c r="R458" s="91"/>
      <c r="S458" s="91"/>
      <c r="T458" s="91"/>
      <c r="U458" s="96">
        <v>44681.0</v>
      </c>
      <c r="AT458" s="94">
        <f t="shared" ref="AT458:CI458" si="374">+$AT$53*$U$58*$X$58</f>
        <v>156.4373898</v>
      </c>
      <c r="AU458" s="94">
        <f t="shared" si="374"/>
        <v>156.4373898</v>
      </c>
      <c r="AV458" s="94">
        <f t="shared" si="374"/>
        <v>156.4373898</v>
      </c>
      <c r="AW458" s="94">
        <f t="shared" si="374"/>
        <v>156.4373898</v>
      </c>
      <c r="AX458" s="94">
        <f t="shared" si="374"/>
        <v>156.4373898</v>
      </c>
      <c r="AY458" s="94">
        <f t="shared" si="374"/>
        <v>156.4373898</v>
      </c>
      <c r="AZ458" s="94">
        <f t="shared" si="374"/>
        <v>156.4373898</v>
      </c>
      <c r="BA458" s="94">
        <f t="shared" si="374"/>
        <v>156.4373898</v>
      </c>
      <c r="BB458" s="94">
        <f t="shared" si="374"/>
        <v>156.4373898</v>
      </c>
      <c r="BC458" s="94">
        <f t="shared" si="374"/>
        <v>156.4373898</v>
      </c>
      <c r="BD458" s="94">
        <f t="shared" si="374"/>
        <v>156.4373898</v>
      </c>
      <c r="BE458" s="94">
        <f t="shared" si="374"/>
        <v>156.4373898</v>
      </c>
      <c r="BF458" s="94">
        <f t="shared" si="374"/>
        <v>156.4373898</v>
      </c>
      <c r="BG458" s="94">
        <f t="shared" si="374"/>
        <v>156.4373898</v>
      </c>
      <c r="BH458" s="94">
        <f t="shared" si="374"/>
        <v>156.4373898</v>
      </c>
      <c r="BI458" s="94">
        <f t="shared" si="374"/>
        <v>156.4373898</v>
      </c>
      <c r="BJ458" s="94">
        <f t="shared" si="374"/>
        <v>156.4373898</v>
      </c>
      <c r="BK458" s="94">
        <f t="shared" si="374"/>
        <v>156.4373898</v>
      </c>
      <c r="BL458" s="94">
        <f t="shared" si="374"/>
        <v>156.4373898</v>
      </c>
      <c r="BM458" s="94">
        <f t="shared" si="374"/>
        <v>156.4373898</v>
      </c>
      <c r="BN458" s="94">
        <f t="shared" si="374"/>
        <v>156.4373898</v>
      </c>
      <c r="BO458" s="94">
        <f t="shared" si="374"/>
        <v>156.4373898</v>
      </c>
      <c r="BP458" s="94">
        <f t="shared" si="374"/>
        <v>156.4373898</v>
      </c>
      <c r="BQ458" s="94">
        <f t="shared" si="374"/>
        <v>156.4373898</v>
      </c>
      <c r="BR458" s="94">
        <f t="shared" si="374"/>
        <v>156.4373898</v>
      </c>
      <c r="BS458" s="94">
        <f t="shared" si="374"/>
        <v>156.4373898</v>
      </c>
      <c r="BT458" s="94">
        <f t="shared" si="374"/>
        <v>156.4373898</v>
      </c>
      <c r="BU458" s="94">
        <f t="shared" si="374"/>
        <v>156.4373898</v>
      </c>
      <c r="BV458" s="94">
        <f t="shared" si="374"/>
        <v>156.4373898</v>
      </c>
      <c r="BW458" s="94">
        <f t="shared" si="374"/>
        <v>156.4373898</v>
      </c>
      <c r="BX458" s="94">
        <f t="shared" si="374"/>
        <v>156.4373898</v>
      </c>
      <c r="BY458" s="94">
        <f t="shared" si="374"/>
        <v>156.4373898</v>
      </c>
      <c r="BZ458" s="94">
        <f t="shared" si="374"/>
        <v>156.4373898</v>
      </c>
      <c r="CA458" s="94">
        <f t="shared" si="374"/>
        <v>156.4373898</v>
      </c>
      <c r="CB458" s="94">
        <f t="shared" si="374"/>
        <v>156.4373898</v>
      </c>
      <c r="CC458" s="94">
        <f t="shared" si="374"/>
        <v>156.4373898</v>
      </c>
      <c r="CD458" s="94">
        <f t="shared" si="374"/>
        <v>156.4373898</v>
      </c>
      <c r="CE458" s="94">
        <f t="shared" si="374"/>
        <v>156.4373898</v>
      </c>
      <c r="CF458" s="94">
        <f t="shared" si="374"/>
        <v>156.4373898</v>
      </c>
      <c r="CG458" s="94">
        <f t="shared" si="374"/>
        <v>156.4373898</v>
      </c>
      <c r="CH458" s="94">
        <f t="shared" si="374"/>
        <v>156.4373898</v>
      </c>
      <c r="CI458" s="94">
        <f t="shared" si="374"/>
        <v>156.4373898</v>
      </c>
    </row>
    <row r="459" ht="15.75" customHeight="1">
      <c r="A459" s="91"/>
      <c r="B459" s="91"/>
      <c r="C459" s="91"/>
      <c r="D459" s="91"/>
      <c r="E459" s="91"/>
      <c r="F459" s="91"/>
      <c r="G459" s="91"/>
      <c r="H459" s="91"/>
      <c r="I459" s="91"/>
      <c r="J459" s="91"/>
      <c r="K459" s="91"/>
      <c r="L459" s="91"/>
      <c r="M459" s="91"/>
      <c r="N459" s="91"/>
      <c r="O459" s="91"/>
      <c r="P459" s="91"/>
      <c r="Q459" s="91"/>
      <c r="R459" s="91"/>
      <c r="S459" s="91"/>
      <c r="T459" s="91"/>
      <c r="U459" s="96">
        <v>44712.0</v>
      </c>
      <c r="AU459" s="94">
        <f t="shared" ref="AU459:CJ459" si="375">+$AU$53*$U$58*$X$58</f>
        <v>78.21869489</v>
      </c>
      <c r="AV459" s="94">
        <f t="shared" si="375"/>
        <v>78.21869489</v>
      </c>
      <c r="AW459" s="94">
        <f t="shared" si="375"/>
        <v>78.21869489</v>
      </c>
      <c r="AX459" s="94">
        <f t="shared" si="375"/>
        <v>78.21869489</v>
      </c>
      <c r="AY459" s="94">
        <f t="shared" si="375"/>
        <v>78.21869489</v>
      </c>
      <c r="AZ459" s="94">
        <f t="shared" si="375"/>
        <v>78.21869489</v>
      </c>
      <c r="BA459" s="94">
        <f t="shared" si="375"/>
        <v>78.21869489</v>
      </c>
      <c r="BB459" s="94">
        <f t="shared" si="375"/>
        <v>78.21869489</v>
      </c>
      <c r="BC459" s="94">
        <f t="shared" si="375"/>
        <v>78.21869489</v>
      </c>
      <c r="BD459" s="94">
        <f t="shared" si="375"/>
        <v>78.21869489</v>
      </c>
      <c r="BE459" s="94">
        <f t="shared" si="375"/>
        <v>78.21869489</v>
      </c>
      <c r="BF459" s="94">
        <f t="shared" si="375"/>
        <v>78.21869489</v>
      </c>
      <c r="BG459" s="94">
        <f t="shared" si="375"/>
        <v>78.21869489</v>
      </c>
      <c r="BH459" s="94">
        <f t="shared" si="375"/>
        <v>78.21869489</v>
      </c>
      <c r="BI459" s="94">
        <f t="shared" si="375"/>
        <v>78.21869489</v>
      </c>
      <c r="BJ459" s="94">
        <f t="shared" si="375"/>
        <v>78.21869489</v>
      </c>
      <c r="BK459" s="94">
        <f t="shared" si="375"/>
        <v>78.21869489</v>
      </c>
      <c r="BL459" s="94">
        <f t="shared" si="375"/>
        <v>78.21869489</v>
      </c>
      <c r="BM459" s="94">
        <f t="shared" si="375"/>
        <v>78.21869489</v>
      </c>
      <c r="BN459" s="94">
        <f t="shared" si="375"/>
        <v>78.21869489</v>
      </c>
      <c r="BO459" s="94">
        <f t="shared" si="375"/>
        <v>78.21869489</v>
      </c>
      <c r="BP459" s="94">
        <f t="shared" si="375"/>
        <v>78.21869489</v>
      </c>
      <c r="BQ459" s="94">
        <f t="shared" si="375"/>
        <v>78.21869489</v>
      </c>
      <c r="BR459" s="94">
        <f t="shared" si="375"/>
        <v>78.21869489</v>
      </c>
      <c r="BS459" s="94">
        <f t="shared" si="375"/>
        <v>78.21869489</v>
      </c>
      <c r="BT459" s="94">
        <f t="shared" si="375"/>
        <v>78.21869489</v>
      </c>
      <c r="BU459" s="94">
        <f t="shared" si="375"/>
        <v>78.21869489</v>
      </c>
      <c r="BV459" s="94">
        <f t="shared" si="375"/>
        <v>78.21869489</v>
      </c>
      <c r="BW459" s="94">
        <f t="shared" si="375"/>
        <v>78.21869489</v>
      </c>
      <c r="BX459" s="94">
        <f t="shared" si="375"/>
        <v>78.21869489</v>
      </c>
      <c r="BY459" s="94">
        <f t="shared" si="375"/>
        <v>78.21869489</v>
      </c>
      <c r="BZ459" s="94">
        <f t="shared" si="375"/>
        <v>78.21869489</v>
      </c>
      <c r="CA459" s="94">
        <f t="shared" si="375"/>
        <v>78.21869489</v>
      </c>
      <c r="CB459" s="94">
        <f t="shared" si="375"/>
        <v>78.21869489</v>
      </c>
      <c r="CC459" s="94">
        <f t="shared" si="375"/>
        <v>78.21869489</v>
      </c>
      <c r="CD459" s="94">
        <f t="shared" si="375"/>
        <v>78.21869489</v>
      </c>
      <c r="CE459" s="94">
        <f t="shared" si="375"/>
        <v>78.21869489</v>
      </c>
      <c r="CF459" s="94">
        <f t="shared" si="375"/>
        <v>78.21869489</v>
      </c>
      <c r="CG459" s="94">
        <f t="shared" si="375"/>
        <v>78.21869489</v>
      </c>
      <c r="CH459" s="94">
        <f t="shared" si="375"/>
        <v>78.21869489</v>
      </c>
      <c r="CI459" s="94">
        <f t="shared" si="375"/>
        <v>78.21869489</v>
      </c>
      <c r="CJ459" s="94">
        <f t="shared" si="375"/>
        <v>78.21869489</v>
      </c>
    </row>
    <row r="460" ht="15.75" customHeight="1">
      <c r="A460" s="91"/>
      <c r="B460" s="91"/>
      <c r="C460" s="91"/>
      <c r="D460" s="91"/>
      <c r="E460" s="91"/>
      <c r="F460" s="91"/>
      <c r="G460" s="91"/>
      <c r="H460" s="91"/>
      <c r="I460" s="91"/>
      <c r="J460" s="91"/>
      <c r="K460" s="91"/>
      <c r="L460" s="91"/>
      <c r="M460" s="91"/>
      <c r="N460" s="91"/>
      <c r="O460" s="91"/>
      <c r="P460" s="91"/>
      <c r="Q460" s="91"/>
      <c r="R460" s="91"/>
      <c r="S460" s="91"/>
      <c r="T460" s="91"/>
      <c r="U460" s="96">
        <v>44742.0</v>
      </c>
      <c r="AV460" s="94">
        <f t="shared" ref="AV460:CK460" si="376">+$AV$53*$U$58*$X$58</f>
        <v>78.21869489</v>
      </c>
      <c r="AW460" s="94">
        <f t="shared" si="376"/>
        <v>78.21869489</v>
      </c>
      <c r="AX460" s="94">
        <f t="shared" si="376"/>
        <v>78.21869489</v>
      </c>
      <c r="AY460" s="94">
        <f t="shared" si="376"/>
        <v>78.21869489</v>
      </c>
      <c r="AZ460" s="94">
        <f t="shared" si="376"/>
        <v>78.21869489</v>
      </c>
      <c r="BA460" s="94">
        <f t="shared" si="376"/>
        <v>78.21869489</v>
      </c>
      <c r="BB460" s="94">
        <f t="shared" si="376"/>
        <v>78.21869489</v>
      </c>
      <c r="BC460" s="94">
        <f t="shared" si="376"/>
        <v>78.21869489</v>
      </c>
      <c r="BD460" s="94">
        <f t="shared" si="376"/>
        <v>78.21869489</v>
      </c>
      <c r="BE460" s="94">
        <f t="shared" si="376"/>
        <v>78.21869489</v>
      </c>
      <c r="BF460" s="94">
        <f t="shared" si="376"/>
        <v>78.21869489</v>
      </c>
      <c r="BG460" s="94">
        <f t="shared" si="376"/>
        <v>78.21869489</v>
      </c>
      <c r="BH460" s="94">
        <f t="shared" si="376"/>
        <v>78.21869489</v>
      </c>
      <c r="BI460" s="94">
        <f t="shared" si="376"/>
        <v>78.21869489</v>
      </c>
      <c r="BJ460" s="94">
        <f t="shared" si="376"/>
        <v>78.21869489</v>
      </c>
      <c r="BK460" s="94">
        <f t="shared" si="376"/>
        <v>78.21869489</v>
      </c>
      <c r="BL460" s="94">
        <f t="shared" si="376"/>
        <v>78.21869489</v>
      </c>
      <c r="BM460" s="94">
        <f t="shared" si="376"/>
        <v>78.21869489</v>
      </c>
      <c r="BN460" s="94">
        <f t="shared" si="376"/>
        <v>78.21869489</v>
      </c>
      <c r="BO460" s="94">
        <f t="shared" si="376"/>
        <v>78.21869489</v>
      </c>
      <c r="BP460" s="94">
        <f t="shared" si="376"/>
        <v>78.21869489</v>
      </c>
      <c r="BQ460" s="94">
        <f t="shared" si="376"/>
        <v>78.21869489</v>
      </c>
      <c r="BR460" s="94">
        <f t="shared" si="376"/>
        <v>78.21869489</v>
      </c>
      <c r="BS460" s="94">
        <f t="shared" si="376"/>
        <v>78.21869489</v>
      </c>
      <c r="BT460" s="94">
        <f t="shared" si="376"/>
        <v>78.21869489</v>
      </c>
      <c r="BU460" s="94">
        <f t="shared" si="376"/>
        <v>78.21869489</v>
      </c>
      <c r="BV460" s="94">
        <f t="shared" si="376"/>
        <v>78.21869489</v>
      </c>
      <c r="BW460" s="94">
        <f t="shared" si="376"/>
        <v>78.21869489</v>
      </c>
      <c r="BX460" s="94">
        <f t="shared" si="376"/>
        <v>78.21869489</v>
      </c>
      <c r="BY460" s="94">
        <f t="shared" si="376"/>
        <v>78.21869489</v>
      </c>
      <c r="BZ460" s="94">
        <f t="shared" si="376"/>
        <v>78.21869489</v>
      </c>
      <c r="CA460" s="94">
        <f t="shared" si="376"/>
        <v>78.21869489</v>
      </c>
      <c r="CB460" s="94">
        <f t="shared" si="376"/>
        <v>78.21869489</v>
      </c>
      <c r="CC460" s="94">
        <f t="shared" si="376"/>
        <v>78.21869489</v>
      </c>
      <c r="CD460" s="94">
        <f t="shared" si="376"/>
        <v>78.21869489</v>
      </c>
      <c r="CE460" s="94">
        <f t="shared" si="376"/>
        <v>78.21869489</v>
      </c>
      <c r="CF460" s="94">
        <f t="shared" si="376"/>
        <v>78.21869489</v>
      </c>
      <c r="CG460" s="94">
        <f t="shared" si="376"/>
        <v>78.21869489</v>
      </c>
      <c r="CH460" s="94">
        <f t="shared" si="376"/>
        <v>78.21869489</v>
      </c>
      <c r="CI460" s="94">
        <f t="shared" si="376"/>
        <v>78.21869489</v>
      </c>
      <c r="CJ460" s="94">
        <f t="shared" si="376"/>
        <v>78.21869489</v>
      </c>
      <c r="CK460" s="94">
        <f t="shared" si="376"/>
        <v>78.21869489</v>
      </c>
    </row>
    <row r="461" ht="15.75" customHeight="1">
      <c r="A461" s="91"/>
      <c r="B461" s="91"/>
      <c r="C461" s="91"/>
      <c r="D461" s="91"/>
      <c r="E461" s="91"/>
      <c r="F461" s="91"/>
      <c r="G461" s="91"/>
      <c r="H461" s="91"/>
      <c r="I461" s="91"/>
      <c r="J461" s="91"/>
      <c r="K461" s="91"/>
      <c r="L461" s="91"/>
      <c r="M461" s="91"/>
      <c r="N461" s="91"/>
      <c r="O461" s="91"/>
      <c r="P461" s="91"/>
      <c r="Q461" s="91"/>
      <c r="R461" s="91"/>
      <c r="S461" s="91"/>
      <c r="T461" s="91"/>
      <c r="U461" s="96">
        <v>44773.0</v>
      </c>
      <c r="AW461" s="94">
        <f t="shared" ref="AW461:CL461" si="377">+$AW$53*$U$58*$X$58</f>
        <v>125.1499118</v>
      </c>
      <c r="AX461" s="94">
        <f t="shared" si="377"/>
        <v>125.1499118</v>
      </c>
      <c r="AY461" s="94">
        <f t="shared" si="377"/>
        <v>125.1499118</v>
      </c>
      <c r="AZ461" s="94">
        <f t="shared" si="377"/>
        <v>125.1499118</v>
      </c>
      <c r="BA461" s="94">
        <f t="shared" si="377"/>
        <v>125.1499118</v>
      </c>
      <c r="BB461" s="94">
        <f t="shared" si="377"/>
        <v>125.1499118</v>
      </c>
      <c r="BC461" s="94">
        <f t="shared" si="377"/>
        <v>125.1499118</v>
      </c>
      <c r="BD461" s="94">
        <f t="shared" si="377"/>
        <v>125.1499118</v>
      </c>
      <c r="BE461" s="94">
        <f t="shared" si="377"/>
        <v>125.1499118</v>
      </c>
      <c r="BF461" s="94">
        <f t="shared" si="377"/>
        <v>125.1499118</v>
      </c>
      <c r="BG461" s="94">
        <f t="shared" si="377"/>
        <v>125.1499118</v>
      </c>
      <c r="BH461" s="94">
        <f t="shared" si="377"/>
        <v>125.1499118</v>
      </c>
      <c r="BI461" s="94">
        <f t="shared" si="377"/>
        <v>125.1499118</v>
      </c>
      <c r="BJ461" s="94">
        <f t="shared" si="377"/>
        <v>125.1499118</v>
      </c>
      <c r="BK461" s="94">
        <f t="shared" si="377"/>
        <v>125.1499118</v>
      </c>
      <c r="BL461" s="94">
        <f t="shared" si="377"/>
        <v>125.1499118</v>
      </c>
      <c r="BM461" s="94">
        <f t="shared" si="377"/>
        <v>125.1499118</v>
      </c>
      <c r="BN461" s="94">
        <f t="shared" si="377"/>
        <v>125.1499118</v>
      </c>
      <c r="BO461" s="94">
        <f t="shared" si="377"/>
        <v>125.1499118</v>
      </c>
      <c r="BP461" s="94">
        <f t="shared" si="377"/>
        <v>125.1499118</v>
      </c>
      <c r="BQ461" s="94">
        <f t="shared" si="377"/>
        <v>125.1499118</v>
      </c>
      <c r="BR461" s="94">
        <f t="shared" si="377"/>
        <v>125.1499118</v>
      </c>
      <c r="BS461" s="94">
        <f t="shared" si="377"/>
        <v>125.1499118</v>
      </c>
      <c r="BT461" s="94">
        <f t="shared" si="377"/>
        <v>125.1499118</v>
      </c>
      <c r="BU461" s="94">
        <f t="shared" si="377"/>
        <v>125.1499118</v>
      </c>
      <c r="BV461" s="94">
        <f t="shared" si="377"/>
        <v>125.1499118</v>
      </c>
      <c r="BW461" s="94">
        <f t="shared" si="377"/>
        <v>125.1499118</v>
      </c>
      <c r="BX461" s="94">
        <f t="shared" si="377"/>
        <v>125.1499118</v>
      </c>
      <c r="BY461" s="94">
        <f t="shared" si="377"/>
        <v>125.1499118</v>
      </c>
      <c r="BZ461" s="94">
        <f t="shared" si="377"/>
        <v>125.1499118</v>
      </c>
      <c r="CA461" s="94">
        <f t="shared" si="377"/>
        <v>125.1499118</v>
      </c>
      <c r="CB461" s="94">
        <f t="shared" si="377"/>
        <v>125.1499118</v>
      </c>
      <c r="CC461" s="94">
        <f t="shared" si="377"/>
        <v>125.1499118</v>
      </c>
      <c r="CD461" s="94">
        <f t="shared" si="377"/>
        <v>125.1499118</v>
      </c>
      <c r="CE461" s="94">
        <f t="shared" si="377"/>
        <v>125.1499118</v>
      </c>
      <c r="CF461" s="94">
        <f t="shared" si="377"/>
        <v>125.1499118</v>
      </c>
      <c r="CG461" s="94">
        <f t="shared" si="377"/>
        <v>125.1499118</v>
      </c>
      <c r="CH461" s="94">
        <f t="shared" si="377"/>
        <v>125.1499118</v>
      </c>
      <c r="CI461" s="94">
        <f t="shared" si="377"/>
        <v>125.1499118</v>
      </c>
      <c r="CJ461" s="94">
        <f t="shared" si="377"/>
        <v>125.1499118</v>
      </c>
      <c r="CK461" s="94">
        <f t="shared" si="377"/>
        <v>125.1499118</v>
      </c>
      <c r="CL461" s="94">
        <f t="shared" si="377"/>
        <v>125.1499118</v>
      </c>
    </row>
    <row r="462" ht="15.75" customHeight="1">
      <c r="A462" s="91"/>
      <c r="B462" s="91"/>
      <c r="C462" s="91"/>
      <c r="D462" s="91"/>
      <c r="E462" s="91"/>
      <c r="F462" s="91"/>
      <c r="G462" s="91"/>
      <c r="H462" s="91"/>
      <c r="I462" s="91"/>
      <c r="J462" s="91"/>
      <c r="K462" s="91"/>
      <c r="L462" s="91"/>
      <c r="M462" s="91"/>
      <c r="N462" s="91"/>
      <c r="O462" s="91"/>
      <c r="P462" s="91"/>
      <c r="Q462" s="91"/>
      <c r="R462" s="91"/>
      <c r="S462" s="91"/>
      <c r="T462" s="91"/>
      <c r="U462" s="96">
        <v>44804.0</v>
      </c>
      <c r="AX462" s="94">
        <f t="shared" ref="AX462:CM462" si="378">+$AX$53*$U$58*$X$58</f>
        <v>234.6560847</v>
      </c>
      <c r="AY462" s="94">
        <f t="shared" si="378"/>
        <v>234.6560847</v>
      </c>
      <c r="AZ462" s="94">
        <f t="shared" si="378"/>
        <v>234.6560847</v>
      </c>
      <c r="BA462" s="94">
        <f t="shared" si="378"/>
        <v>234.6560847</v>
      </c>
      <c r="BB462" s="94">
        <f t="shared" si="378"/>
        <v>234.6560847</v>
      </c>
      <c r="BC462" s="94">
        <f t="shared" si="378"/>
        <v>234.6560847</v>
      </c>
      <c r="BD462" s="94">
        <f t="shared" si="378"/>
        <v>234.6560847</v>
      </c>
      <c r="BE462" s="94">
        <f t="shared" si="378"/>
        <v>234.6560847</v>
      </c>
      <c r="BF462" s="94">
        <f t="shared" si="378"/>
        <v>234.6560847</v>
      </c>
      <c r="BG462" s="94">
        <f t="shared" si="378"/>
        <v>234.6560847</v>
      </c>
      <c r="BH462" s="94">
        <f t="shared" si="378"/>
        <v>234.6560847</v>
      </c>
      <c r="BI462" s="94">
        <f t="shared" si="378"/>
        <v>234.6560847</v>
      </c>
      <c r="BJ462" s="94">
        <f t="shared" si="378"/>
        <v>234.6560847</v>
      </c>
      <c r="BK462" s="94">
        <f t="shared" si="378"/>
        <v>234.6560847</v>
      </c>
      <c r="BL462" s="94">
        <f t="shared" si="378"/>
        <v>234.6560847</v>
      </c>
      <c r="BM462" s="94">
        <f t="shared" si="378"/>
        <v>234.6560847</v>
      </c>
      <c r="BN462" s="94">
        <f t="shared" si="378"/>
        <v>234.6560847</v>
      </c>
      <c r="BO462" s="94">
        <f t="shared" si="378"/>
        <v>234.6560847</v>
      </c>
      <c r="BP462" s="94">
        <f t="shared" si="378"/>
        <v>234.6560847</v>
      </c>
      <c r="BQ462" s="94">
        <f t="shared" si="378"/>
        <v>234.6560847</v>
      </c>
      <c r="BR462" s="94">
        <f t="shared" si="378"/>
        <v>234.6560847</v>
      </c>
      <c r="BS462" s="94">
        <f t="shared" si="378"/>
        <v>234.6560847</v>
      </c>
      <c r="BT462" s="94">
        <f t="shared" si="378"/>
        <v>234.6560847</v>
      </c>
      <c r="BU462" s="94">
        <f t="shared" si="378"/>
        <v>234.6560847</v>
      </c>
      <c r="BV462" s="94">
        <f t="shared" si="378"/>
        <v>234.6560847</v>
      </c>
      <c r="BW462" s="94">
        <f t="shared" si="378"/>
        <v>234.6560847</v>
      </c>
      <c r="BX462" s="94">
        <f t="shared" si="378"/>
        <v>234.6560847</v>
      </c>
      <c r="BY462" s="94">
        <f t="shared" si="378"/>
        <v>234.6560847</v>
      </c>
      <c r="BZ462" s="94">
        <f t="shared" si="378"/>
        <v>234.6560847</v>
      </c>
      <c r="CA462" s="94">
        <f t="shared" si="378"/>
        <v>234.6560847</v>
      </c>
      <c r="CB462" s="94">
        <f t="shared" si="378"/>
        <v>234.6560847</v>
      </c>
      <c r="CC462" s="94">
        <f t="shared" si="378"/>
        <v>234.6560847</v>
      </c>
      <c r="CD462" s="94">
        <f t="shared" si="378"/>
        <v>234.6560847</v>
      </c>
      <c r="CE462" s="94">
        <f t="shared" si="378"/>
        <v>234.6560847</v>
      </c>
      <c r="CF462" s="94">
        <f t="shared" si="378"/>
        <v>234.6560847</v>
      </c>
      <c r="CG462" s="94">
        <f t="shared" si="378"/>
        <v>234.6560847</v>
      </c>
      <c r="CH462" s="94">
        <f t="shared" si="378"/>
        <v>234.6560847</v>
      </c>
      <c r="CI462" s="94">
        <f t="shared" si="378"/>
        <v>234.6560847</v>
      </c>
      <c r="CJ462" s="94">
        <f t="shared" si="378"/>
        <v>234.6560847</v>
      </c>
      <c r="CK462" s="94">
        <f t="shared" si="378"/>
        <v>234.6560847</v>
      </c>
      <c r="CL462" s="94">
        <f t="shared" si="378"/>
        <v>234.6560847</v>
      </c>
      <c r="CM462" s="94">
        <f t="shared" si="378"/>
        <v>234.6560847</v>
      </c>
    </row>
    <row r="463" ht="15.75" customHeight="1">
      <c r="A463" s="91"/>
      <c r="B463" s="91"/>
      <c r="C463" s="91"/>
      <c r="D463" s="91"/>
      <c r="E463" s="91"/>
      <c r="F463" s="91"/>
      <c r="G463" s="91"/>
      <c r="H463" s="91"/>
      <c r="I463" s="91"/>
      <c r="J463" s="91"/>
      <c r="K463" s="91"/>
      <c r="L463" s="91"/>
      <c r="M463" s="91"/>
      <c r="N463" s="91"/>
      <c r="O463" s="91"/>
      <c r="P463" s="91"/>
      <c r="Q463" s="91"/>
      <c r="R463" s="91"/>
      <c r="S463" s="91"/>
      <c r="T463" s="91"/>
      <c r="U463" s="96">
        <v>44834.0</v>
      </c>
      <c r="AY463" s="94">
        <f t="shared" ref="AY463:CN463" si="379">+$AY$53*$U$58*$X$58</f>
        <v>234.6560847</v>
      </c>
      <c r="AZ463" s="94">
        <f t="shared" si="379"/>
        <v>234.6560847</v>
      </c>
      <c r="BA463" s="94">
        <f t="shared" si="379"/>
        <v>234.6560847</v>
      </c>
      <c r="BB463" s="94">
        <f t="shared" si="379"/>
        <v>234.6560847</v>
      </c>
      <c r="BC463" s="94">
        <f t="shared" si="379"/>
        <v>234.6560847</v>
      </c>
      <c r="BD463" s="94">
        <f t="shared" si="379"/>
        <v>234.6560847</v>
      </c>
      <c r="BE463" s="94">
        <f t="shared" si="379"/>
        <v>234.6560847</v>
      </c>
      <c r="BF463" s="94">
        <f t="shared" si="379"/>
        <v>234.6560847</v>
      </c>
      <c r="BG463" s="94">
        <f t="shared" si="379"/>
        <v>234.6560847</v>
      </c>
      <c r="BH463" s="94">
        <f t="shared" si="379"/>
        <v>234.6560847</v>
      </c>
      <c r="BI463" s="94">
        <f t="shared" si="379"/>
        <v>234.6560847</v>
      </c>
      <c r="BJ463" s="94">
        <f t="shared" si="379"/>
        <v>234.6560847</v>
      </c>
      <c r="BK463" s="94">
        <f t="shared" si="379"/>
        <v>234.6560847</v>
      </c>
      <c r="BL463" s="94">
        <f t="shared" si="379"/>
        <v>234.6560847</v>
      </c>
      <c r="BM463" s="94">
        <f t="shared" si="379"/>
        <v>234.6560847</v>
      </c>
      <c r="BN463" s="94">
        <f t="shared" si="379"/>
        <v>234.6560847</v>
      </c>
      <c r="BO463" s="94">
        <f t="shared" si="379"/>
        <v>234.6560847</v>
      </c>
      <c r="BP463" s="94">
        <f t="shared" si="379"/>
        <v>234.6560847</v>
      </c>
      <c r="BQ463" s="94">
        <f t="shared" si="379"/>
        <v>234.6560847</v>
      </c>
      <c r="BR463" s="94">
        <f t="shared" si="379"/>
        <v>234.6560847</v>
      </c>
      <c r="BS463" s="94">
        <f t="shared" si="379"/>
        <v>234.6560847</v>
      </c>
      <c r="BT463" s="94">
        <f t="shared" si="379"/>
        <v>234.6560847</v>
      </c>
      <c r="BU463" s="94">
        <f t="shared" si="379"/>
        <v>234.6560847</v>
      </c>
      <c r="BV463" s="94">
        <f t="shared" si="379"/>
        <v>234.6560847</v>
      </c>
      <c r="BW463" s="94">
        <f t="shared" si="379"/>
        <v>234.6560847</v>
      </c>
      <c r="BX463" s="94">
        <f t="shared" si="379"/>
        <v>234.6560847</v>
      </c>
      <c r="BY463" s="94">
        <f t="shared" si="379"/>
        <v>234.6560847</v>
      </c>
      <c r="BZ463" s="94">
        <f t="shared" si="379"/>
        <v>234.6560847</v>
      </c>
      <c r="CA463" s="94">
        <f t="shared" si="379"/>
        <v>234.6560847</v>
      </c>
      <c r="CB463" s="94">
        <f t="shared" si="379"/>
        <v>234.6560847</v>
      </c>
      <c r="CC463" s="94">
        <f t="shared" si="379"/>
        <v>234.6560847</v>
      </c>
      <c r="CD463" s="94">
        <f t="shared" si="379"/>
        <v>234.6560847</v>
      </c>
      <c r="CE463" s="94">
        <f t="shared" si="379"/>
        <v>234.6560847</v>
      </c>
      <c r="CF463" s="94">
        <f t="shared" si="379"/>
        <v>234.6560847</v>
      </c>
      <c r="CG463" s="94">
        <f t="shared" si="379"/>
        <v>234.6560847</v>
      </c>
      <c r="CH463" s="94">
        <f t="shared" si="379"/>
        <v>234.6560847</v>
      </c>
      <c r="CI463" s="94">
        <f t="shared" si="379"/>
        <v>234.6560847</v>
      </c>
      <c r="CJ463" s="94">
        <f t="shared" si="379"/>
        <v>234.6560847</v>
      </c>
      <c r="CK463" s="94">
        <f t="shared" si="379"/>
        <v>234.6560847</v>
      </c>
      <c r="CL463" s="94">
        <f t="shared" si="379"/>
        <v>234.6560847</v>
      </c>
      <c r="CM463" s="94">
        <f t="shared" si="379"/>
        <v>234.6560847</v>
      </c>
      <c r="CN463" s="94">
        <f t="shared" si="379"/>
        <v>234.6560847</v>
      </c>
    </row>
    <row r="464" ht="15.75" customHeight="1">
      <c r="A464" s="91"/>
      <c r="B464" s="91"/>
      <c r="C464" s="91"/>
      <c r="D464" s="91"/>
      <c r="E464" s="91"/>
      <c r="F464" s="91"/>
      <c r="G464" s="91"/>
      <c r="H464" s="91"/>
      <c r="I464" s="91"/>
      <c r="J464" s="91"/>
      <c r="K464" s="91"/>
      <c r="L464" s="91"/>
      <c r="M464" s="91"/>
      <c r="N464" s="91"/>
      <c r="O464" s="91"/>
      <c r="P464" s="91"/>
      <c r="Q464" s="91"/>
      <c r="R464" s="91"/>
      <c r="S464" s="91"/>
      <c r="T464" s="91"/>
      <c r="U464" s="96">
        <v>44865.0</v>
      </c>
      <c r="AZ464" s="94">
        <f t="shared" ref="AZ464:CO464" si="380">+$AZ$53*$U$58*$X$58</f>
        <v>120.6802721</v>
      </c>
      <c r="BA464" s="94">
        <f t="shared" si="380"/>
        <v>120.6802721</v>
      </c>
      <c r="BB464" s="94">
        <f t="shared" si="380"/>
        <v>120.6802721</v>
      </c>
      <c r="BC464" s="94">
        <f t="shared" si="380"/>
        <v>120.6802721</v>
      </c>
      <c r="BD464" s="94">
        <f t="shared" si="380"/>
        <v>120.6802721</v>
      </c>
      <c r="BE464" s="94">
        <f t="shared" si="380"/>
        <v>120.6802721</v>
      </c>
      <c r="BF464" s="94">
        <f t="shared" si="380"/>
        <v>120.6802721</v>
      </c>
      <c r="BG464" s="94">
        <f t="shared" si="380"/>
        <v>120.6802721</v>
      </c>
      <c r="BH464" s="94">
        <f t="shared" si="380"/>
        <v>120.6802721</v>
      </c>
      <c r="BI464" s="94">
        <f t="shared" si="380"/>
        <v>120.6802721</v>
      </c>
      <c r="BJ464" s="94">
        <f t="shared" si="380"/>
        <v>120.6802721</v>
      </c>
      <c r="BK464" s="94">
        <f t="shared" si="380"/>
        <v>120.6802721</v>
      </c>
      <c r="BL464" s="94">
        <f t="shared" si="380"/>
        <v>120.6802721</v>
      </c>
      <c r="BM464" s="94">
        <f t="shared" si="380"/>
        <v>120.6802721</v>
      </c>
      <c r="BN464" s="94">
        <f t="shared" si="380"/>
        <v>120.6802721</v>
      </c>
      <c r="BO464" s="94">
        <f t="shared" si="380"/>
        <v>120.6802721</v>
      </c>
      <c r="BP464" s="94">
        <f t="shared" si="380"/>
        <v>120.6802721</v>
      </c>
      <c r="BQ464" s="94">
        <f t="shared" si="380"/>
        <v>120.6802721</v>
      </c>
      <c r="BR464" s="94">
        <f t="shared" si="380"/>
        <v>120.6802721</v>
      </c>
      <c r="BS464" s="94">
        <f t="shared" si="380"/>
        <v>120.6802721</v>
      </c>
      <c r="BT464" s="94">
        <f t="shared" si="380"/>
        <v>120.6802721</v>
      </c>
      <c r="BU464" s="94">
        <f t="shared" si="380"/>
        <v>120.6802721</v>
      </c>
      <c r="BV464" s="94">
        <f t="shared" si="380"/>
        <v>120.6802721</v>
      </c>
      <c r="BW464" s="94">
        <f t="shared" si="380"/>
        <v>120.6802721</v>
      </c>
      <c r="BX464" s="94">
        <f t="shared" si="380"/>
        <v>120.6802721</v>
      </c>
      <c r="BY464" s="94">
        <f t="shared" si="380"/>
        <v>120.6802721</v>
      </c>
      <c r="BZ464" s="94">
        <f t="shared" si="380"/>
        <v>120.6802721</v>
      </c>
      <c r="CA464" s="94">
        <f t="shared" si="380"/>
        <v>120.6802721</v>
      </c>
      <c r="CB464" s="94">
        <f t="shared" si="380"/>
        <v>120.6802721</v>
      </c>
      <c r="CC464" s="94">
        <f t="shared" si="380"/>
        <v>120.6802721</v>
      </c>
      <c r="CD464" s="94">
        <f t="shared" si="380"/>
        <v>120.6802721</v>
      </c>
      <c r="CE464" s="94">
        <f t="shared" si="380"/>
        <v>120.6802721</v>
      </c>
      <c r="CF464" s="94">
        <f t="shared" si="380"/>
        <v>120.6802721</v>
      </c>
      <c r="CG464" s="94">
        <f t="shared" si="380"/>
        <v>120.6802721</v>
      </c>
      <c r="CH464" s="94">
        <f t="shared" si="380"/>
        <v>120.6802721</v>
      </c>
      <c r="CI464" s="94">
        <f t="shared" si="380"/>
        <v>120.6802721</v>
      </c>
      <c r="CJ464" s="94">
        <f t="shared" si="380"/>
        <v>120.6802721</v>
      </c>
      <c r="CK464" s="94">
        <f t="shared" si="380"/>
        <v>120.6802721</v>
      </c>
      <c r="CL464" s="94">
        <f t="shared" si="380"/>
        <v>120.6802721</v>
      </c>
      <c r="CM464" s="94">
        <f t="shared" si="380"/>
        <v>120.6802721</v>
      </c>
      <c r="CN464" s="94">
        <f t="shared" si="380"/>
        <v>120.6802721</v>
      </c>
      <c r="CO464" s="94">
        <f t="shared" si="380"/>
        <v>120.6802721</v>
      </c>
    </row>
    <row r="465" ht="15.75" customHeight="1">
      <c r="A465" s="91"/>
      <c r="B465" s="91"/>
      <c r="C465" s="91"/>
      <c r="D465" s="91"/>
      <c r="E465" s="91"/>
      <c r="F465" s="91"/>
      <c r="G465" s="91"/>
      <c r="H465" s="91"/>
      <c r="I465" s="91"/>
      <c r="J465" s="91"/>
      <c r="K465" s="91"/>
      <c r="L465" s="91"/>
      <c r="M465" s="91"/>
      <c r="N465" s="91"/>
      <c r="O465" s="91"/>
      <c r="P465" s="91"/>
      <c r="Q465" s="91"/>
      <c r="R465" s="91"/>
      <c r="S465" s="91"/>
      <c r="T465" s="91"/>
      <c r="U465" s="96">
        <v>44895.0</v>
      </c>
      <c r="BA465" s="94">
        <f t="shared" ref="BA465:CP465" si="381">+$BA$53*$U$58*$X$58</f>
        <v>120.6802721</v>
      </c>
      <c r="BB465" s="94">
        <f t="shared" si="381"/>
        <v>120.6802721</v>
      </c>
      <c r="BC465" s="94">
        <f t="shared" si="381"/>
        <v>120.6802721</v>
      </c>
      <c r="BD465" s="94">
        <f t="shared" si="381"/>
        <v>120.6802721</v>
      </c>
      <c r="BE465" s="94">
        <f t="shared" si="381"/>
        <v>120.6802721</v>
      </c>
      <c r="BF465" s="94">
        <f t="shared" si="381"/>
        <v>120.6802721</v>
      </c>
      <c r="BG465" s="94">
        <f t="shared" si="381"/>
        <v>120.6802721</v>
      </c>
      <c r="BH465" s="94">
        <f t="shared" si="381"/>
        <v>120.6802721</v>
      </c>
      <c r="BI465" s="94">
        <f t="shared" si="381"/>
        <v>120.6802721</v>
      </c>
      <c r="BJ465" s="94">
        <f t="shared" si="381"/>
        <v>120.6802721</v>
      </c>
      <c r="BK465" s="94">
        <f t="shared" si="381"/>
        <v>120.6802721</v>
      </c>
      <c r="BL465" s="94">
        <f t="shared" si="381"/>
        <v>120.6802721</v>
      </c>
      <c r="BM465" s="94">
        <f t="shared" si="381"/>
        <v>120.6802721</v>
      </c>
      <c r="BN465" s="94">
        <f t="shared" si="381"/>
        <v>120.6802721</v>
      </c>
      <c r="BO465" s="94">
        <f t="shared" si="381"/>
        <v>120.6802721</v>
      </c>
      <c r="BP465" s="94">
        <f t="shared" si="381"/>
        <v>120.6802721</v>
      </c>
      <c r="BQ465" s="94">
        <f t="shared" si="381"/>
        <v>120.6802721</v>
      </c>
      <c r="BR465" s="94">
        <f t="shared" si="381"/>
        <v>120.6802721</v>
      </c>
      <c r="BS465" s="94">
        <f t="shared" si="381"/>
        <v>120.6802721</v>
      </c>
      <c r="BT465" s="94">
        <f t="shared" si="381"/>
        <v>120.6802721</v>
      </c>
      <c r="BU465" s="94">
        <f t="shared" si="381"/>
        <v>120.6802721</v>
      </c>
      <c r="BV465" s="94">
        <f t="shared" si="381"/>
        <v>120.6802721</v>
      </c>
      <c r="BW465" s="94">
        <f t="shared" si="381"/>
        <v>120.6802721</v>
      </c>
      <c r="BX465" s="94">
        <f t="shared" si="381"/>
        <v>120.6802721</v>
      </c>
      <c r="BY465" s="94">
        <f t="shared" si="381"/>
        <v>120.6802721</v>
      </c>
      <c r="BZ465" s="94">
        <f t="shared" si="381"/>
        <v>120.6802721</v>
      </c>
      <c r="CA465" s="94">
        <f t="shared" si="381"/>
        <v>120.6802721</v>
      </c>
      <c r="CB465" s="94">
        <f t="shared" si="381"/>
        <v>120.6802721</v>
      </c>
      <c r="CC465" s="94">
        <f t="shared" si="381"/>
        <v>120.6802721</v>
      </c>
      <c r="CD465" s="94">
        <f t="shared" si="381"/>
        <v>120.6802721</v>
      </c>
      <c r="CE465" s="94">
        <f t="shared" si="381"/>
        <v>120.6802721</v>
      </c>
      <c r="CF465" s="94">
        <f t="shared" si="381"/>
        <v>120.6802721</v>
      </c>
      <c r="CG465" s="94">
        <f t="shared" si="381"/>
        <v>120.6802721</v>
      </c>
      <c r="CH465" s="94">
        <f t="shared" si="381"/>
        <v>120.6802721</v>
      </c>
      <c r="CI465" s="94">
        <f t="shared" si="381"/>
        <v>120.6802721</v>
      </c>
      <c r="CJ465" s="94">
        <f t="shared" si="381"/>
        <v>120.6802721</v>
      </c>
      <c r="CK465" s="94">
        <f t="shared" si="381"/>
        <v>120.6802721</v>
      </c>
      <c r="CL465" s="94">
        <f t="shared" si="381"/>
        <v>120.6802721</v>
      </c>
      <c r="CM465" s="94">
        <f t="shared" si="381"/>
        <v>120.6802721</v>
      </c>
      <c r="CN465" s="94">
        <f t="shared" si="381"/>
        <v>120.6802721</v>
      </c>
      <c r="CO465" s="94">
        <f t="shared" si="381"/>
        <v>120.6802721</v>
      </c>
      <c r="CP465" s="94">
        <f t="shared" si="381"/>
        <v>120.6802721</v>
      </c>
    </row>
    <row r="466" ht="15.75" customHeight="1">
      <c r="A466" s="91"/>
      <c r="B466" s="91"/>
      <c r="C466" s="91"/>
      <c r="D466" s="91"/>
      <c r="E466" s="91"/>
      <c r="F466" s="91"/>
      <c r="G466" s="91"/>
      <c r="H466" s="91"/>
      <c r="I466" s="91"/>
      <c r="J466" s="91"/>
      <c r="K466" s="91"/>
      <c r="L466" s="91"/>
      <c r="M466" s="91"/>
      <c r="N466" s="91"/>
      <c r="O466" s="91"/>
      <c r="P466" s="91"/>
      <c r="Q466" s="91"/>
      <c r="R466" s="91"/>
      <c r="S466" s="91"/>
      <c r="T466" s="91"/>
      <c r="U466" s="96">
        <v>44926.0</v>
      </c>
      <c r="BB466" s="94">
        <f t="shared" ref="BB466:CQ466" si="382">+$BB$53*$U$58*$X$58</f>
        <v>105.5952381</v>
      </c>
      <c r="BC466" s="94">
        <f t="shared" si="382"/>
        <v>105.5952381</v>
      </c>
      <c r="BD466" s="94">
        <f t="shared" si="382"/>
        <v>105.5952381</v>
      </c>
      <c r="BE466" s="94">
        <f t="shared" si="382"/>
        <v>105.5952381</v>
      </c>
      <c r="BF466" s="94">
        <f t="shared" si="382"/>
        <v>105.5952381</v>
      </c>
      <c r="BG466" s="94">
        <f t="shared" si="382"/>
        <v>105.5952381</v>
      </c>
      <c r="BH466" s="94">
        <f t="shared" si="382"/>
        <v>105.5952381</v>
      </c>
      <c r="BI466" s="94">
        <f t="shared" si="382"/>
        <v>105.5952381</v>
      </c>
      <c r="BJ466" s="94">
        <f t="shared" si="382"/>
        <v>105.5952381</v>
      </c>
      <c r="BK466" s="94">
        <f t="shared" si="382"/>
        <v>105.5952381</v>
      </c>
      <c r="BL466" s="94">
        <f t="shared" si="382"/>
        <v>105.5952381</v>
      </c>
      <c r="BM466" s="94">
        <f t="shared" si="382"/>
        <v>105.5952381</v>
      </c>
      <c r="BN466" s="94">
        <f t="shared" si="382"/>
        <v>105.5952381</v>
      </c>
      <c r="BO466" s="94">
        <f t="shared" si="382"/>
        <v>105.5952381</v>
      </c>
      <c r="BP466" s="94">
        <f t="shared" si="382"/>
        <v>105.5952381</v>
      </c>
      <c r="BQ466" s="94">
        <f t="shared" si="382"/>
        <v>105.5952381</v>
      </c>
      <c r="BR466" s="94">
        <f t="shared" si="382"/>
        <v>105.5952381</v>
      </c>
      <c r="BS466" s="94">
        <f t="shared" si="382"/>
        <v>105.5952381</v>
      </c>
      <c r="BT466" s="94">
        <f t="shared" si="382"/>
        <v>105.5952381</v>
      </c>
      <c r="BU466" s="94">
        <f t="shared" si="382"/>
        <v>105.5952381</v>
      </c>
      <c r="BV466" s="94">
        <f t="shared" si="382"/>
        <v>105.5952381</v>
      </c>
      <c r="BW466" s="94">
        <f t="shared" si="382"/>
        <v>105.5952381</v>
      </c>
      <c r="BX466" s="94">
        <f t="shared" si="382"/>
        <v>105.5952381</v>
      </c>
      <c r="BY466" s="94">
        <f t="shared" si="382"/>
        <v>105.5952381</v>
      </c>
      <c r="BZ466" s="94">
        <f t="shared" si="382"/>
        <v>105.5952381</v>
      </c>
      <c r="CA466" s="94">
        <f t="shared" si="382"/>
        <v>105.5952381</v>
      </c>
      <c r="CB466" s="94">
        <f t="shared" si="382"/>
        <v>105.5952381</v>
      </c>
      <c r="CC466" s="94">
        <f t="shared" si="382"/>
        <v>105.5952381</v>
      </c>
      <c r="CD466" s="94">
        <f t="shared" si="382"/>
        <v>105.5952381</v>
      </c>
      <c r="CE466" s="94">
        <f t="shared" si="382"/>
        <v>105.5952381</v>
      </c>
      <c r="CF466" s="94">
        <f t="shared" si="382"/>
        <v>105.5952381</v>
      </c>
      <c r="CG466" s="94">
        <f t="shared" si="382"/>
        <v>105.5952381</v>
      </c>
      <c r="CH466" s="94">
        <f t="shared" si="382"/>
        <v>105.5952381</v>
      </c>
      <c r="CI466" s="94">
        <f t="shared" si="382"/>
        <v>105.5952381</v>
      </c>
      <c r="CJ466" s="94">
        <f t="shared" si="382"/>
        <v>105.5952381</v>
      </c>
      <c r="CK466" s="94">
        <f t="shared" si="382"/>
        <v>105.5952381</v>
      </c>
      <c r="CL466" s="94">
        <f t="shared" si="382"/>
        <v>105.5952381</v>
      </c>
      <c r="CM466" s="94">
        <f t="shared" si="382"/>
        <v>105.5952381</v>
      </c>
      <c r="CN466" s="94">
        <f t="shared" si="382"/>
        <v>105.5952381</v>
      </c>
      <c r="CO466" s="94">
        <f t="shared" si="382"/>
        <v>105.5952381</v>
      </c>
      <c r="CP466" s="94">
        <f t="shared" si="382"/>
        <v>105.5952381</v>
      </c>
      <c r="CQ466" s="94">
        <f t="shared" si="382"/>
        <v>105.5952381</v>
      </c>
    </row>
    <row r="467" ht="15.75" customHeight="1">
      <c r="A467" s="91"/>
      <c r="B467" s="91"/>
      <c r="C467" s="91"/>
      <c r="D467" s="91"/>
      <c r="E467" s="91"/>
      <c r="F467" s="91"/>
      <c r="G467" s="91"/>
      <c r="H467" s="91"/>
      <c r="I467" s="91"/>
      <c r="J467" s="91"/>
      <c r="K467" s="91"/>
      <c r="L467" s="91"/>
      <c r="M467" s="91"/>
      <c r="N467" s="91"/>
      <c r="O467" s="91"/>
      <c r="P467" s="91"/>
      <c r="Q467" s="91"/>
      <c r="R467" s="91"/>
      <c r="S467" s="91"/>
      <c r="T467" s="91"/>
      <c r="U467" s="96">
        <v>44957.0</v>
      </c>
      <c r="BC467" s="94">
        <f t="shared" ref="BC467:CR467" si="383">+$BC$53*$U$58*$X$58</f>
        <v>52.79761905</v>
      </c>
      <c r="BD467" s="94">
        <f t="shared" si="383"/>
        <v>52.79761905</v>
      </c>
      <c r="BE467" s="94">
        <f t="shared" si="383"/>
        <v>52.79761905</v>
      </c>
      <c r="BF467" s="94">
        <f t="shared" si="383"/>
        <v>52.79761905</v>
      </c>
      <c r="BG467" s="94">
        <f t="shared" si="383"/>
        <v>52.79761905</v>
      </c>
      <c r="BH467" s="94">
        <f t="shared" si="383"/>
        <v>52.79761905</v>
      </c>
      <c r="BI467" s="94">
        <f t="shared" si="383"/>
        <v>52.79761905</v>
      </c>
      <c r="BJ467" s="94">
        <f t="shared" si="383"/>
        <v>52.79761905</v>
      </c>
      <c r="BK467" s="94">
        <f t="shared" si="383"/>
        <v>52.79761905</v>
      </c>
      <c r="BL467" s="94">
        <f t="shared" si="383"/>
        <v>52.79761905</v>
      </c>
      <c r="BM467" s="94">
        <f t="shared" si="383"/>
        <v>52.79761905</v>
      </c>
      <c r="BN467" s="94">
        <f t="shared" si="383"/>
        <v>52.79761905</v>
      </c>
      <c r="BO467" s="94">
        <f t="shared" si="383"/>
        <v>52.79761905</v>
      </c>
      <c r="BP467" s="94">
        <f t="shared" si="383"/>
        <v>52.79761905</v>
      </c>
      <c r="BQ467" s="94">
        <f t="shared" si="383"/>
        <v>52.79761905</v>
      </c>
      <c r="BR467" s="94">
        <f t="shared" si="383"/>
        <v>52.79761905</v>
      </c>
      <c r="BS467" s="94">
        <f t="shared" si="383"/>
        <v>52.79761905</v>
      </c>
      <c r="BT467" s="94">
        <f t="shared" si="383"/>
        <v>52.79761905</v>
      </c>
      <c r="BU467" s="94">
        <f t="shared" si="383"/>
        <v>52.79761905</v>
      </c>
      <c r="BV467" s="94">
        <f t="shared" si="383"/>
        <v>52.79761905</v>
      </c>
      <c r="BW467" s="94">
        <f t="shared" si="383"/>
        <v>52.79761905</v>
      </c>
      <c r="BX467" s="94">
        <f t="shared" si="383"/>
        <v>52.79761905</v>
      </c>
      <c r="BY467" s="94">
        <f t="shared" si="383"/>
        <v>52.79761905</v>
      </c>
      <c r="BZ467" s="94">
        <f t="shared" si="383"/>
        <v>52.79761905</v>
      </c>
      <c r="CA467" s="94">
        <f t="shared" si="383"/>
        <v>52.79761905</v>
      </c>
      <c r="CB467" s="94">
        <f t="shared" si="383"/>
        <v>52.79761905</v>
      </c>
      <c r="CC467" s="94">
        <f t="shared" si="383"/>
        <v>52.79761905</v>
      </c>
      <c r="CD467" s="94">
        <f t="shared" si="383"/>
        <v>52.79761905</v>
      </c>
      <c r="CE467" s="94">
        <f t="shared" si="383"/>
        <v>52.79761905</v>
      </c>
      <c r="CF467" s="94">
        <f t="shared" si="383"/>
        <v>52.79761905</v>
      </c>
      <c r="CG467" s="94">
        <f t="shared" si="383"/>
        <v>52.79761905</v>
      </c>
      <c r="CH467" s="94">
        <f t="shared" si="383"/>
        <v>52.79761905</v>
      </c>
      <c r="CI467" s="94">
        <f t="shared" si="383"/>
        <v>52.79761905</v>
      </c>
      <c r="CJ467" s="94">
        <f t="shared" si="383"/>
        <v>52.79761905</v>
      </c>
      <c r="CK467" s="94">
        <f t="shared" si="383"/>
        <v>52.79761905</v>
      </c>
      <c r="CL467" s="94">
        <f t="shared" si="383"/>
        <v>52.79761905</v>
      </c>
      <c r="CM467" s="94">
        <f t="shared" si="383"/>
        <v>52.79761905</v>
      </c>
      <c r="CN467" s="94">
        <f t="shared" si="383"/>
        <v>52.79761905</v>
      </c>
      <c r="CO467" s="94">
        <f t="shared" si="383"/>
        <v>52.79761905</v>
      </c>
      <c r="CP467" s="94">
        <f t="shared" si="383"/>
        <v>52.79761905</v>
      </c>
      <c r="CQ467" s="94">
        <f t="shared" si="383"/>
        <v>52.79761905</v>
      </c>
      <c r="CR467" s="94">
        <f t="shared" si="383"/>
        <v>52.79761905</v>
      </c>
    </row>
    <row r="468" ht="15.75" customHeight="1">
      <c r="A468" s="91"/>
      <c r="B468" s="91"/>
      <c r="C468" s="91"/>
      <c r="D468" s="91"/>
      <c r="E468" s="91"/>
      <c r="F468" s="91"/>
      <c r="G468" s="91"/>
      <c r="H468" s="91"/>
      <c r="I468" s="91"/>
      <c r="J468" s="91"/>
      <c r="K468" s="91"/>
      <c r="L468" s="91"/>
      <c r="M468" s="91"/>
      <c r="N468" s="91"/>
      <c r="O468" s="91"/>
      <c r="P468" s="91"/>
      <c r="Q468" s="91"/>
      <c r="R468" s="91"/>
      <c r="S468" s="91"/>
      <c r="T468" s="91"/>
      <c r="U468" s="96">
        <v>44985.0</v>
      </c>
      <c r="BD468" s="94">
        <f t="shared" ref="BD468:CS468" si="384">+$BD$53*$U$58*$X$58</f>
        <v>52.79761905</v>
      </c>
      <c r="BE468" s="94">
        <f t="shared" si="384"/>
        <v>52.79761905</v>
      </c>
      <c r="BF468" s="94">
        <f t="shared" si="384"/>
        <v>52.79761905</v>
      </c>
      <c r="BG468" s="94">
        <f t="shared" si="384"/>
        <v>52.79761905</v>
      </c>
      <c r="BH468" s="94">
        <f t="shared" si="384"/>
        <v>52.79761905</v>
      </c>
      <c r="BI468" s="94">
        <f t="shared" si="384"/>
        <v>52.79761905</v>
      </c>
      <c r="BJ468" s="94">
        <f t="shared" si="384"/>
        <v>52.79761905</v>
      </c>
      <c r="BK468" s="94">
        <f t="shared" si="384"/>
        <v>52.79761905</v>
      </c>
      <c r="BL468" s="94">
        <f t="shared" si="384"/>
        <v>52.79761905</v>
      </c>
      <c r="BM468" s="94">
        <f t="shared" si="384"/>
        <v>52.79761905</v>
      </c>
      <c r="BN468" s="94">
        <f t="shared" si="384"/>
        <v>52.79761905</v>
      </c>
      <c r="BO468" s="94">
        <f t="shared" si="384"/>
        <v>52.79761905</v>
      </c>
      <c r="BP468" s="94">
        <f t="shared" si="384"/>
        <v>52.79761905</v>
      </c>
      <c r="BQ468" s="94">
        <f t="shared" si="384"/>
        <v>52.79761905</v>
      </c>
      <c r="BR468" s="94">
        <f t="shared" si="384"/>
        <v>52.79761905</v>
      </c>
      <c r="BS468" s="94">
        <f t="shared" si="384"/>
        <v>52.79761905</v>
      </c>
      <c r="BT468" s="94">
        <f t="shared" si="384"/>
        <v>52.79761905</v>
      </c>
      <c r="BU468" s="94">
        <f t="shared" si="384"/>
        <v>52.79761905</v>
      </c>
      <c r="BV468" s="94">
        <f t="shared" si="384"/>
        <v>52.79761905</v>
      </c>
      <c r="BW468" s="94">
        <f t="shared" si="384"/>
        <v>52.79761905</v>
      </c>
      <c r="BX468" s="94">
        <f t="shared" si="384"/>
        <v>52.79761905</v>
      </c>
      <c r="BY468" s="94">
        <f t="shared" si="384"/>
        <v>52.79761905</v>
      </c>
      <c r="BZ468" s="94">
        <f t="shared" si="384"/>
        <v>52.79761905</v>
      </c>
      <c r="CA468" s="94">
        <f t="shared" si="384"/>
        <v>52.79761905</v>
      </c>
      <c r="CB468" s="94">
        <f t="shared" si="384"/>
        <v>52.79761905</v>
      </c>
      <c r="CC468" s="94">
        <f t="shared" si="384"/>
        <v>52.79761905</v>
      </c>
      <c r="CD468" s="94">
        <f t="shared" si="384"/>
        <v>52.79761905</v>
      </c>
      <c r="CE468" s="94">
        <f t="shared" si="384"/>
        <v>52.79761905</v>
      </c>
      <c r="CF468" s="94">
        <f t="shared" si="384"/>
        <v>52.79761905</v>
      </c>
      <c r="CG468" s="94">
        <f t="shared" si="384"/>
        <v>52.79761905</v>
      </c>
      <c r="CH468" s="94">
        <f t="shared" si="384"/>
        <v>52.79761905</v>
      </c>
      <c r="CI468" s="94">
        <f t="shared" si="384"/>
        <v>52.79761905</v>
      </c>
      <c r="CJ468" s="94">
        <f t="shared" si="384"/>
        <v>52.79761905</v>
      </c>
      <c r="CK468" s="94">
        <f t="shared" si="384"/>
        <v>52.79761905</v>
      </c>
      <c r="CL468" s="94">
        <f t="shared" si="384"/>
        <v>52.79761905</v>
      </c>
      <c r="CM468" s="94">
        <f t="shared" si="384"/>
        <v>52.79761905</v>
      </c>
      <c r="CN468" s="94">
        <f t="shared" si="384"/>
        <v>52.79761905</v>
      </c>
      <c r="CO468" s="94">
        <f t="shared" si="384"/>
        <v>52.79761905</v>
      </c>
      <c r="CP468" s="94">
        <f t="shared" si="384"/>
        <v>52.79761905</v>
      </c>
      <c r="CQ468" s="94">
        <f t="shared" si="384"/>
        <v>52.79761905</v>
      </c>
      <c r="CR468" s="94">
        <f t="shared" si="384"/>
        <v>52.79761905</v>
      </c>
      <c r="CS468" s="94">
        <f t="shared" si="384"/>
        <v>52.79761905</v>
      </c>
    </row>
    <row r="469" ht="15.75" customHeight="1">
      <c r="A469" s="91"/>
      <c r="B469" s="91"/>
      <c r="C469" s="91"/>
      <c r="D469" s="91"/>
      <c r="E469" s="91"/>
      <c r="F469" s="91"/>
      <c r="G469" s="91"/>
      <c r="H469" s="91"/>
      <c r="I469" s="91"/>
      <c r="J469" s="91"/>
      <c r="K469" s="91"/>
      <c r="L469" s="91"/>
      <c r="M469" s="91"/>
      <c r="N469" s="91"/>
      <c r="O469" s="91"/>
      <c r="P469" s="91"/>
      <c r="Q469" s="91"/>
      <c r="R469" s="91"/>
      <c r="S469" s="91"/>
      <c r="T469" s="91"/>
      <c r="U469" s="96">
        <v>45016.0</v>
      </c>
      <c r="BE469" s="94">
        <f t="shared" ref="BE469:CT469" si="385">+$BE$53*$U$58*$X$58</f>
        <v>52.79761905</v>
      </c>
      <c r="BF469" s="94">
        <f t="shared" si="385"/>
        <v>52.79761905</v>
      </c>
      <c r="BG469" s="94">
        <f t="shared" si="385"/>
        <v>52.79761905</v>
      </c>
      <c r="BH469" s="94">
        <f t="shared" si="385"/>
        <v>52.79761905</v>
      </c>
      <c r="BI469" s="94">
        <f t="shared" si="385"/>
        <v>52.79761905</v>
      </c>
      <c r="BJ469" s="94">
        <f t="shared" si="385"/>
        <v>52.79761905</v>
      </c>
      <c r="BK469" s="94">
        <f t="shared" si="385"/>
        <v>52.79761905</v>
      </c>
      <c r="BL469" s="94">
        <f t="shared" si="385"/>
        <v>52.79761905</v>
      </c>
      <c r="BM469" s="94">
        <f t="shared" si="385"/>
        <v>52.79761905</v>
      </c>
      <c r="BN469" s="94">
        <f t="shared" si="385"/>
        <v>52.79761905</v>
      </c>
      <c r="BO469" s="94">
        <f t="shared" si="385"/>
        <v>52.79761905</v>
      </c>
      <c r="BP469" s="94">
        <f t="shared" si="385"/>
        <v>52.79761905</v>
      </c>
      <c r="BQ469" s="94">
        <f t="shared" si="385"/>
        <v>52.79761905</v>
      </c>
      <c r="BR469" s="94">
        <f t="shared" si="385"/>
        <v>52.79761905</v>
      </c>
      <c r="BS469" s="94">
        <f t="shared" si="385"/>
        <v>52.79761905</v>
      </c>
      <c r="BT469" s="94">
        <f t="shared" si="385"/>
        <v>52.79761905</v>
      </c>
      <c r="BU469" s="94">
        <f t="shared" si="385"/>
        <v>52.79761905</v>
      </c>
      <c r="BV469" s="94">
        <f t="shared" si="385"/>
        <v>52.79761905</v>
      </c>
      <c r="BW469" s="94">
        <f t="shared" si="385"/>
        <v>52.79761905</v>
      </c>
      <c r="BX469" s="94">
        <f t="shared" si="385"/>
        <v>52.79761905</v>
      </c>
      <c r="BY469" s="94">
        <f t="shared" si="385"/>
        <v>52.79761905</v>
      </c>
      <c r="BZ469" s="94">
        <f t="shared" si="385"/>
        <v>52.79761905</v>
      </c>
      <c r="CA469" s="94">
        <f t="shared" si="385"/>
        <v>52.79761905</v>
      </c>
      <c r="CB469" s="94">
        <f t="shared" si="385"/>
        <v>52.79761905</v>
      </c>
      <c r="CC469" s="94">
        <f t="shared" si="385"/>
        <v>52.79761905</v>
      </c>
      <c r="CD469" s="94">
        <f t="shared" si="385"/>
        <v>52.79761905</v>
      </c>
      <c r="CE469" s="94">
        <f t="shared" si="385"/>
        <v>52.79761905</v>
      </c>
      <c r="CF469" s="94">
        <f t="shared" si="385"/>
        <v>52.79761905</v>
      </c>
      <c r="CG469" s="94">
        <f t="shared" si="385"/>
        <v>52.79761905</v>
      </c>
      <c r="CH469" s="94">
        <f t="shared" si="385"/>
        <v>52.79761905</v>
      </c>
      <c r="CI469" s="94">
        <f t="shared" si="385"/>
        <v>52.79761905</v>
      </c>
      <c r="CJ469" s="94">
        <f t="shared" si="385"/>
        <v>52.79761905</v>
      </c>
      <c r="CK469" s="94">
        <f t="shared" si="385"/>
        <v>52.79761905</v>
      </c>
      <c r="CL469" s="94">
        <f t="shared" si="385"/>
        <v>52.79761905</v>
      </c>
      <c r="CM469" s="94">
        <f t="shared" si="385"/>
        <v>52.79761905</v>
      </c>
      <c r="CN469" s="94">
        <f t="shared" si="385"/>
        <v>52.79761905</v>
      </c>
      <c r="CO469" s="94">
        <f t="shared" si="385"/>
        <v>52.79761905</v>
      </c>
      <c r="CP469" s="94">
        <f t="shared" si="385"/>
        <v>52.79761905</v>
      </c>
      <c r="CQ469" s="94">
        <f t="shared" si="385"/>
        <v>52.79761905</v>
      </c>
      <c r="CR469" s="94">
        <f t="shared" si="385"/>
        <v>52.79761905</v>
      </c>
      <c r="CS469" s="94">
        <f t="shared" si="385"/>
        <v>52.79761905</v>
      </c>
      <c r="CT469" s="94">
        <f t="shared" si="385"/>
        <v>52.79761905</v>
      </c>
    </row>
    <row r="470" ht="15.75" customHeight="1">
      <c r="A470" s="91"/>
      <c r="B470" s="91"/>
      <c r="C470" s="91"/>
      <c r="D470" s="91"/>
      <c r="E470" s="91"/>
      <c r="F470" s="91"/>
      <c r="G470" s="91"/>
      <c r="H470" s="91"/>
      <c r="I470" s="91"/>
      <c r="J470" s="91"/>
      <c r="K470" s="91"/>
      <c r="L470" s="91"/>
      <c r="M470" s="91"/>
      <c r="N470" s="91"/>
      <c r="O470" s="91"/>
      <c r="P470" s="91"/>
      <c r="Q470" s="91"/>
      <c r="R470" s="91"/>
      <c r="S470" s="91"/>
      <c r="T470" s="91"/>
      <c r="U470" s="96">
        <v>45046.0</v>
      </c>
      <c r="BF470" s="94">
        <f t="shared" ref="BF470:CU470" si="386">+$BF$53*$U$58*$X$58</f>
        <v>73.91666667</v>
      </c>
      <c r="BG470" s="94">
        <f t="shared" si="386"/>
        <v>73.91666667</v>
      </c>
      <c r="BH470" s="94">
        <f t="shared" si="386"/>
        <v>73.91666667</v>
      </c>
      <c r="BI470" s="94">
        <f t="shared" si="386"/>
        <v>73.91666667</v>
      </c>
      <c r="BJ470" s="94">
        <f t="shared" si="386"/>
        <v>73.91666667</v>
      </c>
      <c r="BK470" s="94">
        <f t="shared" si="386"/>
        <v>73.91666667</v>
      </c>
      <c r="BL470" s="94">
        <f t="shared" si="386"/>
        <v>73.91666667</v>
      </c>
      <c r="BM470" s="94">
        <f t="shared" si="386"/>
        <v>73.91666667</v>
      </c>
      <c r="BN470" s="94">
        <f t="shared" si="386"/>
        <v>73.91666667</v>
      </c>
      <c r="BO470" s="94">
        <f t="shared" si="386"/>
        <v>73.91666667</v>
      </c>
      <c r="BP470" s="94">
        <f t="shared" si="386"/>
        <v>73.91666667</v>
      </c>
      <c r="BQ470" s="94">
        <f t="shared" si="386"/>
        <v>73.91666667</v>
      </c>
      <c r="BR470" s="94">
        <f t="shared" si="386"/>
        <v>73.91666667</v>
      </c>
      <c r="BS470" s="94">
        <f t="shared" si="386"/>
        <v>73.91666667</v>
      </c>
      <c r="BT470" s="94">
        <f t="shared" si="386"/>
        <v>73.91666667</v>
      </c>
      <c r="BU470" s="94">
        <f t="shared" si="386"/>
        <v>73.91666667</v>
      </c>
      <c r="BV470" s="94">
        <f t="shared" si="386"/>
        <v>73.91666667</v>
      </c>
      <c r="BW470" s="94">
        <f t="shared" si="386"/>
        <v>73.91666667</v>
      </c>
      <c r="BX470" s="94">
        <f t="shared" si="386"/>
        <v>73.91666667</v>
      </c>
      <c r="BY470" s="94">
        <f t="shared" si="386"/>
        <v>73.91666667</v>
      </c>
      <c r="BZ470" s="94">
        <f t="shared" si="386"/>
        <v>73.91666667</v>
      </c>
      <c r="CA470" s="94">
        <f t="shared" si="386"/>
        <v>73.91666667</v>
      </c>
      <c r="CB470" s="94">
        <f t="shared" si="386"/>
        <v>73.91666667</v>
      </c>
      <c r="CC470" s="94">
        <f t="shared" si="386"/>
        <v>73.91666667</v>
      </c>
      <c r="CD470" s="94">
        <f t="shared" si="386"/>
        <v>73.91666667</v>
      </c>
      <c r="CE470" s="94">
        <f t="shared" si="386"/>
        <v>73.91666667</v>
      </c>
      <c r="CF470" s="94">
        <f t="shared" si="386"/>
        <v>73.91666667</v>
      </c>
      <c r="CG470" s="94">
        <f t="shared" si="386"/>
        <v>73.91666667</v>
      </c>
      <c r="CH470" s="94">
        <f t="shared" si="386"/>
        <v>73.91666667</v>
      </c>
      <c r="CI470" s="94">
        <f t="shared" si="386"/>
        <v>73.91666667</v>
      </c>
      <c r="CJ470" s="94">
        <f t="shared" si="386"/>
        <v>73.91666667</v>
      </c>
      <c r="CK470" s="94">
        <f t="shared" si="386"/>
        <v>73.91666667</v>
      </c>
      <c r="CL470" s="94">
        <f t="shared" si="386"/>
        <v>73.91666667</v>
      </c>
      <c r="CM470" s="94">
        <f t="shared" si="386"/>
        <v>73.91666667</v>
      </c>
      <c r="CN470" s="94">
        <f t="shared" si="386"/>
        <v>73.91666667</v>
      </c>
      <c r="CO470" s="94">
        <f t="shared" si="386"/>
        <v>73.91666667</v>
      </c>
      <c r="CP470" s="94">
        <f t="shared" si="386"/>
        <v>73.91666667</v>
      </c>
      <c r="CQ470" s="94">
        <f t="shared" si="386"/>
        <v>73.91666667</v>
      </c>
      <c r="CR470" s="94">
        <f t="shared" si="386"/>
        <v>73.91666667</v>
      </c>
      <c r="CS470" s="94">
        <f t="shared" si="386"/>
        <v>73.91666667</v>
      </c>
      <c r="CT470" s="94">
        <f t="shared" si="386"/>
        <v>73.91666667</v>
      </c>
      <c r="CU470" s="94">
        <f t="shared" si="386"/>
        <v>73.91666667</v>
      </c>
    </row>
    <row r="471" ht="15.75" customHeight="1">
      <c r="A471" s="91"/>
      <c r="B471" s="91"/>
      <c r="C471" s="91"/>
      <c r="D471" s="91"/>
      <c r="E471" s="91"/>
      <c r="F471" s="91"/>
      <c r="G471" s="91"/>
      <c r="H471" s="91"/>
      <c r="I471" s="91"/>
      <c r="J471" s="91"/>
      <c r="K471" s="91"/>
      <c r="L471" s="91"/>
      <c r="M471" s="91"/>
      <c r="N471" s="91"/>
      <c r="O471" s="91"/>
      <c r="P471" s="91"/>
      <c r="Q471" s="91"/>
      <c r="R471" s="91"/>
      <c r="S471" s="91"/>
      <c r="T471" s="91"/>
      <c r="U471" s="96">
        <v>45077.0</v>
      </c>
      <c r="BG471" s="94">
        <f t="shared" ref="BG471:CV471" si="387">+$BG$53*$U$58*$X$58</f>
        <v>73.91666667</v>
      </c>
      <c r="BH471" s="94">
        <f t="shared" si="387"/>
        <v>73.91666667</v>
      </c>
      <c r="BI471" s="94">
        <f t="shared" si="387"/>
        <v>73.91666667</v>
      </c>
      <c r="BJ471" s="94">
        <f t="shared" si="387"/>
        <v>73.91666667</v>
      </c>
      <c r="BK471" s="94">
        <f t="shared" si="387"/>
        <v>73.91666667</v>
      </c>
      <c r="BL471" s="94">
        <f t="shared" si="387"/>
        <v>73.91666667</v>
      </c>
      <c r="BM471" s="94">
        <f t="shared" si="387"/>
        <v>73.91666667</v>
      </c>
      <c r="BN471" s="94">
        <f t="shared" si="387"/>
        <v>73.91666667</v>
      </c>
      <c r="BO471" s="94">
        <f t="shared" si="387"/>
        <v>73.91666667</v>
      </c>
      <c r="BP471" s="94">
        <f t="shared" si="387"/>
        <v>73.91666667</v>
      </c>
      <c r="BQ471" s="94">
        <f t="shared" si="387"/>
        <v>73.91666667</v>
      </c>
      <c r="BR471" s="94">
        <f t="shared" si="387"/>
        <v>73.91666667</v>
      </c>
      <c r="BS471" s="94">
        <f t="shared" si="387"/>
        <v>73.91666667</v>
      </c>
      <c r="BT471" s="94">
        <f t="shared" si="387"/>
        <v>73.91666667</v>
      </c>
      <c r="BU471" s="94">
        <f t="shared" si="387"/>
        <v>73.91666667</v>
      </c>
      <c r="BV471" s="94">
        <f t="shared" si="387"/>
        <v>73.91666667</v>
      </c>
      <c r="BW471" s="94">
        <f t="shared" si="387"/>
        <v>73.91666667</v>
      </c>
      <c r="BX471" s="94">
        <f t="shared" si="387"/>
        <v>73.91666667</v>
      </c>
      <c r="BY471" s="94">
        <f t="shared" si="387"/>
        <v>73.91666667</v>
      </c>
      <c r="BZ471" s="94">
        <f t="shared" si="387"/>
        <v>73.91666667</v>
      </c>
      <c r="CA471" s="94">
        <f t="shared" si="387"/>
        <v>73.91666667</v>
      </c>
      <c r="CB471" s="94">
        <f t="shared" si="387"/>
        <v>73.91666667</v>
      </c>
      <c r="CC471" s="94">
        <f t="shared" si="387"/>
        <v>73.91666667</v>
      </c>
      <c r="CD471" s="94">
        <f t="shared" si="387"/>
        <v>73.91666667</v>
      </c>
      <c r="CE471" s="94">
        <f t="shared" si="387"/>
        <v>73.91666667</v>
      </c>
      <c r="CF471" s="94">
        <f t="shared" si="387"/>
        <v>73.91666667</v>
      </c>
      <c r="CG471" s="94">
        <f t="shared" si="387"/>
        <v>73.91666667</v>
      </c>
      <c r="CH471" s="94">
        <f t="shared" si="387"/>
        <v>73.91666667</v>
      </c>
      <c r="CI471" s="94">
        <f t="shared" si="387"/>
        <v>73.91666667</v>
      </c>
      <c r="CJ471" s="94">
        <f t="shared" si="387"/>
        <v>73.91666667</v>
      </c>
      <c r="CK471" s="94">
        <f t="shared" si="387"/>
        <v>73.91666667</v>
      </c>
      <c r="CL471" s="94">
        <f t="shared" si="387"/>
        <v>73.91666667</v>
      </c>
      <c r="CM471" s="94">
        <f t="shared" si="387"/>
        <v>73.91666667</v>
      </c>
      <c r="CN471" s="94">
        <f t="shared" si="387"/>
        <v>73.91666667</v>
      </c>
      <c r="CO471" s="94">
        <f t="shared" si="387"/>
        <v>73.91666667</v>
      </c>
      <c r="CP471" s="94">
        <f t="shared" si="387"/>
        <v>73.91666667</v>
      </c>
      <c r="CQ471" s="94">
        <f t="shared" si="387"/>
        <v>73.91666667</v>
      </c>
      <c r="CR471" s="94">
        <f t="shared" si="387"/>
        <v>73.91666667</v>
      </c>
      <c r="CS471" s="94">
        <f t="shared" si="387"/>
        <v>73.91666667</v>
      </c>
      <c r="CT471" s="94">
        <f t="shared" si="387"/>
        <v>73.91666667</v>
      </c>
      <c r="CU471" s="94">
        <f t="shared" si="387"/>
        <v>73.91666667</v>
      </c>
      <c r="CV471" s="94">
        <f t="shared" si="387"/>
        <v>73.91666667</v>
      </c>
    </row>
    <row r="472" ht="15.75" customHeight="1">
      <c r="A472" s="91"/>
      <c r="B472" s="91"/>
      <c r="C472" s="91"/>
      <c r="D472" s="91"/>
      <c r="E472" s="91"/>
      <c r="F472" s="91"/>
      <c r="G472" s="91"/>
      <c r="H472" s="91"/>
      <c r="I472" s="91"/>
      <c r="J472" s="91"/>
      <c r="K472" s="91"/>
      <c r="L472" s="91"/>
      <c r="M472" s="91"/>
      <c r="N472" s="91"/>
      <c r="O472" s="91"/>
      <c r="P472" s="91"/>
      <c r="Q472" s="91"/>
      <c r="R472" s="91"/>
      <c r="S472" s="91"/>
      <c r="T472" s="91"/>
      <c r="U472" s="96">
        <v>45107.0</v>
      </c>
      <c r="BH472" s="94">
        <f t="shared" ref="BH472:CW472" si="388">+$BH$53*$U$58*$X$58</f>
        <v>84.47619048</v>
      </c>
      <c r="BI472" s="94">
        <f t="shared" si="388"/>
        <v>84.47619048</v>
      </c>
      <c r="BJ472" s="94">
        <f t="shared" si="388"/>
        <v>84.47619048</v>
      </c>
      <c r="BK472" s="94">
        <f t="shared" si="388"/>
        <v>84.47619048</v>
      </c>
      <c r="BL472" s="94">
        <f t="shared" si="388"/>
        <v>84.47619048</v>
      </c>
      <c r="BM472" s="94">
        <f t="shared" si="388"/>
        <v>84.47619048</v>
      </c>
      <c r="BN472" s="94">
        <f t="shared" si="388"/>
        <v>84.47619048</v>
      </c>
      <c r="BO472" s="94">
        <f t="shared" si="388"/>
        <v>84.47619048</v>
      </c>
      <c r="BP472" s="94">
        <f t="shared" si="388"/>
        <v>84.47619048</v>
      </c>
      <c r="BQ472" s="94">
        <f t="shared" si="388"/>
        <v>84.47619048</v>
      </c>
      <c r="BR472" s="94">
        <f t="shared" si="388"/>
        <v>84.47619048</v>
      </c>
      <c r="BS472" s="94">
        <f t="shared" si="388"/>
        <v>84.47619048</v>
      </c>
      <c r="BT472" s="94">
        <f t="shared" si="388"/>
        <v>84.47619048</v>
      </c>
      <c r="BU472" s="94">
        <f t="shared" si="388"/>
        <v>84.47619048</v>
      </c>
      <c r="BV472" s="94">
        <f t="shared" si="388"/>
        <v>84.47619048</v>
      </c>
      <c r="BW472" s="94">
        <f t="shared" si="388"/>
        <v>84.47619048</v>
      </c>
      <c r="BX472" s="94">
        <f t="shared" si="388"/>
        <v>84.47619048</v>
      </c>
      <c r="BY472" s="94">
        <f t="shared" si="388"/>
        <v>84.47619048</v>
      </c>
      <c r="BZ472" s="94">
        <f t="shared" si="388"/>
        <v>84.47619048</v>
      </c>
      <c r="CA472" s="94">
        <f t="shared" si="388"/>
        <v>84.47619048</v>
      </c>
      <c r="CB472" s="94">
        <f t="shared" si="388"/>
        <v>84.47619048</v>
      </c>
      <c r="CC472" s="94">
        <f t="shared" si="388"/>
        <v>84.47619048</v>
      </c>
      <c r="CD472" s="94">
        <f t="shared" si="388"/>
        <v>84.47619048</v>
      </c>
      <c r="CE472" s="94">
        <f t="shared" si="388"/>
        <v>84.47619048</v>
      </c>
      <c r="CF472" s="94">
        <f t="shared" si="388"/>
        <v>84.47619048</v>
      </c>
      <c r="CG472" s="94">
        <f t="shared" si="388"/>
        <v>84.47619048</v>
      </c>
      <c r="CH472" s="94">
        <f t="shared" si="388"/>
        <v>84.47619048</v>
      </c>
      <c r="CI472" s="94">
        <f t="shared" si="388"/>
        <v>84.47619048</v>
      </c>
      <c r="CJ472" s="94">
        <f t="shared" si="388"/>
        <v>84.47619048</v>
      </c>
      <c r="CK472" s="94">
        <f t="shared" si="388"/>
        <v>84.47619048</v>
      </c>
      <c r="CL472" s="94">
        <f t="shared" si="388"/>
        <v>84.47619048</v>
      </c>
      <c r="CM472" s="94">
        <f t="shared" si="388"/>
        <v>84.47619048</v>
      </c>
      <c r="CN472" s="94">
        <f t="shared" si="388"/>
        <v>84.47619048</v>
      </c>
      <c r="CO472" s="94">
        <f t="shared" si="388"/>
        <v>84.47619048</v>
      </c>
      <c r="CP472" s="94">
        <f t="shared" si="388"/>
        <v>84.47619048</v>
      </c>
      <c r="CQ472" s="94">
        <f t="shared" si="388"/>
        <v>84.47619048</v>
      </c>
      <c r="CR472" s="94">
        <f t="shared" si="388"/>
        <v>84.47619048</v>
      </c>
      <c r="CS472" s="94">
        <f t="shared" si="388"/>
        <v>84.47619048</v>
      </c>
      <c r="CT472" s="94">
        <f t="shared" si="388"/>
        <v>84.47619048</v>
      </c>
      <c r="CU472" s="94">
        <f t="shared" si="388"/>
        <v>84.47619048</v>
      </c>
      <c r="CV472" s="94">
        <f t="shared" si="388"/>
        <v>84.47619048</v>
      </c>
      <c r="CW472" s="94">
        <f t="shared" si="388"/>
        <v>84.47619048</v>
      </c>
    </row>
    <row r="473" ht="15.75" customHeight="1">
      <c r="A473" s="91"/>
      <c r="B473" s="91"/>
      <c r="C473" s="91"/>
      <c r="D473" s="91"/>
      <c r="E473" s="91"/>
      <c r="F473" s="91"/>
      <c r="G473" s="91"/>
      <c r="H473" s="91"/>
      <c r="I473" s="91"/>
      <c r="J473" s="91"/>
      <c r="K473" s="91"/>
      <c r="L473" s="91"/>
      <c r="M473" s="91"/>
      <c r="N473" s="91"/>
      <c r="O473" s="91"/>
      <c r="P473" s="91"/>
      <c r="Q473" s="91"/>
      <c r="R473" s="91"/>
      <c r="S473" s="91"/>
      <c r="T473" s="91"/>
      <c r="U473" s="96">
        <v>45138.0</v>
      </c>
      <c r="BI473" s="94">
        <f t="shared" ref="BI473:CX473" si="389">+$BI$53*$U$58*$X$58</f>
        <v>84.47619048</v>
      </c>
      <c r="BJ473" s="94">
        <f t="shared" si="389"/>
        <v>84.47619048</v>
      </c>
      <c r="BK473" s="94">
        <f t="shared" si="389"/>
        <v>84.47619048</v>
      </c>
      <c r="BL473" s="94">
        <f t="shared" si="389"/>
        <v>84.47619048</v>
      </c>
      <c r="BM473" s="94">
        <f t="shared" si="389"/>
        <v>84.47619048</v>
      </c>
      <c r="BN473" s="94">
        <f t="shared" si="389"/>
        <v>84.47619048</v>
      </c>
      <c r="BO473" s="94">
        <f t="shared" si="389"/>
        <v>84.47619048</v>
      </c>
      <c r="BP473" s="94">
        <f t="shared" si="389"/>
        <v>84.47619048</v>
      </c>
      <c r="BQ473" s="94">
        <f t="shared" si="389"/>
        <v>84.47619048</v>
      </c>
      <c r="BR473" s="94">
        <f t="shared" si="389"/>
        <v>84.47619048</v>
      </c>
      <c r="BS473" s="94">
        <f t="shared" si="389"/>
        <v>84.47619048</v>
      </c>
      <c r="BT473" s="94">
        <f t="shared" si="389"/>
        <v>84.47619048</v>
      </c>
      <c r="BU473" s="94">
        <f t="shared" si="389"/>
        <v>84.47619048</v>
      </c>
      <c r="BV473" s="94">
        <f t="shared" si="389"/>
        <v>84.47619048</v>
      </c>
      <c r="BW473" s="94">
        <f t="shared" si="389"/>
        <v>84.47619048</v>
      </c>
      <c r="BX473" s="94">
        <f t="shared" si="389"/>
        <v>84.47619048</v>
      </c>
      <c r="BY473" s="94">
        <f t="shared" si="389"/>
        <v>84.47619048</v>
      </c>
      <c r="BZ473" s="94">
        <f t="shared" si="389"/>
        <v>84.47619048</v>
      </c>
      <c r="CA473" s="94">
        <f t="shared" si="389"/>
        <v>84.47619048</v>
      </c>
      <c r="CB473" s="94">
        <f t="shared" si="389"/>
        <v>84.47619048</v>
      </c>
      <c r="CC473" s="94">
        <f t="shared" si="389"/>
        <v>84.47619048</v>
      </c>
      <c r="CD473" s="94">
        <f t="shared" si="389"/>
        <v>84.47619048</v>
      </c>
      <c r="CE473" s="94">
        <f t="shared" si="389"/>
        <v>84.47619048</v>
      </c>
      <c r="CF473" s="94">
        <f t="shared" si="389"/>
        <v>84.47619048</v>
      </c>
      <c r="CG473" s="94">
        <f t="shared" si="389"/>
        <v>84.47619048</v>
      </c>
      <c r="CH473" s="94">
        <f t="shared" si="389"/>
        <v>84.47619048</v>
      </c>
      <c r="CI473" s="94">
        <f t="shared" si="389"/>
        <v>84.47619048</v>
      </c>
      <c r="CJ473" s="94">
        <f t="shared" si="389"/>
        <v>84.47619048</v>
      </c>
      <c r="CK473" s="94">
        <f t="shared" si="389"/>
        <v>84.47619048</v>
      </c>
      <c r="CL473" s="94">
        <f t="shared" si="389"/>
        <v>84.47619048</v>
      </c>
      <c r="CM473" s="94">
        <f t="shared" si="389"/>
        <v>84.47619048</v>
      </c>
      <c r="CN473" s="94">
        <f t="shared" si="389"/>
        <v>84.47619048</v>
      </c>
      <c r="CO473" s="94">
        <f t="shared" si="389"/>
        <v>84.47619048</v>
      </c>
      <c r="CP473" s="94">
        <f t="shared" si="389"/>
        <v>84.47619048</v>
      </c>
      <c r="CQ473" s="94">
        <f t="shared" si="389"/>
        <v>84.47619048</v>
      </c>
      <c r="CR473" s="94">
        <f t="shared" si="389"/>
        <v>84.47619048</v>
      </c>
      <c r="CS473" s="94">
        <f t="shared" si="389"/>
        <v>84.47619048</v>
      </c>
      <c r="CT473" s="94">
        <f t="shared" si="389"/>
        <v>84.47619048</v>
      </c>
      <c r="CU473" s="94">
        <f t="shared" si="389"/>
        <v>84.47619048</v>
      </c>
      <c r="CV473" s="94">
        <f t="shared" si="389"/>
        <v>84.47619048</v>
      </c>
      <c r="CW473" s="94">
        <f t="shared" si="389"/>
        <v>84.47619048</v>
      </c>
      <c r="CX473" s="94">
        <f t="shared" si="389"/>
        <v>84.47619048</v>
      </c>
    </row>
    <row r="474" ht="15.75" customHeight="1">
      <c r="A474" s="91"/>
      <c r="B474" s="91"/>
      <c r="C474" s="91"/>
      <c r="D474" s="91"/>
      <c r="E474" s="91"/>
      <c r="F474" s="91"/>
      <c r="G474" s="91"/>
      <c r="H474" s="91"/>
      <c r="I474" s="91"/>
      <c r="J474" s="91"/>
      <c r="K474" s="91"/>
      <c r="L474" s="91"/>
      <c r="M474" s="91"/>
      <c r="N474" s="91"/>
      <c r="O474" s="91"/>
      <c r="P474" s="91"/>
      <c r="Q474" s="91"/>
      <c r="R474" s="91"/>
      <c r="S474" s="91"/>
      <c r="T474" s="91"/>
      <c r="U474" s="96">
        <v>45169.0</v>
      </c>
      <c r="BJ474" s="94">
        <f t="shared" ref="BJ474:CY474" si="390">+$BJ$53*$U$58*$X$58</f>
        <v>84.47619048</v>
      </c>
      <c r="BK474" s="94">
        <f t="shared" si="390"/>
        <v>84.47619048</v>
      </c>
      <c r="BL474" s="94">
        <f t="shared" si="390"/>
        <v>84.47619048</v>
      </c>
      <c r="BM474" s="94">
        <f t="shared" si="390"/>
        <v>84.47619048</v>
      </c>
      <c r="BN474" s="94">
        <f t="shared" si="390"/>
        <v>84.47619048</v>
      </c>
      <c r="BO474" s="94">
        <f t="shared" si="390"/>
        <v>84.47619048</v>
      </c>
      <c r="BP474" s="94">
        <f t="shared" si="390"/>
        <v>84.47619048</v>
      </c>
      <c r="BQ474" s="94">
        <f t="shared" si="390"/>
        <v>84.47619048</v>
      </c>
      <c r="BR474" s="94">
        <f t="shared" si="390"/>
        <v>84.47619048</v>
      </c>
      <c r="BS474" s="94">
        <f t="shared" si="390"/>
        <v>84.47619048</v>
      </c>
      <c r="BT474" s="94">
        <f t="shared" si="390"/>
        <v>84.47619048</v>
      </c>
      <c r="BU474" s="94">
        <f t="shared" si="390"/>
        <v>84.47619048</v>
      </c>
      <c r="BV474" s="94">
        <f t="shared" si="390"/>
        <v>84.47619048</v>
      </c>
      <c r="BW474" s="94">
        <f t="shared" si="390"/>
        <v>84.47619048</v>
      </c>
      <c r="BX474" s="94">
        <f t="shared" si="390"/>
        <v>84.47619048</v>
      </c>
      <c r="BY474" s="94">
        <f t="shared" si="390"/>
        <v>84.47619048</v>
      </c>
      <c r="BZ474" s="94">
        <f t="shared" si="390"/>
        <v>84.47619048</v>
      </c>
      <c r="CA474" s="94">
        <f t="shared" si="390"/>
        <v>84.47619048</v>
      </c>
      <c r="CB474" s="94">
        <f t="shared" si="390"/>
        <v>84.47619048</v>
      </c>
      <c r="CC474" s="94">
        <f t="shared" si="390"/>
        <v>84.47619048</v>
      </c>
      <c r="CD474" s="94">
        <f t="shared" si="390"/>
        <v>84.47619048</v>
      </c>
      <c r="CE474" s="94">
        <f t="shared" si="390"/>
        <v>84.47619048</v>
      </c>
      <c r="CF474" s="94">
        <f t="shared" si="390"/>
        <v>84.47619048</v>
      </c>
      <c r="CG474" s="94">
        <f t="shared" si="390"/>
        <v>84.47619048</v>
      </c>
      <c r="CH474" s="94">
        <f t="shared" si="390"/>
        <v>84.47619048</v>
      </c>
      <c r="CI474" s="94">
        <f t="shared" si="390"/>
        <v>84.47619048</v>
      </c>
      <c r="CJ474" s="94">
        <f t="shared" si="390"/>
        <v>84.47619048</v>
      </c>
      <c r="CK474" s="94">
        <f t="shared" si="390"/>
        <v>84.47619048</v>
      </c>
      <c r="CL474" s="94">
        <f t="shared" si="390"/>
        <v>84.47619048</v>
      </c>
      <c r="CM474" s="94">
        <f t="shared" si="390"/>
        <v>84.47619048</v>
      </c>
      <c r="CN474" s="94">
        <f t="shared" si="390"/>
        <v>84.47619048</v>
      </c>
      <c r="CO474" s="94">
        <f t="shared" si="390"/>
        <v>84.47619048</v>
      </c>
      <c r="CP474" s="94">
        <f t="shared" si="390"/>
        <v>84.47619048</v>
      </c>
      <c r="CQ474" s="94">
        <f t="shared" si="390"/>
        <v>84.47619048</v>
      </c>
      <c r="CR474" s="94">
        <f t="shared" si="390"/>
        <v>84.47619048</v>
      </c>
      <c r="CS474" s="94">
        <f t="shared" si="390"/>
        <v>84.47619048</v>
      </c>
      <c r="CT474" s="94">
        <f t="shared" si="390"/>
        <v>84.47619048</v>
      </c>
      <c r="CU474" s="94">
        <f t="shared" si="390"/>
        <v>84.47619048</v>
      </c>
      <c r="CV474" s="94">
        <f t="shared" si="390"/>
        <v>84.47619048</v>
      </c>
      <c r="CW474" s="94">
        <f t="shared" si="390"/>
        <v>84.47619048</v>
      </c>
      <c r="CX474" s="94">
        <f t="shared" si="390"/>
        <v>84.47619048</v>
      </c>
      <c r="CY474" s="94">
        <f t="shared" si="390"/>
        <v>84.47619048</v>
      </c>
    </row>
    <row r="475" ht="15.75" customHeight="1">
      <c r="A475" s="91"/>
      <c r="B475" s="91"/>
      <c r="C475" s="91"/>
      <c r="D475" s="91"/>
      <c r="E475" s="91"/>
      <c r="F475" s="91"/>
      <c r="G475" s="91"/>
      <c r="H475" s="91"/>
      <c r="I475" s="91"/>
      <c r="J475" s="91"/>
      <c r="K475" s="91"/>
      <c r="L475" s="91"/>
      <c r="M475" s="91"/>
      <c r="N475" s="91"/>
      <c r="O475" s="91"/>
      <c r="P475" s="91"/>
      <c r="Q475" s="91"/>
      <c r="R475" s="91"/>
      <c r="S475" s="91"/>
      <c r="T475" s="91"/>
      <c r="U475" s="96">
        <v>45199.0</v>
      </c>
      <c r="BK475" s="94">
        <f t="shared" ref="BK475:CZ475" si="391">+$BK$53*$U$58*$X$58</f>
        <v>84.47619048</v>
      </c>
      <c r="BL475" s="94">
        <f t="shared" si="391"/>
        <v>84.47619048</v>
      </c>
      <c r="BM475" s="94">
        <f t="shared" si="391"/>
        <v>84.47619048</v>
      </c>
      <c r="BN475" s="94">
        <f t="shared" si="391"/>
        <v>84.47619048</v>
      </c>
      <c r="BO475" s="94">
        <f t="shared" si="391"/>
        <v>84.47619048</v>
      </c>
      <c r="BP475" s="94">
        <f t="shared" si="391"/>
        <v>84.47619048</v>
      </c>
      <c r="BQ475" s="94">
        <f t="shared" si="391"/>
        <v>84.47619048</v>
      </c>
      <c r="BR475" s="94">
        <f t="shared" si="391"/>
        <v>84.47619048</v>
      </c>
      <c r="BS475" s="94">
        <f t="shared" si="391"/>
        <v>84.47619048</v>
      </c>
      <c r="BT475" s="94">
        <f t="shared" si="391"/>
        <v>84.47619048</v>
      </c>
      <c r="BU475" s="94">
        <f t="shared" si="391"/>
        <v>84.47619048</v>
      </c>
      <c r="BV475" s="94">
        <f t="shared" si="391"/>
        <v>84.47619048</v>
      </c>
      <c r="BW475" s="94">
        <f t="shared" si="391"/>
        <v>84.47619048</v>
      </c>
      <c r="BX475" s="94">
        <f t="shared" si="391"/>
        <v>84.47619048</v>
      </c>
      <c r="BY475" s="94">
        <f t="shared" si="391"/>
        <v>84.47619048</v>
      </c>
      <c r="BZ475" s="94">
        <f t="shared" si="391"/>
        <v>84.47619048</v>
      </c>
      <c r="CA475" s="94">
        <f t="shared" si="391"/>
        <v>84.47619048</v>
      </c>
      <c r="CB475" s="94">
        <f t="shared" si="391"/>
        <v>84.47619048</v>
      </c>
      <c r="CC475" s="94">
        <f t="shared" si="391"/>
        <v>84.47619048</v>
      </c>
      <c r="CD475" s="94">
        <f t="shared" si="391"/>
        <v>84.47619048</v>
      </c>
      <c r="CE475" s="94">
        <f t="shared" si="391"/>
        <v>84.47619048</v>
      </c>
      <c r="CF475" s="94">
        <f t="shared" si="391"/>
        <v>84.47619048</v>
      </c>
      <c r="CG475" s="94">
        <f t="shared" si="391"/>
        <v>84.47619048</v>
      </c>
      <c r="CH475" s="94">
        <f t="shared" si="391"/>
        <v>84.47619048</v>
      </c>
      <c r="CI475" s="94">
        <f t="shared" si="391"/>
        <v>84.47619048</v>
      </c>
      <c r="CJ475" s="94">
        <f t="shared" si="391"/>
        <v>84.47619048</v>
      </c>
      <c r="CK475" s="94">
        <f t="shared" si="391"/>
        <v>84.47619048</v>
      </c>
      <c r="CL475" s="94">
        <f t="shared" si="391"/>
        <v>84.47619048</v>
      </c>
      <c r="CM475" s="94">
        <f t="shared" si="391"/>
        <v>84.47619048</v>
      </c>
      <c r="CN475" s="94">
        <f t="shared" si="391"/>
        <v>84.47619048</v>
      </c>
      <c r="CO475" s="94">
        <f t="shared" si="391"/>
        <v>84.47619048</v>
      </c>
      <c r="CP475" s="94">
        <f t="shared" si="391"/>
        <v>84.47619048</v>
      </c>
      <c r="CQ475" s="94">
        <f t="shared" si="391"/>
        <v>84.47619048</v>
      </c>
      <c r="CR475" s="94">
        <f t="shared" si="391"/>
        <v>84.47619048</v>
      </c>
      <c r="CS475" s="94">
        <f t="shared" si="391"/>
        <v>84.47619048</v>
      </c>
      <c r="CT475" s="94">
        <f t="shared" si="391"/>
        <v>84.47619048</v>
      </c>
      <c r="CU475" s="94">
        <f t="shared" si="391"/>
        <v>84.47619048</v>
      </c>
      <c r="CV475" s="94">
        <f t="shared" si="391"/>
        <v>84.47619048</v>
      </c>
      <c r="CW475" s="94">
        <f t="shared" si="391"/>
        <v>84.47619048</v>
      </c>
      <c r="CX475" s="94">
        <f t="shared" si="391"/>
        <v>84.47619048</v>
      </c>
      <c r="CY475" s="94">
        <f t="shared" si="391"/>
        <v>84.47619048</v>
      </c>
      <c r="CZ475" s="94">
        <f t="shared" si="391"/>
        <v>84.47619048</v>
      </c>
    </row>
    <row r="476" ht="15.75" customHeight="1">
      <c r="A476" s="91"/>
      <c r="B476" s="91"/>
      <c r="C476" s="91"/>
      <c r="D476" s="91"/>
      <c r="E476" s="91"/>
      <c r="F476" s="91"/>
      <c r="G476" s="91"/>
      <c r="H476" s="91"/>
      <c r="I476" s="91"/>
      <c r="J476" s="91"/>
      <c r="K476" s="91"/>
      <c r="L476" s="91"/>
      <c r="M476" s="91"/>
      <c r="N476" s="91"/>
      <c r="O476" s="91"/>
      <c r="P476" s="91"/>
      <c r="Q476" s="91"/>
      <c r="R476" s="91"/>
      <c r="S476" s="91"/>
      <c r="T476" s="91"/>
      <c r="U476" s="96">
        <v>45230.0</v>
      </c>
      <c r="BL476" s="94">
        <f t="shared" ref="BL476:DA476" si="392">+$BL$53*$U$58*$X$58</f>
        <v>73.91666667</v>
      </c>
      <c r="BM476" s="94">
        <f t="shared" si="392"/>
        <v>73.91666667</v>
      </c>
      <c r="BN476" s="94">
        <f t="shared" si="392"/>
        <v>73.91666667</v>
      </c>
      <c r="BO476" s="94">
        <f t="shared" si="392"/>
        <v>73.91666667</v>
      </c>
      <c r="BP476" s="94">
        <f t="shared" si="392"/>
        <v>73.91666667</v>
      </c>
      <c r="BQ476" s="94">
        <f t="shared" si="392"/>
        <v>73.91666667</v>
      </c>
      <c r="BR476" s="94">
        <f t="shared" si="392"/>
        <v>73.91666667</v>
      </c>
      <c r="BS476" s="94">
        <f t="shared" si="392"/>
        <v>73.91666667</v>
      </c>
      <c r="BT476" s="94">
        <f t="shared" si="392"/>
        <v>73.91666667</v>
      </c>
      <c r="BU476" s="94">
        <f t="shared" si="392"/>
        <v>73.91666667</v>
      </c>
      <c r="BV476" s="94">
        <f t="shared" si="392"/>
        <v>73.91666667</v>
      </c>
      <c r="BW476" s="94">
        <f t="shared" si="392"/>
        <v>73.91666667</v>
      </c>
      <c r="BX476" s="94">
        <f t="shared" si="392"/>
        <v>73.91666667</v>
      </c>
      <c r="BY476" s="94">
        <f t="shared" si="392"/>
        <v>73.91666667</v>
      </c>
      <c r="BZ476" s="94">
        <f t="shared" si="392"/>
        <v>73.91666667</v>
      </c>
      <c r="CA476" s="94">
        <f t="shared" si="392"/>
        <v>73.91666667</v>
      </c>
      <c r="CB476" s="94">
        <f t="shared" si="392"/>
        <v>73.91666667</v>
      </c>
      <c r="CC476" s="94">
        <f t="shared" si="392"/>
        <v>73.91666667</v>
      </c>
      <c r="CD476" s="94">
        <f t="shared" si="392"/>
        <v>73.91666667</v>
      </c>
      <c r="CE476" s="94">
        <f t="shared" si="392"/>
        <v>73.91666667</v>
      </c>
      <c r="CF476" s="94">
        <f t="shared" si="392"/>
        <v>73.91666667</v>
      </c>
      <c r="CG476" s="94">
        <f t="shared" si="392"/>
        <v>73.91666667</v>
      </c>
      <c r="CH476" s="94">
        <f t="shared" si="392"/>
        <v>73.91666667</v>
      </c>
      <c r="CI476" s="94">
        <f t="shared" si="392"/>
        <v>73.91666667</v>
      </c>
      <c r="CJ476" s="94">
        <f t="shared" si="392"/>
        <v>73.91666667</v>
      </c>
      <c r="CK476" s="94">
        <f t="shared" si="392"/>
        <v>73.91666667</v>
      </c>
      <c r="CL476" s="94">
        <f t="shared" si="392"/>
        <v>73.91666667</v>
      </c>
      <c r="CM476" s="94">
        <f t="shared" si="392"/>
        <v>73.91666667</v>
      </c>
      <c r="CN476" s="94">
        <f t="shared" si="392"/>
        <v>73.91666667</v>
      </c>
      <c r="CO476" s="94">
        <f t="shared" si="392"/>
        <v>73.91666667</v>
      </c>
      <c r="CP476" s="94">
        <f t="shared" si="392"/>
        <v>73.91666667</v>
      </c>
      <c r="CQ476" s="94">
        <f t="shared" si="392"/>
        <v>73.91666667</v>
      </c>
      <c r="CR476" s="94">
        <f t="shared" si="392"/>
        <v>73.91666667</v>
      </c>
      <c r="CS476" s="94">
        <f t="shared" si="392"/>
        <v>73.91666667</v>
      </c>
      <c r="CT476" s="94">
        <f t="shared" si="392"/>
        <v>73.91666667</v>
      </c>
      <c r="CU476" s="94">
        <f t="shared" si="392"/>
        <v>73.91666667</v>
      </c>
      <c r="CV476" s="94">
        <f t="shared" si="392"/>
        <v>73.91666667</v>
      </c>
      <c r="CW476" s="94">
        <f t="shared" si="392"/>
        <v>73.91666667</v>
      </c>
      <c r="CX476" s="94">
        <f t="shared" si="392"/>
        <v>73.91666667</v>
      </c>
      <c r="CY476" s="94">
        <f t="shared" si="392"/>
        <v>73.91666667</v>
      </c>
      <c r="CZ476" s="94">
        <f t="shared" si="392"/>
        <v>73.91666667</v>
      </c>
      <c r="DA476" s="94">
        <f t="shared" si="392"/>
        <v>73.91666667</v>
      </c>
    </row>
    <row r="477" ht="15.75" customHeight="1">
      <c r="A477" s="91"/>
      <c r="B477" s="91"/>
      <c r="C477" s="91"/>
      <c r="D477" s="91"/>
      <c r="E477" s="91"/>
      <c r="F477" s="91"/>
      <c r="G477" s="91"/>
      <c r="H477" s="91"/>
      <c r="I477" s="91"/>
      <c r="J477" s="91"/>
      <c r="K477" s="91"/>
      <c r="L477" s="91"/>
      <c r="M477" s="91"/>
      <c r="N477" s="91"/>
      <c r="O477" s="91"/>
      <c r="P477" s="91"/>
      <c r="Q477" s="91"/>
      <c r="R477" s="91"/>
      <c r="S477" s="91"/>
      <c r="T477" s="91"/>
      <c r="U477" s="96">
        <v>45260.0</v>
      </c>
      <c r="BM477" s="94">
        <f t="shared" ref="BM477:DB477" si="393">+$BM$53*$U$58*$X$58</f>
        <v>52.79761905</v>
      </c>
      <c r="BN477" s="94">
        <f t="shared" si="393"/>
        <v>52.79761905</v>
      </c>
      <c r="BO477" s="94">
        <f t="shared" si="393"/>
        <v>52.79761905</v>
      </c>
      <c r="BP477" s="94">
        <f t="shared" si="393"/>
        <v>52.79761905</v>
      </c>
      <c r="BQ477" s="94">
        <f t="shared" si="393"/>
        <v>52.79761905</v>
      </c>
      <c r="BR477" s="94">
        <f t="shared" si="393"/>
        <v>52.79761905</v>
      </c>
      <c r="BS477" s="94">
        <f t="shared" si="393"/>
        <v>52.79761905</v>
      </c>
      <c r="BT477" s="94">
        <f t="shared" si="393"/>
        <v>52.79761905</v>
      </c>
      <c r="BU477" s="94">
        <f t="shared" si="393"/>
        <v>52.79761905</v>
      </c>
      <c r="BV477" s="94">
        <f t="shared" si="393"/>
        <v>52.79761905</v>
      </c>
      <c r="BW477" s="94">
        <f t="shared" si="393"/>
        <v>52.79761905</v>
      </c>
      <c r="BX477" s="94">
        <f t="shared" si="393"/>
        <v>52.79761905</v>
      </c>
      <c r="BY477" s="94">
        <f t="shared" si="393"/>
        <v>52.79761905</v>
      </c>
      <c r="BZ477" s="94">
        <f t="shared" si="393"/>
        <v>52.79761905</v>
      </c>
      <c r="CA477" s="94">
        <f t="shared" si="393"/>
        <v>52.79761905</v>
      </c>
      <c r="CB477" s="94">
        <f t="shared" si="393"/>
        <v>52.79761905</v>
      </c>
      <c r="CC477" s="94">
        <f t="shared" si="393"/>
        <v>52.79761905</v>
      </c>
      <c r="CD477" s="94">
        <f t="shared" si="393"/>
        <v>52.79761905</v>
      </c>
      <c r="CE477" s="94">
        <f t="shared" si="393"/>
        <v>52.79761905</v>
      </c>
      <c r="CF477" s="94">
        <f t="shared" si="393"/>
        <v>52.79761905</v>
      </c>
      <c r="CG477" s="94">
        <f t="shared" si="393"/>
        <v>52.79761905</v>
      </c>
      <c r="CH477" s="94">
        <f t="shared" si="393"/>
        <v>52.79761905</v>
      </c>
      <c r="CI477" s="94">
        <f t="shared" si="393"/>
        <v>52.79761905</v>
      </c>
      <c r="CJ477" s="94">
        <f t="shared" si="393"/>
        <v>52.79761905</v>
      </c>
      <c r="CK477" s="94">
        <f t="shared" si="393"/>
        <v>52.79761905</v>
      </c>
      <c r="CL477" s="94">
        <f t="shared" si="393"/>
        <v>52.79761905</v>
      </c>
      <c r="CM477" s="94">
        <f t="shared" si="393"/>
        <v>52.79761905</v>
      </c>
      <c r="CN477" s="94">
        <f t="shared" si="393"/>
        <v>52.79761905</v>
      </c>
      <c r="CO477" s="94">
        <f t="shared" si="393"/>
        <v>52.79761905</v>
      </c>
      <c r="CP477" s="94">
        <f t="shared" si="393"/>
        <v>52.79761905</v>
      </c>
      <c r="CQ477" s="94">
        <f t="shared" si="393"/>
        <v>52.79761905</v>
      </c>
      <c r="CR477" s="94">
        <f t="shared" si="393"/>
        <v>52.79761905</v>
      </c>
      <c r="CS477" s="94">
        <f t="shared" si="393"/>
        <v>52.79761905</v>
      </c>
      <c r="CT477" s="94">
        <f t="shared" si="393"/>
        <v>52.79761905</v>
      </c>
      <c r="CU477" s="94">
        <f t="shared" si="393"/>
        <v>52.79761905</v>
      </c>
      <c r="CV477" s="94">
        <f t="shared" si="393"/>
        <v>52.79761905</v>
      </c>
      <c r="CW477" s="94">
        <f t="shared" si="393"/>
        <v>52.79761905</v>
      </c>
      <c r="CX477" s="94">
        <f t="shared" si="393"/>
        <v>52.79761905</v>
      </c>
      <c r="CY477" s="94">
        <f t="shared" si="393"/>
        <v>52.79761905</v>
      </c>
      <c r="CZ477" s="94">
        <f t="shared" si="393"/>
        <v>52.79761905</v>
      </c>
      <c r="DA477" s="94">
        <f t="shared" si="393"/>
        <v>52.79761905</v>
      </c>
      <c r="DB477" s="94">
        <f t="shared" si="393"/>
        <v>52.79761905</v>
      </c>
    </row>
    <row r="478" ht="15.75" customHeight="1">
      <c r="A478" s="91"/>
      <c r="B478" s="91"/>
      <c r="C478" s="91"/>
      <c r="D478" s="91"/>
      <c r="E478" s="91"/>
      <c r="F478" s="91"/>
      <c r="G478" s="91"/>
      <c r="H478" s="91"/>
      <c r="I478" s="91"/>
      <c r="J478" s="91"/>
      <c r="K478" s="91"/>
      <c r="L478" s="91"/>
      <c r="M478" s="91"/>
      <c r="N478" s="91"/>
      <c r="O478" s="91"/>
      <c r="P478" s="91"/>
      <c r="Q478" s="91"/>
      <c r="R478" s="91"/>
      <c r="S478" s="91"/>
      <c r="T478" s="91"/>
      <c r="U478" s="96">
        <v>45291.0</v>
      </c>
      <c r="BN478" s="94">
        <f t="shared" ref="BN478:DC478" si="394">+$BN$53*$U$58*$X$58</f>
        <v>84.47619048</v>
      </c>
      <c r="BO478" s="94">
        <f t="shared" si="394"/>
        <v>84.47619048</v>
      </c>
      <c r="BP478" s="94">
        <f t="shared" si="394"/>
        <v>84.47619048</v>
      </c>
      <c r="BQ478" s="94">
        <f t="shared" si="394"/>
        <v>84.47619048</v>
      </c>
      <c r="BR478" s="94">
        <f t="shared" si="394"/>
        <v>84.47619048</v>
      </c>
      <c r="BS478" s="94">
        <f t="shared" si="394"/>
        <v>84.47619048</v>
      </c>
      <c r="BT478" s="94">
        <f t="shared" si="394"/>
        <v>84.47619048</v>
      </c>
      <c r="BU478" s="94">
        <f t="shared" si="394"/>
        <v>84.47619048</v>
      </c>
      <c r="BV478" s="94">
        <f t="shared" si="394"/>
        <v>84.47619048</v>
      </c>
      <c r="BW478" s="94">
        <f t="shared" si="394"/>
        <v>84.47619048</v>
      </c>
      <c r="BX478" s="94">
        <f t="shared" si="394"/>
        <v>84.47619048</v>
      </c>
      <c r="BY478" s="94">
        <f t="shared" si="394"/>
        <v>84.47619048</v>
      </c>
      <c r="BZ478" s="94">
        <f t="shared" si="394"/>
        <v>84.47619048</v>
      </c>
      <c r="CA478" s="94">
        <f t="shared" si="394"/>
        <v>84.47619048</v>
      </c>
      <c r="CB478" s="94">
        <f t="shared" si="394"/>
        <v>84.47619048</v>
      </c>
      <c r="CC478" s="94">
        <f t="shared" si="394"/>
        <v>84.47619048</v>
      </c>
      <c r="CD478" s="94">
        <f t="shared" si="394"/>
        <v>84.47619048</v>
      </c>
      <c r="CE478" s="94">
        <f t="shared" si="394"/>
        <v>84.47619048</v>
      </c>
      <c r="CF478" s="94">
        <f t="shared" si="394"/>
        <v>84.47619048</v>
      </c>
      <c r="CG478" s="94">
        <f t="shared" si="394"/>
        <v>84.47619048</v>
      </c>
      <c r="CH478" s="94">
        <f t="shared" si="394"/>
        <v>84.47619048</v>
      </c>
      <c r="CI478" s="94">
        <f t="shared" si="394"/>
        <v>84.47619048</v>
      </c>
      <c r="CJ478" s="94">
        <f t="shared" si="394"/>
        <v>84.47619048</v>
      </c>
      <c r="CK478" s="94">
        <f t="shared" si="394"/>
        <v>84.47619048</v>
      </c>
      <c r="CL478" s="94">
        <f t="shared" si="394"/>
        <v>84.47619048</v>
      </c>
      <c r="CM478" s="94">
        <f t="shared" si="394"/>
        <v>84.47619048</v>
      </c>
      <c r="CN478" s="94">
        <f t="shared" si="394"/>
        <v>84.47619048</v>
      </c>
      <c r="CO478" s="94">
        <f t="shared" si="394"/>
        <v>84.47619048</v>
      </c>
      <c r="CP478" s="94">
        <f t="shared" si="394"/>
        <v>84.47619048</v>
      </c>
      <c r="CQ478" s="94">
        <f t="shared" si="394"/>
        <v>84.47619048</v>
      </c>
      <c r="CR478" s="94">
        <f t="shared" si="394"/>
        <v>84.47619048</v>
      </c>
      <c r="CS478" s="94">
        <f t="shared" si="394"/>
        <v>84.47619048</v>
      </c>
      <c r="CT478" s="94">
        <f t="shared" si="394"/>
        <v>84.47619048</v>
      </c>
      <c r="CU478" s="94">
        <f t="shared" si="394"/>
        <v>84.47619048</v>
      </c>
      <c r="CV478" s="94">
        <f t="shared" si="394"/>
        <v>84.47619048</v>
      </c>
      <c r="CW478" s="94">
        <f t="shared" si="394"/>
        <v>84.47619048</v>
      </c>
      <c r="CX478" s="94">
        <f t="shared" si="394"/>
        <v>84.47619048</v>
      </c>
      <c r="CY478" s="94">
        <f t="shared" si="394"/>
        <v>84.47619048</v>
      </c>
      <c r="CZ478" s="94">
        <f t="shared" si="394"/>
        <v>84.47619048</v>
      </c>
      <c r="DA478" s="94">
        <f t="shared" si="394"/>
        <v>84.47619048</v>
      </c>
      <c r="DB478" s="94">
        <f t="shared" si="394"/>
        <v>84.47619048</v>
      </c>
      <c r="DC478" s="94">
        <f t="shared" si="394"/>
        <v>84.47619048</v>
      </c>
    </row>
    <row r="479" ht="15.75" customHeight="1">
      <c r="A479" s="91"/>
      <c r="B479" s="91"/>
      <c r="C479" s="91"/>
      <c r="D479" s="91"/>
      <c r="E479" s="91"/>
      <c r="F479" s="91"/>
      <c r="G479" s="91"/>
      <c r="H479" s="91"/>
      <c r="I479" s="91"/>
      <c r="J479" s="91"/>
      <c r="K479" s="91"/>
      <c r="L479" s="91"/>
      <c r="M479" s="91"/>
      <c r="N479" s="91"/>
      <c r="O479" s="91"/>
      <c r="P479" s="91"/>
      <c r="Q479" s="91"/>
      <c r="R479" s="91"/>
      <c r="S479" s="91"/>
      <c r="T479" s="91"/>
      <c r="U479" s="96">
        <v>45322.0</v>
      </c>
      <c r="BO479" s="94">
        <f t="shared" ref="BO479:DD479" si="395">+$BO$53*$U$58*$X$58</f>
        <v>126.7142857</v>
      </c>
      <c r="BP479" s="94">
        <f t="shared" si="395"/>
        <v>126.7142857</v>
      </c>
      <c r="BQ479" s="94">
        <f t="shared" si="395"/>
        <v>126.7142857</v>
      </c>
      <c r="BR479" s="94">
        <f t="shared" si="395"/>
        <v>126.7142857</v>
      </c>
      <c r="BS479" s="94">
        <f t="shared" si="395"/>
        <v>126.7142857</v>
      </c>
      <c r="BT479" s="94">
        <f t="shared" si="395"/>
        <v>126.7142857</v>
      </c>
      <c r="BU479" s="94">
        <f t="shared" si="395"/>
        <v>126.7142857</v>
      </c>
      <c r="BV479" s="94">
        <f t="shared" si="395"/>
        <v>126.7142857</v>
      </c>
      <c r="BW479" s="94">
        <f t="shared" si="395"/>
        <v>126.7142857</v>
      </c>
      <c r="BX479" s="94">
        <f t="shared" si="395"/>
        <v>126.7142857</v>
      </c>
      <c r="BY479" s="94">
        <f t="shared" si="395"/>
        <v>126.7142857</v>
      </c>
      <c r="BZ479" s="94">
        <f t="shared" si="395"/>
        <v>126.7142857</v>
      </c>
      <c r="CA479" s="94">
        <f t="shared" si="395"/>
        <v>126.7142857</v>
      </c>
      <c r="CB479" s="94">
        <f t="shared" si="395"/>
        <v>126.7142857</v>
      </c>
      <c r="CC479" s="94">
        <f t="shared" si="395"/>
        <v>126.7142857</v>
      </c>
      <c r="CD479" s="94">
        <f t="shared" si="395"/>
        <v>126.7142857</v>
      </c>
      <c r="CE479" s="94">
        <f t="shared" si="395"/>
        <v>126.7142857</v>
      </c>
      <c r="CF479" s="94">
        <f t="shared" si="395"/>
        <v>126.7142857</v>
      </c>
      <c r="CG479" s="94">
        <f t="shared" si="395"/>
        <v>126.7142857</v>
      </c>
      <c r="CH479" s="94">
        <f t="shared" si="395"/>
        <v>126.7142857</v>
      </c>
      <c r="CI479" s="94">
        <f t="shared" si="395"/>
        <v>126.7142857</v>
      </c>
      <c r="CJ479" s="94">
        <f t="shared" si="395"/>
        <v>126.7142857</v>
      </c>
      <c r="CK479" s="94">
        <f t="shared" si="395"/>
        <v>126.7142857</v>
      </c>
      <c r="CL479" s="94">
        <f t="shared" si="395"/>
        <v>126.7142857</v>
      </c>
      <c r="CM479" s="94">
        <f t="shared" si="395"/>
        <v>126.7142857</v>
      </c>
      <c r="CN479" s="94">
        <f t="shared" si="395"/>
        <v>126.7142857</v>
      </c>
      <c r="CO479" s="94">
        <f t="shared" si="395"/>
        <v>126.7142857</v>
      </c>
      <c r="CP479" s="94">
        <f t="shared" si="395"/>
        <v>126.7142857</v>
      </c>
      <c r="CQ479" s="94">
        <f t="shared" si="395"/>
        <v>126.7142857</v>
      </c>
      <c r="CR479" s="94">
        <f t="shared" si="395"/>
        <v>126.7142857</v>
      </c>
      <c r="CS479" s="94">
        <f t="shared" si="395"/>
        <v>126.7142857</v>
      </c>
      <c r="CT479" s="94">
        <f t="shared" si="395"/>
        <v>126.7142857</v>
      </c>
      <c r="CU479" s="94">
        <f t="shared" si="395"/>
        <v>126.7142857</v>
      </c>
      <c r="CV479" s="94">
        <f t="shared" si="395"/>
        <v>126.7142857</v>
      </c>
      <c r="CW479" s="94">
        <f t="shared" si="395"/>
        <v>126.7142857</v>
      </c>
      <c r="CX479" s="94">
        <f t="shared" si="395"/>
        <v>126.7142857</v>
      </c>
      <c r="CY479" s="94">
        <f t="shared" si="395"/>
        <v>126.7142857</v>
      </c>
      <c r="CZ479" s="94">
        <f t="shared" si="395"/>
        <v>126.7142857</v>
      </c>
      <c r="DA479" s="94">
        <f t="shared" si="395"/>
        <v>126.7142857</v>
      </c>
      <c r="DB479" s="94">
        <f t="shared" si="395"/>
        <v>126.7142857</v>
      </c>
      <c r="DC479" s="94">
        <f t="shared" si="395"/>
        <v>126.7142857</v>
      </c>
      <c r="DD479" s="94">
        <f t="shared" si="395"/>
        <v>126.7142857</v>
      </c>
    </row>
    <row r="480" ht="15.75" customHeight="1">
      <c r="A480" s="91"/>
      <c r="B480" s="91"/>
      <c r="C480" s="91"/>
      <c r="D480" s="91"/>
      <c r="E480" s="91"/>
      <c r="F480" s="91"/>
      <c r="G480" s="91"/>
      <c r="H480" s="91"/>
      <c r="I480" s="91"/>
      <c r="J480" s="91"/>
      <c r="K480" s="91"/>
      <c r="L480" s="91"/>
      <c r="M480" s="91"/>
      <c r="N480" s="91"/>
      <c r="O480" s="91"/>
      <c r="P480" s="91"/>
      <c r="Q480" s="91"/>
      <c r="R480" s="91"/>
      <c r="S480" s="91"/>
      <c r="T480" s="91"/>
      <c r="U480" s="96">
        <v>45351.0</v>
      </c>
      <c r="BP480" s="94">
        <f t="shared" ref="BP480:DE480" si="396">+$BP$53*$U$58*$X$58</f>
        <v>211.1904762</v>
      </c>
      <c r="BQ480" s="94">
        <f t="shared" si="396"/>
        <v>211.1904762</v>
      </c>
      <c r="BR480" s="94">
        <f t="shared" si="396"/>
        <v>211.1904762</v>
      </c>
      <c r="BS480" s="94">
        <f t="shared" si="396"/>
        <v>211.1904762</v>
      </c>
      <c r="BT480" s="94">
        <f t="shared" si="396"/>
        <v>211.1904762</v>
      </c>
      <c r="BU480" s="94">
        <f t="shared" si="396"/>
        <v>211.1904762</v>
      </c>
      <c r="BV480" s="94">
        <f t="shared" si="396"/>
        <v>211.1904762</v>
      </c>
      <c r="BW480" s="94">
        <f t="shared" si="396"/>
        <v>211.1904762</v>
      </c>
      <c r="BX480" s="94">
        <f t="shared" si="396"/>
        <v>211.1904762</v>
      </c>
      <c r="BY480" s="94">
        <f t="shared" si="396"/>
        <v>211.1904762</v>
      </c>
      <c r="BZ480" s="94">
        <f t="shared" si="396"/>
        <v>211.1904762</v>
      </c>
      <c r="CA480" s="94">
        <f t="shared" si="396"/>
        <v>211.1904762</v>
      </c>
      <c r="CB480" s="94">
        <f t="shared" si="396"/>
        <v>211.1904762</v>
      </c>
      <c r="CC480" s="94">
        <f t="shared" si="396"/>
        <v>211.1904762</v>
      </c>
      <c r="CD480" s="94">
        <f t="shared" si="396"/>
        <v>211.1904762</v>
      </c>
      <c r="CE480" s="94">
        <f t="shared" si="396"/>
        <v>211.1904762</v>
      </c>
      <c r="CF480" s="94">
        <f t="shared" si="396"/>
        <v>211.1904762</v>
      </c>
      <c r="CG480" s="94">
        <f t="shared" si="396"/>
        <v>211.1904762</v>
      </c>
      <c r="CH480" s="94">
        <f t="shared" si="396"/>
        <v>211.1904762</v>
      </c>
      <c r="CI480" s="94">
        <f t="shared" si="396"/>
        <v>211.1904762</v>
      </c>
      <c r="CJ480" s="94">
        <f t="shared" si="396"/>
        <v>211.1904762</v>
      </c>
      <c r="CK480" s="94">
        <f t="shared" si="396"/>
        <v>211.1904762</v>
      </c>
      <c r="CL480" s="94">
        <f t="shared" si="396"/>
        <v>211.1904762</v>
      </c>
      <c r="CM480" s="94">
        <f t="shared" si="396"/>
        <v>211.1904762</v>
      </c>
      <c r="CN480" s="94">
        <f t="shared" si="396"/>
        <v>211.1904762</v>
      </c>
      <c r="CO480" s="94">
        <f t="shared" si="396"/>
        <v>211.1904762</v>
      </c>
      <c r="CP480" s="94">
        <f t="shared" si="396"/>
        <v>211.1904762</v>
      </c>
      <c r="CQ480" s="94">
        <f t="shared" si="396"/>
        <v>211.1904762</v>
      </c>
      <c r="CR480" s="94">
        <f t="shared" si="396"/>
        <v>211.1904762</v>
      </c>
      <c r="CS480" s="94">
        <f t="shared" si="396"/>
        <v>211.1904762</v>
      </c>
      <c r="CT480" s="94">
        <f t="shared" si="396"/>
        <v>211.1904762</v>
      </c>
      <c r="CU480" s="94">
        <f t="shared" si="396"/>
        <v>211.1904762</v>
      </c>
      <c r="CV480" s="94">
        <f t="shared" si="396"/>
        <v>211.1904762</v>
      </c>
      <c r="CW480" s="94">
        <f t="shared" si="396"/>
        <v>211.1904762</v>
      </c>
      <c r="CX480" s="94">
        <f t="shared" si="396"/>
        <v>211.1904762</v>
      </c>
      <c r="CY480" s="94">
        <f t="shared" si="396"/>
        <v>211.1904762</v>
      </c>
      <c r="CZ480" s="94">
        <f t="shared" si="396"/>
        <v>211.1904762</v>
      </c>
      <c r="DA480" s="94">
        <f t="shared" si="396"/>
        <v>211.1904762</v>
      </c>
      <c r="DB480" s="94">
        <f t="shared" si="396"/>
        <v>211.1904762</v>
      </c>
      <c r="DC480" s="94">
        <f t="shared" si="396"/>
        <v>211.1904762</v>
      </c>
      <c r="DD480" s="94">
        <f t="shared" si="396"/>
        <v>211.1904762</v>
      </c>
      <c r="DE480" s="94">
        <f t="shared" si="396"/>
        <v>211.1904762</v>
      </c>
    </row>
    <row r="481" ht="15.75" customHeight="1">
      <c r="A481" s="91"/>
      <c r="B481" s="91"/>
      <c r="C481" s="91"/>
      <c r="D481" s="91"/>
      <c r="E481" s="91"/>
      <c r="F481" s="91"/>
      <c r="G481" s="91"/>
      <c r="H481" s="91"/>
      <c r="I481" s="91"/>
      <c r="J481" s="91"/>
      <c r="K481" s="91"/>
      <c r="L481" s="91"/>
      <c r="M481" s="91"/>
      <c r="N481" s="91"/>
      <c r="O481" s="91"/>
      <c r="P481" s="91"/>
      <c r="Q481" s="91"/>
      <c r="R481" s="91"/>
      <c r="S481" s="91"/>
      <c r="T481" s="91"/>
      <c r="U481" s="96">
        <v>45382.0</v>
      </c>
      <c r="BQ481" s="94">
        <f t="shared" ref="BQ481:DF481" si="397">+$BQ$53*$U$58*$X$58</f>
        <v>211.1904762</v>
      </c>
      <c r="BR481" s="94">
        <f t="shared" si="397"/>
        <v>211.1904762</v>
      </c>
      <c r="BS481" s="94">
        <f t="shared" si="397"/>
        <v>211.1904762</v>
      </c>
      <c r="BT481" s="94">
        <f t="shared" si="397"/>
        <v>211.1904762</v>
      </c>
      <c r="BU481" s="94">
        <f t="shared" si="397"/>
        <v>211.1904762</v>
      </c>
      <c r="BV481" s="94">
        <f t="shared" si="397"/>
        <v>211.1904762</v>
      </c>
      <c r="BW481" s="94">
        <f t="shared" si="397"/>
        <v>211.1904762</v>
      </c>
      <c r="BX481" s="94">
        <f t="shared" si="397"/>
        <v>211.1904762</v>
      </c>
      <c r="BY481" s="94">
        <f t="shared" si="397"/>
        <v>211.1904762</v>
      </c>
      <c r="BZ481" s="94">
        <f t="shared" si="397"/>
        <v>211.1904762</v>
      </c>
      <c r="CA481" s="94">
        <f t="shared" si="397"/>
        <v>211.1904762</v>
      </c>
      <c r="CB481" s="94">
        <f t="shared" si="397"/>
        <v>211.1904762</v>
      </c>
      <c r="CC481" s="94">
        <f t="shared" si="397"/>
        <v>211.1904762</v>
      </c>
      <c r="CD481" s="94">
        <f t="shared" si="397"/>
        <v>211.1904762</v>
      </c>
      <c r="CE481" s="94">
        <f t="shared" si="397"/>
        <v>211.1904762</v>
      </c>
      <c r="CF481" s="94">
        <f t="shared" si="397"/>
        <v>211.1904762</v>
      </c>
      <c r="CG481" s="94">
        <f t="shared" si="397"/>
        <v>211.1904762</v>
      </c>
      <c r="CH481" s="94">
        <f t="shared" si="397"/>
        <v>211.1904762</v>
      </c>
      <c r="CI481" s="94">
        <f t="shared" si="397"/>
        <v>211.1904762</v>
      </c>
      <c r="CJ481" s="94">
        <f t="shared" si="397"/>
        <v>211.1904762</v>
      </c>
      <c r="CK481" s="94">
        <f t="shared" si="397"/>
        <v>211.1904762</v>
      </c>
      <c r="CL481" s="94">
        <f t="shared" si="397"/>
        <v>211.1904762</v>
      </c>
      <c r="CM481" s="94">
        <f t="shared" si="397"/>
        <v>211.1904762</v>
      </c>
      <c r="CN481" s="94">
        <f t="shared" si="397"/>
        <v>211.1904762</v>
      </c>
      <c r="CO481" s="94">
        <f t="shared" si="397"/>
        <v>211.1904762</v>
      </c>
      <c r="CP481" s="94">
        <f t="shared" si="397"/>
        <v>211.1904762</v>
      </c>
      <c r="CQ481" s="94">
        <f t="shared" si="397"/>
        <v>211.1904762</v>
      </c>
      <c r="CR481" s="94">
        <f t="shared" si="397"/>
        <v>211.1904762</v>
      </c>
      <c r="CS481" s="94">
        <f t="shared" si="397"/>
        <v>211.1904762</v>
      </c>
      <c r="CT481" s="94">
        <f t="shared" si="397"/>
        <v>211.1904762</v>
      </c>
      <c r="CU481" s="94">
        <f t="shared" si="397"/>
        <v>211.1904762</v>
      </c>
      <c r="CV481" s="94">
        <f t="shared" si="397"/>
        <v>211.1904762</v>
      </c>
      <c r="CW481" s="94">
        <f t="shared" si="397"/>
        <v>211.1904762</v>
      </c>
      <c r="CX481" s="94">
        <f t="shared" si="397"/>
        <v>211.1904762</v>
      </c>
      <c r="CY481" s="94">
        <f t="shared" si="397"/>
        <v>211.1904762</v>
      </c>
      <c r="CZ481" s="94">
        <f t="shared" si="397"/>
        <v>211.1904762</v>
      </c>
      <c r="DA481" s="94">
        <f t="shared" si="397"/>
        <v>211.1904762</v>
      </c>
      <c r="DB481" s="94">
        <f t="shared" si="397"/>
        <v>211.1904762</v>
      </c>
      <c r="DC481" s="94">
        <f t="shared" si="397"/>
        <v>211.1904762</v>
      </c>
      <c r="DD481" s="94">
        <f t="shared" si="397"/>
        <v>211.1904762</v>
      </c>
      <c r="DE481" s="94">
        <f t="shared" si="397"/>
        <v>211.1904762</v>
      </c>
      <c r="DF481" s="94">
        <f t="shared" si="397"/>
        <v>211.1904762</v>
      </c>
    </row>
    <row r="482" ht="15.75" customHeight="1">
      <c r="A482" s="91"/>
      <c r="B482" s="91"/>
      <c r="C482" s="91"/>
      <c r="D482" s="91"/>
      <c r="E482" s="91"/>
      <c r="F482" s="91"/>
      <c r="G482" s="91"/>
      <c r="H482" s="91"/>
      <c r="I482" s="91"/>
      <c r="J482" s="91"/>
      <c r="K482" s="91"/>
      <c r="L482" s="91"/>
      <c r="M482" s="91"/>
      <c r="N482" s="91"/>
      <c r="O482" s="91"/>
      <c r="P482" s="91"/>
      <c r="Q482" s="91"/>
      <c r="R482" s="91"/>
      <c r="S482" s="91"/>
      <c r="T482" s="91"/>
      <c r="U482" s="96">
        <v>45412.0</v>
      </c>
      <c r="BR482" s="94">
        <f t="shared" ref="BR482:DG482" si="398">+$BR$53*$U$58*$X$58</f>
        <v>234.6560847</v>
      </c>
      <c r="BS482" s="94">
        <f t="shared" si="398"/>
        <v>234.6560847</v>
      </c>
      <c r="BT482" s="94">
        <f t="shared" si="398"/>
        <v>234.6560847</v>
      </c>
      <c r="BU482" s="94">
        <f t="shared" si="398"/>
        <v>234.6560847</v>
      </c>
      <c r="BV482" s="94">
        <f t="shared" si="398"/>
        <v>234.6560847</v>
      </c>
      <c r="BW482" s="94">
        <f t="shared" si="398"/>
        <v>234.6560847</v>
      </c>
      <c r="BX482" s="94">
        <f t="shared" si="398"/>
        <v>234.6560847</v>
      </c>
      <c r="BY482" s="94">
        <f t="shared" si="398"/>
        <v>234.6560847</v>
      </c>
      <c r="BZ482" s="94">
        <f t="shared" si="398"/>
        <v>234.6560847</v>
      </c>
      <c r="CA482" s="94">
        <f t="shared" si="398"/>
        <v>234.6560847</v>
      </c>
      <c r="CB482" s="94">
        <f t="shared" si="398"/>
        <v>234.6560847</v>
      </c>
      <c r="CC482" s="94">
        <f t="shared" si="398"/>
        <v>234.6560847</v>
      </c>
      <c r="CD482" s="94">
        <f t="shared" si="398"/>
        <v>234.6560847</v>
      </c>
      <c r="CE482" s="94">
        <f t="shared" si="398"/>
        <v>234.6560847</v>
      </c>
      <c r="CF482" s="94">
        <f t="shared" si="398"/>
        <v>234.6560847</v>
      </c>
      <c r="CG482" s="94">
        <f t="shared" si="398"/>
        <v>234.6560847</v>
      </c>
      <c r="CH482" s="94">
        <f t="shared" si="398"/>
        <v>234.6560847</v>
      </c>
      <c r="CI482" s="94">
        <f t="shared" si="398"/>
        <v>234.6560847</v>
      </c>
      <c r="CJ482" s="94">
        <f t="shared" si="398"/>
        <v>234.6560847</v>
      </c>
      <c r="CK482" s="94">
        <f t="shared" si="398"/>
        <v>234.6560847</v>
      </c>
      <c r="CL482" s="94">
        <f t="shared" si="398"/>
        <v>234.6560847</v>
      </c>
      <c r="CM482" s="94">
        <f t="shared" si="398"/>
        <v>234.6560847</v>
      </c>
      <c r="CN482" s="94">
        <f t="shared" si="398"/>
        <v>234.6560847</v>
      </c>
      <c r="CO482" s="94">
        <f t="shared" si="398"/>
        <v>234.6560847</v>
      </c>
      <c r="CP482" s="94">
        <f t="shared" si="398"/>
        <v>234.6560847</v>
      </c>
      <c r="CQ482" s="94">
        <f t="shared" si="398"/>
        <v>234.6560847</v>
      </c>
      <c r="CR482" s="94">
        <f t="shared" si="398"/>
        <v>234.6560847</v>
      </c>
      <c r="CS482" s="94">
        <f t="shared" si="398"/>
        <v>234.6560847</v>
      </c>
      <c r="CT482" s="94">
        <f t="shared" si="398"/>
        <v>234.6560847</v>
      </c>
      <c r="CU482" s="94">
        <f t="shared" si="398"/>
        <v>234.6560847</v>
      </c>
      <c r="CV482" s="94">
        <f t="shared" si="398"/>
        <v>234.6560847</v>
      </c>
      <c r="CW482" s="94">
        <f t="shared" si="398"/>
        <v>234.6560847</v>
      </c>
      <c r="CX482" s="94">
        <f t="shared" si="398"/>
        <v>234.6560847</v>
      </c>
      <c r="CY482" s="94">
        <f t="shared" si="398"/>
        <v>234.6560847</v>
      </c>
      <c r="CZ482" s="94">
        <f t="shared" si="398"/>
        <v>234.6560847</v>
      </c>
      <c r="DA482" s="94">
        <f t="shared" si="398"/>
        <v>234.6560847</v>
      </c>
      <c r="DB482" s="94">
        <f t="shared" si="398"/>
        <v>234.6560847</v>
      </c>
      <c r="DC482" s="94">
        <f t="shared" si="398"/>
        <v>234.6560847</v>
      </c>
      <c r="DD482" s="94">
        <f t="shared" si="398"/>
        <v>234.6560847</v>
      </c>
      <c r="DE482" s="94">
        <f t="shared" si="398"/>
        <v>234.6560847</v>
      </c>
      <c r="DF482" s="94">
        <f t="shared" si="398"/>
        <v>234.6560847</v>
      </c>
      <c r="DG482" s="94">
        <f t="shared" si="398"/>
        <v>234.6560847</v>
      </c>
    </row>
    <row r="483" ht="15.75" customHeight="1">
      <c r="A483" s="91"/>
      <c r="B483" s="91"/>
      <c r="C483" s="91"/>
      <c r="D483" s="91"/>
      <c r="E483" s="91"/>
      <c r="F483" s="91"/>
      <c r="G483" s="91"/>
      <c r="H483" s="91"/>
      <c r="I483" s="91"/>
      <c r="J483" s="91"/>
      <c r="K483" s="91"/>
      <c r="L483" s="91"/>
      <c r="M483" s="91"/>
      <c r="N483" s="91"/>
      <c r="O483" s="91"/>
      <c r="P483" s="91"/>
      <c r="Q483" s="91"/>
      <c r="R483" s="91"/>
      <c r="S483" s="91"/>
      <c r="T483" s="91"/>
      <c r="U483" s="96">
        <v>45443.0</v>
      </c>
      <c r="BS483" s="94">
        <f t="shared" ref="BS483:DH483" si="399">+$BS$53*$U$58*$X$58</f>
        <v>234.6560847</v>
      </c>
      <c r="BT483" s="94">
        <f t="shared" si="399"/>
        <v>234.6560847</v>
      </c>
      <c r="BU483" s="94">
        <f t="shared" si="399"/>
        <v>234.6560847</v>
      </c>
      <c r="BV483" s="94">
        <f t="shared" si="399"/>
        <v>234.6560847</v>
      </c>
      <c r="BW483" s="94">
        <f t="shared" si="399"/>
        <v>234.6560847</v>
      </c>
      <c r="BX483" s="94">
        <f t="shared" si="399"/>
        <v>234.6560847</v>
      </c>
      <c r="BY483" s="94">
        <f t="shared" si="399"/>
        <v>234.6560847</v>
      </c>
      <c r="BZ483" s="94">
        <f t="shared" si="399"/>
        <v>234.6560847</v>
      </c>
      <c r="CA483" s="94">
        <f t="shared" si="399"/>
        <v>234.6560847</v>
      </c>
      <c r="CB483" s="94">
        <f t="shared" si="399"/>
        <v>234.6560847</v>
      </c>
      <c r="CC483" s="94">
        <f t="shared" si="399"/>
        <v>234.6560847</v>
      </c>
      <c r="CD483" s="94">
        <f t="shared" si="399"/>
        <v>234.6560847</v>
      </c>
      <c r="CE483" s="94">
        <f t="shared" si="399"/>
        <v>234.6560847</v>
      </c>
      <c r="CF483" s="94">
        <f t="shared" si="399"/>
        <v>234.6560847</v>
      </c>
      <c r="CG483" s="94">
        <f t="shared" si="399"/>
        <v>234.6560847</v>
      </c>
      <c r="CH483" s="94">
        <f t="shared" si="399"/>
        <v>234.6560847</v>
      </c>
      <c r="CI483" s="94">
        <f t="shared" si="399"/>
        <v>234.6560847</v>
      </c>
      <c r="CJ483" s="94">
        <f t="shared" si="399"/>
        <v>234.6560847</v>
      </c>
      <c r="CK483" s="94">
        <f t="shared" si="399"/>
        <v>234.6560847</v>
      </c>
      <c r="CL483" s="94">
        <f t="shared" si="399"/>
        <v>234.6560847</v>
      </c>
      <c r="CM483" s="94">
        <f t="shared" si="399"/>
        <v>234.6560847</v>
      </c>
      <c r="CN483" s="94">
        <f t="shared" si="399"/>
        <v>234.6560847</v>
      </c>
      <c r="CO483" s="94">
        <f t="shared" si="399"/>
        <v>234.6560847</v>
      </c>
      <c r="CP483" s="94">
        <f t="shared" si="399"/>
        <v>234.6560847</v>
      </c>
      <c r="CQ483" s="94">
        <f t="shared" si="399"/>
        <v>234.6560847</v>
      </c>
      <c r="CR483" s="94">
        <f t="shared" si="399"/>
        <v>234.6560847</v>
      </c>
      <c r="CS483" s="94">
        <f t="shared" si="399"/>
        <v>234.6560847</v>
      </c>
      <c r="CT483" s="94">
        <f t="shared" si="399"/>
        <v>234.6560847</v>
      </c>
      <c r="CU483" s="94">
        <f t="shared" si="399"/>
        <v>234.6560847</v>
      </c>
      <c r="CV483" s="94">
        <f t="shared" si="399"/>
        <v>234.6560847</v>
      </c>
      <c r="CW483" s="94">
        <f t="shared" si="399"/>
        <v>234.6560847</v>
      </c>
      <c r="CX483" s="94">
        <f t="shared" si="399"/>
        <v>234.6560847</v>
      </c>
      <c r="CY483" s="94">
        <f t="shared" si="399"/>
        <v>234.6560847</v>
      </c>
      <c r="CZ483" s="94">
        <f t="shared" si="399"/>
        <v>234.6560847</v>
      </c>
      <c r="DA483" s="94">
        <f t="shared" si="399"/>
        <v>234.6560847</v>
      </c>
      <c r="DB483" s="94">
        <f t="shared" si="399"/>
        <v>234.6560847</v>
      </c>
      <c r="DC483" s="94">
        <f t="shared" si="399"/>
        <v>234.6560847</v>
      </c>
      <c r="DD483" s="94">
        <f t="shared" si="399"/>
        <v>234.6560847</v>
      </c>
      <c r="DE483" s="94">
        <f t="shared" si="399"/>
        <v>234.6560847</v>
      </c>
      <c r="DF483" s="94">
        <f t="shared" si="399"/>
        <v>234.6560847</v>
      </c>
      <c r="DG483" s="94">
        <f t="shared" si="399"/>
        <v>234.6560847</v>
      </c>
      <c r="DH483" s="94">
        <f t="shared" si="399"/>
        <v>234.6560847</v>
      </c>
    </row>
    <row r="484" ht="15.75" customHeight="1">
      <c r="A484" s="91"/>
      <c r="B484" s="91"/>
      <c r="C484" s="91"/>
      <c r="D484" s="91"/>
      <c r="E484" s="91"/>
      <c r="F484" s="91"/>
      <c r="G484" s="91"/>
      <c r="H484" s="91"/>
      <c r="I484" s="91"/>
      <c r="J484" s="91"/>
      <c r="K484" s="91"/>
      <c r="L484" s="91"/>
      <c r="M484" s="91"/>
      <c r="N484" s="91"/>
      <c r="O484" s="91"/>
      <c r="P484" s="91"/>
      <c r="Q484" s="91"/>
      <c r="R484" s="91"/>
      <c r="S484" s="91"/>
      <c r="T484" s="91"/>
      <c r="U484" s="96">
        <v>45473.0</v>
      </c>
      <c r="BT484" s="94">
        <f t="shared" ref="BT484:DI484" si="400">+$BT$53*$U$58*$X$58</f>
        <v>263.9880952</v>
      </c>
      <c r="BU484" s="94">
        <f t="shared" si="400"/>
        <v>263.9880952</v>
      </c>
      <c r="BV484" s="94">
        <f t="shared" si="400"/>
        <v>263.9880952</v>
      </c>
      <c r="BW484" s="94">
        <f t="shared" si="400"/>
        <v>263.9880952</v>
      </c>
      <c r="BX484" s="94">
        <f t="shared" si="400"/>
        <v>263.9880952</v>
      </c>
      <c r="BY484" s="94">
        <f t="shared" si="400"/>
        <v>263.9880952</v>
      </c>
      <c r="BZ484" s="94">
        <f t="shared" si="400"/>
        <v>263.9880952</v>
      </c>
      <c r="CA484" s="94">
        <f t="shared" si="400"/>
        <v>263.9880952</v>
      </c>
      <c r="CB484" s="94">
        <f t="shared" si="400"/>
        <v>263.9880952</v>
      </c>
      <c r="CC484" s="94">
        <f t="shared" si="400"/>
        <v>263.9880952</v>
      </c>
      <c r="CD484" s="94">
        <f t="shared" si="400"/>
        <v>263.9880952</v>
      </c>
      <c r="CE484" s="94">
        <f t="shared" si="400"/>
        <v>263.9880952</v>
      </c>
      <c r="CF484" s="94">
        <f t="shared" si="400"/>
        <v>263.9880952</v>
      </c>
      <c r="CG484" s="94">
        <f t="shared" si="400"/>
        <v>263.9880952</v>
      </c>
      <c r="CH484" s="94">
        <f t="shared" si="400"/>
        <v>263.9880952</v>
      </c>
      <c r="CI484" s="94">
        <f t="shared" si="400"/>
        <v>263.9880952</v>
      </c>
      <c r="CJ484" s="94">
        <f t="shared" si="400"/>
        <v>263.9880952</v>
      </c>
      <c r="CK484" s="94">
        <f t="shared" si="400"/>
        <v>263.9880952</v>
      </c>
      <c r="CL484" s="94">
        <f t="shared" si="400"/>
        <v>263.9880952</v>
      </c>
      <c r="CM484" s="94">
        <f t="shared" si="400"/>
        <v>263.9880952</v>
      </c>
      <c r="CN484" s="94">
        <f t="shared" si="400"/>
        <v>263.9880952</v>
      </c>
      <c r="CO484" s="94">
        <f t="shared" si="400"/>
        <v>263.9880952</v>
      </c>
      <c r="CP484" s="94">
        <f t="shared" si="400"/>
        <v>263.9880952</v>
      </c>
      <c r="CQ484" s="94">
        <f t="shared" si="400"/>
        <v>263.9880952</v>
      </c>
      <c r="CR484" s="94">
        <f t="shared" si="400"/>
        <v>263.9880952</v>
      </c>
      <c r="CS484" s="94">
        <f t="shared" si="400"/>
        <v>263.9880952</v>
      </c>
      <c r="CT484" s="94">
        <f t="shared" si="400"/>
        <v>263.9880952</v>
      </c>
      <c r="CU484" s="94">
        <f t="shared" si="400"/>
        <v>263.9880952</v>
      </c>
      <c r="CV484" s="94">
        <f t="shared" si="400"/>
        <v>263.9880952</v>
      </c>
      <c r="CW484" s="94">
        <f t="shared" si="400"/>
        <v>263.9880952</v>
      </c>
      <c r="CX484" s="94">
        <f t="shared" si="400"/>
        <v>263.9880952</v>
      </c>
      <c r="CY484" s="94">
        <f t="shared" si="400"/>
        <v>263.9880952</v>
      </c>
      <c r="CZ484" s="94">
        <f t="shared" si="400"/>
        <v>263.9880952</v>
      </c>
      <c r="DA484" s="94">
        <f t="shared" si="400"/>
        <v>263.9880952</v>
      </c>
      <c r="DB484" s="94">
        <f t="shared" si="400"/>
        <v>263.9880952</v>
      </c>
      <c r="DC484" s="94">
        <f t="shared" si="400"/>
        <v>263.9880952</v>
      </c>
      <c r="DD484" s="94">
        <f t="shared" si="400"/>
        <v>263.9880952</v>
      </c>
      <c r="DE484" s="94">
        <f t="shared" si="400"/>
        <v>263.9880952</v>
      </c>
      <c r="DF484" s="94">
        <f t="shared" si="400"/>
        <v>263.9880952</v>
      </c>
      <c r="DG484" s="94">
        <f t="shared" si="400"/>
        <v>263.9880952</v>
      </c>
      <c r="DH484" s="94">
        <f t="shared" si="400"/>
        <v>263.9880952</v>
      </c>
      <c r="DI484" s="94">
        <f t="shared" si="400"/>
        <v>263.9880952</v>
      </c>
    </row>
    <row r="485" ht="15.75" customHeight="1">
      <c r="A485" s="91"/>
      <c r="B485" s="91"/>
      <c r="C485" s="91"/>
      <c r="D485" s="91"/>
      <c r="E485" s="91"/>
      <c r="F485" s="91"/>
      <c r="G485" s="91"/>
      <c r="H485" s="91"/>
      <c r="I485" s="91"/>
      <c r="J485" s="91"/>
      <c r="K485" s="91"/>
      <c r="L485" s="91"/>
      <c r="M485" s="91"/>
      <c r="N485" s="91"/>
      <c r="O485" s="91"/>
      <c r="P485" s="91"/>
      <c r="Q485" s="91"/>
      <c r="R485" s="91"/>
      <c r="S485" s="91"/>
      <c r="T485" s="91"/>
      <c r="U485" s="96">
        <v>45504.0</v>
      </c>
      <c r="BU485" s="94">
        <f t="shared" ref="BU485:DJ485" si="401">+$BU$53*$U$58*$X$58</f>
        <v>301.7006803</v>
      </c>
      <c r="BV485" s="94">
        <f t="shared" si="401"/>
        <v>301.7006803</v>
      </c>
      <c r="BW485" s="94">
        <f t="shared" si="401"/>
        <v>301.7006803</v>
      </c>
      <c r="BX485" s="94">
        <f t="shared" si="401"/>
        <v>301.7006803</v>
      </c>
      <c r="BY485" s="94">
        <f t="shared" si="401"/>
        <v>301.7006803</v>
      </c>
      <c r="BZ485" s="94">
        <f t="shared" si="401"/>
        <v>301.7006803</v>
      </c>
      <c r="CA485" s="94">
        <f t="shared" si="401"/>
        <v>301.7006803</v>
      </c>
      <c r="CB485" s="94">
        <f t="shared" si="401"/>
        <v>301.7006803</v>
      </c>
      <c r="CC485" s="94">
        <f t="shared" si="401"/>
        <v>301.7006803</v>
      </c>
      <c r="CD485" s="94">
        <f t="shared" si="401"/>
        <v>301.7006803</v>
      </c>
      <c r="CE485" s="94">
        <f t="shared" si="401"/>
        <v>301.7006803</v>
      </c>
      <c r="CF485" s="94">
        <f t="shared" si="401"/>
        <v>301.7006803</v>
      </c>
      <c r="CG485" s="94">
        <f t="shared" si="401"/>
        <v>301.7006803</v>
      </c>
      <c r="CH485" s="94">
        <f t="shared" si="401"/>
        <v>301.7006803</v>
      </c>
      <c r="CI485" s="94">
        <f t="shared" si="401"/>
        <v>301.7006803</v>
      </c>
      <c r="CJ485" s="94">
        <f t="shared" si="401"/>
        <v>301.7006803</v>
      </c>
      <c r="CK485" s="94">
        <f t="shared" si="401"/>
        <v>301.7006803</v>
      </c>
      <c r="CL485" s="94">
        <f t="shared" si="401"/>
        <v>301.7006803</v>
      </c>
      <c r="CM485" s="94">
        <f t="shared" si="401"/>
        <v>301.7006803</v>
      </c>
      <c r="CN485" s="94">
        <f t="shared" si="401"/>
        <v>301.7006803</v>
      </c>
      <c r="CO485" s="94">
        <f t="shared" si="401"/>
        <v>301.7006803</v>
      </c>
      <c r="CP485" s="94">
        <f t="shared" si="401"/>
        <v>301.7006803</v>
      </c>
      <c r="CQ485" s="94">
        <f t="shared" si="401"/>
        <v>301.7006803</v>
      </c>
      <c r="CR485" s="94">
        <f t="shared" si="401"/>
        <v>301.7006803</v>
      </c>
      <c r="CS485" s="94">
        <f t="shared" si="401"/>
        <v>301.7006803</v>
      </c>
      <c r="CT485" s="94">
        <f t="shared" si="401"/>
        <v>301.7006803</v>
      </c>
      <c r="CU485" s="94">
        <f t="shared" si="401"/>
        <v>301.7006803</v>
      </c>
      <c r="CV485" s="94">
        <f t="shared" si="401"/>
        <v>301.7006803</v>
      </c>
      <c r="CW485" s="94">
        <f t="shared" si="401"/>
        <v>301.7006803</v>
      </c>
      <c r="CX485" s="94">
        <f t="shared" si="401"/>
        <v>301.7006803</v>
      </c>
      <c r="CY485" s="94">
        <f t="shared" si="401"/>
        <v>301.7006803</v>
      </c>
      <c r="CZ485" s="94">
        <f t="shared" si="401"/>
        <v>301.7006803</v>
      </c>
      <c r="DA485" s="94">
        <f t="shared" si="401"/>
        <v>301.7006803</v>
      </c>
      <c r="DB485" s="94">
        <f t="shared" si="401"/>
        <v>301.7006803</v>
      </c>
      <c r="DC485" s="94">
        <f t="shared" si="401"/>
        <v>301.7006803</v>
      </c>
      <c r="DD485" s="94">
        <f t="shared" si="401"/>
        <v>301.7006803</v>
      </c>
      <c r="DE485" s="94">
        <f t="shared" si="401"/>
        <v>301.7006803</v>
      </c>
      <c r="DF485" s="94">
        <f t="shared" si="401"/>
        <v>301.7006803</v>
      </c>
      <c r="DG485" s="94">
        <f t="shared" si="401"/>
        <v>301.7006803</v>
      </c>
      <c r="DH485" s="94">
        <f t="shared" si="401"/>
        <v>301.7006803</v>
      </c>
      <c r="DI485" s="94">
        <f t="shared" si="401"/>
        <v>301.7006803</v>
      </c>
      <c r="DJ485" s="94">
        <f t="shared" si="401"/>
        <v>301.7006803</v>
      </c>
    </row>
    <row r="486" ht="15.75" customHeight="1">
      <c r="A486" s="91"/>
      <c r="B486" s="91"/>
      <c r="C486" s="91"/>
      <c r="D486" s="91"/>
      <c r="E486" s="91"/>
      <c r="F486" s="91"/>
      <c r="G486" s="91"/>
      <c r="H486" s="91"/>
      <c r="I486" s="91"/>
      <c r="J486" s="91"/>
      <c r="K486" s="91"/>
      <c r="L486" s="91"/>
      <c r="M486" s="91"/>
      <c r="N486" s="91"/>
      <c r="O486" s="91"/>
      <c r="P486" s="91"/>
      <c r="Q486" s="91"/>
      <c r="R486" s="91"/>
      <c r="S486" s="91"/>
      <c r="T486" s="91"/>
      <c r="U486" s="96">
        <v>45535.0</v>
      </c>
      <c r="BV486" s="94">
        <f t="shared" ref="BV486:DK486" si="402">+$BV$53*$U$58*$X$58</f>
        <v>181.0204082</v>
      </c>
      <c r="BW486" s="94">
        <f t="shared" si="402"/>
        <v>181.0204082</v>
      </c>
      <c r="BX486" s="94">
        <f t="shared" si="402"/>
        <v>181.0204082</v>
      </c>
      <c r="BY486" s="94">
        <f t="shared" si="402"/>
        <v>181.0204082</v>
      </c>
      <c r="BZ486" s="94">
        <f t="shared" si="402"/>
        <v>181.0204082</v>
      </c>
      <c r="CA486" s="94">
        <f t="shared" si="402"/>
        <v>181.0204082</v>
      </c>
      <c r="CB486" s="94">
        <f t="shared" si="402"/>
        <v>181.0204082</v>
      </c>
      <c r="CC486" s="94">
        <f t="shared" si="402"/>
        <v>181.0204082</v>
      </c>
      <c r="CD486" s="94">
        <f t="shared" si="402"/>
        <v>181.0204082</v>
      </c>
      <c r="CE486" s="94">
        <f t="shared" si="402"/>
        <v>181.0204082</v>
      </c>
      <c r="CF486" s="94">
        <f t="shared" si="402"/>
        <v>181.0204082</v>
      </c>
      <c r="CG486" s="94">
        <f t="shared" si="402"/>
        <v>181.0204082</v>
      </c>
      <c r="CH486" s="94">
        <f t="shared" si="402"/>
        <v>181.0204082</v>
      </c>
      <c r="CI486" s="94">
        <f t="shared" si="402"/>
        <v>181.0204082</v>
      </c>
      <c r="CJ486" s="94">
        <f t="shared" si="402"/>
        <v>181.0204082</v>
      </c>
      <c r="CK486" s="94">
        <f t="shared" si="402"/>
        <v>181.0204082</v>
      </c>
      <c r="CL486" s="94">
        <f t="shared" si="402"/>
        <v>181.0204082</v>
      </c>
      <c r="CM486" s="94">
        <f t="shared" si="402"/>
        <v>181.0204082</v>
      </c>
      <c r="CN486" s="94">
        <f t="shared" si="402"/>
        <v>181.0204082</v>
      </c>
      <c r="CO486" s="94">
        <f t="shared" si="402"/>
        <v>181.0204082</v>
      </c>
      <c r="CP486" s="94">
        <f t="shared" si="402"/>
        <v>181.0204082</v>
      </c>
      <c r="CQ486" s="94">
        <f t="shared" si="402"/>
        <v>181.0204082</v>
      </c>
      <c r="CR486" s="94">
        <f t="shared" si="402"/>
        <v>181.0204082</v>
      </c>
      <c r="CS486" s="94">
        <f t="shared" si="402"/>
        <v>181.0204082</v>
      </c>
      <c r="CT486" s="94">
        <f t="shared" si="402"/>
        <v>181.0204082</v>
      </c>
      <c r="CU486" s="94">
        <f t="shared" si="402"/>
        <v>181.0204082</v>
      </c>
      <c r="CV486" s="94">
        <f t="shared" si="402"/>
        <v>181.0204082</v>
      </c>
      <c r="CW486" s="94">
        <f t="shared" si="402"/>
        <v>181.0204082</v>
      </c>
      <c r="CX486" s="94">
        <f t="shared" si="402"/>
        <v>181.0204082</v>
      </c>
      <c r="CY486" s="94">
        <f t="shared" si="402"/>
        <v>181.0204082</v>
      </c>
      <c r="CZ486" s="94">
        <f t="shared" si="402"/>
        <v>181.0204082</v>
      </c>
      <c r="DA486" s="94">
        <f t="shared" si="402"/>
        <v>181.0204082</v>
      </c>
      <c r="DB486" s="94">
        <f t="shared" si="402"/>
        <v>181.0204082</v>
      </c>
      <c r="DC486" s="94">
        <f t="shared" si="402"/>
        <v>181.0204082</v>
      </c>
      <c r="DD486" s="94">
        <f t="shared" si="402"/>
        <v>181.0204082</v>
      </c>
      <c r="DE486" s="94">
        <f t="shared" si="402"/>
        <v>181.0204082</v>
      </c>
      <c r="DF486" s="94">
        <f t="shared" si="402"/>
        <v>181.0204082</v>
      </c>
      <c r="DG486" s="94">
        <f t="shared" si="402"/>
        <v>181.0204082</v>
      </c>
      <c r="DH486" s="94">
        <f t="shared" si="402"/>
        <v>181.0204082</v>
      </c>
      <c r="DI486" s="94">
        <f t="shared" si="402"/>
        <v>181.0204082</v>
      </c>
      <c r="DJ486" s="94">
        <f t="shared" si="402"/>
        <v>181.0204082</v>
      </c>
      <c r="DK486" s="94">
        <f t="shared" si="402"/>
        <v>181.0204082</v>
      </c>
    </row>
    <row r="487" ht="15.75" customHeight="1">
      <c r="A487" s="91"/>
      <c r="B487" s="91"/>
      <c r="C487" s="91"/>
      <c r="D487" s="91"/>
      <c r="E487" s="91"/>
      <c r="F487" s="91"/>
      <c r="G487" s="91"/>
      <c r="H487" s="91"/>
      <c r="I487" s="91"/>
      <c r="J487" s="91"/>
      <c r="K487" s="91"/>
      <c r="L487" s="91"/>
      <c r="M487" s="91"/>
      <c r="N487" s="91"/>
      <c r="O487" s="91"/>
      <c r="P487" s="91"/>
      <c r="Q487" s="91"/>
      <c r="R487" s="91"/>
      <c r="S487" s="91"/>
      <c r="T487" s="91"/>
      <c r="U487" s="96">
        <v>45565.0</v>
      </c>
      <c r="BW487" s="94">
        <f t="shared" ref="BW487:DL487" si="403">+$BW$53*$U$58*$X$58</f>
        <v>181.0204082</v>
      </c>
      <c r="BX487" s="94">
        <f t="shared" si="403"/>
        <v>181.0204082</v>
      </c>
      <c r="BY487" s="94">
        <f t="shared" si="403"/>
        <v>181.0204082</v>
      </c>
      <c r="BZ487" s="94">
        <f t="shared" si="403"/>
        <v>181.0204082</v>
      </c>
      <c r="CA487" s="94">
        <f t="shared" si="403"/>
        <v>181.0204082</v>
      </c>
      <c r="CB487" s="94">
        <f t="shared" si="403"/>
        <v>181.0204082</v>
      </c>
      <c r="CC487" s="94">
        <f t="shared" si="403"/>
        <v>181.0204082</v>
      </c>
      <c r="CD487" s="94">
        <f t="shared" si="403"/>
        <v>181.0204082</v>
      </c>
      <c r="CE487" s="94">
        <f t="shared" si="403"/>
        <v>181.0204082</v>
      </c>
      <c r="CF487" s="94">
        <f t="shared" si="403"/>
        <v>181.0204082</v>
      </c>
      <c r="CG487" s="94">
        <f t="shared" si="403"/>
        <v>181.0204082</v>
      </c>
      <c r="CH487" s="94">
        <f t="shared" si="403"/>
        <v>181.0204082</v>
      </c>
      <c r="CI487" s="94">
        <f t="shared" si="403"/>
        <v>181.0204082</v>
      </c>
      <c r="CJ487" s="94">
        <f t="shared" si="403"/>
        <v>181.0204082</v>
      </c>
      <c r="CK487" s="94">
        <f t="shared" si="403"/>
        <v>181.0204082</v>
      </c>
      <c r="CL487" s="94">
        <f t="shared" si="403"/>
        <v>181.0204082</v>
      </c>
      <c r="CM487" s="94">
        <f t="shared" si="403"/>
        <v>181.0204082</v>
      </c>
      <c r="CN487" s="94">
        <f t="shared" si="403"/>
        <v>181.0204082</v>
      </c>
      <c r="CO487" s="94">
        <f t="shared" si="403"/>
        <v>181.0204082</v>
      </c>
      <c r="CP487" s="94">
        <f t="shared" si="403"/>
        <v>181.0204082</v>
      </c>
      <c r="CQ487" s="94">
        <f t="shared" si="403"/>
        <v>181.0204082</v>
      </c>
      <c r="CR487" s="94">
        <f t="shared" si="403"/>
        <v>181.0204082</v>
      </c>
      <c r="CS487" s="94">
        <f t="shared" si="403"/>
        <v>181.0204082</v>
      </c>
      <c r="CT487" s="94">
        <f t="shared" si="403"/>
        <v>181.0204082</v>
      </c>
      <c r="CU487" s="94">
        <f t="shared" si="403"/>
        <v>181.0204082</v>
      </c>
      <c r="CV487" s="94">
        <f t="shared" si="403"/>
        <v>181.0204082</v>
      </c>
      <c r="CW487" s="94">
        <f t="shared" si="403"/>
        <v>181.0204082</v>
      </c>
      <c r="CX487" s="94">
        <f t="shared" si="403"/>
        <v>181.0204082</v>
      </c>
      <c r="CY487" s="94">
        <f t="shared" si="403"/>
        <v>181.0204082</v>
      </c>
      <c r="CZ487" s="94">
        <f t="shared" si="403"/>
        <v>181.0204082</v>
      </c>
      <c r="DA487" s="94">
        <f t="shared" si="403"/>
        <v>181.0204082</v>
      </c>
      <c r="DB487" s="94">
        <f t="shared" si="403"/>
        <v>181.0204082</v>
      </c>
      <c r="DC487" s="94">
        <f t="shared" si="403"/>
        <v>181.0204082</v>
      </c>
      <c r="DD487" s="94">
        <f t="shared" si="403"/>
        <v>181.0204082</v>
      </c>
      <c r="DE487" s="94">
        <f t="shared" si="403"/>
        <v>181.0204082</v>
      </c>
      <c r="DF487" s="94">
        <f t="shared" si="403"/>
        <v>181.0204082</v>
      </c>
      <c r="DG487" s="94">
        <f t="shared" si="403"/>
        <v>181.0204082</v>
      </c>
      <c r="DH487" s="94">
        <f t="shared" si="403"/>
        <v>181.0204082</v>
      </c>
      <c r="DI487" s="94">
        <f t="shared" si="403"/>
        <v>181.0204082</v>
      </c>
      <c r="DJ487" s="94">
        <f t="shared" si="403"/>
        <v>181.0204082</v>
      </c>
      <c r="DK487" s="94">
        <f t="shared" si="403"/>
        <v>181.0204082</v>
      </c>
      <c r="DL487" s="94">
        <f t="shared" si="403"/>
        <v>181.0204082</v>
      </c>
    </row>
    <row r="488" ht="15.75" customHeight="1">
      <c r="A488" s="91"/>
      <c r="B488" s="91"/>
      <c r="C488" s="91"/>
      <c r="D488" s="91"/>
      <c r="E488" s="91"/>
      <c r="F488" s="91"/>
      <c r="G488" s="91"/>
      <c r="H488" s="91"/>
      <c r="I488" s="91"/>
      <c r="J488" s="91"/>
      <c r="K488" s="91"/>
      <c r="L488" s="91"/>
      <c r="M488" s="91"/>
      <c r="N488" s="91"/>
      <c r="O488" s="91"/>
      <c r="P488" s="91"/>
      <c r="Q488" s="91"/>
      <c r="R488" s="91"/>
      <c r="S488" s="91"/>
      <c r="T488" s="91"/>
      <c r="U488" s="96">
        <v>45596.0</v>
      </c>
      <c r="BX488" s="94">
        <f t="shared" ref="BX488:DM488" si="404">+$BX$53*$U$58*$X$58</f>
        <v>158.3928571</v>
      </c>
      <c r="BY488" s="94">
        <f t="shared" si="404"/>
        <v>158.3928571</v>
      </c>
      <c r="BZ488" s="94">
        <f t="shared" si="404"/>
        <v>158.3928571</v>
      </c>
      <c r="CA488" s="94">
        <f t="shared" si="404"/>
        <v>158.3928571</v>
      </c>
      <c r="CB488" s="94">
        <f t="shared" si="404"/>
        <v>158.3928571</v>
      </c>
      <c r="CC488" s="94">
        <f t="shared" si="404"/>
        <v>158.3928571</v>
      </c>
      <c r="CD488" s="94">
        <f t="shared" si="404"/>
        <v>158.3928571</v>
      </c>
      <c r="CE488" s="94">
        <f t="shared" si="404"/>
        <v>158.3928571</v>
      </c>
      <c r="CF488" s="94">
        <f t="shared" si="404"/>
        <v>158.3928571</v>
      </c>
      <c r="CG488" s="94">
        <f t="shared" si="404"/>
        <v>158.3928571</v>
      </c>
      <c r="CH488" s="94">
        <f t="shared" si="404"/>
        <v>158.3928571</v>
      </c>
      <c r="CI488" s="94">
        <f t="shared" si="404"/>
        <v>158.3928571</v>
      </c>
      <c r="CJ488" s="94">
        <f t="shared" si="404"/>
        <v>158.3928571</v>
      </c>
      <c r="CK488" s="94">
        <f t="shared" si="404"/>
        <v>158.3928571</v>
      </c>
      <c r="CL488" s="94">
        <f t="shared" si="404"/>
        <v>158.3928571</v>
      </c>
      <c r="CM488" s="94">
        <f t="shared" si="404"/>
        <v>158.3928571</v>
      </c>
      <c r="CN488" s="94">
        <f t="shared" si="404"/>
        <v>158.3928571</v>
      </c>
      <c r="CO488" s="94">
        <f t="shared" si="404"/>
        <v>158.3928571</v>
      </c>
      <c r="CP488" s="94">
        <f t="shared" si="404"/>
        <v>158.3928571</v>
      </c>
      <c r="CQ488" s="94">
        <f t="shared" si="404"/>
        <v>158.3928571</v>
      </c>
      <c r="CR488" s="94">
        <f t="shared" si="404"/>
        <v>158.3928571</v>
      </c>
      <c r="CS488" s="94">
        <f t="shared" si="404"/>
        <v>158.3928571</v>
      </c>
      <c r="CT488" s="94">
        <f t="shared" si="404"/>
        <v>158.3928571</v>
      </c>
      <c r="CU488" s="94">
        <f t="shared" si="404"/>
        <v>158.3928571</v>
      </c>
      <c r="CV488" s="94">
        <f t="shared" si="404"/>
        <v>158.3928571</v>
      </c>
      <c r="CW488" s="94">
        <f t="shared" si="404"/>
        <v>158.3928571</v>
      </c>
      <c r="CX488" s="94">
        <f t="shared" si="404"/>
        <v>158.3928571</v>
      </c>
      <c r="CY488" s="94">
        <f t="shared" si="404"/>
        <v>158.3928571</v>
      </c>
      <c r="CZ488" s="94">
        <f t="shared" si="404"/>
        <v>158.3928571</v>
      </c>
      <c r="DA488" s="94">
        <f t="shared" si="404"/>
        <v>158.3928571</v>
      </c>
      <c r="DB488" s="94">
        <f t="shared" si="404"/>
        <v>158.3928571</v>
      </c>
      <c r="DC488" s="94">
        <f t="shared" si="404"/>
        <v>158.3928571</v>
      </c>
      <c r="DD488" s="94">
        <f t="shared" si="404"/>
        <v>158.3928571</v>
      </c>
      <c r="DE488" s="94">
        <f t="shared" si="404"/>
        <v>158.3928571</v>
      </c>
      <c r="DF488" s="94">
        <f t="shared" si="404"/>
        <v>158.3928571</v>
      </c>
      <c r="DG488" s="94">
        <f t="shared" si="404"/>
        <v>158.3928571</v>
      </c>
      <c r="DH488" s="94">
        <f t="shared" si="404"/>
        <v>158.3928571</v>
      </c>
      <c r="DI488" s="94">
        <f t="shared" si="404"/>
        <v>158.3928571</v>
      </c>
      <c r="DJ488" s="94">
        <f t="shared" si="404"/>
        <v>158.3928571</v>
      </c>
      <c r="DK488" s="94">
        <f t="shared" si="404"/>
        <v>158.3928571</v>
      </c>
      <c r="DL488" s="94">
        <f t="shared" si="404"/>
        <v>158.3928571</v>
      </c>
      <c r="DM488" s="94">
        <f t="shared" si="404"/>
        <v>158.3928571</v>
      </c>
    </row>
    <row r="489" ht="15.75" customHeight="1">
      <c r="A489" s="91"/>
      <c r="B489" s="91"/>
      <c r="C489" s="91"/>
      <c r="D489" s="91"/>
      <c r="E489" s="91"/>
      <c r="F489" s="91"/>
      <c r="G489" s="91"/>
      <c r="H489" s="91"/>
      <c r="I489" s="91"/>
      <c r="J489" s="91"/>
      <c r="K489" s="91"/>
      <c r="L489" s="91"/>
      <c r="M489" s="91"/>
      <c r="N489" s="91"/>
      <c r="O489" s="91"/>
      <c r="P489" s="91"/>
      <c r="Q489" s="91"/>
      <c r="R489" s="91"/>
      <c r="S489" s="91"/>
      <c r="T489" s="91"/>
      <c r="U489" s="96">
        <v>45626.0</v>
      </c>
      <c r="BY489" s="94">
        <f t="shared" ref="BY489:DN489" si="405">+$BY$53*$U$58*$X$58</f>
        <v>158.3928571</v>
      </c>
      <c r="BZ489" s="94">
        <f t="shared" si="405"/>
        <v>158.3928571</v>
      </c>
      <c r="CA489" s="94">
        <f t="shared" si="405"/>
        <v>158.3928571</v>
      </c>
      <c r="CB489" s="94">
        <f t="shared" si="405"/>
        <v>158.3928571</v>
      </c>
      <c r="CC489" s="94">
        <f t="shared" si="405"/>
        <v>158.3928571</v>
      </c>
      <c r="CD489" s="94">
        <f t="shared" si="405"/>
        <v>158.3928571</v>
      </c>
      <c r="CE489" s="94">
        <f t="shared" si="405"/>
        <v>158.3928571</v>
      </c>
      <c r="CF489" s="94">
        <f t="shared" si="405"/>
        <v>158.3928571</v>
      </c>
      <c r="CG489" s="94">
        <f t="shared" si="405"/>
        <v>158.3928571</v>
      </c>
      <c r="CH489" s="94">
        <f t="shared" si="405"/>
        <v>158.3928571</v>
      </c>
      <c r="CI489" s="94">
        <f t="shared" si="405"/>
        <v>158.3928571</v>
      </c>
      <c r="CJ489" s="94">
        <f t="shared" si="405"/>
        <v>158.3928571</v>
      </c>
      <c r="CK489" s="94">
        <f t="shared" si="405"/>
        <v>158.3928571</v>
      </c>
      <c r="CL489" s="94">
        <f t="shared" si="405"/>
        <v>158.3928571</v>
      </c>
      <c r="CM489" s="94">
        <f t="shared" si="405"/>
        <v>158.3928571</v>
      </c>
      <c r="CN489" s="94">
        <f t="shared" si="405"/>
        <v>158.3928571</v>
      </c>
      <c r="CO489" s="94">
        <f t="shared" si="405"/>
        <v>158.3928571</v>
      </c>
      <c r="CP489" s="94">
        <f t="shared" si="405"/>
        <v>158.3928571</v>
      </c>
      <c r="CQ489" s="94">
        <f t="shared" si="405"/>
        <v>158.3928571</v>
      </c>
      <c r="CR489" s="94">
        <f t="shared" si="405"/>
        <v>158.3928571</v>
      </c>
      <c r="CS489" s="94">
        <f t="shared" si="405"/>
        <v>158.3928571</v>
      </c>
      <c r="CT489" s="94">
        <f t="shared" si="405"/>
        <v>158.3928571</v>
      </c>
      <c r="CU489" s="94">
        <f t="shared" si="405"/>
        <v>158.3928571</v>
      </c>
      <c r="CV489" s="94">
        <f t="shared" si="405"/>
        <v>158.3928571</v>
      </c>
      <c r="CW489" s="94">
        <f t="shared" si="405"/>
        <v>158.3928571</v>
      </c>
      <c r="CX489" s="94">
        <f t="shared" si="405"/>
        <v>158.3928571</v>
      </c>
      <c r="CY489" s="94">
        <f t="shared" si="405"/>
        <v>158.3928571</v>
      </c>
      <c r="CZ489" s="94">
        <f t="shared" si="405"/>
        <v>158.3928571</v>
      </c>
      <c r="DA489" s="94">
        <f t="shared" si="405"/>
        <v>158.3928571</v>
      </c>
      <c r="DB489" s="94">
        <f t="shared" si="405"/>
        <v>158.3928571</v>
      </c>
      <c r="DC489" s="94">
        <f t="shared" si="405"/>
        <v>158.3928571</v>
      </c>
      <c r="DD489" s="94">
        <f t="shared" si="405"/>
        <v>158.3928571</v>
      </c>
      <c r="DE489" s="94">
        <f t="shared" si="405"/>
        <v>158.3928571</v>
      </c>
      <c r="DF489" s="94">
        <f t="shared" si="405"/>
        <v>158.3928571</v>
      </c>
      <c r="DG489" s="94">
        <f t="shared" si="405"/>
        <v>158.3928571</v>
      </c>
      <c r="DH489" s="94">
        <f t="shared" si="405"/>
        <v>158.3928571</v>
      </c>
      <c r="DI489" s="94">
        <f t="shared" si="405"/>
        <v>158.3928571</v>
      </c>
      <c r="DJ489" s="94">
        <f t="shared" si="405"/>
        <v>158.3928571</v>
      </c>
      <c r="DK489" s="94">
        <f t="shared" si="405"/>
        <v>158.3928571</v>
      </c>
      <c r="DL489" s="94">
        <f t="shared" si="405"/>
        <v>158.3928571</v>
      </c>
      <c r="DM489" s="94">
        <f t="shared" si="405"/>
        <v>158.3928571</v>
      </c>
      <c r="DN489" s="94">
        <f t="shared" si="405"/>
        <v>158.3928571</v>
      </c>
    </row>
    <row r="490" ht="15.75" customHeight="1">
      <c r="A490" s="91"/>
      <c r="B490" s="91"/>
      <c r="C490" s="91"/>
      <c r="D490" s="91"/>
      <c r="E490" s="91"/>
      <c r="F490" s="91"/>
      <c r="G490" s="91"/>
      <c r="H490" s="91"/>
      <c r="I490" s="91"/>
      <c r="J490" s="91"/>
      <c r="K490" s="91"/>
      <c r="L490" s="91"/>
      <c r="M490" s="91"/>
      <c r="N490" s="91"/>
      <c r="O490" s="91"/>
      <c r="P490" s="91"/>
      <c r="Q490" s="91"/>
      <c r="R490" s="91"/>
      <c r="S490" s="91"/>
      <c r="T490" s="91"/>
      <c r="U490" s="96">
        <v>45657.0</v>
      </c>
      <c r="BZ490" s="94">
        <f t="shared" ref="BZ490:DO490" si="406">+$BZ$53*$U$58*$X$58</f>
        <v>301.7006803</v>
      </c>
      <c r="CA490" s="94">
        <f t="shared" si="406"/>
        <v>301.7006803</v>
      </c>
      <c r="CB490" s="94">
        <f t="shared" si="406"/>
        <v>301.7006803</v>
      </c>
      <c r="CC490" s="94">
        <f t="shared" si="406"/>
        <v>301.7006803</v>
      </c>
      <c r="CD490" s="94">
        <f t="shared" si="406"/>
        <v>301.7006803</v>
      </c>
      <c r="CE490" s="94">
        <f t="shared" si="406"/>
        <v>301.7006803</v>
      </c>
      <c r="CF490" s="94">
        <f t="shared" si="406"/>
        <v>301.7006803</v>
      </c>
      <c r="CG490" s="94">
        <f t="shared" si="406"/>
        <v>301.7006803</v>
      </c>
      <c r="CH490" s="94">
        <f t="shared" si="406"/>
        <v>301.7006803</v>
      </c>
      <c r="CI490" s="94">
        <f t="shared" si="406"/>
        <v>301.7006803</v>
      </c>
      <c r="CJ490" s="94">
        <f t="shared" si="406"/>
        <v>301.7006803</v>
      </c>
      <c r="CK490" s="94">
        <f t="shared" si="406"/>
        <v>301.7006803</v>
      </c>
      <c r="CL490" s="94">
        <f t="shared" si="406"/>
        <v>301.7006803</v>
      </c>
      <c r="CM490" s="94">
        <f t="shared" si="406"/>
        <v>301.7006803</v>
      </c>
      <c r="CN490" s="94">
        <f t="shared" si="406"/>
        <v>301.7006803</v>
      </c>
      <c r="CO490" s="94">
        <f t="shared" si="406"/>
        <v>301.7006803</v>
      </c>
      <c r="CP490" s="94">
        <f t="shared" si="406"/>
        <v>301.7006803</v>
      </c>
      <c r="CQ490" s="94">
        <f t="shared" si="406"/>
        <v>301.7006803</v>
      </c>
      <c r="CR490" s="94">
        <f t="shared" si="406"/>
        <v>301.7006803</v>
      </c>
      <c r="CS490" s="94">
        <f t="shared" si="406"/>
        <v>301.7006803</v>
      </c>
      <c r="CT490" s="94">
        <f t="shared" si="406"/>
        <v>301.7006803</v>
      </c>
      <c r="CU490" s="94">
        <f t="shared" si="406"/>
        <v>301.7006803</v>
      </c>
      <c r="CV490" s="94">
        <f t="shared" si="406"/>
        <v>301.7006803</v>
      </c>
      <c r="CW490" s="94">
        <f t="shared" si="406"/>
        <v>301.7006803</v>
      </c>
      <c r="CX490" s="94">
        <f t="shared" si="406"/>
        <v>301.7006803</v>
      </c>
      <c r="CY490" s="94">
        <f t="shared" si="406"/>
        <v>301.7006803</v>
      </c>
      <c r="CZ490" s="94">
        <f t="shared" si="406"/>
        <v>301.7006803</v>
      </c>
      <c r="DA490" s="94">
        <f t="shared" si="406"/>
        <v>301.7006803</v>
      </c>
      <c r="DB490" s="94">
        <f t="shared" si="406"/>
        <v>301.7006803</v>
      </c>
      <c r="DC490" s="94">
        <f t="shared" si="406"/>
        <v>301.7006803</v>
      </c>
      <c r="DD490" s="94">
        <f t="shared" si="406"/>
        <v>301.7006803</v>
      </c>
      <c r="DE490" s="94">
        <f t="shared" si="406"/>
        <v>301.7006803</v>
      </c>
      <c r="DF490" s="94">
        <f t="shared" si="406"/>
        <v>301.7006803</v>
      </c>
      <c r="DG490" s="94">
        <f t="shared" si="406"/>
        <v>301.7006803</v>
      </c>
      <c r="DH490" s="94">
        <f t="shared" si="406"/>
        <v>301.7006803</v>
      </c>
      <c r="DI490" s="94">
        <f t="shared" si="406"/>
        <v>301.7006803</v>
      </c>
      <c r="DJ490" s="94">
        <f t="shared" si="406"/>
        <v>301.7006803</v>
      </c>
      <c r="DK490" s="94">
        <f t="shared" si="406"/>
        <v>301.7006803</v>
      </c>
      <c r="DL490" s="94">
        <f t="shared" si="406"/>
        <v>301.7006803</v>
      </c>
      <c r="DM490" s="94">
        <f t="shared" si="406"/>
        <v>301.7006803</v>
      </c>
      <c r="DN490" s="94">
        <f t="shared" si="406"/>
        <v>301.7006803</v>
      </c>
      <c r="DO490" s="94">
        <f t="shared" si="406"/>
        <v>301.7006803</v>
      </c>
    </row>
    <row r="491" ht="15.75" customHeight="1">
      <c r="A491" s="91"/>
      <c r="B491" s="91"/>
      <c r="C491" s="91"/>
      <c r="D491" s="91"/>
      <c r="E491" s="91"/>
      <c r="F491" s="91"/>
      <c r="G491" s="91"/>
      <c r="H491" s="91"/>
      <c r="I491" s="91"/>
      <c r="J491" s="91"/>
      <c r="K491" s="91"/>
      <c r="L491" s="91"/>
      <c r="M491" s="91"/>
      <c r="N491" s="91"/>
      <c r="O491" s="91"/>
      <c r="P491" s="91"/>
      <c r="Q491" s="91"/>
      <c r="R491" s="91"/>
      <c r="S491" s="91"/>
      <c r="T491" s="91"/>
      <c r="U491" s="96">
        <v>45688.0</v>
      </c>
      <c r="CA491" s="94">
        <f t="shared" ref="CA491:DP491" si="407">+$CA$53*$U$58*$X$58</f>
        <v>120.6802721</v>
      </c>
      <c r="CB491" s="94">
        <f t="shared" si="407"/>
        <v>120.6802721</v>
      </c>
      <c r="CC491" s="94">
        <f t="shared" si="407"/>
        <v>120.6802721</v>
      </c>
      <c r="CD491" s="94">
        <f t="shared" si="407"/>
        <v>120.6802721</v>
      </c>
      <c r="CE491" s="94">
        <f t="shared" si="407"/>
        <v>120.6802721</v>
      </c>
      <c r="CF491" s="94">
        <f t="shared" si="407"/>
        <v>120.6802721</v>
      </c>
      <c r="CG491" s="94">
        <f t="shared" si="407"/>
        <v>120.6802721</v>
      </c>
      <c r="CH491" s="94">
        <f t="shared" si="407"/>
        <v>120.6802721</v>
      </c>
      <c r="CI491" s="94">
        <f t="shared" si="407"/>
        <v>120.6802721</v>
      </c>
      <c r="CJ491" s="94">
        <f t="shared" si="407"/>
        <v>120.6802721</v>
      </c>
      <c r="CK491" s="94">
        <f t="shared" si="407"/>
        <v>120.6802721</v>
      </c>
      <c r="CL491" s="94">
        <f t="shared" si="407"/>
        <v>120.6802721</v>
      </c>
      <c r="CM491" s="94">
        <f t="shared" si="407"/>
        <v>120.6802721</v>
      </c>
      <c r="CN491" s="94">
        <f t="shared" si="407"/>
        <v>120.6802721</v>
      </c>
      <c r="CO491" s="94">
        <f t="shared" si="407"/>
        <v>120.6802721</v>
      </c>
      <c r="CP491" s="94">
        <f t="shared" si="407"/>
        <v>120.6802721</v>
      </c>
      <c r="CQ491" s="94">
        <f t="shared" si="407"/>
        <v>120.6802721</v>
      </c>
      <c r="CR491" s="94">
        <f t="shared" si="407"/>
        <v>120.6802721</v>
      </c>
      <c r="CS491" s="94">
        <f t="shared" si="407"/>
        <v>120.6802721</v>
      </c>
      <c r="CT491" s="94">
        <f t="shared" si="407"/>
        <v>120.6802721</v>
      </c>
      <c r="CU491" s="94">
        <f t="shared" si="407"/>
        <v>120.6802721</v>
      </c>
      <c r="CV491" s="94">
        <f t="shared" si="407"/>
        <v>120.6802721</v>
      </c>
      <c r="CW491" s="94">
        <f t="shared" si="407"/>
        <v>120.6802721</v>
      </c>
      <c r="CX491" s="94">
        <f t="shared" si="407"/>
        <v>120.6802721</v>
      </c>
      <c r="CY491" s="94">
        <f t="shared" si="407"/>
        <v>120.6802721</v>
      </c>
      <c r="CZ491" s="94">
        <f t="shared" si="407"/>
        <v>120.6802721</v>
      </c>
      <c r="DA491" s="94">
        <f t="shared" si="407"/>
        <v>120.6802721</v>
      </c>
      <c r="DB491" s="94">
        <f t="shared" si="407"/>
        <v>120.6802721</v>
      </c>
      <c r="DC491" s="94">
        <f t="shared" si="407"/>
        <v>120.6802721</v>
      </c>
      <c r="DD491" s="94">
        <f t="shared" si="407"/>
        <v>120.6802721</v>
      </c>
      <c r="DE491" s="94">
        <f t="shared" si="407"/>
        <v>120.6802721</v>
      </c>
      <c r="DF491" s="94">
        <f t="shared" si="407"/>
        <v>120.6802721</v>
      </c>
      <c r="DG491" s="94">
        <f t="shared" si="407"/>
        <v>120.6802721</v>
      </c>
      <c r="DH491" s="94">
        <f t="shared" si="407"/>
        <v>120.6802721</v>
      </c>
      <c r="DI491" s="94">
        <f t="shared" si="407"/>
        <v>120.6802721</v>
      </c>
      <c r="DJ491" s="94">
        <f t="shared" si="407"/>
        <v>120.6802721</v>
      </c>
      <c r="DK491" s="94">
        <f t="shared" si="407"/>
        <v>120.6802721</v>
      </c>
      <c r="DL491" s="94">
        <f t="shared" si="407"/>
        <v>120.6802721</v>
      </c>
      <c r="DM491" s="94">
        <f t="shared" si="407"/>
        <v>120.6802721</v>
      </c>
      <c r="DN491" s="94">
        <f t="shared" si="407"/>
        <v>120.6802721</v>
      </c>
      <c r="DO491" s="94">
        <f t="shared" si="407"/>
        <v>120.6802721</v>
      </c>
      <c r="DP491" s="94">
        <f t="shared" si="407"/>
        <v>120.6802721</v>
      </c>
    </row>
    <row r="492" ht="15.75" customHeight="1">
      <c r="A492" s="91"/>
      <c r="B492" s="91"/>
      <c r="C492" s="91"/>
      <c r="D492" s="91"/>
      <c r="E492" s="91"/>
      <c r="F492" s="91"/>
      <c r="G492" s="91"/>
      <c r="H492" s="91"/>
      <c r="I492" s="91"/>
      <c r="J492" s="91"/>
      <c r="K492" s="91"/>
      <c r="L492" s="91"/>
      <c r="M492" s="91"/>
      <c r="N492" s="91"/>
      <c r="O492" s="91"/>
      <c r="P492" s="91"/>
      <c r="Q492" s="91"/>
      <c r="R492" s="91"/>
      <c r="S492" s="91"/>
      <c r="T492" s="91"/>
      <c r="U492" s="96">
        <v>45716.0</v>
      </c>
      <c r="CB492" s="94">
        <f t="shared" ref="CB492:DQ492" si="408">+$CB$53*$U$58*$X$58</f>
        <v>120.6802721</v>
      </c>
      <c r="CC492" s="94">
        <f t="shared" si="408"/>
        <v>120.6802721</v>
      </c>
      <c r="CD492" s="94">
        <f t="shared" si="408"/>
        <v>120.6802721</v>
      </c>
      <c r="CE492" s="94">
        <f t="shared" si="408"/>
        <v>120.6802721</v>
      </c>
      <c r="CF492" s="94">
        <f t="shared" si="408"/>
        <v>120.6802721</v>
      </c>
      <c r="CG492" s="94">
        <f t="shared" si="408"/>
        <v>120.6802721</v>
      </c>
      <c r="CH492" s="94">
        <f t="shared" si="408"/>
        <v>120.6802721</v>
      </c>
      <c r="CI492" s="94">
        <f t="shared" si="408"/>
        <v>120.6802721</v>
      </c>
      <c r="CJ492" s="94">
        <f t="shared" si="408"/>
        <v>120.6802721</v>
      </c>
      <c r="CK492" s="94">
        <f t="shared" si="408"/>
        <v>120.6802721</v>
      </c>
      <c r="CL492" s="94">
        <f t="shared" si="408"/>
        <v>120.6802721</v>
      </c>
      <c r="CM492" s="94">
        <f t="shared" si="408"/>
        <v>120.6802721</v>
      </c>
      <c r="CN492" s="94">
        <f t="shared" si="408"/>
        <v>120.6802721</v>
      </c>
      <c r="CO492" s="94">
        <f t="shared" si="408"/>
        <v>120.6802721</v>
      </c>
      <c r="CP492" s="94">
        <f t="shared" si="408"/>
        <v>120.6802721</v>
      </c>
      <c r="CQ492" s="94">
        <f t="shared" si="408"/>
        <v>120.6802721</v>
      </c>
      <c r="CR492" s="94">
        <f t="shared" si="408"/>
        <v>120.6802721</v>
      </c>
      <c r="CS492" s="94">
        <f t="shared" si="408"/>
        <v>120.6802721</v>
      </c>
      <c r="CT492" s="94">
        <f t="shared" si="408"/>
        <v>120.6802721</v>
      </c>
      <c r="CU492" s="94">
        <f t="shared" si="408"/>
        <v>120.6802721</v>
      </c>
      <c r="CV492" s="94">
        <f t="shared" si="408"/>
        <v>120.6802721</v>
      </c>
      <c r="CW492" s="94">
        <f t="shared" si="408"/>
        <v>120.6802721</v>
      </c>
      <c r="CX492" s="94">
        <f t="shared" si="408"/>
        <v>120.6802721</v>
      </c>
      <c r="CY492" s="94">
        <f t="shared" si="408"/>
        <v>120.6802721</v>
      </c>
      <c r="CZ492" s="94">
        <f t="shared" si="408"/>
        <v>120.6802721</v>
      </c>
      <c r="DA492" s="94">
        <f t="shared" si="408"/>
        <v>120.6802721</v>
      </c>
      <c r="DB492" s="94">
        <f t="shared" si="408"/>
        <v>120.6802721</v>
      </c>
      <c r="DC492" s="94">
        <f t="shared" si="408"/>
        <v>120.6802721</v>
      </c>
      <c r="DD492" s="94">
        <f t="shared" si="408"/>
        <v>120.6802721</v>
      </c>
      <c r="DE492" s="94">
        <f t="shared" si="408"/>
        <v>120.6802721</v>
      </c>
      <c r="DF492" s="94">
        <f t="shared" si="408"/>
        <v>120.6802721</v>
      </c>
      <c r="DG492" s="94">
        <f t="shared" si="408"/>
        <v>120.6802721</v>
      </c>
      <c r="DH492" s="94">
        <f t="shared" si="408"/>
        <v>120.6802721</v>
      </c>
      <c r="DI492" s="94">
        <f t="shared" si="408"/>
        <v>120.6802721</v>
      </c>
      <c r="DJ492" s="94">
        <f t="shared" si="408"/>
        <v>120.6802721</v>
      </c>
      <c r="DK492" s="94">
        <f t="shared" si="408"/>
        <v>120.6802721</v>
      </c>
      <c r="DL492" s="94">
        <f t="shared" si="408"/>
        <v>120.6802721</v>
      </c>
      <c r="DM492" s="94">
        <f t="shared" si="408"/>
        <v>120.6802721</v>
      </c>
      <c r="DN492" s="94">
        <f t="shared" si="408"/>
        <v>120.6802721</v>
      </c>
      <c r="DO492" s="94">
        <f t="shared" si="408"/>
        <v>120.6802721</v>
      </c>
      <c r="DP492" s="94">
        <f t="shared" si="408"/>
        <v>120.6802721</v>
      </c>
      <c r="DQ492" s="94">
        <f t="shared" si="408"/>
        <v>120.6802721</v>
      </c>
    </row>
    <row r="493" ht="15.75" customHeight="1">
      <c r="A493" s="91"/>
      <c r="B493" s="91"/>
      <c r="C493" s="91"/>
      <c r="D493" s="91"/>
      <c r="E493" s="91"/>
      <c r="F493" s="91"/>
      <c r="G493" s="91"/>
      <c r="H493" s="91"/>
      <c r="I493" s="91"/>
      <c r="J493" s="91"/>
      <c r="K493" s="91"/>
      <c r="L493" s="91"/>
      <c r="M493" s="91"/>
      <c r="N493" s="91"/>
      <c r="O493" s="91"/>
      <c r="P493" s="91"/>
      <c r="Q493" s="91"/>
      <c r="R493" s="91"/>
      <c r="S493" s="91"/>
      <c r="T493" s="91"/>
      <c r="U493" s="96">
        <v>45747.0</v>
      </c>
      <c r="CC493" s="94">
        <f t="shared" ref="CC493:DI493" si="409">+$CC$53*$U$58*$X$58</f>
        <v>120.6802721</v>
      </c>
      <c r="CD493" s="94">
        <f t="shared" si="409"/>
        <v>120.6802721</v>
      </c>
      <c r="CE493" s="94">
        <f t="shared" si="409"/>
        <v>120.6802721</v>
      </c>
      <c r="CF493" s="94">
        <f t="shared" si="409"/>
        <v>120.6802721</v>
      </c>
      <c r="CG493" s="94">
        <f t="shared" si="409"/>
        <v>120.6802721</v>
      </c>
      <c r="CH493" s="94">
        <f t="shared" si="409"/>
        <v>120.6802721</v>
      </c>
      <c r="CI493" s="94">
        <f t="shared" si="409"/>
        <v>120.6802721</v>
      </c>
      <c r="CJ493" s="94">
        <f t="shared" si="409"/>
        <v>120.6802721</v>
      </c>
      <c r="CK493" s="94">
        <f t="shared" si="409"/>
        <v>120.6802721</v>
      </c>
      <c r="CL493" s="94">
        <f t="shared" si="409"/>
        <v>120.6802721</v>
      </c>
      <c r="CM493" s="94">
        <f t="shared" si="409"/>
        <v>120.6802721</v>
      </c>
      <c r="CN493" s="94">
        <f t="shared" si="409"/>
        <v>120.6802721</v>
      </c>
      <c r="CO493" s="94">
        <f t="shared" si="409"/>
        <v>120.6802721</v>
      </c>
      <c r="CP493" s="94">
        <f t="shared" si="409"/>
        <v>120.6802721</v>
      </c>
      <c r="CQ493" s="94">
        <f t="shared" si="409"/>
        <v>120.6802721</v>
      </c>
      <c r="CR493" s="94">
        <f t="shared" si="409"/>
        <v>120.6802721</v>
      </c>
      <c r="CS493" s="94">
        <f t="shared" si="409"/>
        <v>120.6802721</v>
      </c>
      <c r="CT493" s="94">
        <f t="shared" si="409"/>
        <v>120.6802721</v>
      </c>
      <c r="CU493" s="94">
        <f t="shared" si="409"/>
        <v>120.6802721</v>
      </c>
      <c r="CV493" s="94">
        <f t="shared" si="409"/>
        <v>120.6802721</v>
      </c>
      <c r="CW493" s="94">
        <f t="shared" si="409"/>
        <v>120.6802721</v>
      </c>
      <c r="CX493" s="94">
        <f t="shared" si="409"/>
        <v>120.6802721</v>
      </c>
      <c r="CY493" s="94">
        <f t="shared" si="409"/>
        <v>120.6802721</v>
      </c>
      <c r="CZ493" s="94">
        <f t="shared" si="409"/>
        <v>120.6802721</v>
      </c>
      <c r="DA493" s="94">
        <f t="shared" si="409"/>
        <v>120.6802721</v>
      </c>
      <c r="DB493" s="94">
        <f t="shared" si="409"/>
        <v>120.6802721</v>
      </c>
      <c r="DC493" s="94">
        <f t="shared" si="409"/>
        <v>120.6802721</v>
      </c>
      <c r="DD493" s="94">
        <f t="shared" si="409"/>
        <v>120.6802721</v>
      </c>
      <c r="DE493" s="94">
        <f t="shared" si="409"/>
        <v>120.6802721</v>
      </c>
      <c r="DF493" s="94">
        <f t="shared" si="409"/>
        <v>120.6802721</v>
      </c>
      <c r="DG493" s="94">
        <f t="shared" si="409"/>
        <v>120.6802721</v>
      </c>
      <c r="DH493" s="94">
        <f t="shared" si="409"/>
        <v>120.6802721</v>
      </c>
      <c r="DI493" s="94">
        <f t="shared" si="409"/>
        <v>120.6802721</v>
      </c>
    </row>
    <row r="494" ht="15.75" customHeight="1">
      <c r="A494" s="91"/>
      <c r="B494" s="91"/>
      <c r="C494" s="91"/>
      <c r="D494" s="91"/>
      <c r="E494" s="91"/>
      <c r="F494" s="91"/>
      <c r="G494" s="91"/>
      <c r="H494" s="91"/>
      <c r="I494" s="91"/>
      <c r="J494" s="91"/>
      <c r="K494" s="91"/>
      <c r="L494" s="91"/>
      <c r="M494" s="91"/>
      <c r="N494" s="91"/>
      <c r="O494" s="91"/>
      <c r="P494" s="91"/>
      <c r="Q494" s="91"/>
      <c r="R494" s="91"/>
      <c r="S494" s="91"/>
      <c r="T494" s="91"/>
      <c r="U494" s="96">
        <v>45777.0</v>
      </c>
      <c r="CD494" s="94">
        <f t="shared" ref="CD494:DI494" si="410">+$CD$53*$U$58*$X$58</f>
        <v>120.6802721</v>
      </c>
      <c r="CE494" s="94">
        <f t="shared" si="410"/>
        <v>120.6802721</v>
      </c>
      <c r="CF494" s="94">
        <f t="shared" si="410"/>
        <v>120.6802721</v>
      </c>
      <c r="CG494" s="94">
        <f t="shared" si="410"/>
        <v>120.6802721</v>
      </c>
      <c r="CH494" s="94">
        <f t="shared" si="410"/>
        <v>120.6802721</v>
      </c>
      <c r="CI494" s="94">
        <f t="shared" si="410"/>
        <v>120.6802721</v>
      </c>
      <c r="CJ494" s="94">
        <f t="shared" si="410"/>
        <v>120.6802721</v>
      </c>
      <c r="CK494" s="94">
        <f t="shared" si="410"/>
        <v>120.6802721</v>
      </c>
      <c r="CL494" s="94">
        <f t="shared" si="410"/>
        <v>120.6802721</v>
      </c>
      <c r="CM494" s="94">
        <f t="shared" si="410"/>
        <v>120.6802721</v>
      </c>
      <c r="CN494" s="94">
        <f t="shared" si="410"/>
        <v>120.6802721</v>
      </c>
      <c r="CO494" s="94">
        <f t="shared" si="410"/>
        <v>120.6802721</v>
      </c>
      <c r="CP494" s="94">
        <f t="shared" si="410"/>
        <v>120.6802721</v>
      </c>
      <c r="CQ494" s="94">
        <f t="shared" si="410"/>
        <v>120.6802721</v>
      </c>
      <c r="CR494" s="94">
        <f t="shared" si="410"/>
        <v>120.6802721</v>
      </c>
      <c r="CS494" s="94">
        <f t="shared" si="410"/>
        <v>120.6802721</v>
      </c>
      <c r="CT494" s="94">
        <f t="shared" si="410"/>
        <v>120.6802721</v>
      </c>
      <c r="CU494" s="94">
        <f t="shared" si="410"/>
        <v>120.6802721</v>
      </c>
      <c r="CV494" s="94">
        <f t="shared" si="410"/>
        <v>120.6802721</v>
      </c>
      <c r="CW494" s="94">
        <f t="shared" si="410"/>
        <v>120.6802721</v>
      </c>
      <c r="CX494" s="94">
        <f t="shared" si="410"/>
        <v>120.6802721</v>
      </c>
      <c r="CY494" s="94">
        <f t="shared" si="410"/>
        <v>120.6802721</v>
      </c>
      <c r="CZ494" s="94">
        <f t="shared" si="410"/>
        <v>120.6802721</v>
      </c>
      <c r="DA494" s="94">
        <f t="shared" si="410"/>
        <v>120.6802721</v>
      </c>
      <c r="DB494" s="94">
        <f t="shared" si="410"/>
        <v>120.6802721</v>
      </c>
      <c r="DC494" s="94">
        <f t="shared" si="410"/>
        <v>120.6802721</v>
      </c>
      <c r="DD494" s="94">
        <f t="shared" si="410"/>
        <v>120.6802721</v>
      </c>
      <c r="DE494" s="94">
        <f t="shared" si="410"/>
        <v>120.6802721</v>
      </c>
      <c r="DF494" s="94">
        <f t="shared" si="410"/>
        <v>120.6802721</v>
      </c>
      <c r="DG494" s="94">
        <f t="shared" si="410"/>
        <v>120.6802721</v>
      </c>
      <c r="DH494" s="94">
        <f t="shared" si="410"/>
        <v>120.6802721</v>
      </c>
      <c r="DI494" s="94">
        <f t="shared" si="410"/>
        <v>120.6802721</v>
      </c>
    </row>
    <row r="495" ht="15.75" customHeight="1">
      <c r="A495" s="91"/>
      <c r="B495" s="91"/>
      <c r="C495" s="91"/>
      <c r="D495" s="91"/>
      <c r="E495" s="91"/>
      <c r="F495" s="91"/>
      <c r="G495" s="91"/>
      <c r="H495" s="91"/>
      <c r="I495" s="91"/>
      <c r="J495" s="91"/>
      <c r="K495" s="91"/>
      <c r="L495" s="91"/>
      <c r="M495" s="91"/>
      <c r="N495" s="91"/>
      <c r="O495" s="91"/>
      <c r="P495" s="91"/>
      <c r="Q495" s="91"/>
      <c r="R495" s="91"/>
      <c r="S495" s="91"/>
      <c r="T495" s="91"/>
      <c r="U495" s="96">
        <v>45808.0</v>
      </c>
      <c r="CE495" s="94">
        <f t="shared" ref="CE495:DI495" si="411">+$CE$53*$U$58*$X$58</f>
        <v>120.6802721</v>
      </c>
      <c r="CF495" s="94">
        <f t="shared" si="411"/>
        <v>120.6802721</v>
      </c>
      <c r="CG495" s="94">
        <f t="shared" si="411"/>
        <v>120.6802721</v>
      </c>
      <c r="CH495" s="94">
        <f t="shared" si="411"/>
        <v>120.6802721</v>
      </c>
      <c r="CI495" s="94">
        <f t="shared" si="411"/>
        <v>120.6802721</v>
      </c>
      <c r="CJ495" s="94">
        <f t="shared" si="411"/>
        <v>120.6802721</v>
      </c>
      <c r="CK495" s="94">
        <f t="shared" si="411"/>
        <v>120.6802721</v>
      </c>
      <c r="CL495" s="94">
        <f t="shared" si="411"/>
        <v>120.6802721</v>
      </c>
      <c r="CM495" s="94">
        <f t="shared" si="411"/>
        <v>120.6802721</v>
      </c>
      <c r="CN495" s="94">
        <f t="shared" si="411"/>
        <v>120.6802721</v>
      </c>
      <c r="CO495" s="94">
        <f t="shared" si="411"/>
        <v>120.6802721</v>
      </c>
      <c r="CP495" s="94">
        <f t="shared" si="411"/>
        <v>120.6802721</v>
      </c>
      <c r="CQ495" s="94">
        <f t="shared" si="411"/>
        <v>120.6802721</v>
      </c>
      <c r="CR495" s="94">
        <f t="shared" si="411"/>
        <v>120.6802721</v>
      </c>
      <c r="CS495" s="94">
        <f t="shared" si="411"/>
        <v>120.6802721</v>
      </c>
      <c r="CT495" s="94">
        <f t="shared" si="411"/>
        <v>120.6802721</v>
      </c>
      <c r="CU495" s="94">
        <f t="shared" si="411"/>
        <v>120.6802721</v>
      </c>
      <c r="CV495" s="94">
        <f t="shared" si="411"/>
        <v>120.6802721</v>
      </c>
      <c r="CW495" s="94">
        <f t="shared" si="411"/>
        <v>120.6802721</v>
      </c>
      <c r="CX495" s="94">
        <f t="shared" si="411"/>
        <v>120.6802721</v>
      </c>
      <c r="CY495" s="94">
        <f t="shared" si="411"/>
        <v>120.6802721</v>
      </c>
      <c r="CZ495" s="94">
        <f t="shared" si="411"/>
        <v>120.6802721</v>
      </c>
      <c r="DA495" s="94">
        <f t="shared" si="411"/>
        <v>120.6802721</v>
      </c>
      <c r="DB495" s="94">
        <f t="shared" si="411"/>
        <v>120.6802721</v>
      </c>
      <c r="DC495" s="94">
        <f t="shared" si="411"/>
        <v>120.6802721</v>
      </c>
      <c r="DD495" s="94">
        <f t="shared" si="411"/>
        <v>120.6802721</v>
      </c>
      <c r="DE495" s="94">
        <f t="shared" si="411"/>
        <v>120.6802721</v>
      </c>
      <c r="DF495" s="94">
        <f t="shared" si="411"/>
        <v>120.6802721</v>
      </c>
      <c r="DG495" s="94">
        <f t="shared" si="411"/>
        <v>120.6802721</v>
      </c>
      <c r="DH495" s="94">
        <f t="shared" si="411"/>
        <v>120.6802721</v>
      </c>
      <c r="DI495" s="94">
        <f t="shared" si="411"/>
        <v>120.6802721</v>
      </c>
    </row>
    <row r="496" ht="15.75" customHeight="1">
      <c r="A496" s="91"/>
      <c r="B496" s="91"/>
      <c r="C496" s="91"/>
      <c r="D496" s="91"/>
      <c r="E496" s="91"/>
      <c r="F496" s="91"/>
      <c r="G496" s="91"/>
      <c r="H496" s="91"/>
      <c r="I496" s="91"/>
      <c r="J496" s="91"/>
      <c r="K496" s="91"/>
      <c r="L496" s="91"/>
      <c r="M496" s="91"/>
      <c r="N496" s="91"/>
      <c r="O496" s="91"/>
      <c r="P496" s="91"/>
      <c r="Q496" s="91"/>
      <c r="R496" s="91"/>
      <c r="S496" s="91"/>
      <c r="T496" s="91"/>
      <c r="U496" s="96">
        <v>45838.0</v>
      </c>
      <c r="CF496" s="94">
        <f t="shared" ref="CF496:DI496" si="412">+$CF$53*$U$58*$X$58</f>
        <v>120.6802721</v>
      </c>
      <c r="CG496" s="94">
        <f t="shared" si="412"/>
        <v>120.6802721</v>
      </c>
      <c r="CH496" s="94">
        <f t="shared" si="412"/>
        <v>120.6802721</v>
      </c>
      <c r="CI496" s="94">
        <f t="shared" si="412"/>
        <v>120.6802721</v>
      </c>
      <c r="CJ496" s="94">
        <f t="shared" si="412"/>
        <v>120.6802721</v>
      </c>
      <c r="CK496" s="94">
        <f t="shared" si="412"/>
        <v>120.6802721</v>
      </c>
      <c r="CL496" s="94">
        <f t="shared" si="412"/>
        <v>120.6802721</v>
      </c>
      <c r="CM496" s="94">
        <f t="shared" si="412"/>
        <v>120.6802721</v>
      </c>
      <c r="CN496" s="94">
        <f t="shared" si="412"/>
        <v>120.6802721</v>
      </c>
      <c r="CO496" s="94">
        <f t="shared" si="412"/>
        <v>120.6802721</v>
      </c>
      <c r="CP496" s="94">
        <f t="shared" si="412"/>
        <v>120.6802721</v>
      </c>
      <c r="CQ496" s="94">
        <f t="shared" si="412"/>
        <v>120.6802721</v>
      </c>
      <c r="CR496" s="94">
        <f t="shared" si="412"/>
        <v>120.6802721</v>
      </c>
      <c r="CS496" s="94">
        <f t="shared" si="412"/>
        <v>120.6802721</v>
      </c>
      <c r="CT496" s="94">
        <f t="shared" si="412"/>
        <v>120.6802721</v>
      </c>
      <c r="CU496" s="94">
        <f t="shared" si="412"/>
        <v>120.6802721</v>
      </c>
      <c r="CV496" s="94">
        <f t="shared" si="412"/>
        <v>120.6802721</v>
      </c>
      <c r="CW496" s="94">
        <f t="shared" si="412"/>
        <v>120.6802721</v>
      </c>
      <c r="CX496" s="94">
        <f t="shared" si="412"/>
        <v>120.6802721</v>
      </c>
      <c r="CY496" s="94">
        <f t="shared" si="412"/>
        <v>120.6802721</v>
      </c>
      <c r="CZ496" s="94">
        <f t="shared" si="412"/>
        <v>120.6802721</v>
      </c>
      <c r="DA496" s="94">
        <f t="shared" si="412"/>
        <v>120.6802721</v>
      </c>
      <c r="DB496" s="94">
        <f t="shared" si="412"/>
        <v>120.6802721</v>
      </c>
      <c r="DC496" s="94">
        <f t="shared" si="412"/>
        <v>120.6802721</v>
      </c>
      <c r="DD496" s="94">
        <f t="shared" si="412"/>
        <v>120.6802721</v>
      </c>
      <c r="DE496" s="94">
        <f t="shared" si="412"/>
        <v>120.6802721</v>
      </c>
      <c r="DF496" s="94">
        <f t="shared" si="412"/>
        <v>120.6802721</v>
      </c>
      <c r="DG496" s="94">
        <f t="shared" si="412"/>
        <v>120.6802721</v>
      </c>
      <c r="DH496" s="94">
        <f t="shared" si="412"/>
        <v>120.6802721</v>
      </c>
      <c r="DI496" s="94">
        <f t="shared" si="412"/>
        <v>120.6802721</v>
      </c>
    </row>
    <row r="497" ht="15.75" customHeight="1">
      <c r="A497" s="91"/>
      <c r="B497" s="91"/>
      <c r="C497" s="91"/>
      <c r="D497" s="91"/>
      <c r="E497" s="91"/>
      <c r="F497" s="91"/>
      <c r="G497" s="91"/>
      <c r="H497" s="91"/>
      <c r="I497" s="91"/>
      <c r="J497" s="91"/>
      <c r="K497" s="91"/>
      <c r="L497" s="91"/>
      <c r="M497" s="91"/>
      <c r="N497" s="91"/>
      <c r="O497" s="91"/>
      <c r="P497" s="91"/>
      <c r="Q497" s="91"/>
      <c r="R497" s="91"/>
      <c r="S497" s="91"/>
      <c r="T497" s="91"/>
      <c r="U497" s="96">
        <v>45869.0</v>
      </c>
      <c r="CG497" s="94">
        <f t="shared" ref="CG497:DI497" si="413">+$CG$53*$U$58*$X$58</f>
        <v>120.6802721</v>
      </c>
      <c r="CH497" s="94">
        <f t="shared" si="413"/>
        <v>120.6802721</v>
      </c>
      <c r="CI497" s="94">
        <f t="shared" si="413"/>
        <v>120.6802721</v>
      </c>
      <c r="CJ497" s="94">
        <f t="shared" si="413"/>
        <v>120.6802721</v>
      </c>
      <c r="CK497" s="94">
        <f t="shared" si="413"/>
        <v>120.6802721</v>
      </c>
      <c r="CL497" s="94">
        <f t="shared" si="413"/>
        <v>120.6802721</v>
      </c>
      <c r="CM497" s="94">
        <f t="shared" si="413"/>
        <v>120.6802721</v>
      </c>
      <c r="CN497" s="94">
        <f t="shared" si="413"/>
        <v>120.6802721</v>
      </c>
      <c r="CO497" s="94">
        <f t="shared" si="413"/>
        <v>120.6802721</v>
      </c>
      <c r="CP497" s="94">
        <f t="shared" si="413"/>
        <v>120.6802721</v>
      </c>
      <c r="CQ497" s="94">
        <f t="shared" si="413"/>
        <v>120.6802721</v>
      </c>
      <c r="CR497" s="94">
        <f t="shared" si="413"/>
        <v>120.6802721</v>
      </c>
      <c r="CS497" s="94">
        <f t="shared" si="413"/>
        <v>120.6802721</v>
      </c>
      <c r="CT497" s="94">
        <f t="shared" si="413"/>
        <v>120.6802721</v>
      </c>
      <c r="CU497" s="94">
        <f t="shared" si="413"/>
        <v>120.6802721</v>
      </c>
      <c r="CV497" s="94">
        <f t="shared" si="413"/>
        <v>120.6802721</v>
      </c>
      <c r="CW497" s="94">
        <f t="shared" si="413"/>
        <v>120.6802721</v>
      </c>
      <c r="CX497" s="94">
        <f t="shared" si="413"/>
        <v>120.6802721</v>
      </c>
      <c r="CY497" s="94">
        <f t="shared" si="413"/>
        <v>120.6802721</v>
      </c>
      <c r="CZ497" s="94">
        <f t="shared" si="413"/>
        <v>120.6802721</v>
      </c>
      <c r="DA497" s="94">
        <f t="shared" si="413"/>
        <v>120.6802721</v>
      </c>
      <c r="DB497" s="94">
        <f t="shared" si="413"/>
        <v>120.6802721</v>
      </c>
      <c r="DC497" s="94">
        <f t="shared" si="413"/>
        <v>120.6802721</v>
      </c>
      <c r="DD497" s="94">
        <f t="shared" si="413"/>
        <v>120.6802721</v>
      </c>
      <c r="DE497" s="94">
        <f t="shared" si="413"/>
        <v>120.6802721</v>
      </c>
      <c r="DF497" s="94">
        <f t="shared" si="413"/>
        <v>120.6802721</v>
      </c>
      <c r="DG497" s="94">
        <f t="shared" si="413"/>
        <v>120.6802721</v>
      </c>
      <c r="DH497" s="94">
        <f t="shared" si="413"/>
        <v>120.6802721</v>
      </c>
      <c r="DI497" s="94">
        <f t="shared" si="413"/>
        <v>120.6802721</v>
      </c>
    </row>
    <row r="498" ht="15.75" customHeight="1">
      <c r="A498" s="91"/>
      <c r="B498" s="91"/>
      <c r="C498" s="91"/>
      <c r="D498" s="91"/>
      <c r="E498" s="91"/>
      <c r="F498" s="91"/>
      <c r="G498" s="91"/>
      <c r="H498" s="91"/>
      <c r="I498" s="91"/>
      <c r="J498" s="91"/>
      <c r="K498" s="91"/>
      <c r="L498" s="91"/>
      <c r="M498" s="91"/>
      <c r="N498" s="91"/>
      <c r="O498" s="91"/>
      <c r="P498" s="91"/>
      <c r="Q498" s="91"/>
      <c r="R498" s="91"/>
      <c r="S498" s="91"/>
      <c r="T498" s="91"/>
      <c r="U498" s="96">
        <v>45900.0</v>
      </c>
      <c r="CH498" s="94">
        <f t="shared" ref="CH498:DI498" si="414">+$CH$53*$U$58*$X$58</f>
        <v>120.6802721</v>
      </c>
      <c r="CI498" s="94">
        <f t="shared" si="414"/>
        <v>120.6802721</v>
      </c>
      <c r="CJ498" s="94">
        <f t="shared" si="414"/>
        <v>120.6802721</v>
      </c>
      <c r="CK498" s="94">
        <f t="shared" si="414"/>
        <v>120.6802721</v>
      </c>
      <c r="CL498" s="94">
        <f t="shared" si="414"/>
        <v>120.6802721</v>
      </c>
      <c r="CM498" s="94">
        <f t="shared" si="414"/>
        <v>120.6802721</v>
      </c>
      <c r="CN498" s="94">
        <f t="shared" si="414"/>
        <v>120.6802721</v>
      </c>
      <c r="CO498" s="94">
        <f t="shared" si="414"/>
        <v>120.6802721</v>
      </c>
      <c r="CP498" s="94">
        <f t="shared" si="414"/>
        <v>120.6802721</v>
      </c>
      <c r="CQ498" s="94">
        <f t="shared" si="414"/>
        <v>120.6802721</v>
      </c>
      <c r="CR498" s="94">
        <f t="shared" si="414"/>
        <v>120.6802721</v>
      </c>
      <c r="CS498" s="94">
        <f t="shared" si="414"/>
        <v>120.6802721</v>
      </c>
      <c r="CT498" s="94">
        <f t="shared" si="414"/>
        <v>120.6802721</v>
      </c>
      <c r="CU498" s="94">
        <f t="shared" si="414"/>
        <v>120.6802721</v>
      </c>
      <c r="CV498" s="94">
        <f t="shared" si="414"/>
        <v>120.6802721</v>
      </c>
      <c r="CW498" s="94">
        <f t="shared" si="414"/>
        <v>120.6802721</v>
      </c>
      <c r="CX498" s="94">
        <f t="shared" si="414"/>
        <v>120.6802721</v>
      </c>
      <c r="CY498" s="94">
        <f t="shared" si="414"/>
        <v>120.6802721</v>
      </c>
      <c r="CZ498" s="94">
        <f t="shared" si="414"/>
        <v>120.6802721</v>
      </c>
      <c r="DA498" s="94">
        <f t="shared" si="414"/>
        <v>120.6802721</v>
      </c>
      <c r="DB498" s="94">
        <f t="shared" si="414"/>
        <v>120.6802721</v>
      </c>
      <c r="DC498" s="94">
        <f t="shared" si="414"/>
        <v>120.6802721</v>
      </c>
      <c r="DD498" s="94">
        <f t="shared" si="414"/>
        <v>120.6802721</v>
      </c>
      <c r="DE498" s="94">
        <f t="shared" si="414"/>
        <v>120.6802721</v>
      </c>
      <c r="DF498" s="94">
        <f t="shared" si="414"/>
        <v>120.6802721</v>
      </c>
      <c r="DG498" s="94">
        <f t="shared" si="414"/>
        <v>120.6802721</v>
      </c>
      <c r="DH498" s="94">
        <f t="shared" si="414"/>
        <v>120.6802721</v>
      </c>
      <c r="DI498" s="94">
        <f t="shared" si="414"/>
        <v>120.6802721</v>
      </c>
    </row>
    <row r="499" ht="15.75" customHeight="1">
      <c r="A499" s="91"/>
      <c r="B499" s="91"/>
      <c r="C499" s="91"/>
      <c r="D499" s="91"/>
      <c r="E499" s="91"/>
      <c r="F499" s="91"/>
      <c r="G499" s="91"/>
      <c r="H499" s="91"/>
      <c r="I499" s="91"/>
      <c r="J499" s="91"/>
      <c r="K499" s="91"/>
      <c r="L499" s="91"/>
      <c r="M499" s="91"/>
      <c r="N499" s="91"/>
      <c r="O499" s="91"/>
      <c r="P499" s="91"/>
      <c r="Q499" s="91"/>
      <c r="R499" s="91"/>
      <c r="S499" s="91"/>
      <c r="T499" s="91"/>
      <c r="U499" s="96">
        <v>45930.0</v>
      </c>
      <c r="CI499" s="94">
        <f t="shared" ref="CI499:DI499" si="415">+$CI$53*$U$58*$X$58</f>
        <v>181.0204082</v>
      </c>
      <c r="CJ499" s="94">
        <f t="shared" si="415"/>
        <v>181.0204082</v>
      </c>
      <c r="CK499" s="94">
        <f t="shared" si="415"/>
        <v>181.0204082</v>
      </c>
      <c r="CL499" s="94">
        <f t="shared" si="415"/>
        <v>181.0204082</v>
      </c>
      <c r="CM499" s="94">
        <f t="shared" si="415"/>
        <v>181.0204082</v>
      </c>
      <c r="CN499" s="94">
        <f t="shared" si="415"/>
        <v>181.0204082</v>
      </c>
      <c r="CO499" s="94">
        <f t="shared" si="415"/>
        <v>181.0204082</v>
      </c>
      <c r="CP499" s="94">
        <f t="shared" si="415"/>
        <v>181.0204082</v>
      </c>
      <c r="CQ499" s="94">
        <f t="shared" si="415"/>
        <v>181.0204082</v>
      </c>
      <c r="CR499" s="94">
        <f t="shared" si="415"/>
        <v>181.0204082</v>
      </c>
      <c r="CS499" s="94">
        <f t="shared" si="415"/>
        <v>181.0204082</v>
      </c>
      <c r="CT499" s="94">
        <f t="shared" si="415"/>
        <v>181.0204082</v>
      </c>
      <c r="CU499" s="94">
        <f t="shared" si="415"/>
        <v>181.0204082</v>
      </c>
      <c r="CV499" s="94">
        <f t="shared" si="415"/>
        <v>181.0204082</v>
      </c>
      <c r="CW499" s="94">
        <f t="shared" si="415"/>
        <v>181.0204082</v>
      </c>
      <c r="CX499" s="94">
        <f t="shared" si="415"/>
        <v>181.0204082</v>
      </c>
      <c r="CY499" s="94">
        <f t="shared" si="415"/>
        <v>181.0204082</v>
      </c>
      <c r="CZ499" s="94">
        <f t="shared" si="415"/>
        <v>181.0204082</v>
      </c>
      <c r="DA499" s="94">
        <f t="shared" si="415"/>
        <v>181.0204082</v>
      </c>
      <c r="DB499" s="94">
        <f t="shared" si="415"/>
        <v>181.0204082</v>
      </c>
      <c r="DC499" s="94">
        <f t="shared" si="415"/>
        <v>181.0204082</v>
      </c>
      <c r="DD499" s="94">
        <f t="shared" si="415"/>
        <v>181.0204082</v>
      </c>
      <c r="DE499" s="94">
        <f t="shared" si="415"/>
        <v>181.0204082</v>
      </c>
      <c r="DF499" s="94">
        <f t="shared" si="415"/>
        <v>181.0204082</v>
      </c>
      <c r="DG499" s="94">
        <f t="shared" si="415"/>
        <v>181.0204082</v>
      </c>
      <c r="DH499" s="94">
        <f t="shared" si="415"/>
        <v>181.0204082</v>
      </c>
      <c r="DI499" s="94">
        <f t="shared" si="415"/>
        <v>181.0204082</v>
      </c>
    </row>
    <row r="500" ht="15.75" customHeight="1">
      <c r="A500" s="91"/>
      <c r="B500" s="91"/>
      <c r="C500" s="91"/>
      <c r="D500" s="91"/>
      <c r="E500" s="91"/>
      <c r="F500" s="91"/>
      <c r="G500" s="91"/>
      <c r="H500" s="91"/>
      <c r="I500" s="91"/>
      <c r="J500" s="91"/>
      <c r="K500" s="91"/>
      <c r="L500" s="91"/>
      <c r="M500" s="91"/>
      <c r="N500" s="91"/>
      <c r="O500" s="91"/>
      <c r="P500" s="91"/>
      <c r="Q500" s="91"/>
      <c r="R500" s="91"/>
      <c r="S500" s="91"/>
      <c r="T500" s="91"/>
      <c r="U500" s="96">
        <v>45961.0</v>
      </c>
      <c r="CJ500" s="94">
        <f t="shared" ref="CJ500:DI500" si="416">+$CJ$53*$U$58*$X$58</f>
        <v>181.0204082</v>
      </c>
      <c r="CK500" s="94">
        <f t="shared" si="416"/>
        <v>181.0204082</v>
      </c>
      <c r="CL500" s="94">
        <f t="shared" si="416"/>
        <v>181.0204082</v>
      </c>
      <c r="CM500" s="94">
        <f t="shared" si="416"/>
        <v>181.0204082</v>
      </c>
      <c r="CN500" s="94">
        <f t="shared" si="416"/>
        <v>181.0204082</v>
      </c>
      <c r="CO500" s="94">
        <f t="shared" si="416"/>
        <v>181.0204082</v>
      </c>
      <c r="CP500" s="94">
        <f t="shared" si="416"/>
        <v>181.0204082</v>
      </c>
      <c r="CQ500" s="94">
        <f t="shared" si="416"/>
        <v>181.0204082</v>
      </c>
      <c r="CR500" s="94">
        <f t="shared" si="416"/>
        <v>181.0204082</v>
      </c>
      <c r="CS500" s="94">
        <f t="shared" si="416"/>
        <v>181.0204082</v>
      </c>
      <c r="CT500" s="94">
        <f t="shared" si="416"/>
        <v>181.0204082</v>
      </c>
      <c r="CU500" s="94">
        <f t="shared" si="416"/>
        <v>181.0204082</v>
      </c>
      <c r="CV500" s="94">
        <f t="shared" si="416"/>
        <v>181.0204082</v>
      </c>
      <c r="CW500" s="94">
        <f t="shared" si="416"/>
        <v>181.0204082</v>
      </c>
      <c r="CX500" s="94">
        <f t="shared" si="416"/>
        <v>181.0204082</v>
      </c>
      <c r="CY500" s="94">
        <f t="shared" si="416"/>
        <v>181.0204082</v>
      </c>
      <c r="CZ500" s="94">
        <f t="shared" si="416"/>
        <v>181.0204082</v>
      </c>
      <c r="DA500" s="94">
        <f t="shared" si="416"/>
        <v>181.0204082</v>
      </c>
      <c r="DB500" s="94">
        <f t="shared" si="416"/>
        <v>181.0204082</v>
      </c>
      <c r="DC500" s="94">
        <f t="shared" si="416"/>
        <v>181.0204082</v>
      </c>
      <c r="DD500" s="94">
        <f t="shared" si="416"/>
        <v>181.0204082</v>
      </c>
      <c r="DE500" s="94">
        <f t="shared" si="416"/>
        <v>181.0204082</v>
      </c>
      <c r="DF500" s="94">
        <f t="shared" si="416"/>
        <v>181.0204082</v>
      </c>
      <c r="DG500" s="94">
        <f t="shared" si="416"/>
        <v>181.0204082</v>
      </c>
      <c r="DH500" s="94">
        <f t="shared" si="416"/>
        <v>181.0204082</v>
      </c>
      <c r="DI500" s="94">
        <f t="shared" si="416"/>
        <v>181.0204082</v>
      </c>
    </row>
    <row r="501" ht="15.75" customHeight="1">
      <c r="A501" s="91"/>
      <c r="B501" s="91"/>
      <c r="C501" s="91"/>
      <c r="D501" s="91"/>
      <c r="E501" s="91"/>
      <c r="F501" s="91"/>
      <c r="G501" s="91"/>
      <c r="H501" s="91"/>
      <c r="I501" s="91"/>
      <c r="J501" s="91"/>
      <c r="K501" s="91"/>
      <c r="L501" s="91"/>
      <c r="M501" s="91"/>
      <c r="N501" s="91"/>
      <c r="O501" s="91"/>
      <c r="P501" s="91"/>
      <c r="Q501" s="91"/>
      <c r="R501" s="91"/>
      <c r="S501" s="91"/>
      <c r="T501" s="91"/>
      <c r="U501" s="96">
        <v>45991.0</v>
      </c>
      <c r="CK501" s="94">
        <f t="shared" ref="CK501:DI501" si="417">+$CK$53*$U$58*$X$58</f>
        <v>181.0204082</v>
      </c>
      <c r="CL501" s="94">
        <f t="shared" si="417"/>
        <v>181.0204082</v>
      </c>
      <c r="CM501" s="94">
        <f t="shared" si="417"/>
        <v>181.0204082</v>
      </c>
      <c r="CN501" s="94">
        <f t="shared" si="417"/>
        <v>181.0204082</v>
      </c>
      <c r="CO501" s="94">
        <f t="shared" si="417"/>
        <v>181.0204082</v>
      </c>
      <c r="CP501" s="94">
        <f t="shared" si="417"/>
        <v>181.0204082</v>
      </c>
      <c r="CQ501" s="94">
        <f t="shared" si="417"/>
        <v>181.0204082</v>
      </c>
      <c r="CR501" s="94">
        <f t="shared" si="417"/>
        <v>181.0204082</v>
      </c>
      <c r="CS501" s="94">
        <f t="shared" si="417"/>
        <v>181.0204082</v>
      </c>
      <c r="CT501" s="94">
        <f t="shared" si="417"/>
        <v>181.0204082</v>
      </c>
      <c r="CU501" s="94">
        <f t="shared" si="417"/>
        <v>181.0204082</v>
      </c>
      <c r="CV501" s="94">
        <f t="shared" si="417"/>
        <v>181.0204082</v>
      </c>
      <c r="CW501" s="94">
        <f t="shared" si="417"/>
        <v>181.0204082</v>
      </c>
      <c r="CX501" s="94">
        <f t="shared" si="417"/>
        <v>181.0204082</v>
      </c>
      <c r="CY501" s="94">
        <f t="shared" si="417"/>
        <v>181.0204082</v>
      </c>
      <c r="CZ501" s="94">
        <f t="shared" si="417"/>
        <v>181.0204082</v>
      </c>
      <c r="DA501" s="94">
        <f t="shared" si="417"/>
        <v>181.0204082</v>
      </c>
      <c r="DB501" s="94">
        <f t="shared" si="417"/>
        <v>181.0204082</v>
      </c>
      <c r="DC501" s="94">
        <f t="shared" si="417"/>
        <v>181.0204082</v>
      </c>
      <c r="DD501" s="94">
        <f t="shared" si="417"/>
        <v>181.0204082</v>
      </c>
      <c r="DE501" s="94">
        <f t="shared" si="417"/>
        <v>181.0204082</v>
      </c>
      <c r="DF501" s="94">
        <f t="shared" si="417"/>
        <v>181.0204082</v>
      </c>
      <c r="DG501" s="94">
        <f t="shared" si="417"/>
        <v>181.0204082</v>
      </c>
      <c r="DH501" s="94">
        <f t="shared" si="417"/>
        <v>181.0204082</v>
      </c>
      <c r="DI501" s="94">
        <f t="shared" si="417"/>
        <v>181.0204082</v>
      </c>
    </row>
    <row r="502" ht="15.75" customHeight="1">
      <c r="A502" s="91"/>
      <c r="B502" s="91"/>
      <c r="C502" s="91"/>
      <c r="D502" s="91"/>
      <c r="E502" s="91"/>
      <c r="F502" s="91"/>
      <c r="G502" s="91"/>
      <c r="H502" s="91"/>
      <c r="I502" s="91"/>
      <c r="J502" s="91"/>
      <c r="K502" s="91"/>
      <c r="L502" s="91"/>
      <c r="M502" s="91"/>
      <c r="N502" s="91"/>
      <c r="O502" s="91"/>
      <c r="P502" s="91"/>
      <c r="Q502" s="91"/>
      <c r="R502" s="91"/>
      <c r="S502" s="91"/>
      <c r="T502" s="91"/>
      <c r="U502" s="96">
        <v>46022.0</v>
      </c>
      <c r="CL502" s="94">
        <f t="shared" ref="CL502:DI502" si="418">+$CL$53*$U$58*$X$58</f>
        <v>181.0204082</v>
      </c>
      <c r="CM502" s="94">
        <f t="shared" si="418"/>
        <v>181.0204082</v>
      </c>
      <c r="CN502" s="94">
        <f t="shared" si="418"/>
        <v>181.0204082</v>
      </c>
      <c r="CO502" s="94">
        <f t="shared" si="418"/>
        <v>181.0204082</v>
      </c>
      <c r="CP502" s="94">
        <f t="shared" si="418"/>
        <v>181.0204082</v>
      </c>
      <c r="CQ502" s="94">
        <f t="shared" si="418"/>
        <v>181.0204082</v>
      </c>
      <c r="CR502" s="94">
        <f t="shared" si="418"/>
        <v>181.0204082</v>
      </c>
      <c r="CS502" s="94">
        <f t="shared" si="418"/>
        <v>181.0204082</v>
      </c>
      <c r="CT502" s="94">
        <f t="shared" si="418"/>
        <v>181.0204082</v>
      </c>
      <c r="CU502" s="94">
        <f t="shared" si="418"/>
        <v>181.0204082</v>
      </c>
      <c r="CV502" s="94">
        <f t="shared" si="418"/>
        <v>181.0204082</v>
      </c>
      <c r="CW502" s="94">
        <f t="shared" si="418"/>
        <v>181.0204082</v>
      </c>
      <c r="CX502" s="94">
        <f t="shared" si="418"/>
        <v>181.0204082</v>
      </c>
      <c r="CY502" s="94">
        <f t="shared" si="418"/>
        <v>181.0204082</v>
      </c>
      <c r="CZ502" s="94">
        <f t="shared" si="418"/>
        <v>181.0204082</v>
      </c>
      <c r="DA502" s="94">
        <f t="shared" si="418"/>
        <v>181.0204082</v>
      </c>
      <c r="DB502" s="94">
        <f t="shared" si="418"/>
        <v>181.0204082</v>
      </c>
      <c r="DC502" s="94">
        <f t="shared" si="418"/>
        <v>181.0204082</v>
      </c>
      <c r="DD502" s="94">
        <f t="shared" si="418"/>
        <v>181.0204082</v>
      </c>
      <c r="DE502" s="94">
        <f t="shared" si="418"/>
        <v>181.0204082</v>
      </c>
      <c r="DF502" s="94">
        <f t="shared" si="418"/>
        <v>181.0204082</v>
      </c>
      <c r="DG502" s="94">
        <f t="shared" si="418"/>
        <v>181.0204082</v>
      </c>
      <c r="DH502" s="94">
        <f t="shared" si="418"/>
        <v>181.0204082</v>
      </c>
      <c r="DI502" s="94">
        <f t="shared" si="418"/>
        <v>181.0204082</v>
      </c>
    </row>
    <row r="503" ht="15.75" customHeight="1">
      <c r="A503" s="91"/>
      <c r="B503" s="91"/>
      <c r="C503" s="91"/>
      <c r="D503" s="91"/>
      <c r="E503" s="91"/>
      <c r="F503" s="91"/>
      <c r="G503" s="91"/>
      <c r="H503" s="91"/>
      <c r="I503" s="91"/>
      <c r="J503" s="91"/>
      <c r="K503" s="91"/>
      <c r="L503" s="91"/>
      <c r="M503" s="91"/>
      <c r="N503" s="91"/>
      <c r="O503" s="91"/>
      <c r="P503" s="91"/>
      <c r="Q503" s="91"/>
      <c r="R503" s="91"/>
      <c r="S503" s="91"/>
      <c r="T503" s="91"/>
      <c r="U503" s="96">
        <v>46053.0</v>
      </c>
      <c r="CM503" s="94">
        <f t="shared" ref="CM503:DI503" si="419">+$CM$53*$U$58*$X$58</f>
        <v>181.0204082</v>
      </c>
      <c r="CN503" s="94">
        <f t="shared" si="419"/>
        <v>181.0204082</v>
      </c>
      <c r="CO503" s="94">
        <f t="shared" si="419"/>
        <v>181.0204082</v>
      </c>
      <c r="CP503" s="94">
        <f t="shared" si="419"/>
        <v>181.0204082</v>
      </c>
      <c r="CQ503" s="94">
        <f t="shared" si="419"/>
        <v>181.0204082</v>
      </c>
      <c r="CR503" s="94">
        <f t="shared" si="419"/>
        <v>181.0204082</v>
      </c>
      <c r="CS503" s="94">
        <f t="shared" si="419"/>
        <v>181.0204082</v>
      </c>
      <c r="CT503" s="94">
        <f t="shared" si="419"/>
        <v>181.0204082</v>
      </c>
      <c r="CU503" s="94">
        <f t="shared" si="419"/>
        <v>181.0204082</v>
      </c>
      <c r="CV503" s="94">
        <f t="shared" si="419"/>
        <v>181.0204082</v>
      </c>
      <c r="CW503" s="94">
        <f t="shared" si="419"/>
        <v>181.0204082</v>
      </c>
      <c r="CX503" s="94">
        <f t="shared" si="419"/>
        <v>181.0204082</v>
      </c>
      <c r="CY503" s="94">
        <f t="shared" si="419"/>
        <v>181.0204082</v>
      </c>
      <c r="CZ503" s="94">
        <f t="shared" si="419"/>
        <v>181.0204082</v>
      </c>
      <c r="DA503" s="94">
        <f t="shared" si="419"/>
        <v>181.0204082</v>
      </c>
      <c r="DB503" s="94">
        <f t="shared" si="419"/>
        <v>181.0204082</v>
      </c>
      <c r="DC503" s="94">
        <f t="shared" si="419"/>
        <v>181.0204082</v>
      </c>
      <c r="DD503" s="94">
        <f t="shared" si="419"/>
        <v>181.0204082</v>
      </c>
      <c r="DE503" s="94">
        <f t="shared" si="419"/>
        <v>181.0204082</v>
      </c>
      <c r="DF503" s="94">
        <f t="shared" si="419"/>
        <v>181.0204082</v>
      </c>
      <c r="DG503" s="94">
        <f t="shared" si="419"/>
        <v>181.0204082</v>
      </c>
      <c r="DH503" s="94">
        <f t="shared" si="419"/>
        <v>181.0204082</v>
      </c>
      <c r="DI503" s="94">
        <f t="shared" si="419"/>
        <v>181.0204082</v>
      </c>
    </row>
    <row r="504" ht="15.75" customHeight="1">
      <c r="A504" s="91"/>
      <c r="B504" s="91"/>
      <c r="C504" s="91"/>
      <c r="D504" s="91"/>
      <c r="E504" s="91"/>
      <c r="F504" s="91"/>
      <c r="G504" s="91"/>
      <c r="H504" s="91"/>
      <c r="I504" s="91"/>
      <c r="J504" s="91"/>
      <c r="K504" s="91"/>
      <c r="L504" s="91"/>
      <c r="M504" s="91"/>
      <c r="N504" s="91"/>
      <c r="O504" s="91"/>
      <c r="P504" s="91"/>
      <c r="Q504" s="91"/>
      <c r="R504" s="91"/>
      <c r="S504" s="91"/>
      <c r="T504" s="91"/>
      <c r="U504" s="96">
        <v>46081.0</v>
      </c>
      <c r="CN504" s="94">
        <f t="shared" ref="CN504:DI504" si="420">+$CN$53*$U$58*$X$58</f>
        <v>241.3605442</v>
      </c>
      <c r="CO504" s="94">
        <f t="shared" si="420"/>
        <v>241.3605442</v>
      </c>
      <c r="CP504" s="94">
        <f t="shared" si="420"/>
        <v>241.3605442</v>
      </c>
      <c r="CQ504" s="94">
        <f t="shared" si="420"/>
        <v>241.3605442</v>
      </c>
      <c r="CR504" s="94">
        <f t="shared" si="420"/>
        <v>241.3605442</v>
      </c>
      <c r="CS504" s="94">
        <f t="shared" si="420"/>
        <v>241.3605442</v>
      </c>
      <c r="CT504" s="94">
        <f t="shared" si="420"/>
        <v>241.3605442</v>
      </c>
      <c r="CU504" s="94">
        <f t="shared" si="420"/>
        <v>241.3605442</v>
      </c>
      <c r="CV504" s="94">
        <f t="shared" si="420"/>
        <v>241.3605442</v>
      </c>
      <c r="CW504" s="94">
        <f t="shared" si="420"/>
        <v>241.3605442</v>
      </c>
      <c r="CX504" s="94">
        <f t="shared" si="420"/>
        <v>241.3605442</v>
      </c>
      <c r="CY504" s="94">
        <f t="shared" si="420"/>
        <v>241.3605442</v>
      </c>
      <c r="CZ504" s="94">
        <f t="shared" si="420"/>
        <v>241.3605442</v>
      </c>
      <c r="DA504" s="94">
        <f t="shared" si="420"/>
        <v>241.3605442</v>
      </c>
      <c r="DB504" s="94">
        <f t="shared" si="420"/>
        <v>241.3605442</v>
      </c>
      <c r="DC504" s="94">
        <f t="shared" si="420"/>
        <v>241.3605442</v>
      </c>
      <c r="DD504" s="94">
        <f t="shared" si="420"/>
        <v>241.3605442</v>
      </c>
      <c r="DE504" s="94">
        <f t="shared" si="420"/>
        <v>241.3605442</v>
      </c>
      <c r="DF504" s="94">
        <f t="shared" si="420"/>
        <v>241.3605442</v>
      </c>
      <c r="DG504" s="94">
        <f t="shared" si="420"/>
        <v>241.3605442</v>
      </c>
      <c r="DH504" s="94">
        <f t="shared" si="420"/>
        <v>241.3605442</v>
      </c>
      <c r="DI504" s="94">
        <f t="shared" si="420"/>
        <v>241.3605442</v>
      </c>
    </row>
    <row r="505" ht="15.75" customHeight="1">
      <c r="A505" s="91"/>
      <c r="B505" s="91"/>
      <c r="C505" s="91"/>
      <c r="D505" s="91"/>
      <c r="E505" s="91"/>
      <c r="F505" s="91"/>
      <c r="G505" s="91"/>
      <c r="H505" s="91"/>
      <c r="I505" s="91"/>
      <c r="J505" s="91"/>
      <c r="K505" s="91"/>
      <c r="L505" s="91"/>
      <c r="M505" s="91"/>
      <c r="N505" s="91"/>
      <c r="O505" s="91"/>
      <c r="P505" s="91"/>
      <c r="Q505" s="91"/>
      <c r="R505" s="91"/>
      <c r="S505" s="91"/>
      <c r="T505" s="91"/>
      <c r="U505" s="96">
        <v>46112.0</v>
      </c>
      <c r="CO505" s="94">
        <f t="shared" ref="CO505:DI505" si="421">+$CO$53*$U$58*$X$58</f>
        <v>301.7006803</v>
      </c>
      <c r="CP505" s="94">
        <f t="shared" si="421"/>
        <v>301.7006803</v>
      </c>
      <c r="CQ505" s="94">
        <f t="shared" si="421"/>
        <v>301.7006803</v>
      </c>
      <c r="CR505" s="94">
        <f t="shared" si="421"/>
        <v>301.7006803</v>
      </c>
      <c r="CS505" s="94">
        <f t="shared" si="421"/>
        <v>301.7006803</v>
      </c>
      <c r="CT505" s="94">
        <f t="shared" si="421"/>
        <v>301.7006803</v>
      </c>
      <c r="CU505" s="94">
        <f t="shared" si="421"/>
        <v>301.7006803</v>
      </c>
      <c r="CV505" s="94">
        <f t="shared" si="421"/>
        <v>301.7006803</v>
      </c>
      <c r="CW505" s="94">
        <f t="shared" si="421"/>
        <v>301.7006803</v>
      </c>
      <c r="CX505" s="94">
        <f t="shared" si="421"/>
        <v>301.7006803</v>
      </c>
      <c r="CY505" s="94">
        <f t="shared" si="421"/>
        <v>301.7006803</v>
      </c>
      <c r="CZ505" s="94">
        <f t="shared" si="421"/>
        <v>301.7006803</v>
      </c>
      <c r="DA505" s="94">
        <f t="shared" si="421"/>
        <v>301.7006803</v>
      </c>
      <c r="DB505" s="94">
        <f t="shared" si="421"/>
        <v>301.7006803</v>
      </c>
      <c r="DC505" s="94">
        <f t="shared" si="421"/>
        <v>301.7006803</v>
      </c>
      <c r="DD505" s="94">
        <f t="shared" si="421"/>
        <v>301.7006803</v>
      </c>
      <c r="DE505" s="94">
        <f t="shared" si="421"/>
        <v>301.7006803</v>
      </c>
      <c r="DF505" s="94">
        <f t="shared" si="421"/>
        <v>301.7006803</v>
      </c>
      <c r="DG505" s="94">
        <f t="shared" si="421"/>
        <v>301.7006803</v>
      </c>
      <c r="DH505" s="94">
        <f t="shared" si="421"/>
        <v>301.7006803</v>
      </c>
      <c r="DI505" s="94">
        <f t="shared" si="421"/>
        <v>301.7006803</v>
      </c>
    </row>
    <row r="506" ht="15.75" customHeight="1">
      <c r="A506" s="91"/>
      <c r="B506" s="91"/>
      <c r="C506" s="91"/>
      <c r="D506" s="91"/>
      <c r="E506" s="91"/>
      <c r="F506" s="91"/>
      <c r="G506" s="91"/>
      <c r="H506" s="91"/>
      <c r="I506" s="91"/>
      <c r="J506" s="91"/>
      <c r="K506" s="91"/>
      <c r="L506" s="91"/>
      <c r="M506" s="91"/>
      <c r="N506" s="91"/>
      <c r="O506" s="91"/>
      <c r="P506" s="91"/>
      <c r="Q506" s="91"/>
      <c r="R506" s="91"/>
      <c r="S506" s="91"/>
      <c r="T506" s="91"/>
      <c r="U506" s="96">
        <v>46142.0</v>
      </c>
      <c r="CP506" s="94">
        <f t="shared" ref="CP506:DI506" si="422">+$CP$53*$U$58*$X$58</f>
        <v>301.7006803</v>
      </c>
      <c r="CQ506" s="94">
        <f t="shared" si="422"/>
        <v>301.7006803</v>
      </c>
      <c r="CR506" s="94">
        <f t="shared" si="422"/>
        <v>301.7006803</v>
      </c>
      <c r="CS506" s="94">
        <f t="shared" si="422"/>
        <v>301.7006803</v>
      </c>
      <c r="CT506" s="94">
        <f t="shared" si="422"/>
        <v>301.7006803</v>
      </c>
      <c r="CU506" s="94">
        <f t="shared" si="422"/>
        <v>301.7006803</v>
      </c>
      <c r="CV506" s="94">
        <f t="shared" si="422"/>
        <v>301.7006803</v>
      </c>
      <c r="CW506" s="94">
        <f t="shared" si="422"/>
        <v>301.7006803</v>
      </c>
      <c r="CX506" s="94">
        <f t="shared" si="422"/>
        <v>301.7006803</v>
      </c>
      <c r="CY506" s="94">
        <f t="shared" si="422"/>
        <v>301.7006803</v>
      </c>
      <c r="CZ506" s="94">
        <f t="shared" si="422"/>
        <v>301.7006803</v>
      </c>
      <c r="DA506" s="94">
        <f t="shared" si="422"/>
        <v>301.7006803</v>
      </c>
      <c r="DB506" s="94">
        <f t="shared" si="422"/>
        <v>301.7006803</v>
      </c>
      <c r="DC506" s="94">
        <f t="shared" si="422"/>
        <v>301.7006803</v>
      </c>
      <c r="DD506" s="94">
        <f t="shared" si="422"/>
        <v>301.7006803</v>
      </c>
      <c r="DE506" s="94">
        <f t="shared" si="422"/>
        <v>301.7006803</v>
      </c>
      <c r="DF506" s="94">
        <f t="shared" si="422"/>
        <v>301.7006803</v>
      </c>
      <c r="DG506" s="94">
        <f t="shared" si="422"/>
        <v>301.7006803</v>
      </c>
      <c r="DH506" s="94">
        <f t="shared" si="422"/>
        <v>301.7006803</v>
      </c>
      <c r="DI506" s="94">
        <f t="shared" si="422"/>
        <v>301.7006803</v>
      </c>
    </row>
    <row r="507" ht="15.75" customHeight="1">
      <c r="A507" s="91"/>
      <c r="B507" s="91"/>
      <c r="C507" s="91"/>
      <c r="D507" s="91"/>
      <c r="E507" s="91"/>
      <c r="F507" s="91"/>
      <c r="G507" s="91"/>
      <c r="H507" s="91"/>
      <c r="I507" s="91"/>
      <c r="J507" s="91"/>
      <c r="K507" s="91"/>
      <c r="L507" s="91"/>
      <c r="M507" s="91"/>
      <c r="N507" s="91"/>
      <c r="O507" s="91"/>
      <c r="P507" s="91"/>
      <c r="Q507" s="91"/>
      <c r="R507" s="91"/>
      <c r="S507" s="91"/>
      <c r="T507" s="91"/>
      <c r="U507" s="96">
        <v>46173.0</v>
      </c>
      <c r="CQ507" s="94">
        <f t="shared" ref="CQ507:DI507" si="423">+$CQ$53*$U$58*$X$58</f>
        <v>301.7006803</v>
      </c>
      <c r="CR507" s="94">
        <f t="shared" si="423"/>
        <v>301.7006803</v>
      </c>
      <c r="CS507" s="94">
        <f t="shared" si="423"/>
        <v>301.7006803</v>
      </c>
      <c r="CT507" s="94">
        <f t="shared" si="423"/>
        <v>301.7006803</v>
      </c>
      <c r="CU507" s="94">
        <f t="shared" si="423"/>
        <v>301.7006803</v>
      </c>
      <c r="CV507" s="94">
        <f t="shared" si="423"/>
        <v>301.7006803</v>
      </c>
      <c r="CW507" s="94">
        <f t="shared" si="423"/>
        <v>301.7006803</v>
      </c>
      <c r="CX507" s="94">
        <f t="shared" si="423"/>
        <v>301.7006803</v>
      </c>
      <c r="CY507" s="94">
        <f t="shared" si="423"/>
        <v>301.7006803</v>
      </c>
      <c r="CZ507" s="94">
        <f t="shared" si="423"/>
        <v>301.7006803</v>
      </c>
      <c r="DA507" s="94">
        <f t="shared" si="423"/>
        <v>301.7006803</v>
      </c>
      <c r="DB507" s="94">
        <f t="shared" si="423"/>
        <v>301.7006803</v>
      </c>
      <c r="DC507" s="94">
        <f t="shared" si="423"/>
        <v>301.7006803</v>
      </c>
      <c r="DD507" s="94">
        <f t="shared" si="423"/>
        <v>301.7006803</v>
      </c>
      <c r="DE507" s="94">
        <f t="shared" si="423"/>
        <v>301.7006803</v>
      </c>
      <c r="DF507" s="94">
        <f t="shared" si="423"/>
        <v>301.7006803</v>
      </c>
      <c r="DG507" s="94">
        <f t="shared" si="423"/>
        <v>301.7006803</v>
      </c>
      <c r="DH507" s="94">
        <f t="shared" si="423"/>
        <v>301.7006803</v>
      </c>
      <c r="DI507" s="94">
        <f t="shared" si="423"/>
        <v>301.7006803</v>
      </c>
    </row>
    <row r="508" ht="15.75" customHeight="1">
      <c r="A508" s="91"/>
      <c r="B508" s="91"/>
      <c r="C508" s="91"/>
      <c r="D508" s="91"/>
      <c r="E508" s="91"/>
      <c r="F508" s="91"/>
      <c r="G508" s="91"/>
      <c r="H508" s="91"/>
      <c r="I508" s="91"/>
      <c r="J508" s="91"/>
      <c r="K508" s="91"/>
      <c r="L508" s="91"/>
      <c r="M508" s="91"/>
      <c r="N508" s="91"/>
      <c r="O508" s="91"/>
      <c r="P508" s="91"/>
      <c r="Q508" s="91"/>
      <c r="R508" s="91"/>
      <c r="S508" s="91"/>
      <c r="T508" s="91"/>
      <c r="U508" s="96">
        <v>46203.0</v>
      </c>
      <c r="CR508" s="94">
        <f t="shared" ref="CR508:DI508" si="424">+$CR$53*$U$58*$X$58</f>
        <v>362.0408163</v>
      </c>
      <c r="CS508" s="94">
        <f t="shared" si="424"/>
        <v>362.0408163</v>
      </c>
      <c r="CT508" s="94">
        <f t="shared" si="424"/>
        <v>362.0408163</v>
      </c>
      <c r="CU508" s="94">
        <f t="shared" si="424"/>
        <v>362.0408163</v>
      </c>
      <c r="CV508" s="94">
        <f t="shared" si="424"/>
        <v>362.0408163</v>
      </c>
      <c r="CW508" s="94">
        <f t="shared" si="424"/>
        <v>362.0408163</v>
      </c>
      <c r="CX508" s="94">
        <f t="shared" si="424"/>
        <v>362.0408163</v>
      </c>
      <c r="CY508" s="94">
        <f t="shared" si="424"/>
        <v>362.0408163</v>
      </c>
      <c r="CZ508" s="94">
        <f t="shared" si="424"/>
        <v>362.0408163</v>
      </c>
      <c r="DA508" s="94">
        <f t="shared" si="424"/>
        <v>362.0408163</v>
      </c>
      <c r="DB508" s="94">
        <f t="shared" si="424"/>
        <v>362.0408163</v>
      </c>
      <c r="DC508" s="94">
        <f t="shared" si="424"/>
        <v>362.0408163</v>
      </c>
      <c r="DD508" s="94">
        <f t="shared" si="424"/>
        <v>362.0408163</v>
      </c>
      <c r="DE508" s="94">
        <f t="shared" si="424"/>
        <v>362.0408163</v>
      </c>
      <c r="DF508" s="94">
        <f t="shared" si="424"/>
        <v>362.0408163</v>
      </c>
      <c r="DG508" s="94">
        <f t="shared" si="424"/>
        <v>362.0408163</v>
      </c>
      <c r="DH508" s="94">
        <f t="shared" si="424"/>
        <v>362.0408163</v>
      </c>
      <c r="DI508" s="94">
        <f t="shared" si="424"/>
        <v>362.0408163</v>
      </c>
    </row>
    <row r="509" ht="15.75" customHeight="1">
      <c r="A509" s="91"/>
      <c r="B509" s="91"/>
      <c r="C509" s="91"/>
      <c r="D509" s="91"/>
      <c r="E509" s="91"/>
      <c r="F509" s="91"/>
      <c r="G509" s="91"/>
      <c r="H509" s="91"/>
      <c r="I509" s="91"/>
      <c r="J509" s="91"/>
      <c r="K509" s="91"/>
      <c r="L509" s="91"/>
      <c r="M509" s="91"/>
      <c r="N509" s="91"/>
      <c r="O509" s="91"/>
      <c r="P509" s="91"/>
      <c r="Q509" s="91"/>
      <c r="R509" s="91"/>
      <c r="S509" s="91"/>
      <c r="T509" s="91"/>
      <c r="U509" s="96">
        <v>46234.0</v>
      </c>
      <c r="CS509" s="94">
        <f t="shared" ref="CS509:DI509" si="425">+$CS$53*$U$58*$X$58</f>
        <v>362.0408163</v>
      </c>
      <c r="CT509" s="94">
        <f t="shared" si="425"/>
        <v>362.0408163</v>
      </c>
      <c r="CU509" s="94">
        <f t="shared" si="425"/>
        <v>362.0408163</v>
      </c>
      <c r="CV509" s="94">
        <f t="shared" si="425"/>
        <v>362.0408163</v>
      </c>
      <c r="CW509" s="94">
        <f t="shared" si="425"/>
        <v>362.0408163</v>
      </c>
      <c r="CX509" s="94">
        <f t="shared" si="425"/>
        <v>362.0408163</v>
      </c>
      <c r="CY509" s="94">
        <f t="shared" si="425"/>
        <v>362.0408163</v>
      </c>
      <c r="CZ509" s="94">
        <f t="shared" si="425"/>
        <v>362.0408163</v>
      </c>
      <c r="DA509" s="94">
        <f t="shared" si="425"/>
        <v>362.0408163</v>
      </c>
      <c r="DB509" s="94">
        <f t="shared" si="425"/>
        <v>362.0408163</v>
      </c>
      <c r="DC509" s="94">
        <f t="shared" si="425"/>
        <v>362.0408163</v>
      </c>
      <c r="DD509" s="94">
        <f t="shared" si="425"/>
        <v>362.0408163</v>
      </c>
      <c r="DE509" s="94">
        <f t="shared" si="425"/>
        <v>362.0408163</v>
      </c>
      <c r="DF509" s="94">
        <f t="shared" si="425"/>
        <v>362.0408163</v>
      </c>
      <c r="DG509" s="94">
        <f t="shared" si="425"/>
        <v>362.0408163</v>
      </c>
      <c r="DH509" s="94">
        <f t="shared" si="425"/>
        <v>362.0408163</v>
      </c>
      <c r="DI509" s="94">
        <f t="shared" si="425"/>
        <v>362.0408163</v>
      </c>
    </row>
    <row r="510" ht="15.75" customHeight="1">
      <c r="A510" s="91"/>
      <c r="B510" s="91"/>
      <c r="C510" s="91"/>
      <c r="D510" s="91"/>
      <c r="E510" s="91"/>
      <c r="F510" s="91"/>
      <c r="G510" s="91"/>
      <c r="H510" s="91"/>
      <c r="I510" s="91"/>
      <c r="J510" s="91"/>
      <c r="K510" s="91"/>
      <c r="L510" s="91"/>
      <c r="M510" s="91"/>
      <c r="N510" s="91"/>
      <c r="O510" s="91"/>
      <c r="P510" s="91"/>
      <c r="Q510" s="91"/>
      <c r="R510" s="91"/>
      <c r="S510" s="91"/>
      <c r="T510" s="91"/>
      <c r="U510" s="96">
        <v>46265.0</v>
      </c>
      <c r="CT510" s="94">
        <f t="shared" ref="CT510:DI510" si="426">+$CT$53*$U$58*$X$58</f>
        <v>362.0408163</v>
      </c>
      <c r="CU510" s="94">
        <f t="shared" si="426"/>
        <v>362.0408163</v>
      </c>
      <c r="CV510" s="94">
        <f t="shared" si="426"/>
        <v>362.0408163</v>
      </c>
      <c r="CW510" s="94">
        <f t="shared" si="426"/>
        <v>362.0408163</v>
      </c>
      <c r="CX510" s="94">
        <f t="shared" si="426"/>
        <v>362.0408163</v>
      </c>
      <c r="CY510" s="94">
        <f t="shared" si="426"/>
        <v>362.0408163</v>
      </c>
      <c r="CZ510" s="94">
        <f t="shared" si="426"/>
        <v>362.0408163</v>
      </c>
      <c r="DA510" s="94">
        <f t="shared" si="426"/>
        <v>362.0408163</v>
      </c>
      <c r="DB510" s="94">
        <f t="shared" si="426"/>
        <v>362.0408163</v>
      </c>
      <c r="DC510" s="94">
        <f t="shared" si="426"/>
        <v>362.0408163</v>
      </c>
      <c r="DD510" s="94">
        <f t="shared" si="426"/>
        <v>362.0408163</v>
      </c>
      <c r="DE510" s="94">
        <f t="shared" si="426"/>
        <v>362.0408163</v>
      </c>
      <c r="DF510" s="94">
        <f t="shared" si="426"/>
        <v>362.0408163</v>
      </c>
      <c r="DG510" s="94">
        <f t="shared" si="426"/>
        <v>362.0408163</v>
      </c>
      <c r="DH510" s="94">
        <f t="shared" si="426"/>
        <v>362.0408163</v>
      </c>
      <c r="DI510" s="94">
        <f t="shared" si="426"/>
        <v>362.0408163</v>
      </c>
    </row>
    <row r="511" ht="15.75" customHeight="1">
      <c r="A511" s="91"/>
      <c r="B511" s="91"/>
      <c r="C511" s="91"/>
      <c r="D511" s="91"/>
      <c r="E511" s="91"/>
      <c r="F511" s="91"/>
      <c r="G511" s="91"/>
      <c r="H511" s="91"/>
      <c r="I511" s="91"/>
      <c r="J511" s="91"/>
      <c r="K511" s="91"/>
      <c r="L511" s="91"/>
      <c r="M511" s="91"/>
      <c r="N511" s="91"/>
      <c r="O511" s="91"/>
      <c r="P511" s="91"/>
      <c r="Q511" s="91"/>
      <c r="R511" s="91"/>
      <c r="S511" s="91"/>
      <c r="T511" s="91"/>
      <c r="U511" s="96">
        <v>46295.0</v>
      </c>
      <c r="CU511" s="94">
        <f t="shared" ref="CU511:DI511" si="427">+$CU$53*$U$58*$X$58</f>
        <v>362.0408163</v>
      </c>
      <c r="CV511" s="94">
        <f t="shared" si="427"/>
        <v>362.0408163</v>
      </c>
      <c r="CW511" s="94">
        <f t="shared" si="427"/>
        <v>362.0408163</v>
      </c>
      <c r="CX511" s="94">
        <f t="shared" si="427"/>
        <v>362.0408163</v>
      </c>
      <c r="CY511" s="94">
        <f t="shared" si="427"/>
        <v>362.0408163</v>
      </c>
      <c r="CZ511" s="94">
        <f t="shared" si="427"/>
        <v>362.0408163</v>
      </c>
      <c r="DA511" s="94">
        <f t="shared" si="427"/>
        <v>362.0408163</v>
      </c>
      <c r="DB511" s="94">
        <f t="shared" si="427"/>
        <v>362.0408163</v>
      </c>
      <c r="DC511" s="94">
        <f t="shared" si="427"/>
        <v>362.0408163</v>
      </c>
      <c r="DD511" s="94">
        <f t="shared" si="427"/>
        <v>362.0408163</v>
      </c>
      <c r="DE511" s="94">
        <f t="shared" si="427"/>
        <v>362.0408163</v>
      </c>
      <c r="DF511" s="94">
        <f t="shared" si="427"/>
        <v>362.0408163</v>
      </c>
      <c r="DG511" s="94">
        <f t="shared" si="427"/>
        <v>362.0408163</v>
      </c>
      <c r="DH511" s="94">
        <f t="shared" si="427"/>
        <v>362.0408163</v>
      </c>
      <c r="DI511" s="94">
        <f t="shared" si="427"/>
        <v>362.0408163</v>
      </c>
    </row>
    <row r="512" ht="15.75" customHeight="1">
      <c r="A512" s="91"/>
      <c r="B512" s="91"/>
      <c r="C512" s="91"/>
      <c r="D512" s="91"/>
      <c r="E512" s="91"/>
      <c r="F512" s="91"/>
      <c r="G512" s="91"/>
      <c r="H512" s="91"/>
      <c r="I512" s="91"/>
      <c r="J512" s="91"/>
      <c r="K512" s="91"/>
      <c r="L512" s="91"/>
      <c r="M512" s="91"/>
      <c r="N512" s="91"/>
      <c r="O512" s="91"/>
      <c r="P512" s="91"/>
      <c r="Q512" s="91"/>
      <c r="R512" s="91"/>
      <c r="S512" s="91"/>
      <c r="T512" s="91"/>
      <c r="U512" s="96">
        <v>46326.0</v>
      </c>
      <c r="CV512" s="94">
        <f t="shared" ref="CV512:DI512" si="428">+$CV$53*$U$58*$X$58</f>
        <v>362.0408163</v>
      </c>
      <c r="CW512" s="94">
        <f t="shared" si="428"/>
        <v>362.0408163</v>
      </c>
      <c r="CX512" s="94">
        <f t="shared" si="428"/>
        <v>362.0408163</v>
      </c>
      <c r="CY512" s="94">
        <f t="shared" si="428"/>
        <v>362.0408163</v>
      </c>
      <c r="CZ512" s="94">
        <f t="shared" si="428"/>
        <v>362.0408163</v>
      </c>
      <c r="DA512" s="94">
        <f t="shared" si="428"/>
        <v>362.0408163</v>
      </c>
      <c r="DB512" s="94">
        <f t="shared" si="428"/>
        <v>362.0408163</v>
      </c>
      <c r="DC512" s="94">
        <f t="shared" si="428"/>
        <v>362.0408163</v>
      </c>
      <c r="DD512" s="94">
        <f t="shared" si="428"/>
        <v>362.0408163</v>
      </c>
      <c r="DE512" s="94">
        <f t="shared" si="428"/>
        <v>362.0408163</v>
      </c>
      <c r="DF512" s="94">
        <f t="shared" si="428"/>
        <v>362.0408163</v>
      </c>
      <c r="DG512" s="94">
        <f t="shared" si="428"/>
        <v>362.0408163</v>
      </c>
      <c r="DH512" s="94">
        <f t="shared" si="428"/>
        <v>362.0408163</v>
      </c>
      <c r="DI512" s="94">
        <f t="shared" si="428"/>
        <v>362.0408163</v>
      </c>
    </row>
    <row r="513" ht="15.75" customHeight="1">
      <c r="A513" s="91"/>
      <c r="B513" s="91"/>
      <c r="C513" s="91"/>
      <c r="D513" s="91"/>
      <c r="E513" s="91"/>
      <c r="F513" s="91"/>
      <c r="G513" s="91"/>
      <c r="H513" s="91"/>
      <c r="I513" s="91"/>
      <c r="J513" s="91"/>
      <c r="K513" s="91"/>
      <c r="L513" s="91"/>
      <c r="M513" s="91"/>
      <c r="N513" s="91"/>
      <c r="O513" s="91"/>
      <c r="P513" s="91"/>
      <c r="Q513" s="91"/>
      <c r="R513" s="91"/>
      <c r="S513" s="91"/>
      <c r="T513" s="91"/>
      <c r="U513" s="96">
        <v>46356.0</v>
      </c>
      <c r="CW513" s="94">
        <f t="shared" ref="CW513:DI513" si="429">+$CW$53*$U$58*$X$58</f>
        <v>362.0408163</v>
      </c>
      <c r="CX513" s="94">
        <f t="shared" si="429"/>
        <v>362.0408163</v>
      </c>
      <c r="CY513" s="94">
        <f t="shared" si="429"/>
        <v>362.0408163</v>
      </c>
      <c r="CZ513" s="94">
        <f t="shared" si="429"/>
        <v>362.0408163</v>
      </c>
      <c r="DA513" s="94">
        <f t="shared" si="429"/>
        <v>362.0408163</v>
      </c>
      <c r="DB513" s="94">
        <f t="shared" si="429"/>
        <v>362.0408163</v>
      </c>
      <c r="DC513" s="94">
        <f t="shared" si="429"/>
        <v>362.0408163</v>
      </c>
      <c r="DD513" s="94">
        <f t="shared" si="429"/>
        <v>362.0408163</v>
      </c>
      <c r="DE513" s="94">
        <f t="shared" si="429"/>
        <v>362.0408163</v>
      </c>
      <c r="DF513" s="94">
        <f t="shared" si="429"/>
        <v>362.0408163</v>
      </c>
      <c r="DG513" s="94">
        <f t="shared" si="429"/>
        <v>362.0408163</v>
      </c>
      <c r="DH513" s="94">
        <f t="shared" si="429"/>
        <v>362.0408163</v>
      </c>
      <c r="DI513" s="94">
        <f t="shared" si="429"/>
        <v>362.0408163</v>
      </c>
    </row>
    <row r="514" ht="15.75" customHeight="1">
      <c r="A514" s="91"/>
      <c r="B514" s="91"/>
      <c r="C514" s="91"/>
      <c r="D514" s="91"/>
      <c r="E514" s="91"/>
      <c r="F514" s="91"/>
      <c r="G514" s="91"/>
      <c r="H514" s="91"/>
      <c r="I514" s="91"/>
      <c r="J514" s="91"/>
      <c r="K514" s="91"/>
      <c r="L514" s="91"/>
      <c r="M514" s="91"/>
      <c r="N514" s="91"/>
      <c r="O514" s="91"/>
      <c r="P514" s="91"/>
      <c r="Q514" s="91"/>
      <c r="R514" s="91"/>
      <c r="S514" s="91"/>
      <c r="T514" s="91"/>
      <c r="U514" s="96">
        <v>46387.0</v>
      </c>
      <c r="CX514" s="94">
        <f t="shared" ref="CX514:DI514" si="430">+$CX$53*$U$58*$X$58</f>
        <v>369.5833333</v>
      </c>
      <c r="CY514" s="94">
        <f t="shared" si="430"/>
        <v>369.5833333</v>
      </c>
      <c r="CZ514" s="94">
        <f t="shared" si="430"/>
        <v>369.5833333</v>
      </c>
      <c r="DA514" s="94">
        <f t="shared" si="430"/>
        <v>369.5833333</v>
      </c>
      <c r="DB514" s="94">
        <f t="shared" si="430"/>
        <v>369.5833333</v>
      </c>
      <c r="DC514" s="94">
        <f t="shared" si="430"/>
        <v>369.5833333</v>
      </c>
      <c r="DD514" s="94">
        <f t="shared" si="430"/>
        <v>369.5833333</v>
      </c>
      <c r="DE514" s="94">
        <f t="shared" si="430"/>
        <v>369.5833333</v>
      </c>
      <c r="DF514" s="94">
        <f t="shared" si="430"/>
        <v>369.5833333</v>
      </c>
      <c r="DG514" s="94">
        <f t="shared" si="430"/>
        <v>369.5833333</v>
      </c>
      <c r="DH514" s="94">
        <f t="shared" si="430"/>
        <v>369.5833333</v>
      </c>
      <c r="DI514" s="94">
        <f t="shared" si="430"/>
        <v>369.5833333</v>
      </c>
    </row>
    <row r="515" ht="15.75" customHeight="1">
      <c r="A515" s="91"/>
      <c r="B515" s="91"/>
      <c r="C515" s="91"/>
      <c r="D515" s="91"/>
      <c r="E515" s="91"/>
      <c r="F515" s="91"/>
      <c r="G515" s="91"/>
      <c r="H515" s="91"/>
      <c r="I515" s="91"/>
      <c r="J515" s="91"/>
      <c r="K515" s="91"/>
      <c r="L515" s="91"/>
      <c r="M515" s="91"/>
      <c r="N515" s="91"/>
      <c r="O515" s="91"/>
      <c r="P515" s="91"/>
      <c r="Q515" s="91"/>
      <c r="R515" s="91"/>
      <c r="S515" s="91"/>
      <c r="T515" s="91"/>
      <c r="U515" s="96">
        <v>46418.0</v>
      </c>
      <c r="CY515" s="94">
        <f t="shared" ref="CY515:DI515" si="431">+$CY$53*$U$58*$X$58</f>
        <v>369.5833333</v>
      </c>
      <c r="CZ515" s="94">
        <f t="shared" si="431"/>
        <v>369.5833333</v>
      </c>
      <c r="DA515" s="94">
        <f t="shared" si="431"/>
        <v>369.5833333</v>
      </c>
      <c r="DB515" s="94">
        <f t="shared" si="431"/>
        <v>369.5833333</v>
      </c>
      <c r="DC515" s="94">
        <f t="shared" si="431"/>
        <v>369.5833333</v>
      </c>
      <c r="DD515" s="94">
        <f t="shared" si="431"/>
        <v>369.5833333</v>
      </c>
      <c r="DE515" s="94">
        <f t="shared" si="431"/>
        <v>369.5833333</v>
      </c>
      <c r="DF515" s="94">
        <f t="shared" si="431"/>
        <v>369.5833333</v>
      </c>
      <c r="DG515" s="94">
        <f t="shared" si="431"/>
        <v>369.5833333</v>
      </c>
      <c r="DH515" s="94">
        <f t="shared" si="431"/>
        <v>369.5833333</v>
      </c>
      <c r="DI515" s="94">
        <f t="shared" si="431"/>
        <v>369.5833333</v>
      </c>
    </row>
    <row r="516" ht="15.75" customHeight="1">
      <c r="A516" s="91"/>
      <c r="B516" s="91"/>
      <c r="C516" s="91"/>
      <c r="D516" s="91"/>
      <c r="E516" s="91"/>
      <c r="F516" s="91"/>
      <c r="G516" s="91"/>
      <c r="H516" s="91"/>
      <c r="I516" s="91"/>
      <c r="J516" s="91"/>
      <c r="K516" s="91"/>
      <c r="L516" s="91"/>
      <c r="M516" s="91"/>
      <c r="N516" s="91"/>
      <c r="O516" s="91"/>
      <c r="P516" s="91"/>
      <c r="Q516" s="91"/>
      <c r="R516" s="91"/>
      <c r="S516" s="91"/>
      <c r="T516" s="91"/>
      <c r="U516" s="96">
        <v>46446.0</v>
      </c>
      <c r="CZ516" s="94">
        <f t="shared" ref="CZ516:DI516" si="432">+$CZ$53*$U$58*$X$58</f>
        <v>422.3809524</v>
      </c>
      <c r="DA516" s="94">
        <f t="shared" si="432"/>
        <v>422.3809524</v>
      </c>
      <c r="DB516" s="94">
        <f t="shared" si="432"/>
        <v>422.3809524</v>
      </c>
      <c r="DC516" s="94">
        <f t="shared" si="432"/>
        <v>422.3809524</v>
      </c>
      <c r="DD516" s="94">
        <f t="shared" si="432"/>
        <v>422.3809524</v>
      </c>
      <c r="DE516" s="94">
        <f t="shared" si="432"/>
        <v>422.3809524</v>
      </c>
      <c r="DF516" s="94">
        <f t="shared" si="432"/>
        <v>422.3809524</v>
      </c>
      <c r="DG516" s="94">
        <f t="shared" si="432"/>
        <v>422.3809524</v>
      </c>
      <c r="DH516" s="94">
        <f t="shared" si="432"/>
        <v>422.3809524</v>
      </c>
      <c r="DI516" s="94">
        <f t="shared" si="432"/>
        <v>422.3809524</v>
      </c>
    </row>
    <row r="517" ht="15.75" customHeight="1">
      <c r="A517" s="91"/>
      <c r="B517" s="91"/>
      <c r="C517" s="91"/>
      <c r="D517" s="91"/>
      <c r="E517" s="91"/>
      <c r="F517" s="91"/>
      <c r="G517" s="91"/>
      <c r="H517" s="91"/>
      <c r="I517" s="91"/>
      <c r="J517" s="91"/>
      <c r="K517" s="91"/>
      <c r="L517" s="91"/>
      <c r="M517" s="91"/>
      <c r="N517" s="91"/>
      <c r="O517" s="91"/>
      <c r="P517" s="91"/>
      <c r="Q517" s="91"/>
      <c r="R517" s="91"/>
      <c r="S517" s="91"/>
      <c r="T517" s="91"/>
      <c r="U517" s="96">
        <v>46477.0</v>
      </c>
      <c r="DA517" s="94">
        <f t="shared" ref="DA517:DI517" si="433">+$DA$53*$U$58*$X$58</f>
        <v>422.3809524</v>
      </c>
      <c r="DB517" s="94">
        <f t="shared" si="433"/>
        <v>422.3809524</v>
      </c>
      <c r="DC517" s="94">
        <f t="shared" si="433"/>
        <v>422.3809524</v>
      </c>
      <c r="DD517" s="94">
        <f t="shared" si="433"/>
        <v>422.3809524</v>
      </c>
      <c r="DE517" s="94">
        <f t="shared" si="433"/>
        <v>422.3809524</v>
      </c>
      <c r="DF517" s="94">
        <f t="shared" si="433"/>
        <v>422.3809524</v>
      </c>
      <c r="DG517" s="94">
        <f t="shared" si="433"/>
        <v>422.3809524</v>
      </c>
      <c r="DH517" s="94">
        <f t="shared" si="433"/>
        <v>422.3809524</v>
      </c>
      <c r="DI517" s="94">
        <f t="shared" si="433"/>
        <v>422.3809524</v>
      </c>
    </row>
    <row r="518" ht="15.75" customHeight="1">
      <c r="A518" s="91"/>
      <c r="B518" s="91"/>
      <c r="C518" s="91"/>
      <c r="D518" s="91"/>
      <c r="E518" s="91"/>
      <c r="F518" s="91"/>
      <c r="G518" s="91"/>
      <c r="H518" s="91"/>
      <c r="I518" s="91"/>
      <c r="J518" s="91"/>
      <c r="K518" s="91"/>
      <c r="L518" s="91"/>
      <c r="M518" s="91"/>
      <c r="N518" s="91"/>
      <c r="O518" s="91"/>
      <c r="P518" s="91"/>
      <c r="Q518" s="91"/>
      <c r="R518" s="91"/>
      <c r="S518" s="91"/>
      <c r="T518" s="91"/>
      <c r="U518" s="96">
        <v>46507.0</v>
      </c>
      <c r="DB518" s="94">
        <f t="shared" ref="DB518:DI518" si="434">+$DB$53*$U$58*$X$58</f>
        <v>422.3809524</v>
      </c>
      <c r="DC518" s="94">
        <f t="shared" si="434"/>
        <v>422.3809524</v>
      </c>
      <c r="DD518" s="94">
        <f t="shared" si="434"/>
        <v>422.3809524</v>
      </c>
      <c r="DE518" s="94">
        <f t="shared" si="434"/>
        <v>422.3809524</v>
      </c>
      <c r="DF518" s="94">
        <f t="shared" si="434"/>
        <v>422.3809524</v>
      </c>
      <c r="DG518" s="94">
        <f t="shared" si="434"/>
        <v>422.3809524</v>
      </c>
      <c r="DH518" s="94">
        <f t="shared" si="434"/>
        <v>422.3809524</v>
      </c>
      <c r="DI518" s="94">
        <f t="shared" si="434"/>
        <v>422.3809524</v>
      </c>
    </row>
    <row r="519" ht="15.75" customHeight="1">
      <c r="A519" s="91"/>
      <c r="B519" s="91"/>
      <c r="C519" s="91"/>
      <c r="D519" s="91"/>
      <c r="E519" s="91"/>
      <c r="F519" s="91"/>
      <c r="G519" s="91"/>
      <c r="H519" s="91"/>
      <c r="I519" s="91"/>
      <c r="J519" s="91"/>
      <c r="K519" s="91"/>
      <c r="L519" s="91"/>
      <c r="M519" s="91"/>
      <c r="N519" s="91"/>
      <c r="O519" s="91"/>
      <c r="P519" s="91"/>
      <c r="Q519" s="91"/>
      <c r="R519" s="91"/>
      <c r="S519" s="91"/>
      <c r="T519" s="91"/>
      <c r="U519" s="96">
        <v>46538.0</v>
      </c>
      <c r="DC519" s="94">
        <f t="shared" ref="DC519:DI519" si="435">+$DC$53*$U$58*$X$58</f>
        <v>475.1785714</v>
      </c>
      <c r="DD519" s="94">
        <f t="shared" si="435"/>
        <v>475.1785714</v>
      </c>
      <c r="DE519" s="94">
        <f t="shared" si="435"/>
        <v>475.1785714</v>
      </c>
      <c r="DF519" s="94">
        <f t="shared" si="435"/>
        <v>475.1785714</v>
      </c>
      <c r="DG519" s="94">
        <f t="shared" si="435"/>
        <v>475.1785714</v>
      </c>
      <c r="DH519" s="94">
        <f t="shared" si="435"/>
        <v>475.1785714</v>
      </c>
      <c r="DI519" s="94">
        <f t="shared" si="435"/>
        <v>475.1785714</v>
      </c>
    </row>
    <row r="520" ht="15.75" customHeight="1">
      <c r="A520" s="91"/>
      <c r="B520" s="91"/>
      <c r="C520" s="91"/>
      <c r="D520" s="91"/>
      <c r="E520" s="91"/>
      <c r="F520" s="91"/>
      <c r="G520" s="91"/>
      <c r="H520" s="91"/>
      <c r="I520" s="91"/>
      <c r="J520" s="91"/>
      <c r="K520" s="91"/>
      <c r="L520" s="91"/>
      <c r="M520" s="91"/>
      <c r="N520" s="91"/>
      <c r="O520" s="91"/>
      <c r="P520" s="91"/>
      <c r="Q520" s="91"/>
      <c r="R520" s="91"/>
      <c r="S520" s="91"/>
      <c r="T520" s="91"/>
      <c r="U520" s="96">
        <v>46568.0</v>
      </c>
      <c r="DD520" s="94">
        <f t="shared" ref="DD520:DI520" si="436">+$DD$53*$U$58*$X$58</f>
        <v>475.1785714</v>
      </c>
      <c r="DE520" s="94">
        <f t="shared" si="436"/>
        <v>475.1785714</v>
      </c>
      <c r="DF520" s="94">
        <f t="shared" si="436"/>
        <v>475.1785714</v>
      </c>
      <c r="DG520" s="94">
        <f t="shared" si="436"/>
        <v>475.1785714</v>
      </c>
      <c r="DH520" s="94">
        <f t="shared" si="436"/>
        <v>475.1785714</v>
      </c>
      <c r="DI520" s="94">
        <f t="shared" si="436"/>
        <v>475.1785714</v>
      </c>
    </row>
    <row r="521" ht="15.75" customHeight="1">
      <c r="A521" s="91"/>
      <c r="B521" s="91"/>
      <c r="C521" s="91"/>
      <c r="D521" s="91"/>
      <c r="E521" s="91"/>
      <c r="F521" s="91"/>
      <c r="G521" s="91"/>
      <c r="H521" s="91"/>
      <c r="I521" s="91"/>
      <c r="J521" s="91"/>
      <c r="K521" s="91"/>
      <c r="L521" s="91"/>
      <c r="M521" s="91"/>
      <c r="N521" s="91"/>
      <c r="O521" s="91"/>
      <c r="P521" s="91"/>
      <c r="Q521" s="91"/>
      <c r="R521" s="91"/>
      <c r="S521" s="91"/>
      <c r="T521" s="91"/>
      <c r="U521" s="96">
        <v>46599.0</v>
      </c>
      <c r="DE521" s="94">
        <f t="shared" ref="DE521:DI521" si="437">+$DE$53*$U$58*$X$58</f>
        <v>527.9761905</v>
      </c>
      <c r="DF521" s="94">
        <f t="shared" si="437"/>
        <v>527.9761905</v>
      </c>
      <c r="DG521" s="94">
        <f t="shared" si="437"/>
        <v>527.9761905</v>
      </c>
      <c r="DH521" s="94">
        <f t="shared" si="437"/>
        <v>527.9761905</v>
      </c>
      <c r="DI521" s="94">
        <f t="shared" si="437"/>
        <v>527.9761905</v>
      </c>
    </row>
    <row r="522" ht="15.75" customHeight="1">
      <c r="A522" s="91"/>
      <c r="B522" s="91"/>
      <c r="C522" s="91"/>
      <c r="D522" s="91"/>
      <c r="E522" s="91"/>
      <c r="F522" s="91"/>
      <c r="G522" s="91"/>
      <c r="H522" s="91"/>
      <c r="I522" s="91"/>
      <c r="J522" s="91"/>
      <c r="K522" s="91"/>
      <c r="L522" s="91"/>
      <c r="M522" s="91"/>
      <c r="N522" s="91"/>
      <c r="O522" s="91"/>
      <c r="P522" s="91"/>
      <c r="Q522" s="91"/>
      <c r="R522" s="91"/>
      <c r="S522" s="91"/>
      <c r="T522" s="91"/>
      <c r="U522" s="96">
        <v>46630.0</v>
      </c>
      <c r="DF522" s="94">
        <f t="shared" ref="DF522:DI522" si="438">+$DF$53*$U$58*$X$58</f>
        <v>527.9761905</v>
      </c>
      <c r="DG522" s="94">
        <f t="shared" si="438"/>
        <v>527.9761905</v>
      </c>
      <c r="DH522" s="94">
        <f t="shared" si="438"/>
        <v>527.9761905</v>
      </c>
      <c r="DI522" s="94">
        <f t="shared" si="438"/>
        <v>527.9761905</v>
      </c>
    </row>
    <row r="523" ht="15.75" customHeight="1">
      <c r="A523" s="91"/>
      <c r="B523" s="91"/>
      <c r="C523" s="91"/>
      <c r="D523" s="91"/>
      <c r="E523" s="91"/>
      <c r="F523" s="91"/>
      <c r="G523" s="91"/>
      <c r="H523" s="91"/>
      <c r="I523" s="91"/>
      <c r="J523" s="91"/>
      <c r="K523" s="91"/>
      <c r="L523" s="91"/>
      <c r="M523" s="91"/>
      <c r="N523" s="91"/>
      <c r="O523" s="91"/>
      <c r="P523" s="91"/>
      <c r="Q523" s="91"/>
      <c r="R523" s="91"/>
      <c r="S523" s="91"/>
      <c r="T523" s="91"/>
      <c r="U523" s="96">
        <v>46660.0</v>
      </c>
      <c r="DG523" s="94">
        <f t="shared" ref="DG523:DI523" si="439">+$DG$53*$U$58*$X$58</f>
        <v>527.9761905</v>
      </c>
      <c r="DH523" s="94">
        <f t="shared" si="439"/>
        <v>527.9761905</v>
      </c>
      <c r="DI523" s="94">
        <f t="shared" si="439"/>
        <v>527.9761905</v>
      </c>
    </row>
    <row r="524" ht="15.75" customHeight="1">
      <c r="A524" s="91"/>
      <c r="B524" s="91"/>
      <c r="C524" s="91"/>
      <c r="D524" s="91"/>
      <c r="E524" s="91"/>
      <c r="F524" s="91"/>
      <c r="G524" s="91"/>
      <c r="H524" s="91"/>
      <c r="I524" s="91"/>
      <c r="J524" s="91"/>
      <c r="K524" s="91"/>
      <c r="L524" s="91"/>
      <c r="M524" s="91"/>
      <c r="N524" s="91"/>
      <c r="O524" s="91"/>
      <c r="P524" s="91"/>
      <c r="Q524" s="91"/>
      <c r="R524" s="91"/>
      <c r="S524" s="91"/>
      <c r="T524" s="91"/>
      <c r="U524" s="96">
        <v>46691.0</v>
      </c>
      <c r="DH524" s="94">
        <f t="shared" ref="DH524:DI524" si="440">+$DH$53*$U$58*$X$58</f>
        <v>527.9761905</v>
      </c>
      <c r="DI524" s="94">
        <f t="shared" si="440"/>
        <v>527.9761905</v>
      </c>
    </row>
    <row r="525" ht="15.75" customHeight="1">
      <c r="A525" s="91"/>
      <c r="B525" s="91"/>
      <c r="C525" s="91"/>
      <c r="D525" s="91"/>
      <c r="E525" s="91"/>
      <c r="F525" s="91"/>
      <c r="G525" s="91"/>
      <c r="H525" s="91"/>
      <c r="I525" s="91"/>
      <c r="J525" s="91"/>
      <c r="K525" s="91"/>
      <c r="L525" s="91"/>
      <c r="M525" s="91"/>
      <c r="N525" s="91"/>
      <c r="O525" s="91"/>
      <c r="P525" s="91"/>
      <c r="Q525" s="91"/>
      <c r="R525" s="91"/>
      <c r="S525" s="91"/>
      <c r="T525" s="91"/>
      <c r="U525" s="96">
        <v>46721.0</v>
      </c>
      <c r="DI525" s="94">
        <f>+$DI$53*$U$58*$X$58</f>
        <v>527.9761905</v>
      </c>
    </row>
    <row r="526" ht="15.75" customHeight="1">
      <c r="A526" s="91"/>
      <c r="B526" s="91"/>
      <c r="C526" s="91"/>
      <c r="D526" s="91"/>
      <c r="E526" s="91"/>
      <c r="F526" s="91"/>
      <c r="G526" s="91"/>
      <c r="H526" s="91"/>
      <c r="I526" s="91"/>
      <c r="J526" s="91"/>
      <c r="K526" s="91"/>
      <c r="L526" s="91"/>
      <c r="M526" s="91"/>
      <c r="N526" s="91"/>
      <c r="O526" s="91"/>
      <c r="P526" s="91"/>
      <c r="Q526" s="91"/>
      <c r="R526" s="91"/>
      <c r="S526" s="91"/>
      <c r="T526" s="91"/>
      <c r="U526" s="96">
        <v>46752.0</v>
      </c>
    </row>
    <row r="527" ht="15.75" customHeight="1">
      <c r="A527" s="91"/>
      <c r="B527" s="91"/>
      <c r="C527" s="91"/>
      <c r="D527" s="91"/>
      <c r="E527" s="91"/>
      <c r="F527" s="91"/>
      <c r="G527" s="91"/>
      <c r="H527" s="91"/>
      <c r="I527" s="91"/>
      <c r="J527" s="91"/>
      <c r="K527" s="91"/>
      <c r="L527" s="91"/>
      <c r="M527" s="91"/>
      <c r="N527" s="91"/>
      <c r="O527" s="91"/>
      <c r="P527" s="91"/>
      <c r="Q527" s="91"/>
      <c r="R527" s="91"/>
      <c r="S527" s="91"/>
      <c r="T527" s="91"/>
      <c r="U527" s="96"/>
    </row>
    <row r="528" ht="15.75" customHeight="1">
      <c r="A528" s="91"/>
      <c r="B528" s="91"/>
      <c r="C528" s="91"/>
      <c r="D528" s="91"/>
      <c r="E528" s="91"/>
      <c r="F528" s="91"/>
      <c r="G528" s="91"/>
      <c r="H528" s="91"/>
      <c r="I528" s="91"/>
      <c r="J528" s="91"/>
      <c r="K528" s="91"/>
      <c r="L528" s="91"/>
      <c r="M528" s="91"/>
      <c r="N528" s="91"/>
      <c r="O528" s="91"/>
      <c r="P528" s="91"/>
      <c r="Q528" s="91"/>
      <c r="R528" s="91"/>
      <c r="S528" s="91"/>
      <c r="T528" s="91"/>
      <c r="U528" s="96"/>
    </row>
    <row r="529" ht="15.75" customHeight="1">
      <c r="A529" s="91"/>
      <c r="B529" s="91"/>
      <c r="C529" s="91"/>
      <c r="D529" s="91"/>
      <c r="E529" s="91"/>
      <c r="F529" s="91"/>
      <c r="G529" s="91"/>
      <c r="H529" s="91"/>
      <c r="I529" s="91"/>
      <c r="J529" s="91"/>
      <c r="K529" s="91"/>
      <c r="L529" s="91"/>
      <c r="M529" s="91"/>
      <c r="N529" s="91"/>
      <c r="O529" s="91"/>
      <c r="P529" s="91"/>
      <c r="Q529" s="91"/>
      <c r="R529" s="91"/>
      <c r="S529" s="91"/>
      <c r="T529" s="91"/>
      <c r="U529" s="91"/>
      <c r="V529" s="173"/>
      <c r="W529" s="173"/>
      <c r="X529" s="173"/>
      <c r="Y529" s="173"/>
      <c r="Z529" s="173"/>
      <c r="AA529" s="173"/>
      <c r="AB529" s="173"/>
      <c r="AC529" s="173"/>
      <c r="AD529" s="173"/>
      <c r="AE529" s="173"/>
      <c r="AF529" s="173"/>
      <c r="AG529" s="173"/>
      <c r="AH529" s="173"/>
      <c r="AI529" s="173"/>
      <c r="AJ529" s="173"/>
      <c r="AK529" s="173"/>
      <c r="AL529" s="173"/>
      <c r="AM529" s="173"/>
      <c r="AN529" s="173"/>
      <c r="AO529" s="173"/>
      <c r="AP529" s="173"/>
      <c r="AQ529" s="173"/>
      <c r="AR529" s="173"/>
      <c r="AS529" s="173"/>
      <c r="AT529" s="173"/>
      <c r="AU529" s="173"/>
      <c r="AV529" s="173"/>
      <c r="AW529" s="173"/>
      <c r="AX529" s="173"/>
      <c r="AY529" s="173"/>
      <c r="AZ529" s="173"/>
      <c r="BA529" s="173"/>
      <c r="BB529" s="173"/>
      <c r="BC529" s="173"/>
      <c r="BD529" s="173"/>
      <c r="BE529" s="173"/>
      <c r="BF529" s="173"/>
      <c r="BG529" s="173"/>
      <c r="BH529" s="173"/>
      <c r="BI529" s="173"/>
      <c r="BJ529" s="173"/>
      <c r="BK529" s="173"/>
      <c r="BL529" s="173"/>
      <c r="BM529" s="173"/>
      <c r="BN529" s="173"/>
      <c r="BO529" s="173"/>
      <c r="BP529" s="173"/>
      <c r="BQ529" s="173"/>
      <c r="BR529" s="173"/>
      <c r="BS529" s="173"/>
      <c r="BT529" s="173"/>
      <c r="BU529" s="173"/>
      <c r="BV529" s="173"/>
      <c r="BW529" s="173"/>
      <c r="BX529" s="173"/>
      <c r="BY529" s="173"/>
      <c r="BZ529" s="173"/>
      <c r="CA529" s="173"/>
      <c r="CB529" s="173"/>
      <c r="CC529" s="177"/>
      <c r="CD529" s="177"/>
      <c r="CE529" s="177"/>
      <c r="CF529" s="177"/>
      <c r="CG529" s="177"/>
      <c r="CH529" s="177"/>
      <c r="CI529" s="177"/>
      <c r="CJ529" s="177"/>
      <c r="CK529" s="177"/>
      <c r="CL529" s="177"/>
      <c r="CM529" s="177"/>
      <c r="CN529" s="177"/>
      <c r="CO529" s="177"/>
      <c r="CP529" s="177"/>
      <c r="CQ529" s="177"/>
      <c r="CR529" s="177"/>
      <c r="CS529" s="177"/>
      <c r="CT529" s="177"/>
      <c r="CU529" s="177"/>
      <c r="CV529" s="177"/>
      <c r="CW529" s="177"/>
      <c r="CX529" s="177"/>
      <c r="CY529" s="177"/>
      <c r="CZ529" s="177"/>
      <c r="DA529" s="177"/>
      <c r="DB529" s="177"/>
      <c r="DC529" s="177"/>
      <c r="DD529" s="177"/>
      <c r="DE529" s="177"/>
      <c r="DF529" s="177"/>
      <c r="DG529" s="177"/>
      <c r="DH529" s="177"/>
      <c r="DI529" s="177"/>
    </row>
    <row r="530" ht="15.75" customHeight="1">
      <c r="A530" s="91" t="s">
        <v>293</v>
      </c>
      <c r="B530" s="91"/>
      <c r="C530" s="91"/>
      <c r="D530" s="91"/>
      <c r="E530" s="91"/>
      <c r="F530" s="91"/>
      <c r="G530" s="91"/>
      <c r="H530" s="91"/>
      <c r="I530" s="91"/>
      <c r="J530" s="91"/>
      <c r="K530" s="91"/>
      <c r="L530" s="91"/>
      <c r="M530" s="91"/>
      <c r="N530" s="91"/>
      <c r="O530" s="91"/>
      <c r="P530" s="91"/>
      <c r="Q530" s="91"/>
      <c r="R530" s="91"/>
      <c r="S530" s="91"/>
      <c r="T530" s="91"/>
      <c r="U530" s="91"/>
      <c r="V530" s="94">
        <f t="shared" ref="V530:DI530" si="441">SUM(V144:V527)</f>
        <v>452.0949074</v>
      </c>
      <c r="W530" s="94">
        <f t="shared" si="441"/>
        <v>5475.371656</v>
      </c>
      <c r="X530" s="94">
        <f t="shared" si="441"/>
        <v>8345.815513</v>
      </c>
      <c r="Y530" s="94">
        <f t="shared" si="441"/>
        <v>10814.73159</v>
      </c>
      <c r="Z530" s="94">
        <f t="shared" si="441"/>
        <v>10658.97762</v>
      </c>
      <c r="AA530" s="94">
        <f t="shared" si="441"/>
        <v>15285.70455</v>
      </c>
      <c r="AB530" s="94">
        <f t="shared" si="441"/>
        <v>29958.98497</v>
      </c>
      <c r="AC530" s="94">
        <f t="shared" si="441"/>
        <v>29005.35475</v>
      </c>
      <c r="AD530" s="94">
        <f t="shared" si="441"/>
        <v>46851.268</v>
      </c>
      <c r="AE530" s="94">
        <f t="shared" si="441"/>
        <v>59003.59109</v>
      </c>
      <c r="AF530" s="94">
        <f t="shared" si="441"/>
        <v>83902.82775</v>
      </c>
      <c r="AG530" s="94">
        <f t="shared" si="441"/>
        <v>83920.74001</v>
      </c>
      <c r="AH530" s="94">
        <f t="shared" si="441"/>
        <v>73894.48707</v>
      </c>
      <c r="AI530" s="94">
        <f t="shared" si="441"/>
        <v>63868.23413</v>
      </c>
      <c r="AJ530" s="94">
        <f t="shared" si="441"/>
        <v>59100.08304</v>
      </c>
      <c r="AK530" s="94">
        <f t="shared" si="441"/>
        <v>67881.49838</v>
      </c>
      <c r="AL530" s="94">
        <f t="shared" si="441"/>
        <v>83839.02337</v>
      </c>
      <c r="AM530" s="94">
        <f t="shared" si="441"/>
        <v>114148.7676</v>
      </c>
      <c r="AN530" s="94">
        <f t="shared" si="441"/>
        <v>105330.9877</v>
      </c>
      <c r="AO530" s="94">
        <f t="shared" si="441"/>
        <v>89826.23172</v>
      </c>
      <c r="AP530" s="94">
        <f t="shared" si="441"/>
        <v>65740.83783</v>
      </c>
      <c r="AQ530" s="94">
        <f t="shared" si="441"/>
        <v>70718.40691</v>
      </c>
      <c r="AR530" s="94">
        <f t="shared" si="441"/>
        <v>75597.53977</v>
      </c>
      <c r="AS530" s="94">
        <f t="shared" si="441"/>
        <v>76710.6644</v>
      </c>
      <c r="AT530" s="94">
        <f t="shared" si="441"/>
        <v>77134.73554</v>
      </c>
      <c r="AU530" s="94">
        <f t="shared" si="441"/>
        <v>71367.05917</v>
      </c>
      <c r="AV530" s="94">
        <f t="shared" si="441"/>
        <v>64135.14412</v>
      </c>
      <c r="AW530" s="94">
        <f t="shared" si="441"/>
        <v>60987.41337</v>
      </c>
      <c r="AX530" s="94">
        <f t="shared" si="441"/>
        <v>74259.69292</v>
      </c>
      <c r="AY530" s="94">
        <f t="shared" si="441"/>
        <v>87938.02184</v>
      </c>
      <c r="AZ530" s="94">
        <f t="shared" si="441"/>
        <v>87813.20891</v>
      </c>
      <c r="BA530" s="94">
        <f t="shared" si="441"/>
        <v>78617.61126</v>
      </c>
      <c r="BB530" s="94">
        <f t="shared" si="441"/>
        <v>68107.72553</v>
      </c>
      <c r="BC530" s="94">
        <f t="shared" si="441"/>
        <v>61548.82176</v>
      </c>
      <c r="BD530" s="94">
        <f t="shared" si="441"/>
        <v>54451.2863</v>
      </c>
      <c r="BE530" s="94">
        <f t="shared" si="441"/>
        <v>47505.65414</v>
      </c>
      <c r="BF530" s="94">
        <f t="shared" si="441"/>
        <v>48718.84627</v>
      </c>
      <c r="BG530" s="94">
        <f t="shared" si="441"/>
        <v>50396.54457</v>
      </c>
      <c r="BH530" s="94">
        <f t="shared" si="441"/>
        <v>52076.44334</v>
      </c>
      <c r="BI530" s="94">
        <f t="shared" si="441"/>
        <v>51930.99489</v>
      </c>
      <c r="BJ530" s="94">
        <f t="shared" si="441"/>
        <v>51785.54644</v>
      </c>
      <c r="BK530" s="94">
        <f t="shared" si="441"/>
        <v>50971.29012</v>
      </c>
      <c r="BL530" s="94">
        <f t="shared" si="441"/>
        <v>49415.58431</v>
      </c>
      <c r="BM530" s="94">
        <f t="shared" si="441"/>
        <v>46364.68466</v>
      </c>
      <c r="BN530" s="94">
        <f t="shared" si="441"/>
        <v>46243.57501</v>
      </c>
      <c r="BO530" s="94">
        <f t="shared" si="441"/>
        <v>50330.41952</v>
      </c>
      <c r="BP530" s="94">
        <f t="shared" si="441"/>
        <v>62951.34544</v>
      </c>
      <c r="BQ530" s="94">
        <f t="shared" si="441"/>
        <v>72495.22772</v>
      </c>
      <c r="BR530" s="94">
        <f t="shared" si="441"/>
        <v>82417.02225</v>
      </c>
      <c r="BS530" s="94">
        <f t="shared" si="441"/>
        <v>85611.92084</v>
      </c>
      <c r="BT530" s="94">
        <f t="shared" si="441"/>
        <v>91230.01883</v>
      </c>
      <c r="BU530" s="94">
        <f t="shared" si="441"/>
        <v>98693.01361</v>
      </c>
      <c r="BV530" s="94">
        <f t="shared" si="441"/>
        <v>95084.29636</v>
      </c>
      <c r="BW530" s="94">
        <f t="shared" si="441"/>
        <v>89150.06324</v>
      </c>
      <c r="BX530" s="94">
        <f t="shared" si="441"/>
        <v>78012.29726</v>
      </c>
      <c r="BY530" s="94">
        <f t="shared" si="441"/>
        <v>76940.11769</v>
      </c>
      <c r="BZ530" s="94">
        <f t="shared" si="441"/>
        <v>88949.15171</v>
      </c>
      <c r="CA530" s="94">
        <f t="shared" si="441"/>
        <v>85976.79715</v>
      </c>
      <c r="CB530" s="94">
        <f t="shared" si="441"/>
        <v>82601.06957</v>
      </c>
      <c r="CC530" s="94">
        <f t="shared" si="441"/>
        <v>67391.82127</v>
      </c>
      <c r="CD530" s="94">
        <f t="shared" si="441"/>
        <v>67694.12059</v>
      </c>
      <c r="CE530" s="94">
        <f t="shared" si="441"/>
        <v>68129.3088</v>
      </c>
      <c r="CF530" s="94">
        <f t="shared" si="441"/>
        <v>68366.15287</v>
      </c>
      <c r="CG530" s="94">
        <f t="shared" si="441"/>
        <v>68493.99</v>
      </c>
      <c r="CH530" s="94">
        <f t="shared" si="441"/>
        <v>68090.27157</v>
      </c>
      <c r="CI530" s="94">
        <f t="shared" si="441"/>
        <v>73222.40916</v>
      </c>
      <c r="CJ530" s="94">
        <f t="shared" si="441"/>
        <v>78144.18408</v>
      </c>
      <c r="CK530" s="94">
        <f t="shared" si="441"/>
        <v>83144.17771</v>
      </c>
      <c r="CL530" s="94">
        <f t="shared" si="441"/>
        <v>83011.58259</v>
      </c>
      <c r="CM530" s="94">
        <f t="shared" si="441"/>
        <v>82594.75468</v>
      </c>
      <c r="CN530" s="94">
        <f t="shared" si="441"/>
        <v>88363.64168</v>
      </c>
      <c r="CO530" s="94">
        <f t="shared" si="441"/>
        <v>99668.38468</v>
      </c>
      <c r="CP530" s="94">
        <f t="shared" si="441"/>
        <v>111260.8386</v>
      </c>
      <c r="CQ530" s="94">
        <f t="shared" si="441"/>
        <v>117999.3342</v>
      </c>
      <c r="CR530" s="94">
        <f t="shared" si="441"/>
        <v>124376.2957</v>
      </c>
      <c r="CS530" s="94">
        <f t="shared" si="441"/>
        <v>131819.6857</v>
      </c>
      <c r="CT530" s="94">
        <f t="shared" si="441"/>
        <v>139012.2424</v>
      </c>
      <c r="CU530" s="94">
        <f t="shared" si="441"/>
        <v>141288.1324</v>
      </c>
      <c r="CV530" s="94">
        <f t="shared" si="441"/>
        <v>143473.2275</v>
      </c>
      <c r="CW530" s="94">
        <f t="shared" si="441"/>
        <v>145658.3225</v>
      </c>
      <c r="CX530" s="94">
        <f t="shared" si="441"/>
        <v>148437.7451</v>
      </c>
      <c r="CY530" s="94">
        <f t="shared" si="441"/>
        <v>151105.1886</v>
      </c>
      <c r="CZ530" s="94">
        <f t="shared" si="441"/>
        <v>158974.8394</v>
      </c>
      <c r="DA530" s="94">
        <f t="shared" si="441"/>
        <v>165850.2243</v>
      </c>
      <c r="DB530" s="94">
        <f t="shared" si="441"/>
        <v>172803.3562</v>
      </c>
      <c r="DC530" s="94">
        <f t="shared" si="441"/>
        <v>180319.3979</v>
      </c>
      <c r="DD530" s="94">
        <f t="shared" si="441"/>
        <v>187378.2402</v>
      </c>
      <c r="DE530" s="94">
        <f t="shared" si="441"/>
        <v>199776.2183</v>
      </c>
      <c r="DF530" s="94">
        <f t="shared" si="441"/>
        <v>207407.9545</v>
      </c>
      <c r="DG530" s="94">
        <f t="shared" si="441"/>
        <v>214660.008</v>
      </c>
      <c r="DH530" s="94">
        <f t="shared" si="441"/>
        <v>217586.5127</v>
      </c>
      <c r="DI530" s="94">
        <f t="shared" si="441"/>
        <v>220513.0173</v>
      </c>
    </row>
    <row r="531" ht="15.75" customHeight="1">
      <c r="A531" s="91"/>
      <c r="B531" s="91"/>
      <c r="C531" s="91"/>
      <c r="D531" s="91"/>
      <c r="E531" s="91"/>
      <c r="F531" s="91"/>
      <c r="G531" s="91"/>
      <c r="H531" s="91"/>
      <c r="I531" s="91"/>
      <c r="J531" s="91"/>
      <c r="K531" s="91"/>
      <c r="L531" s="91"/>
      <c r="M531" s="91"/>
      <c r="N531" s="91"/>
      <c r="O531" s="91"/>
      <c r="P531" s="91"/>
      <c r="Q531" s="91"/>
      <c r="R531" s="91"/>
      <c r="S531" s="91"/>
      <c r="T531" s="91"/>
      <c r="U531" s="91"/>
    </row>
    <row r="532" ht="15.75" customHeight="1">
      <c r="A532" s="91"/>
      <c r="B532" s="91"/>
      <c r="C532" s="91"/>
      <c r="D532" s="91"/>
      <c r="E532" s="91"/>
      <c r="F532" s="91"/>
      <c r="G532" s="91"/>
      <c r="H532" s="91"/>
      <c r="I532" s="91"/>
      <c r="J532" s="91"/>
      <c r="K532" s="91"/>
      <c r="L532" s="91"/>
      <c r="M532" s="91"/>
      <c r="N532" s="91"/>
      <c r="O532" s="91"/>
      <c r="P532" s="91"/>
      <c r="Q532" s="91"/>
      <c r="R532" s="91"/>
      <c r="S532" s="91"/>
      <c r="T532" s="91"/>
      <c r="U532" s="91"/>
    </row>
    <row r="533" ht="15.75" customHeight="1">
      <c r="A533" s="91"/>
      <c r="B533" s="91"/>
      <c r="C533" s="91"/>
      <c r="D533" s="91"/>
      <c r="E533" s="91"/>
      <c r="F533" s="91"/>
      <c r="G533" s="91"/>
      <c r="H533" s="91"/>
      <c r="I533" s="91"/>
      <c r="J533" s="91"/>
      <c r="K533" s="91"/>
      <c r="L533" s="91"/>
      <c r="M533" s="91"/>
      <c r="N533" s="91"/>
      <c r="O533" s="91"/>
      <c r="P533" s="91"/>
      <c r="Q533" s="91"/>
      <c r="R533" s="91"/>
      <c r="S533" s="91"/>
      <c r="T533" s="91"/>
      <c r="U533" s="91"/>
    </row>
    <row r="534" ht="15.75" customHeight="1">
      <c r="A534" s="91"/>
      <c r="B534" s="91"/>
      <c r="C534" s="91"/>
      <c r="D534" s="91"/>
      <c r="E534" s="91"/>
      <c r="F534" s="91"/>
      <c r="G534" s="91"/>
      <c r="H534" s="91"/>
      <c r="I534" s="91"/>
      <c r="J534" s="91"/>
      <c r="K534" s="91"/>
      <c r="L534" s="91"/>
      <c r="M534" s="91"/>
      <c r="N534" s="91"/>
      <c r="O534" s="91"/>
      <c r="P534" s="91"/>
      <c r="Q534" s="91"/>
      <c r="R534" s="91"/>
      <c r="S534" s="91"/>
      <c r="T534" s="91"/>
      <c r="U534" s="91"/>
    </row>
    <row r="535" ht="15.75" customHeight="1">
      <c r="A535" s="91"/>
      <c r="B535" s="91"/>
      <c r="C535" s="91"/>
      <c r="D535" s="91"/>
      <c r="E535" s="91"/>
      <c r="F535" s="91"/>
      <c r="G535" s="91"/>
      <c r="H535" s="91"/>
      <c r="I535" s="91"/>
      <c r="J535" s="91"/>
      <c r="K535" s="91"/>
      <c r="L535" s="91"/>
      <c r="M535" s="91"/>
      <c r="N535" s="91"/>
      <c r="O535" s="91"/>
      <c r="P535" s="91"/>
      <c r="Q535" s="91"/>
      <c r="R535" s="91"/>
      <c r="S535" s="91"/>
      <c r="T535" s="91"/>
      <c r="U535" s="91"/>
    </row>
    <row r="536" ht="15.75" customHeight="1">
      <c r="A536" s="91"/>
      <c r="B536" s="91"/>
      <c r="C536" s="91"/>
      <c r="D536" s="91"/>
      <c r="E536" s="91"/>
      <c r="F536" s="91"/>
      <c r="G536" s="91"/>
      <c r="H536" s="91"/>
      <c r="I536" s="91"/>
      <c r="J536" s="91"/>
      <c r="K536" s="91"/>
      <c r="L536" s="91"/>
      <c r="M536" s="91"/>
      <c r="N536" s="91"/>
      <c r="O536" s="91"/>
      <c r="P536" s="91"/>
      <c r="Q536" s="91"/>
      <c r="R536" s="91"/>
      <c r="S536" s="91"/>
      <c r="T536" s="91"/>
      <c r="U536" s="91"/>
    </row>
    <row r="537" ht="15.75" customHeight="1">
      <c r="A537" s="91"/>
      <c r="B537" s="91"/>
      <c r="C537" s="91"/>
      <c r="D537" s="91"/>
      <c r="E537" s="91"/>
      <c r="F537" s="91"/>
      <c r="G537" s="91"/>
      <c r="H537" s="91"/>
      <c r="I537" s="91"/>
      <c r="J537" s="91"/>
      <c r="K537" s="91"/>
      <c r="L537" s="91"/>
      <c r="M537" s="91"/>
      <c r="N537" s="91"/>
      <c r="O537" s="91"/>
      <c r="P537" s="91"/>
      <c r="Q537" s="91"/>
      <c r="R537" s="91"/>
      <c r="S537" s="91"/>
      <c r="T537" s="91"/>
      <c r="U537" s="91"/>
    </row>
    <row r="538" ht="15.75" customHeight="1">
      <c r="A538" s="91"/>
      <c r="B538" s="91"/>
      <c r="C538" s="91"/>
      <c r="D538" s="91"/>
      <c r="E538" s="91"/>
      <c r="F538" s="91"/>
      <c r="G538" s="91"/>
      <c r="H538" s="91"/>
      <c r="I538" s="91"/>
      <c r="J538" s="91"/>
      <c r="K538" s="91"/>
      <c r="L538" s="91"/>
      <c r="M538" s="91"/>
      <c r="N538" s="91"/>
      <c r="O538" s="91"/>
      <c r="P538" s="91"/>
      <c r="Q538" s="91"/>
      <c r="R538" s="91"/>
      <c r="S538" s="91"/>
      <c r="T538" s="91"/>
      <c r="U538" s="91"/>
    </row>
    <row r="539" ht="15.75" customHeight="1">
      <c r="A539" s="91"/>
      <c r="B539" s="91"/>
      <c r="C539" s="91"/>
      <c r="D539" s="91"/>
      <c r="E539" s="91"/>
      <c r="F539" s="91"/>
      <c r="G539" s="91"/>
      <c r="H539" s="91"/>
      <c r="I539" s="91"/>
      <c r="J539" s="91"/>
      <c r="K539" s="91"/>
      <c r="L539" s="91"/>
      <c r="M539" s="91"/>
      <c r="N539" s="91"/>
      <c r="O539" s="91"/>
      <c r="P539" s="91"/>
      <c r="Q539" s="91"/>
      <c r="R539" s="91"/>
      <c r="S539" s="91"/>
      <c r="T539" s="91"/>
      <c r="U539" s="91"/>
    </row>
    <row r="540" ht="15.75" customHeight="1">
      <c r="A540" s="91"/>
      <c r="B540" s="91"/>
      <c r="C540" s="91"/>
      <c r="D540" s="91"/>
      <c r="E540" s="91"/>
      <c r="F540" s="91"/>
      <c r="G540" s="91"/>
      <c r="H540" s="91"/>
      <c r="I540" s="91"/>
      <c r="J540" s="91"/>
      <c r="K540" s="91"/>
      <c r="L540" s="91"/>
      <c r="M540" s="91"/>
      <c r="N540" s="91"/>
      <c r="O540" s="91"/>
      <c r="P540" s="91"/>
      <c r="Q540" s="91"/>
      <c r="R540" s="91"/>
      <c r="S540" s="91"/>
      <c r="T540" s="91"/>
      <c r="U540" s="91"/>
    </row>
    <row r="541" ht="15.75" customHeight="1">
      <c r="A541" s="91"/>
      <c r="B541" s="91"/>
      <c r="C541" s="91"/>
      <c r="D541" s="91"/>
      <c r="E541" s="91"/>
      <c r="F541" s="91"/>
      <c r="G541" s="91"/>
      <c r="H541" s="91"/>
      <c r="I541" s="91"/>
      <c r="J541" s="91"/>
      <c r="K541" s="91"/>
      <c r="L541" s="91"/>
      <c r="M541" s="91"/>
      <c r="N541" s="91"/>
      <c r="O541" s="91"/>
      <c r="P541" s="91"/>
      <c r="Q541" s="91"/>
      <c r="R541" s="91"/>
      <c r="S541" s="91"/>
      <c r="T541" s="91"/>
      <c r="U541" s="91"/>
    </row>
    <row r="542" ht="15.75" customHeight="1">
      <c r="A542" s="91"/>
      <c r="B542" s="91"/>
      <c r="C542" s="91"/>
      <c r="D542" s="91"/>
      <c r="E542" s="91"/>
      <c r="F542" s="91"/>
      <c r="G542" s="91"/>
      <c r="H542" s="91"/>
      <c r="I542" s="91"/>
      <c r="J542" s="91"/>
      <c r="K542" s="91"/>
      <c r="L542" s="91"/>
      <c r="M542" s="91"/>
      <c r="N542" s="91"/>
      <c r="O542" s="91"/>
      <c r="P542" s="91"/>
      <c r="Q542" s="91"/>
      <c r="R542" s="91"/>
      <c r="S542" s="91"/>
      <c r="T542" s="91"/>
      <c r="U542" s="91"/>
    </row>
    <row r="543" ht="15.75" customHeight="1">
      <c r="A543" s="91"/>
      <c r="B543" s="91"/>
      <c r="C543" s="91"/>
      <c r="D543" s="91"/>
      <c r="E543" s="91"/>
      <c r="F543" s="91"/>
      <c r="G543" s="91"/>
      <c r="H543" s="91"/>
      <c r="I543" s="91"/>
      <c r="J543" s="91"/>
      <c r="K543" s="91"/>
      <c r="L543" s="91"/>
      <c r="M543" s="91"/>
      <c r="N543" s="91"/>
      <c r="O543" s="91"/>
      <c r="P543" s="91"/>
      <c r="Q543" s="91"/>
      <c r="R543" s="91"/>
      <c r="S543" s="91"/>
      <c r="T543" s="91"/>
      <c r="U543" s="91"/>
    </row>
    <row r="544" ht="15.75" customHeight="1">
      <c r="A544" s="91"/>
      <c r="B544" s="91"/>
      <c r="C544" s="91"/>
      <c r="D544" s="91"/>
      <c r="E544" s="91"/>
      <c r="F544" s="91"/>
      <c r="G544" s="91"/>
      <c r="H544" s="91"/>
      <c r="I544" s="91"/>
      <c r="J544" s="91"/>
      <c r="K544" s="91"/>
      <c r="L544" s="91"/>
      <c r="M544" s="91"/>
      <c r="N544" s="91"/>
      <c r="O544" s="91"/>
      <c r="P544" s="91"/>
      <c r="Q544" s="91"/>
      <c r="R544" s="91"/>
      <c r="S544" s="91"/>
      <c r="T544" s="91"/>
      <c r="U544" s="91"/>
    </row>
    <row r="545" ht="15.75" customHeight="1">
      <c r="A545" s="91"/>
      <c r="B545" s="91"/>
      <c r="C545" s="91"/>
      <c r="D545" s="91"/>
      <c r="E545" s="91"/>
      <c r="F545" s="91"/>
      <c r="G545" s="91"/>
      <c r="H545" s="91"/>
      <c r="I545" s="91"/>
      <c r="J545" s="91"/>
      <c r="K545" s="91"/>
      <c r="L545" s="91"/>
      <c r="M545" s="91"/>
      <c r="N545" s="91"/>
      <c r="O545" s="91"/>
      <c r="P545" s="91"/>
      <c r="Q545" s="91"/>
      <c r="R545" s="91"/>
      <c r="S545" s="91"/>
      <c r="T545" s="91"/>
      <c r="U545" s="91"/>
    </row>
    <row r="546" ht="15.75" customHeight="1">
      <c r="A546" s="91"/>
      <c r="B546" s="91"/>
      <c r="C546" s="91"/>
      <c r="D546" s="91"/>
      <c r="E546" s="91"/>
      <c r="F546" s="91"/>
      <c r="G546" s="91"/>
      <c r="H546" s="91"/>
      <c r="I546" s="91"/>
      <c r="J546" s="91"/>
      <c r="K546" s="91"/>
      <c r="L546" s="91"/>
      <c r="M546" s="91"/>
      <c r="N546" s="91"/>
      <c r="O546" s="91"/>
      <c r="P546" s="91"/>
      <c r="Q546" s="91"/>
      <c r="R546" s="91"/>
      <c r="S546" s="91"/>
      <c r="T546" s="91"/>
      <c r="U546" s="91"/>
    </row>
    <row r="547" ht="15.75" customHeight="1">
      <c r="A547" s="91"/>
      <c r="B547" s="91"/>
      <c r="C547" s="91"/>
      <c r="D547" s="91"/>
      <c r="E547" s="91"/>
      <c r="F547" s="91"/>
      <c r="G547" s="91"/>
      <c r="H547" s="91"/>
      <c r="I547" s="91"/>
      <c r="J547" s="91"/>
      <c r="K547" s="91"/>
      <c r="L547" s="91"/>
      <c r="M547" s="91"/>
      <c r="N547" s="91"/>
      <c r="O547" s="91"/>
      <c r="P547" s="91"/>
      <c r="Q547" s="91"/>
      <c r="R547" s="91"/>
      <c r="S547" s="91"/>
      <c r="T547" s="91"/>
      <c r="U547" s="91"/>
    </row>
    <row r="548" ht="15.75" customHeight="1">
      <c r="A548" s="91"/>
      <c r="B548" s="91"/>
      <c r="C548" s="91"/>
      <c r="D548" s="91"/>
      <c r="E548" s="91"/>
      <c r="F548" s="91"/>
      <c r="G548" s="91"/>
      <c r="H548" s="91"/>
      <c r="I548" s="91"/>
      <c r="J548" s="91"/>
      <c r="K548" s="91"/>
      <c r="L548" s="91"/>
      <c r="M548" s="91"/>
      <c r="N548" s="91"/>
      <c r="O548" s="91"/>
      <c r="P548" s="91"/>
      <c r="Q548" s="91"/>
      <c r="R548" s="91"/>
      <c r="S548" s="91"/>
      <c r="T548" s="91"/>
      <c r="U548" s="91"/>
    </row>
    <row r="549" ht="15.75" customHeight="1">
      <c r="A549" s="91"/>
      <c r="B549" s="91"/>
      <c r="C549" s="91"/>
      <c r="D549" s="91"/>
      <c r="E549" s="91"/>
      <c r="F549" s="91"/>
      <c r="G549" s="91"/>
      <c r="H549" s="91"/>
      <c r="I549" s="91"/>
      <c r="J549" s="91"/>
      <c r="K549" s="91"/>
      <c r="L549" s="91"/>
      <c r="M549" s="91"/>
      <c r="N549" s="91"/>
      <c r="O549" s="91"/>
      <c r="P549" s="91"/>
      <c r="Q549" s="91"/>
      <c r="R549" s="91"/>
      <c r="S549" s="91"/>
      <c r="T549" s="91"/>
      <c r="U549" s="91"/>
    </row>
    <row r="550" ht="15.75" customHeight="1">
      <c r="A550" s="91"/>
      <c r="B550" s="91"/>
      <c r="C550" s="91"/>
      <c r="D550" s="91"/>
      <c r="E550" s="91"/>
      <c r="F550" s="91"/>
      <c r="G550" s="91"/>
      <c r="H550" s="91"/>
      <c r="I550" s="91"/>
      <c r="J550" s="91"/>
      <c r="K550" s="91"/>
      <c r="L550" s="91"/>
      <c r="M550" s="91"/>
      <c r="N550" s="91"/>
      <c r="O550" s="91"/>
      <c r="P550" s="91"/>
      <c r="Q550" s="91"/>
      <c r="R550" s="91"/>
      <c r="S550" s="91"/>
      <c r="T550" s="91"/>
      <c r="U550" s="91"/>
    </row>
    <row r="551" ht="15.75" customHeight="1">
      <c r="A551" s="91"/>
      <c r="B551" s="91"/>
      <c r="C551" s="91"/>
      <c r="D551" s="91"/>
      <c r="E551" s="91"/>
      <c r="F551" s="91"/>
      <c r="G551" s="91"/>
      <c r="H551" s="91"/>
      <c r="I551" s="91"/>
      <c r="J551" s="91"/>
      <c r="K551" s="91"/>
      <c r="L551" s="91"/>
      <c r="M551" s="91"/>
      <c r="N551" s="91"/>
      <c r="O551" s="91"/>
      <c r="P551" s="91"/>
      <c r="Q551" s="91"/>
      <c r="R551" s="91"/>
      <c r="S551" s="91"/>
      <c r="T551" s="91"/>
      <c r="U551" s="91"/>
    </row>
    <row r="552" ht="15.75" customHeight="1">
      <c r="A552" s="91"/>
      <c r="B552" s="91"/>
      <c r="C552" s="91"/>
      <c r="D552" s="91"/>
      <c r="E552" s="91"/>
      <c r="F552" s="91"/>
      <c r="G552" s="91"/>
      <c r="H552" s="91"/>
      <c r="I552" s="91"/>
      <c r="J552" s="91"/>
      <c r="K552" s="91"/>
      <c r="L552" s="91"/>
      <c r="M552" s="91"/>
      <c r="N552" s="91"/>
      <c r="O552" s="91"/>
      <c r="P552" s="91"/>
      <c r="Q552" s="91"/>
      <c r="R552" s="91"/>
      <c r="S552" s="91"/>
      <c r="T552" s="91"/>
      <c r="U552" s="91"/>
    </row>
    <row r="553" ht="15.75" customHeight="1">
      <c r="A553" s="91"/>
      <c r="B553" s="91"/>
      <c r="C553" s="91"/>
      <c r="D553" s="91"/>
      <c r="E553" s="91"/>
      <c r="F553" s="91"/>
      <c r="G553" s="91"/>
      <c r="H553" s="91"/>
      <c r="I553" s="91"/>
      <c r="J553" s="91"/>
      <c r="K553" s="91"/>
      <c r="L553" s="91"/>
      <c r="M553" s="91"/>
      <c r="N553" s="91"/>
      <c r="O553" s="91"/>
      <c r="P553" s="91"/>
      <c r="Q553" s="91"/>
      <c r="R553" s="91"/>
      <c r="S553" s="91"/>
      <c r="T553" s="91"/>
      <c r="U553" s="91"/>
    </row>
    <row r="554" ht="15.75" customHeight="1">
      <c r="A554" s="91"/>
      <c r="B554" s="91"/>
      <c r="C554" s="91"/>
      <c r="D554" s="91"/>
      <c r="E554" s="91"/>
      <c r="F554" s="91"/>
      <c r="G554" s="91"/>
      <c r="H554" s="91"/>
      <c r="I554" s="91"/>
      <c r="J554" s="91"/>
      <c r="K554" s="91"/>
      <c r="L554" s="91"/>
      <c r="M554" s="91"/>
      <c r="N554" s="91"/>
      <c r="O554" s="91"/>
      <c r="P554" s="91"/>
      <c r="Q554" s="91"/>
      <c r="R554" s="91"/>
      <c r="S554" s="91"/>
      <c r="T554" s="91"/>
      <c r="U554" s="91"/>
    </row>
    <row r="555" ht="15.75" customHeight="1">
      <c r="A555" s="91"/>
      <c r="B555" s="91"/>
      <c r="C555" s="91"/>
      <c r="D555" s="91"/>
      <c r="E555" s="91"/>
      <c r="F555" s="91"/>
      <c r="G555" s="91"/>
      <c r="H555" s="91"/>
      <c r="I555" s="91"/>
      <c r="J555" s="91"/>
      <c r="K555" s="91"/>
      <c r="L555" s="91"/>
      <c r="M555" s="91"/>
      <c r="N555" s="91"/>
      <c r="O555" s="91"/>
      <c r="P555" s="91"/>
      <c r="Q555" s="91"/>
      <c r="R555" s="91"/>
      <c r="S555" s="91"/>
      <c r="T555" s="91"/>
      <c r="U555" s="91"/>
    </row>
    <row r="556" ht="15.75" customHeight="1">
      <c r="A556" s="91"/>
      <c r="B556" s="91"/>
      <c r="C556" s="91"/>
      <c r="D556" s="91"/>
      <c r="E556" s="91"/>
      <c r="F556" s="91"/>
      <c r="G556" s="91"/>
      <c r="H556" s="91"/>
      <c r="I556" s="91"/>
      <c r="J556" s="91"/>
      <c r="K556" s="91"/>
      <c r="L556" s="91"/>
      <c r="M556" s="91"/>
      <c r="N556" s="91"/>
      <c r="O556" s="91"/>
      <c r="P556" s="91"/>
      <c r="Q556" s="91"/>
      <c r="R556" s="91"/>
      <c r="S556" s="91"/>
      <c r="T556" s="91"/>
      <c r="U556" s="91"/>
    </row>
    <row r="557" ht="15.75" customHeight="1">
      <c r="A557" s="91"/>
      <c r="B557" s="91"/>
      <c r="C557" s="91"/>
      <c r="D557" s="91"/>
      <c r="E557" s="91"/>
      <c r="F557" s="91"/>
      <c r="G557" s="91"/>
      <c r="H557" s="91"/>
      <c r="I557" s="91"/>
      <c r="J557" s="91"/>
      <c r="K557" s="91"/>
      <c r="L557" s="91"/>
      <c r="M557" s="91"/>
      <c r="N557" s="91"/>
      <c r="O557" s="91"/>
      <c r="P557" s="91"/>
      <c r="Q557" s="91"/>
      <c r="R557" s="91"/>
      <c r="S557" s="91"/>
      <c r="T557" s="91"/>
      <c r="U557" s="91"/>
    </row>
    <row r="558" ht="15.75" customHeight="1">
      <c r="A558" s="91"/>
      <c r="B558" s="91"/>
      <c r="C558" s="91"/>
      <c r="D558" s="91"/>
      <c r="E558" s="91"/>
      <c r="F558" s="91"/>
      <c r="G558" s="91"/>
      <c r="H558" s="91"/>
      <c r="I558" s="91"/>
      <c r="J558" s="91"/>
      <c r="K558" s="91"/>
      <c r="L558" s="91"/>
      <c r="M558" s="91"/>
      <c r="N558" s="91"/>
      <c r="O558" s="91"/>
      <c r="P558" s="91"/>
      <c r="Q558" s="91"/>
      <c r="R558" s="91"/>
      <c r="S558" s="91"/>
      <c r="T558" s="91"/>
      <c r="U558" s="91"/>
    </row>
    <row r="559" ht="15.75" customHeight="1">
      <c r="A559" s="91"/>
      <c r="B559" s="91"/>
      <c r="C559" s="91"/>
      <c r="D559" s="91"/>
      <c r="E559" s="91"/>
      <c r="F559" s="91"/>
      <c r="G559" s="91"/>
      <c r="H559" s="91"/>
      <c r="I559" s="91"/>
      <c r="J559" s="91"/>
      <c r="K559" s="91"/>
      <c r="L559" s="91"/>
      <c r="M559" s="91"/>
      <c r="N559" s="91"/>
      <c r="O559" s="91"/>
      <c r="P559" s="91"/>
      <c r="Q559" s="91"/>
      <c r="R559" s="91"/>
      <c r="S559" s="91"/>
      <c r="T559" s="91"/>
      <c r="U559" s="91"/>
    </row>
    <row r="560" ht="15.75" customHeight="1">
      <c r="A560" s="91"/>
      <c r="B560" s="91"/>
      <c r="C560" s="91"/>
      <c r="D560" s="91"/>
      <c r="E560" s="91"/>
      <c r="F560" s="91"/>
      <c r="G560" s="91"/>
      <c r="H560" s="91"/>
      <c r="I560" s="91"/>
      <c r="J560" s="91"/>
      <c r="K560" s="91"/>
      <c r="L560" s="91"/>
      <c r="M560" s="91"/>
      <c r="N560" s="91"/>
      <c r="O560" s="91"/>
      <c r="P560" s="91"/>
      <c r="Q560" s="91"/>
      <c r="R560" s="91"/>
      <c r="S560" s="91"/>
      <c r="T560" s="91"/>
      <c r="U560" s="91"/>
    </row>
    <row r="561" ht="15.75" customHeight="1">
      <c r="A561" s="91"/>
      <c r="B561" s="91"/>
      <c r="C561" s="91"/>
      <c r="D561" s="91"/>
      <c r="E561" s="91"/>
      <c r="F561" s="91"/>
      <c r="G561" s="91"/>
      <c r="H561" s="91"/>
      <c r="I561" s="91"/>
      <c r="J561" s="91"/>
      <c r="K561" s="91"/>
      <c r="L561" s="91"/>
      <c r="M561" s="91"/>
      <c r="N561" s="91"/>
      <c r="O561" s="91"/>
      <c r="P561" s="91"/>
      <c r="Q561" s="91"/>
      <c r="R561" s="91"/>
      <c r="S561" s="91"/>
      <c r="T561" s="91"/>
      <c r="U561" s="91"/>
    </row>
    <row r="562" ht="15.75" customHeight="1">
      <c r="A562" s="91"/>
      <c r="B562" s="91"/>
      <c r="C562" s="91"/>
      <c r="D562" s="91"/>
      <c r="E562" s="91"/>
      <c r="F562" s="91"/>
      <c r="G562" s="91"/>
      <c r="H562" s="91"/>
      <c r="I562" s="91"/>
      <c r="J562" s="91"/>
      <c r="K562" s="91"/>
      <c r="L562" s="91"/>
      <c r="M562" s="91"/>
      <c r="N562" s="91"/>
      <c r="O562" s="91"/>
      <c r="P562" s="91"/>
      <c r="Q562" s="91"/>
      <c r="R562" s="91"/>
      <c r="S562" s="91"/>
      <c r="T562" s="91"/>
      <c r="U562" s="91"/>
    </row>
    <row r="563" ht="15.75" customHeight="1">
      <c r="A563" s="91"/>
      <c r="B563" s="91"/>
      <c r="C563" s="91"/>
      <c r="D563" s="91"/>
      <c r="E563" s="91"/>
      <c r="F563" s="91"/>
      <c r="G563" s="91"/>
      <c r="H563" s="91"/>
      <c r="I563" s="91"/>
      <c r="J563" s="91"/>
      <c r="K563" s="91"/>
      <c r="L563" s="91"/>
      <c r="M563" s="91"/>
      <c r="N563" s="91"/>
      <c r="O563" s="91"/>
      <c r="P563" s="91"/>
      <c r="Q563" s="91"/>
      <c r="R563" s="91"/>
      <c r="S563" s="91"/>
      <c r="T563" s="91"/>
      <c r="U563" s="91"/>
    </row>
    <row r="564" ht="15.75" customHeight="1">
      <c r="A564" s="91"/>
      <c r="B564" s="91"/>
      <c r="C564" s="91"/>
      <c r="D564" s="91"/>
      <c r="E564" s="91"/>
      <c r="F564" s="91"/>
      <c r="G564" s="91"/>
      <c r="H564" s="91"/>
      <c r="I564" s="91"/>
      <c r="J564" s="91"/>
      <c r="K564" s="91"/>
      <c r="L564" s="91"/>
      <c r="M564" s="91"/>
      <c r="N564" s="91"/>
      <c r="O564" s="91"/>
      <c r="P564" s="91"/>
      <c r="Q564" s="91"/>
      <c r="R564" s="91"/>
      <c r="S564" s="91"/>
      <c r="T564" s="91"/>
      <c r="U564" s="91"/>
    </row>
    <row r="565" ht="15.75" customHeight="1">
      <c r="A565" s="91"/>
      <c r="B565" s="91"/>
      <c r="C565" s="91"/>
      <c r="D565" s="91"/>
      <c r="E565" s="91"/>
      <c r="F565" s="91"/>
      <c r="G565" s="91"/>
      <c r="H565" s="91"/>
      <c r="I565" s="91"/>
      <c r="J565" s="91"/>
      <c r="K565" s="91"/>
      <c r="L565" s="91"/>
      <c r="M565" s="91"/>
      <c r="N565" s="91"/>
      <c r="O565" s="91"/>
      <c r="P565" s="91"/>
      <c r="Q565" s="91"/>
      <c r="R565" s="91"/>
      <c r="S565" s="91"/>
      <c r="T565" s="91"/>
      <c r="U565" s="91"/>
    </row>
    <row r="566" ht="15.75" customHeight="1">
      <c r="A566" s="91"/>
      <c r="B566" s="91"/>
      <c r="C566" s="91"/>
      <c r="D566" s="91"/>
      <c r="E566" s="91"/>
      <c r="F566" s="91"/>
      <c r="G566" s="91"/>
      <c r="H566" s="91"/>
      <c r="I566" s="91"/>
      <c r="J566" s="91"/>
      <c r="K566" s="91"/>
      <c r="L566" s="91"/>
      <c r="M566" s="91"/>
      <c r="N566" s="91"/>
      <c r="O566" s="91"/>
      <c r="P566" s="91"/>
      <c r="Q566" s="91"/>
      <c r="R566" s="91"/>
      <c r="S566" s="91"/>
      <c r="T566" s="91"/>
      <c r="U566" s="91"/>
    </row>
    <row r="567" ht="15.75" customHeight="1">
      <c r="A567" s="91"/>
      <c r="B567" s="91"/>
      <c r="C567" s="91"/>
      <c r="D567" s="91"/>
      <c r="E567" s="91"/>
      <c r="F567" s="91"/>
      <c r="G567" s="91"/>
      <c r="H567" s="91"/>
      <c r="I567" s="91"/>
      <c r="J567" s="91"/>
      <c r="K567" s="91"/>
      <c r="L567" s="91"/>
      <c r="M567" s="91"/>
      <c r="N567" s="91"/>
      <c r="O567" s="91"/>
      <c r="P567" s="91"/>
      <c r="Q567" s="91"/>
      <c r="R567" s="91"/>
      <c r="S567" s="91"/>
      <c r="T567" s="91"/>
      <c r="U567" s="91"/>
    </row>
    <row r="568" ht="15.75" customHeight="1">
      <c r="A568" s="91"/>
      <c r="B568" s="91"/>
      <c r="C568" s="91"/>
      <c r="D568" s="91"/>
      <c r="E568" s="91"/>
      <c r="F568" s="91"/>
      <c r="G568" s="91"/>
      <c r="H568" s="91"/>
      <c r="I568" s="91"/>
      <c r="J568" s="91"/>
      <c r="K568" s="91"/>
      <c r="L568" s="91"/>
      <c r="M568" s="91"/>
      <c r="N568" s="91"/>
      <c r="O568" s="91"/>
      <c r="P568" s="91"/>
      <c r="Q568" s="91"/>
      <c r="R568" s="91"/>
      <c r="S568" s="91"/>
      <c r="T568" s="91"/>
      <c r="U568" s="91"/>
    </row>
    <row r="569" ht="15.75" customHeight="1">
      <c r="A569" s="91"/>
      <c r="B569" s="91"/>
      <c r="C569" s="91"/>
      <c r="D569" s="91"/>
      <c r="E569" s="91"/>
      <c r="F569" s="91"/>
      <c r="G569" s="91"/>
      <c r="H569" s="91"/>
      <c r="I569" s="91"/>
      <c r="J569" s="91"/>
      <c r="K569" s="91"/>
      <c r="L569" s="91"/>
      <c r="M569" s="91"/>
      <c r="N569" s="91"/>
      <c r="O569" s="91"/>
      <c r="P569" s="91"/>
      <c r="Q569" s="91"/>
      <c r="R569" s="91"/>
      <c r="S569" s="91"/>
      <c r="T569" s="91"/>
      <c r="U569" s="91"/>
    </row>
    <row r="570" ht="15.75" customHeight="1">
      <c r="A570" s="91"/>
      <c r="B570" s="91"/>
      <c r="C570" s="91"/>
      <c r="D570" s="91"/>
      <c r="E570" s="91"/>
      <c r="F570" s="91"/>
      <c r="G570" s="91"/>
      <c r="H570" s="91"/>
      <c r="I570" s="91"/>
      <c r="J570" s="91"/>
      <c r="K570" s="91"/>
      <c r="L570" s="91"/>
      <c r="M570" s="91"/>
      <c r="N570" s="91"/>
      <c r="O570" s="91"/>
      <c r="P570" s="91"/>
      <c r="Q570" s="91"/>
      <c r="R570" s="91"/>
      <c r="S570" s="91"/>
      <c r="T570" s="91"/>
      <c r="U570" s="91"/>
    </row>
    <row r="571" ht="15.75" customHeight="1">
      <c r="A571" s="91"/>
      <c r="B571" s="91"/>
      <c r="C571" s="91"/>
      <c r="D571" s="91"/>
      <c r="E571" s="91"/>
      <c r="F571" s="91"/>
      <c r="G571" s="91"/>
      <c r="H571" s="91"/>
      <c r="I571" s="91"/>
      <c r="J571" s="91"/>
      <c r="K571" s="91"/>
      <c r="L571" s="91"/>
      <c r="M571" s="91"/>
      <c r="N571" s="91"/>
      <c r="O571" s="91"/>
      <c r="P571" s="91"/>
      <c r="Q571" s="91"/>
      <c r="R571" s="91"/>
      <c r="S571" s="91"/>
      <c r="T571" s="91"/>
      <c r="U571" s="91"/>
    </row>
    <row r="572" ht="15.75" customHeight="1">
      <c r="A572" s="91"/>
      <c r="B572" s="91"/>
      <c r="C572" s="91"/>
      <c r="D572" s="91"/>
      <c r="E572" s="91"/>
      <c r="F572" s="91"/>
      <c r="G572" s="91"/>
      <c r="H572" s="91"/>
      <c r="I572" s="91"/>
      <c r="J572" s="91"/>
      <c r="K572" s="91"/>
      <c r="L572" s="91"/>
      <c r="M572" s="91"/>
      <c r="N572" s="91"/>
      <c r="O572" s="91"/>
      <c r="P572" s="91"/>
      <c r="Q572" s="91"/>
      <c r="R572" s="91"/>
      <c r="S572" s="91"/>
      <c r="T572" s="91"/>
      <c r="U572" s="91"/>
    </row>
    <row r="573" ht="15.75" customHeight="1">
      <c r="A573" s="91"/>
      <c r="B573" s="91"/>
      <c r="C573" s="91"/>
      <c r="D573" s="91"/>
      <c r="E573" s="91"/>
      <c r="F573" s="91"/>
      <c r="G573" s="91"/>
      <c r="H573" s="91"/>
      <c r="I573" s="91"/>
      <c r="J573" s="91"/>
      <c r="K573" s="91"/>
      <c r="L573" s="91"/>
      <c r="M573" s="91"/>
      <c r="N573" s="91"/>
      <c r="O573" s="91"/>
      <c r="P573" s="91"/>
      <c r="Q573" s="91"/>
      <c r="R573" s="91"/>
      <c r="S573" s="91"/>
      <c r="T573" s="91"/>
      <c r="U573" s="91"/>
    </row>
    <row r="574" ht="15.75" customHeight="1">
      <c r="A574" s="91"/>
      <c r="B574" s="91"/>
      <c r="C574" s="91"/>
      <c r="D574" s="91"/>
      <c r="E574" s="91"/>
      <c r="F574" s="91"/>
      <c r="G574" s="91"/>
      <c r="H574" s="91"/>
      <c r="I574" s="91"/>
      <c r="J574" s="91"/>
      <c r="K574" s="91"/>
      <c r="L574" s="91"/>
      <c r="M574" s="91"/>
      <c r="N574" s="91"/>
      <c r="O574" s="91"/>
      <c r="P574" s="91"/>
      <c r="Q574" s="91"/>
      <c r="R574" s="91"/>
      <c r="S574" s="91"/>
      <c r="T574" s="91"/>
      <c r="U574" s="91"/>
    </row>
    <row r="575" ht="15.75" customHeight="1">
      <c r="A575" s="91"/>
      <c r="B575" s="91"/>
      <c r="C575" s="91"/>
      <c r="D575" s="91"/>
      <c r="E575" s="91"/>
      <c r="F575" s="91"/>
      <c r="G575" s="91"/>
      <c r="H575" s="91"/>
      <c r="I575" s="91"/>
      <c r="J575" s="91"/>
      <c r="K575" s="91"/>
      <c r="L575" s="91"/>
      <c r="M575" s="91"/>
      <c r="N575" s="91"/>
      <c r="O575" s="91"/>
      <c r="P575" s="91"/>
      <c r="Q575" s="91"/>
      <c r="R575" s="91"/>
      <c r="S575" s="91"/>
      <c r="T575" s="91"/>
      <c r="U575" s="91"/>
    </row>
    <row r="576" ht="15.75" customHeight="1">
      <c r="A576" s="91"/>
      <c r="B576" s="91"/>
      <c r="C576" s="91"/>
      <c r="D576" s="91"/>
      <c r="E576" s="91"/>
      <c r="F576" s="91"/>
      <c r="G576" s="91"/>
      <c r="H576" s="91"/>
      <c r="I576" s="91"/>
      <c r="J576" s="91"/>
      <c r="K576" s="91"/>
      <c r="L576" s="91"/>
      <c r="M576" s="91"/>
      <c r="N576" s="91"/>
      <c r="O576" s="91"/>
      <c r="P576" s="91"/>
      <c r="Q576" s="91"/>
      <c r="R576" s="91"/>
      <c r="S576" s="91"/>
      <c r="T576" s="91"/>
      <c r="U576" s="91"/>
    </row>
    <row r="577" ht="15.75" customHeight="1">
      <c r="A577" s="91"/>
      <c r="B577" s="91"/>
      <c r="C577" s="91"/>
      <c r="D577" s="91"/>
      <c r="E577" s="91"/>
      <c r="F577" s="91"/>
      <c r="G577" s="91"/>
      <c r="H577" s="91"/>
      <c r="I577" s="91"/>
      <c r="J577" s="91"/>
      <c r="K577" s="91"/>
      <c r="L577" s="91"/>
      <c r="M577" s="91"/>
      <c r="N577" s="91"/>
      <c r="O577" s="91"/>
      <c r="P577" s="91"/>
      <c r="Q577" s="91"/>
      <c r="R577" s="91"/>
      <c r="S577" s="91"/>
      <c r="T577" s="91"/>
      <c r="U577" s="91"/>
    </row>
    <row r="578" ht="15.75" customHeight="1">
      <c r="A578" s="91"/>
      <c r="B578" s="91"/>
      <c r="C578" s="91"/>
      <c r="D578" s="91"/>
      <c r="E578" s="91"/>
      <c r="F578" s="91"/>
      <c r="G578" s="91"/>
      <c r="H578" s="91"/>
      <c r="I578" s="91"/>
      <c r="J578" s="91"/>
      <c r="K578" s="91"/>
      <c r="L578" s="91"/>
      <c r="M578" s="91"/>
      <c r="N578" s="91"/>
      <c r="O578" s="91"/>
      <c r="P578" s="91"/>
      <c r="Q578" s="91"/>
      <c r="R578" s="91"/>
      <c r="S578" s="91"/>
      <c r="T578" s="91"/>
      <c r="U578" s="91"/>
    </row>
    <row r="579" ht="15.75" customHeight="1">
      <c r="A579" s="91"/>
      <c r="B579" s="91"/>
      <c r="C579" s="91"/>
      <c r="D579" s="91"/>
      <c r="E579" s="91"/>
      <c r="F579" s="91"/>
      <c r="G579" s="91"/>
      <c r="H579" s="91"/>
      <c r="I579" s="91"/>
      <c r="J579" s="91"/>
      <c r="K579" s="91"/>
      <c r="L579" s="91"/>
      <c r="M579" s="91"/>
      <c r="N579" s="91"/>
      <c r="O579" s="91"/>
      <c r="P579" s="91"/>
      <c r="Q579" s="91"/>
      <c r="R579" s="91"/>
      <c r="S579" s="91"/>
      <c r="T579" s="91"/>
      <c r="U579" s="91"/>
    </row>
    <row r="580" ht="15.75" customHeight="1">
      <c r="A580" s="91"/>
      <c r="B580" s="91"/>
      <c r="C580" s="91"/>
      <c r="D580" s="91"/>
      <c r="E580" s="91"/>
      <c r="F580" s="91"/>
      <c r="G580" s="91"/>
      <c r="H580" s="91"/>
      <c r="I580" s="91"/>
      <c r="J580" s="91"/>
      <c r="K580" s="91"/>
      <c r="L580" s="91"/>
      <c r="M580" s="91"/>
      <c r="N580" s="91"/>
      <c r="O580" s="91"/>
      <c r="P580" s="91"/>
      <c r="Q580" s="91"/>
      <c r="R580" s="91"/>
      <c r="S580" s="91"/>
      <c r="T580" s="91"/>
      <c r="U580" s="91"/>
    </row>
    <row r="581" ht="15.75" customHeight="1">
      <c r="A581" s="91"/>
      <c r="B581" s="91"/>
      <c r="C581" s="91"/>
      <c r="D581" s="91"/>
      <c r="E581" s="91"/>
      <c r="F581" s="91"/>
      <c r="G581" s="91"/>
      <c r="H581" s="91"/>
      <c r="I581" s="91"/>
      <c r="J581" s="91"/>
      <c r="K581" s="91"/>
      <c r="L581" s="91"/>
      <c r="M581" s="91"/>
      <c r="N581" s="91"/>
      <c r="O581" s="91"/>
      <c r="P581" s="91"/>
      <c r="Q581" s="91"/>
      <c r="R581" s="91"/>
      <c r="S581" s="91"/>
      <c r="T581" s="91"/>
      <c r="U581" s="91"/>
    </row>
    <row r="582" ht="15.75" customHeight="1">
      <c r="A582" s="91"/>
      <c r="B582" s="91"/>
      <c r="C582" s="91"/>
      <c r="D582" s="91"/>
      <c r="E582" s="91"/>
      <c r="F582" s="91"/>
      <c r="G582" s="91"/>
      <c r="H582" s="91"/>
      <c r="I582" s="91"/>
      <c r="J582" s="91"/>
      <c r="K582" s="91"/>
      <c r="L582" s="91"/>
      <c r="M582" s="91"/>
      <c r="N582" s="91"/>
      <c r="O582" s="91"/>
      <c r="P582" s="91"/>
      <c r="Q582" s="91"/>
      <c r="R582" s="91"/>
      <c r="S582" s="91"/>
      <c r="T582" s="91"/>
      <c r="U582" s="91"/>
    </row>
    <row r="583" ht="15.75" customHeight="1">
      <c r="A583" s="91"/>
      <c r="B583" s="91"/>
      <c r="C583" s="91"/>
      <c r="D583" s="91"/>
      <c r="E583" s="91"/>
      <c r="F583" s="91"/>
      <c r="G583" s="91"/>
      <c r="H583" s="91"/>
      <c r="I583" s="91"/>
      <c r="J583" s="91"/>
      <c r="K583" s="91"/>
      <c r="L583" s="91"/>
      <c r="M583" s="91"/>
      <c r="N583" s="91"/>
      <c r="O583" s="91"/>
      <c r="P583" s="91"/>
      <c r="Q583" s="91"/>
      <c r="R583" s="91"/>
      <c r="S583" s="91"/>
      <c r="T583" s="91"/>
      <c r="U583" s="91"/>
    </row>
    <row r="584" ht="15.75" customHeight="1">
      <c r="A584" s="91"/>
      <c r="B584" s="91"/>
      <c r="C584" s="91"/>
      <c r="D584" s="91"/>
      <c r="E584" s="91"/>
      <c r="F584" s="91"/>
      <c r="G584" s="91"/>
      <c r="H584" s="91"/>
      <c r="I584" s="91"/>
      <c r="J584" s="91"/>
      <c r="K584" s="91"/>
      <c r="L584" s="91"/>
      <c r="M584" s="91"/>
      <c r="N584" s="91"/>
      <c r="O584" s="91"/>
      <c r="P584" s="91"/>
      <c r="Q584" s="91"/>
      <c r="R584" s="91"/>
      <c r="S584" s="91"/>
      <c r="T584" s="91"/>
      <c r="U584" s="91"/>
    </row>
    <row r="585" ht="15.75" customHeight="1">
      <c r="A585" s="91"/>
      <c r="B585" s="91"/>
      <c r="C585" s="91"/>
      <c r="D585" s="91"/>
      <c r="E585" s="91"/>
      <c r="F585" s="91"/>
      <c r="G585" s="91"/>
      <c r="H585" s="91"/>
      <c r="I585" s="91"/>
      <c r="J585" s="91"/>
      <c r="K585" s="91"/>
      <c r="L585" s="91"/>
      <c r="M585" s="91"/>
      <c r="N585" s="91"/>
      <c r="O585" s="91"/>
      <c r="P585" s="91"/>
      <c r="Q585" s="91"/>
      <c r="R585" s="91"/>
      <c r="S585" s="91"/>
      <c r="T585" s="91"/>
      <c r="U585" s="91"/>
    </row>
    <row r="586" ht="15.75" customHeight="1">
      <c r="A586" s="91"/>
      <c r="B586" s="91"/>
      <c r="C586" s="91"/>
      <c r="D586" s="91"/>
      <c r="E586" s="91"/>
      <c r="F586" s="91"/>
      <c r="G586" s="91"/>
      <c r="H586" s="91"/>
      <c r="I586" s="91"/>
      <c r="J586" s="91"/>
      <c r="K586" s="91"/>
      <c r="L586" s="91"/>
      <c r="M586" s="91"/>
      <c r="N586" s="91"/>
      <c r="O586" s="91"/>
      <c r="P586" s="91"/>
      <c r="Q586" s="91"/>
      <c r="R586" s="91"/>
      <c r="S586" s="91"/>
      <c r="T586" s="91"/>
      <c r="U586" s="91"/>
    </row>
    <row r="587" ht="15.75" customHeight="1">
      <c r="A587" s="91"/>
      <c r="B587" s="91"/>
      <c r="C587" s="91"/>
      <c r="D587" s="91"/>
      <c r="E587" s="91"/>
      <c r="F587" s="91"/>
      <c r="G587" s="91"/>
      <c r="H587" s="91"/>
      <c r="I587" s="91"/>
      <c r="J587" s="91"/>
      <c r="K587" s="91"/>
      <c r="L587" s="91"/>
      <c r="M587" s="91"/>
      <c r="N587" s="91"/>
      <c r="O587" s="91"/>
      <c r="P587" s="91"/>
      <c r="Q587" s="91"/>
      <c r="R587" s="91"/>
      <c r="S587" s="91"/>
      <c r="T587" s="91"/>
      <c r="U587" s="91"/>
    </row>
    <row r="588" ht="15.75" customHeight="1">
      <c r="A588" s="91"/>
      <c r="B588" s="91"/>
      <c r="C588" s="91"/>
      <c r="D588" s="91"/>
      <c r="E588" s="91"/>
      <c r="F588" s="91"/>
      <c r="G588" s="91"/>
      <c r="H588" s="91"/>
      <c r="I588" s="91"/>
      <c r="J588" s="91"/>
      <c r="K588" s="91"/>
      <c r="L588" s="91"/>
      <c r="M588" s="91"/>
      <c r="N588" s="91"/>
      <c r="O588" s="91"/>
      <c r="P588" s="91"/>
      <c r="Q588" s="91"/>
      <c r="R588" s="91"/>
      <c r="S588" s="91"/>
      <c r="T588" s="91"/>
      <c r="U588" s="91"/>
    </row>
    <row r="589" ht="15.75" customHeight="1">
      <c r="A589" s="91"/>
      <c r="B589" s="91"/>
      <c r="C589" s="91"/>
      <c r="D589" s="91"/>
      <c r="E589" s="91"/>
      <c r="F589" s="91"/>
      <c r="G589" s="91"/>
      <c r="H589" s="91"/>
      <c r="I589" s="91"/>
      <c r="J589" s="91"/>
      <c r="K589" s="91"/>
      <c r="L589" s="91"/>
      <c r="M589" s="91"/>
      <c r="N589" s="91"/>
      <c r="O589" s="91"/>
      <c r="P589" s="91"/>
      <c r="Q589" s="91"/>
      <c r="R589" s="91"/>
      <c r="S589" s="91"/>
      <c r="T589" s="91"/>
      <c r="U589" s="91"/>
    </row>
    <row r="590" ht="15.75" customHeight="1">
      <c r="A590" s="91"/>
      <c r="B590" s="91"/>
      <c r="C590" s="91"/>
      <c r="D590" s="91"/>
      <c r="E590" s="91"/>
      <c r="F590" s="91"/>
      <c r="G590" s="91"/>
      <c r="H590" s="91"/>
      <c r="I590" s="91"/>
      <c r="J590" s="91"/>
      <c r="K590" s="91"/>
      <c r="L590" s="91"/>
      <c r="M590" s="91"/>
      <c r="N590" s="91"/>
      <c r="O590" s="91"/>
      <c r="P590" s="91"/>
      <c r="Q590" s="91"/>
      <c r="R590" s="91"/>
      <c r="S590" s="91"/>
      <c r="T590" s="91"/>
      <c r="U590" s="91"/>
    </row>
    <row r="591" ht="15.75" customHeight="1">
      <c r="A591" s="91"/>
      <c r="B591" s="91"/>
      <c r="C591" s="91"/>
      <c r="D591" s="91"/>
      <c r="E591" s="91"/>
      <c r="F591" s="91"/>
      <c r="G591" s="91"/>
      <c r="H591" s="91"/>
      <c r="I591" s="91"/>
      <c r="J591" s="91"/>
      <c r="K591" s="91"/>
      <c r="L591" s="91"/>
      <c r="M591" s="91"/>
      <c r="N591" s="91"/>
      <c r="O591" s="91"/>
      <c r="P591" s="91"/>
      <c r="Q591" s="91"/>
      <c r="R591" s="91"/>
      <c r="S591" s="91"/>
      <c r="T591" s="91"/>
      <c r="U591" s="91"/>
    </row>
    <row r="592" ht="15.75" customHeight="1">
      <c r="A592" s="91"/>
      <c r="B592" s="91"/>
      <c r="C592" s="91"/>
      <c r="D592" s="91"/>
      <c r="E592" s="91"/>
      <c r="F592" s="91"/>
      <c r="G592" s="91"/>
      <c r="H592" s="91"/>
      <c r="I592" s="91"/>
      <c r="J592" s="91"/>
      <c r="K592" s="91"/>
      <c r="L592" s="91"/>
      <c r="M592" s="91"/>
      <c r="N592" s="91"/>
      <c r="O592" s="91"/>
      <c r="P592" s="91"/>
      <c r="Q592" s="91"/>
      <c r="R592" s="91"/>
      <c r="S592" s="91"/>
      <c r="T592" s="91"/>
      <c r="U592" s="91"/>
    </row>
    <row r="593" ht="15.75" customHeight="1">
      <c r="A593" s="91"/>
      <c r="B593" s="91"/>
      <c r="C593" s="91"/>
      <c r="D593" s="91"/>
      <c r="E593" s="91"/>
      <c r="F593" s="91"/>
      <c r="G593" s="91"/>
      <c r="H593" s="91"/>
      <c r="I593" s="91"/>
      <c r="J593" s="91"/>
      <c r="K593" s="91"/>
      <c r="L593" s="91"/>
      <c r="M593" s="91"/>
      <c r="N593" s="91"/>
      <c r="O593" s="91"/>
      <c r="P593" s="91"/>
      <c r="Q593" s="91"/>
      <c r="R593" s="91"/>
      <c r="S593" s="91"/>
      <c r="T593" s="91"/>
      <c r="U593" s="91"/>
    </row>
    <row r="594" ht="15.75" customHeight="1">
      <c r="A594" s="91"/>
      <c r="B594" s="91"/>
      <c r="C594" s="91"/>
      <c r="D594" s="91"/>
      <c r="E594" s="91"/>
      <c r="F594" s="91"/>
      <c r="G594" s="91"/>
      <c r="H594" s="91"/>
      <c r="I594" s="91"/>
      <c r="J594" s="91"/>
      <c r="K594" s="91"/>
      <c r="L594" s="91"/>
      <c r="M594" s="91"/>
      <c r="N594" s="91"/>
      <c r="O594" s="91"/>
      <c r="P594" s="91"/>
      <c r="Q594" s="91"/>
      <c r="R594" s="91"/>
      <c r="S594" s="91"/>
      <c r="T594" s="91"/>
      <c r="U594" s="91"/>
    </row>
    <row r="595" ht="15.75" customHeight="1">
      <c r="A595" s="91"/>
      <c r="B595" s="91"/>
      <c r="C595" s="91"/>
      <c r="D595" s="91"/>
      <c r="E595" s="91"/>
      <c r="F595" s="91"/>
      <c r="G595" s="91"/>
      <c r="H595" s="91"/>
      <c r="I595" s="91"/>
      <c r="J595" s="91"/>
      <c r="K595" s="91"/>
      <c r="L595" s="91"/>
      <c r="M595" s="91"/>
      <c r="N595" s="91"/>
      <c r="O595" s="91"/>
      <c r="P595" s="91"/>
      <c r="Q595" s="91"/>
      <c r="R595" s="91"/>
      <c r="S595" s="91"/>
      <c r="T595" s="91"/>
      <c r="U595" s="91"/>
    </row>
    <row r="596" ht="15.75" customHeight="1">
      <c r="A596" s="91"/>
      <c r="B596" s="91"/>
      <c r="C596" s="91"/>
      <c r="D596" s="91"/>
      <c r="E596" s="91"/>
      <c r="F596" s="91"/>
      <c r="G596" s="91"/>
      <c r="H596" s="91"/>
      <c r="I596" s="91"/>
      <c r="J596" s="91"/>
      <c r="K596" s="91"/>
      <c r="L596" s="91"/>
      <c r="M596" s="91"/>
      <c r="N596" s="91"/>
      <c r="O596" s="91"/>
      <c r="P596" s="91"/>
      <c r="Q596" s="91"/>
      <c r="R596" s="91"/>
      <c r="S596" s="91"/>
      <c r="T596" s="91"/>
      <c r="U596" s="91"/>
    </row>
    <row r="597" ht="15.75" customHeight="1">
      <c r="A597" s="91"/>
      <c r="B597" s="91"/>
      <c r="C597" s="91"/>
      <c r="D597" s="91"/>
      <c r="E597" s="91"/>
      <c r="F597" s="91"/>
      <c r="G597" s="91"/>
      <c r="H597" s="91"/>
      <c r="I597" s="91"/>
      <c r="J597" s="91"/>
      <c r="K597" s="91"/>
      <c r="L597" s="91"/>
      <c r="M597" s="91"/>
      <c r="N597" s="91"/>
      <c r="O597" s="91"/>
      <c r="P597" s="91"/>
      <c r="Q597" s="91"/>
      <c r="R597" s="91"/>
      <c r="S597" s="91"/>
      <c r="T597" s="91"/>
      <c r="U597" s="91"/>
    </row>
    <row r="598" ht="15.75" customHeight="1">
      <c r="A598" s="91"/>
      <c r="B598" s="91"/>
      <c r="C598" s="91"/>
      <c r="D598" s="91"/>
      <c r="E598" s="91"/>
      <c r="F598" s="91"/>
      <c r="G598" s="91"/>
      <c r="H598" s="91"/>
      <c r="I598" s="91"/>
      <c r="J598" s="91"/>
      <c r="K598" s="91"/>
      <c r="L598" s="91"/>
      <c r="M598" s="91"/>
      <c r="N598" s="91"/>
      <c r="O598" s="91"/>
      <c r="P598" s="91"/>
      <c r="Q598" s="91"/>
      <c r="R598" s="91"/>
      <c r="S598" s="91"/>
      <c r="T598" s="91"/>
      <c r="U598" s="91"/>
    </row>
    <row r="599" ht="15.75" customHeight="1">
      <c r="A599" s="91"/>
      <c r="B599" s="91"/>
      <c r="C599" s="91"/>
      <c r="D599" s="91"/>
      <c r="E599" s="91"/>
      <c r="F599" s="91"/>
      <c r="G599" s="91"/>
      <c r="H599" s="91"/>
      <c r="I599" s="91"/>
      <c r="J599" s="91"/>
      <c r="K599" s="91"/>
      <c r="L599" s="91"/>
      <c r="M599" s="91"/>
      <c r="N599" s="91"/>
      <c r="O599" s="91"/>
      <c r="P599" s="91"/>
      <c r="Q599" s="91"/>
      <c r="R599" s="91"/>
      <c r="S599" s="91"/>
      <c r="T599" s="91"/>
      <c r="U599" s="91"/>
    </row>
    <row r="600" ht="15.75" customHeight="1">
      <c r="A600" s="91"/>
      <c r="B600" s="91"/>
      <c r="C600" s="91"/>
      <c r="D600" s="91"/>
      <c r="E600" s="91"/>
      <c r="F600" s="91"/>
      <c r="G600" s="91"/>
      <c r="H600" s="91"/>
      <c r="I600" s="91"/>
      <c r="J600" s="91"/>
      <c r="K600" s="91"/>
      <c r="L600" s="91"/>
      <c r="M600" s="91"/>
      <c r="N600" s="91"/>
      <c r="O600" s="91"/>
      <c r="P600" s="91"/>
      <c r="Q600" s="91"/>
      <c r="R600" s="91"/>
      <c r="S600" s="91"/>
      <c r="T600" s="91"/>
      <c r="U600" s="91"/>
    </row>
    <row r="601" ht="15.75" customHeight="1">
      <c r="A601" s="91"/>
      <c r="B601" s="91"/>
      <c r="C601" s="91"/>
      <c r="D601" s="91"/>
      <c r="E601" s="91"/>
      <c r="F601" s="91"/>
      <c r="G601" s="91"/>
      <c r="H601" s="91"/>
      <c r="I601" s="91"/>
      <c r="J601" s="91"/>
      <c r="K601" s="91"/>
      <c r="L601" s="91"/>
      <c r="M601" s="91"/>
      <c r="N601" s="91"/>
      <c r="O601" s="91"/>
      <c r="P601" s="91"/>
      <c r="Q601" s="91"/>
      <c r="R601" s="91"/>
      <c r="S601" s="91"/>
      <c r="T601" s="91"/>
      <c r="U601" s="91"/>
    </row>
    <row r="602" ht="15.75" customHeight="1">
      <c r="A602" s="91"/>
      <c r="B602" s="91"/>
      <c r="C602" s="91"/>
      <c r="D602" s="91"/>
      <c r="E602" s="91"/>
      <c r="F602" s="91"/>
      <c r="G602" s="91"/>
      <c r="H602" s="91"/>
      <c r="I602" s="91"/>
      <c r="J602" s="91"/>
      <c r="K602" s="91"/>
      <c r="L602" s="91"/>
      <c r="M602" s="91"/>
      <c r="N602" s="91"/>
      <c r="O602" s="91"/>
      <c r="P602" s="91"/>
      <c r="Q602" s="91"/>
      <c r="R602" s="91"/>
      <c r="S602" s="91"/>
      <c r="T602" s="91"/>
      <c r="U602" s="91"/>
    </row>
    <row r="603" ht="15.75" customHeight="1">
      <c r="A603" s="91"/>
      <c r="B603" s="91"/>
      <c r="C603" s="91"/>
      <c r="D603" s="91"/>
      <c r="E603" s="91"/>
      <c r="F603" s="91"/>
      <c r="G603" s="91"/>
      <c r="H603" s="91"/>
      <c r="I603" s="91"/>
      <c r="J603" s="91"/>
      <c r="K603" s="91"/>
      <c r="L603" s="91"/>
      <c r="M603" s="91"/>
      <c r="N603" s="91"/>
      <c r="O603" s="91"/>
      <c r="P603" s="91"/>
      <c r="Q603" s="91"/>
      <c r="R603" s="91"/>
      <c r="S603" s="91"/>
      <c r="T603" s="91"/>
      <c r="U603" s="91"/>
    </row>
    <row r="604" ht="15.75" customHeight="1">
      <c r="A604" s="91"/>
      <c r="B604" s="91"/>
      <c r="C604" s="91"/>
      <c r="D604" s="91"/>
      <c r="E604" s="91"/>
      <c r="F604" s="91"/>
      <c r="G604" s="91"/>
      <c r="H604" s="91"/>
      <c r="I604" s="91"/>
      <c r="J604" s="91"/>
      <c r="K604" s="91"/>
      <c r="L604" s="91"/>
      <c r="M604" s="91"/>
      <c r="N604" s="91"/>
      <c r="O604" s="91"/>
      <c r="P604" s="91"/>
      <c r="Q604" s="91"/>
      <c r="R604" s="91"/>
      <c r="S604" s="91"/>
      <c r="T604" s="91"/>
      <c r="U604" s="91"/>
    </row>
    <row r="605" ht="15.75" customHeight="1">
      <c r="A605" s="91"/>
      <c r="B605" s="91"/>
      <c r="C605" s="91"/>
      <c r="D605" s="91"/>
      <c r="E605" s="91"/>
      <c r="F605" s="91"/>
      <c r="G605" s="91"/>
      <c r="H605" s="91"/>
      <c r="I605" s="91"/>
      <c r="J605" s="91"/>
      <c r="K605" s="91"/>
      <c r="L605" s="91"/>
      <c r="M605" s="91"/>
      <c r="N605" s="91"/>
      <c r="O605" s="91"/>
      <c r="P605" s="91"/>
      <c r="Q605" s="91"/>
      <c r="R605" s="91"/>
      <c r="S605" s="91"/>
      <c r="T605" s="91"/>
      <c r="U605" s="91"/>
    </row>
    <row r="606" ht="15.75" customHeight="1">
      <c r="A606" s="91"/>
      <c r="B606" s="91"/>
      <c r="C606" s="91"/>
      <c r="D606" s="91"/>
      <c r="E606" s="91"/>
      <c r="F606" s="91"/>
      <c r="G606" s="91"/>
      <c r="H606" s="91"/>
      <c r="I606" s="91"/>
      <c r="J606" s="91"/>
      <c r="K606" s="91"/>
      <c r="L606" s="91"/>
      <c r="M606" s="91"/>
      <c r="N606" s="91"/>
      <c r="O606" s="91"/>
      <c r="P606" s="91"/>
      <c r="Q606" s="91"/>
      <c r="R606" s="91"/>
      <c r="S606" s="91"/>
      <c r="T606" s="91"/>
      <c r="U606" s="91"/>
    </row>
    <row r="607" ht="15.75" customHeight="1">
      <c r="A607" s="91"/>
      <c r="B607" s="91"/>
      <c r="C607" s="91"/>
      <c r="D607" s="91"/>
      <c r="E607" s="91"/>
      <c r="F607" s="91"/>
      <c r="G607" s="91"/>
      <c r="H607" s="91"/>
      <c r="I607" s="91"/>
      <c r="J607" s="91"/>
      <c r="K607" s="91"/>
      <c r="L607" s="91"/>
      <c r="M607" s="91"/>
      <c r="N607" s="91"/>
      <c r="O607" s="91"/>
      <c r="P607" s="91"/>
      <c r="Q607" s="91"/>
      <c r="R607" s="91"/>
      <c r="S607" s="91"/>
      <c r="T607" s="91"/>
      <c r="U607" s="91"/>
    </row>
    <row r="608" ht="15.75" customHeight="1">
      <c r="A608" s="91"/>
      <c r="B608" s="91"/>
      <c r="C608" s="91"/>
      <c r="D608" s="91"/>
      <c r="E608" s="91"/>
      <c r="F608" s="91"/>
      <c r="G608" s="91"/>
      <c r="H608" s="91"/>
      <c r="I608" s="91"/>
      <c r="J608" s="91"/>
      <c r="K608" s="91"/>
      <c r="L608" s="91"/>
      <c r="M608" s="91"/>
      <c r="N608" s="91"/>
      <c r="O608" s="91"/>
      <c r="P608" s="91"/>
      <c r="Q608" s="91"/>
      <c r="R608" s="91"/>
      <c r="S608" s="91"/>
      <c r="T608" s="91"/>
      <c r="U608" s="91"/>
    </row>
    <row r="609" ht="15.75" customHeight="1">
      <c r="A609" s="91"/>
      <c r="B609" s="91"/>
      <c r="C609" s="91"/>
      <c r="D609" s="91"/>
      <c r="E609" s="91"/>
      <c r="F609" s="91"/>
      <c r="G609" s="91"/>
      <c r="H609" s="91"/>
      <c r="I609" s="91"/>
      <c r="J609" s="91"/>
      <c r="K609" s="91"/>
      <c r="L609" s="91"/>
      <c r="M609" s="91"/>
      <c r="N609" s="91"/>
      <c r="O609" s="91"/>
      <c r="P609" s="91"/>
      <c r="Q609" s="91"/>
      <c r="R609" s="91"/>
      <c r="S609" s="91"/>
      <c r="T609" s="91"/>
      <c r="U609" s="91"/>
    </row>
    <row r="610" ht="15.75" customHeight="1">
      <c r="A610" s="91"/>
      <c r="B610" s="91"/>
      <c r="C610" s="91"/>
      <c r="D610" s="91"/>
      <c r="E610" s="91"/>
      <c r="F610" s="91"/>
      <c r="G610" s="91"/>
      <c r="H610" s="91"/>
      <c r="I610" s="91"/>
      <c r="J610" s="91"/>
      <c r="K610" s="91"/>
      <c r="L610" s="91"/>
      <c r="M610" s="91"/>
      <c r="N610" s="91"/>
      <c r="O610" s="91"/>
      <c r="P610" s="91"/>
      <c r="Q610" s="91"/>
      <c r="R610" s="91"/>
      <c r="S610" s="91"/>
      <c r="T610" s="91"/>
      <c r="U610" s="91"/>
    </row>
    <row r="611" ht="15.75" customHeight="1">
      <c r="A611" s="91"/>
      <c r="B611" s="91"/>
      <c r="C611" s="91"/>
      <c r="D611" s="91"/>
      <c r="E611" s="91"/>
      <c r="F611" s="91"/>
      <c r="G611" s="91"/>
      <c r="H611" s="91"/>
      <c r="I611" s="91"/>
      <c r="J611" s="91"/>
      <c r="K611" s="91"/>
      <c r="L611" s="91"/>
      <c r="M611" s="91"/>
      <c r="N611" s="91"/>
      <c r="O611" s="91"/>
      <c r="P611" s="91"/>
      <c r="Q611" s="91"/>
      <c r="R611" s="91"/>
      <c r="S611" s="91"/>
      <c r="T611" s="91"/>
      <c r="U611" s="91"/>
    </row>
    <row r="612" ht="15.75" customHeight="1">
      <c r="A612" s="91"/>
      <c r="B612" s="91"/>
      <c r="C612" s="91"/>
      <c r="D612" s="91"/>
      <c r="E612" s="91"/>
      <c r="F612" s="91"/>
      <c r="G612" s="91"/>
      <c r="H612" s="91"/>
      <c r="I612" s="91"/>
      <c r="J612" s="91"/>
      <c r="K612" s="91"/>
      <c r="L612" s="91"/>
      <c r="M612" s="91"/>
      <c r="N612" s="91"/>
      <c r="O612" s="91"/>
      <c r="P612" s="91"/>
      <c r="Q612" s="91"/>
      <c r="R612" s="91"/>
      <c r="S612" s="91"/>
      <c r="T612" s="91"/>
      <c r="U612" s="91"/>
    </row>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sheetData>
  <mergeCells count="2">
    <mergeCell ref="A2:AF2"/>
    <mergeCell ref="A3:AF3"/>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40.29"/>
    <col customWidth="1" hidden="1" min="2" max="46" width="12.71"/>
    <col customWidth="1" min="47" max="61" width="12.71"/>
  </cols>
  <sheetData>
    <row r="1" ht="12.75" customHeight="1"/>
    <row r="2" ht="30.0" customHeight="1">
      <c r="A2" s="92"/>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5"/>
    </row>
    <row r="3" ht="30.0" customHeight="1">
      <c r="A3" s="92" t="s">
        <v>294</v>
      </c>
      <c r="B3" s="34"/>
      <c r="C3" s="34"/>
      <c r="D3" s="34"/>
      <c r="E3" s="34"/>
      <c r="F3" s="34"/>
      <c r="G3" s="34"/>
      <c r="H3" s="34"/>
      <c r="I3" s="34"/>
      <c r="J3" s="34"/>
      <c r="K3" s="34"/>
      <c r="L3" s="34"/>
      <c r="M3" s="35"/>
    </row>
    <row r="4" ht="30.0" customHeight="1"/>
    <row r="5" ht="12.75" customHeight="1"/>
    <row r="6" ht="12.75" customHeight="1"/>
    <row r="7" ht="12.75" customHeight="1"/>
    <row r="8" ht="12.75" customHeight="1">
      <c r="B8" s="168"/>
    </row>
    <row r="9" ht="12.75" customHeight="1">
      <c r="B9" s="178">
        <f>+'P&amp;L Cash Flow Monthly'!B8</f>
        <v>43951</v>
      </c>
      <c r="C9" s="178">
        <f>+'P&amp;L Cash Flow Monthly'!C8</f>
        <v>43982</v>
      </c>
      <c r="D9" s="178">
        <f>+'P&amp;L Cash Flow Monthly'!D8</f>
        <v>44012</v>
      </c>
      <c r="E9" s="178">
        <f>+'P&amp;L Cash Flow Monthly'!E8</f>
        <v>44043</v>
      </c>
      <c r="F9" s="178">
        <f>+'P&amp;L Cash Flow Monthly'!F8</f>
        <v>44074</v>
      </c>
      <c r="G9" s="178">
        <f>+'P&amp;L Cash Flow Monthly'!G8</f>
        <v>44104</v>
      </c>
      <c r="H9" s="178">
        <f>+'P&amp;L Cash Flow Monthly'!H8</f>
        <v>44135</v>
      </c>
      <c r="I9" s="178">
        <f>+'P&amp;L Cash Flow Monthly'!I8</f>
        <v>44165</v>
      </c>
      <c r="J9" s="178">
        <f>+'P&amp;L Cash Flow Monthly'!J8</f>
        <v>44196</v>
      </c>
      <c r="K9" s="178">
        <f>+'P&amp;L Cash Flow Monthly'!K8</f>
        <v>44227</v>
      </c>
      <c r="L9" s="178">
        <f>+'P&amp;L Cash Flow Monthly'!L8</f>
        <v>44255</v>
      </c>
      <c r="M9" s="178">
        <f>+'P&amp;L Cash Flow Monthly'!M8</f>
        <v>44286</v>
      </c>
      <c r="N9" s="178">
        <f>+'P&amp;L Cash Flow Monthly'!N8</f>
        <v>44316</v>
      </c>
      <c r="O9" s="178">
        <f>+'P&amp;L Cash Flow Monthly'!O8</f>
        <v>44347</v>
      </c>
      <c r="P9" s="178">
        <f>+'P&amp;L Cash Flow Monthly'!P8</f>
        <v>44377</v>
      </c>
      <c r="Q9" s="178">
        <f>+'P&amp;L Cash Flow Monthly'!Q8</f>
        <v>44408</v>
      </c>
      <c r="R9" s="178">
        <f>+'P&amp;L Cash Flow Monthly'!R8</f>
        <v>44439</v>
      </c>
      <c r="S9" s="178">
        <f>+'P&amp;L Cash Flow Monthly'!S8</f>
        <v>44469</v>
      </c>
      <c r="T9" s="178">
        <f>+'P&amp;L Cash Flow Monthly'!T8</f>
        <v>44500</v>
      </c>
      <c r="U9" s="178">
        <f>+'P&amp;L Cash Flow Monthly'!U8</f>
        <v>44530</v>
      </c>
      <c r="V9" s="178">
        <f>+'P&amp;L Cash Flow Monthly'!V8</f>
        <v>44561</v>
      </c>
      <c r="W9" s="178">
        <f>+'P&amp;L Cash Flow Monthly'!W8</f>
        <v>44592</v>
      </c>
      <c r="X9" s="178">
        <f>+'P&amp;L Cash Flow Monthly'!X8</f>
        <v>44620</v>
      </c>
      <c r="Y9" s="178">
        <f>+'P&amp;L Cash Flow Monthly'!Y8</f>
        <v>44651</v>
      </c>
      <c r="Z9" s="178">
        <f>+'P&amp;L Cash Flow Monthly'!Z8</f>
        <v>44681</v>
      </c>
      <c r="AA9" s="178">
        <f>+'P&amp;L Cash Flow Monthly'!AA8</f>
        <v>44712</v>
      </c>
      <c r="AB9" s="178">
        <f>+'P&amp;L Cash Flow Monthly'!AB8</f>
        <v>44742</v>
      </c>
      <c r="AC9" s="178">
        <f>+'P&amp;L Cash Flow Monthly'!AC8</f>
        <v>44773</v>
      </c>
      <c r="AD9" s="178">
        <f>+'P&amp;L Cash Flow Monthly'!AD8</f>
        <v>44804</v>
      </c>
      <c r="AE9" s="178">
        <f>+'P&amp;L Cash Flow Monthly'!AE8</f>
        <v>44834</v>
      </c>
      <c r="AF9" s="178">
        <f>+'P&amp;L Cash Flow Monthly'!AF8</f>
        <v>44865</v>
      </c>
      <c r="AG9" s="178">
        <f>+'P&amp;L Cash Flow Monthly'!AG8</f>
        <v>44895</v>
      </c>
      <c r="AH9" s="178">
        <f>+'P&amp;L Cash Flow Monthly'!AH8</f>
        <v>44926</v>
      </c>
      <c r="AI9" s="178">
        <f>+'P&amp;L Cash Flow Monthly'!AI8</f>
        <v>44957</v>
      </c>
      <c r="AJ9" s="178">
        <f>+'P&amp;L Cash Flow Monthly'!AJ8</f>
        <v>44985</v>
      </c>
      <c r="AK9" s="178">
        <f>+'P&amp;L Cash Flow Monthly'!AK8</f>
        <v>45016</v>
      </c>
      <c r="AL9" s="178">
        <f>+'P&amp;L Cash Flow Monthly'!AL8</f>
        <v>45046</v>
      </c>
      <c r="AM9" s="178">
        <f>+'P&amp;L Cash Flow Monthly'!AM8</f>
        <v>45077</v>
      </c>
      <c r="AN9" s="178">
        <f>+'P&amp;L Cash Flow Monthly'!AN8</f>
        <v>45107</v>
      </c>
      <c r="AO9" s="178">
        <f>+'P&amp;L Cash Flow Monthly'!AO8</f>
        <v>45138</v>
      </c>
      <c r="AP9" s="178">
        <f>+'P&amp;L Cash Flow Monthly'!AP8</f>
        <v>45169</v>
      </c>
      <c r="AQ9" s="178">
        <f>+'P&amp;L Cash Flow Monthly'!AQ8</f>
        <v>45199</v>
      </c>
      <c r="AR9" s="178">
        <f>+'P&amp;L Cash Flow Monthly'!AR8</f>
        <v>45230</v>
      </c>
      <c r="AS9" s="178">
        <f>+'P&amp;L Cash Flow Monthly'!AS8</f>
        <v>45260</v>
      </c>
      <c r="AT9" s="178">
        <f>+'P&amp;L Cash Flow Monthly'!AT8</f>
        <v>45291</v>
      </c>
      <c r="AU9" s="178">
        <f>+'P&amp;L Cash Flow Monthly'!AU8</f>
        <v>45322</v>
      </c>
      <c r="AV9" s="178">
        <f>+'P&amp;L Cash Flow Monthly'!AV8</f>
        <v>45351</v>
      </c>
      <c r="AW9" s="178">
        <f>+'P&amp;L Cash Flow Monthly'!AW8</f>
        <v>45382</v>
      </c>
      <c r="AX9" s="178">
        <f>+'P&amp;L Cash Flow Monthly'!AX8</f>
        <v>45412</v>
      </c>
      <c r="AY9" s="178">
        <f>+'P&amp;L Cash Flow Monthly'!AY8</f>
        <v>45443</v>
      </c>
      <c r="AZ9" s="178">
        <f>+'P&amp;L Cash Flow Monthly'!AZ8</f>
        <v>45473</v>
      </c>
      <c r="BA9" s="178">
        <f>+'P&amp;L Cash Flow Monthly'!BA8</f>
        <v>45504</v>
      </c>
      <c r="BB9" s="178">
        <f>+'P&amp;L Cash Flow Monthly'!BB8</f>
        <v>45535</v>
      </c>
      <c r="BC9" s="178">
        <f>+'P&amp;L Cash Flow Monthly'!BC8</f>
        <v>45565</v>
      </c>
      <c r="BD9" s="178">
        <f>+'P&amp;L Cash Flow Monthly'!BD8</f>
        <v>45596</v>
      </c>
      <c r="BE9" s="178">
        <f>+'P&amp;L Cash Flow Monthly'!BE8</f>
        <v>45626</v>
      </c>
      <c r="BF9" s="178">
        <f>+'P&amp;L Cash Flow Monthly'!BF8</f>
        <v>45657</v>
      </c>
      <c r="BG9" s="178">
        <f>+'P&amp;L Cash Flow Monthly'!BG8</f>
        <v>45688</v>
      </c>
      <c r="BH9" s="178">
        <f>+'P&amp;L Cash Flow Monthly'!BH8</f>
        <v>45716</v>
      </c>
      <c r="BI9" s="178">
        <f>+'P&amp;L Cash Flow Monthly'!BI8</f>
        <v>45747</v>
      </c>
      <c r="BJ9" s="178">
        <f>+'P&amp;L Cash Flow Monthly'!BJ8</f>
        <v>45777</v>
      </c>
      <c r="BK9" s="178">
        <f>+'P&amp;L Cash Flow Monthly'!BK8</f>
        <v>45808</v>
      </c>
      <c r="BL9" s="178">
        <f>+'P&amp;L Cash Flow Monthly'!BL8</f>
        <v>45838</v>
      </c>
      <c r="BM9" s="178">
        <f>+'P&amp;L Cash Flow Monthly'!BM8</f>
        <v>45869</v>
      </c>
      <c r="BN9" s="178">
        <f>+'P&amp;L Cash Flow Monthly'!BN8</f>
        <v>45900</v>
      </c>
      <c r="BO9" s="178">
        <f>+'P&amp;L Cash Flow Monthly'!BO8</f>
        <v>45930</v>
      </c>
      <c r="BP9" s="178">
        <f>+'P&amp;L Cash Flow Monthly'!BP8</f>
        <v>45961</v>
      </c>
      <c r="BQ9" s="178">
        <f>+'P&amp;L Cash Flow Monthly'!BQ8</f>
        <v>45991</v>
      </c>
      <c r="BR9" s="178">
        <f>+'P&amp;L Cash Flow Monthly'!BR8</f>
        <v>46022</v>
      </c>
      <c r="BS9" s="178">
        <f>+'P&amp;L Cash Flow Monthly'!BS8</f>
        <v>46053</v>
      </c>
      <c r="BT9" s="178">
        <f>+'P&amp;L Cash Flow Monthly'!BT8</f>
        <v>46081</v>
      </c>
      <c r="BU9" s="178">
        <f>+'P&amp;L Cash Flow Monthly'!BU8</f>
        <v>46112</v>
      </c>
      <c r="BV9" s="178">
        <f>+'P&amp;L Cash Flow Monthly'!BV8</f>
        <v>46142</v>
      </c>
      <c r="BW9" s="178">
        <f>+'P&amp;L Cash Flow Monthly'!BW8</f>
        <v>46173</v>
      </c>
      <c r="BX9" s="178">
        <f>+'P&amp;L Cash Flow Monthly'!BX8</f>
        <v>46203</v>
      </c>
      <c r="BY9" s="178">
        <f>+'P&amp;L Cash Flow Monthly'!BY8</f>
        <v>46234</v>
      </c>
      <c r="BZ9" s="178">
        <f>+'P&amp;L Cash Flow Monthly'!BZ8</f>
        <v>46265</v>
      </c>
      <c r="CA9" s="178">
        <f>+'P&amp;L Cash Flow Monthly'!CA8</f>
        <v>46295</v>
      </c>
      <c r="CB9" s="178">
        <f>+'P&amp;L Cash Flow Monthly'!CB8</f>
        <v>46326</v>
      </c>
      <c r="CC9" s="178">
        <f>+'P&amp;L Cash Flow Monthly'!CC8</f>
        <v>46356</v>
      </c>
      <c r="CD9" s="178">
        <f>+'P&amp;L Cash Flow Monthly'!CD8</f>
        <v>46387</v>
      </c>
      <c r="CE9" s="178">
        <f>+'P&amp;L Cash Flow Monthly'!CE8</f>
        <v>46418</v>
      </c>
      <c r="CF9" s="178">
        <f>+'P&amp;L Cash Flow Monthly'!CF8</f>
        <v>46446</v>
      </c>
      <c r="CG9" s="178">
        <f>+'P&amp;L Cash Flow Monthly'!CG8</f>
        <v>46477</v>
      </c>
      <c r="CH9" s="178">
        <f>+'P&amp;L Cash Flow Monthly'!CH8</f>
        <v>46507</v>
      </c>
      <c r="CI9" s="178">
        <f>+'P&amp;L Cash Flow Monthly'!CI8</f>
        <v>46538</v>
      </c>
      <c r="CJ9" s="178">
        <f>+'P&amp;L Cash Flow Monthly'!CJ8</f>
        <v>46568</v>
      </c>
      <c r="CK9" s="178">
        <f>+'P&amp;L Cash Flow Monthly'!CK8</f>
        <v>46599</v>
      </c>
      <c r="CL9" s="178">
        <f>+'P&amp;L Cash Flow Monthly'!CL8</f>
        <v>46630</v>
      </c>
      <c r="CM9" s="178">
        <f>+'P&amp;L Cash Flow Monthly'!CM8</f>
        <v>46660</v>
      </c>
      <c r="CN9" s="178">
        <f>+'P&amp;L Cash Flow Monthly'!CN8</f>
        <v>46691</v>
      </c>
      <c r="CO9" s="178">
        <f>+'P&amp;L Cash Flow Monthly'!CO8</f>
        <v>46721</v>
      </c>
      <c r="CP9" s="178">
        <f>+'P&amp;L Cash Flow Monthly'!CP8</f>
        <v>46752</v>
      </c>
      <c r="CQ9" s="178"/>
      <c r="CR9" s="178"/>
      <c r="CS9" s="178"/>
      <c r="CT9" s="178"/>
      <c r="CU9" s="178"/>
      <c r="CV9" s="178"/>
      <c r="CW9" s="178"/>
      <c r="CX9" s="178"/>
      <c r="CY9" s="178"/>
      <c r="CZ9" s="178"/>
      <c r="DA9" s="178"/>
    </row>
    <row r="10" ht="12.75" customHeight="1">
      <c r="A10" s="115" t="s">
        <v>295</v>
      </c>
      <c r="B10" s="179">
        <v>2.25</v>
      </c>
      <c r="C10" s="179">
        <v>2.25</v>
      </c>
      <c r="D10" s="179">
        <v>2.05</v>
      </c>
      <c r="E10" s="179">
        <v>2.05</v>
      </c>
      <c r="F10" s="179">
        <v>2.05</v>
      </c>
      <c r="G10" s="179">
        <v>1.65</v>
      </c>
      <c r="H10" s="179">
        <v>1.65</v>
      </c>
      <c r="I10" s="179">
        <v>1.65</v>
      </c>
      <c r="J10" s="179">
        <v>1.65</v>
      </c>
      <c r="K10" s="179">
        <v>1.65</v>
      </c>
      <c r="L10" s="179">
        <v>1.65</v>
      </c>
      <c r="M10" s="179">
        <v>1.65</v>
      </c>
      <c r="N10" s="179">
        <v>1.65</v>
      </c>
      <c r="O10" s="179">
        <v>1.65</v>
      </c>
      <c r="P10" s="179">
        <v>1.65</v>
      </c>
      <c r="Q10" s="179">
        <v>1.65</v>
      </c>
      <c r="R10" s="179">
        <v>1.65</v>
      </c>
      <c r="S10" s="179">
        <v>1.65</v>
      </c>
      <c r="T10" s="179">
        <v>1.65</v>
      </c>
      <c r="U10" s="179">
        <v>1.65</v>
      </c>
      <c r="V10" s="179">
        <v>1.65</v>
      </c>
      <c r="W10" s="179">
        <v>1.65</v>
      </c>
      <c r="X10" s="179">
        <v>1.65</v>
      </c>
      <c r="Y10" s="179">
        <v>1.65</v>
      </c>
      <c r="Z10" s="179">
        <v>1.65</v>
      </c>
      <c r="AA10" s="179">
        <v>1.65</v>
      </c>
      <c r="AB10" s="179">
        <v>1.65</v>
      </c>
      <c r="AC10" s="179">
        <v>1.65</v>
      </c>
      <c r="AD10" s="179">
        <v>1.65</v>
      </c>
      <c r="AE10" s="179">
        <v>1.65</v>
      </c>
      <c r="AF10" s="179">
        <v>1.65</v>
      </c>
      <c r="AG10" s="179">
        <v>1.25</v>
      </c>
      <c r="AH10" s="179">
        <v>1.25</v>
      </c>
      <c r="AI10" s="179">
        <v>1.25</v>
      </c>
      <c r="AJ10" s="179">
        <v>1.25</v>
      </c>
      <c r="AK10" s="179">
        <v>1.25</v>
      </c>
      <c r="AL10" s="179">
        <v>1.25</v>
      </c>
      <c r="AM10" s="179">
        <v>1.25</v>
      </c>
      <c r="AN10" s="179">
        <v>1.25</v>
      </c>
      <c r="AO10" s="179">
        <v>1.25</v>
      </c>
      <c r="AP10" s="179">
        <v>1.25</v>
      </c>
      <c r="AQ10" s="179">
        <v>1.25</v>
      </c>
      <c r="AR10" s="179">
        <v>1.25</v>
      </c>
      <c r="AS10" s="179">
        <v>1.25</v>
      </c>
      <c r="AT10" s="179">
        <v>1.25</v>
      </c>
      <c r="AU10" s="179">
        <v>1.25</v>
      </c>
      <c r="AV10" s="179">
        <v>1.25</v>
      </c>
      <c r="AW10" s="179">
        <v>1.25</v>
      </c>
      <c r="AX10" s="179">
        <v>1.25</v>
      </c>
      <c r="AY10" s="179">
        <v>1.25</v>
      </c>
      <c r="AZ10" s="179">
        <v>1.25</v>
      </c>
      <c r="BA10" s="179">
        <v>1.25</v>
      </c>
      <c r="BB10" s="179">
        <v>1.25</v>
      </c>
      <c r="BC10" s="179">
        <v>1.25</v>
      </c>
      <c r="BD10" s="179">
        <v>1.25</v>
      </c>
      <c r="BE10" s="179">
        <v>1.25</v>
      </c>
      <c r="BF10" s="179">
        <v>1.25</v>
      </c>
      <c r="BG10" s="179">
        <v>0.94000000000001</v>
      </c>
      <c r="BH10" s="179">
        <v>0.94000000000001</v>
      </c>
      <c r="BI10" s="179">
        <v>0.94000000000001</v>
      </c>
      <c r="BJ10" s="179">
        <v>0.94000000000001</v>
      </c>
      <c r="BK10" s="179">
        <v>0.94000000000001</v>
      </c>
      <c r="BL10" s="179">
        <v>0.94000000000001</v>
      </c>
      <c r="BM10" s="179">
        <v>0.94000000000001</v>
      </c>
      <c r="BN10" s="179">
        <v>0.94000000000001</v>
      </c>
      <c r="BO10" s="179">
        <v>0.94000000000001</v>
      </c>
      <c r="BP10" s="179">
        <v>0.94000000000001</v>
      </c>
      <c r="BQ10" s="179">
        <v>0.94000000000001</v>
      </c>
      <c r="BR10" s="179">
        <v>0.94000000000001</v>
      </c>
      <c r="BS10" s="179">
        <v>0.94000000000001</v>
      </c>
      <c r="BT10" s="179">
        <v>0.94000000000001</v>
      </c>
      <c r="BU10" s="179">
        <v>0.94000000000001</v>
      </c>
      <c r="BV10" s="179">
        <v>0.94000000000001</v>
      </c>
      <c r="BW10" s="179">
        <v>0.94000000000001</v>
      </c>
      <c r="BX10" s="179">
        <v>0.94000000000001</v>
      </c>
      <c r="BY10" s="179">
        <v>0.94000000000001</v>
      </c>
      <c r="BZ10" s="179">
        <v>0.94000000000001</v>
      </c>
      <c r="CA10" s="179">
        <v>0.94000000000001</v>
      </c>
      <c r="CB10" s="179">
        <v>0.94000000000001</v>
      </c>
      <c r="CC10" s="179">
        <v>0.94000000000001</v>
      </c>
      <c r="CD10" s="179">
        <v>0.94000000000001</v>
      </c>
      <c r="CE10" s="179">
        <v>0.94000000000001</v>
      </c>
      <c r="CF10" s="179">
        <v>0.94000000000001</v>
      </c>
      <c r="CG10" s="179">
        <v>0.94000000000001</v>
      </c>
      <c r="CH10" s="179">
        <v>0.94000000000001</v>
      </c>
      <c r="CI10" s="179">
        <v>0.940000000000012</v>
      </c>
      <c r="CJ10" s="179">
        <v>0.940000000000012</v>
      </c>
      <c r="CK10" s="179">
        <v>0.940000000000012</v>
      </c>
      <c r="CL10" s="179">
        <v>0.940000000000013</v>
      </c>
      <c r="CM10" s="179">
        <v>0.940000000000013</v>
      </c>
      <c r="CN10" s="179">
        <v>0.940000000000013</v>
      </c>
      <c r="CO10" s="179">
        <v>0.940000000000013</v>
      </c>
      <c r="CP10" s="179">
        <v>0.940000000000013</v>
      </c>
    </row>
    <row r="11" ht="12.75" customHeight="1">
      <c r="A11" s="115"/>
      <c r="B11" s="116"/>
      <c r="C11" s="116"/>
      <c r="D11" s="116"/>
      <c r="E11" s="116"/>
      <c r="F11" s="116"/>
      <c r="G11" s="116"/>
      <c r="H11" s="116"/>
      <c r="I11" s="116"/>
      <c r="J11" s="116"/>
    </row>
    <row r="12" ht="12.75" customHeight="1">
      <c r="A12" s="115" t="s">
        <v>296</v>
      </c>
      <c r="B12" s="180">
        <f t="shared" ref="B12:L12" si="1">+$B41</f>
        <v>1.163333333</v>
      </c>
      <c r="C12" s="180">
        <f t="shared" si="1"/>
        <v>1.163333333</v>
      </c>
      <c r="D12" s="180">
        <f t="shared" si="1"/>
        <v>1.163333333</v>
      </c>
      <c r="E12" s="180">
        <f t="shared" si="1"/>
        <v>1.163333333</v>
      </c>
      <c r="F12" s="180">
        <f t="shared" si="1"/>
        <v>1.163333333</v>
      </c>
      <c r="G12" s="180">
        <f t="shared" si="1"/>
        <v>1.163333333</v>
      </c>
      <c r="H12" s="180">
        <f t="shared" si="1"/>
        <v>1.163333333</v>
      </c>
      <c r="I12" s="180">
        <f t="shared" si="1"/>
        <v>1.163333333</v>
      </c>
      <c r="J12" s="180">
        <f t="shared" si="1"/>
        <v>1.163333333</v>
      </c>
      <c r="K12" s="180">
        <f t="shared" si="1"/>
        <v>1.163333333</v>
      </c>
      <c r="L12" s="180">
        <f t="shared" si="1"/>
        <v>1.163333333</v>
      </c>
      <c r="M12" s="180">
        <f>+B41</f>
        <v>1.163333333</v>
      </c>
      <c r="N12" s="180">
        <f>+B41</f>
        <v>1.163333333</v>
      </c>
      <c r="O12" s="180">
        <f t="shared" ref="O12:BL12" si="2">+$B41</f>
        <v>1.163333333</v>
      </c>
      <c r="P12" s="180">
        <f t="shared" si="2"/>
        <v>1.163333333</v>
      </c>
      <c r="Q12" s="180">
        <f t="shared" si="2"/>
        <v>1.163333333</v>
      </c>
      <c r="R12" s="180">
        <f t="shared" si="2"/>
        <v>1.163333333</v>
      </c>
      <c r="S12" s="180">
        <f t="shared" si="2"/>
        <v>1.163333333</v>
      </c>
      <c r="T12" s="180">
        <f t="shared" si="2"/>
        <v>1.163333333</v>
      </c>
      <c r="U12" s="180">
        <f t="shared" si="2"/>
        <v>1.163333333</v>
      </c>
      <c r="V12" s="180">
        <f t="shared" si="2"/>
        <v>1.163333333</v>
      </c>
      <c r="W12" s="180">
        <f t="shared" si="2"/>
        <v>1.163333333</v>
      </c>
      <c r="X12" s="180">
        <f t="shared" si="2"/>
        <v>1.163333333</v>
      </c>
      <c r="Y12" s="180">
        <f t="shared" si="2"/>
        <v>1.163333333</v>
      </c>
      <c r="Z12" s="180">
        <f t="shared" si="2"/>
        <v>1.163333333</v>
      </c>
      <c r="AA12" s="180">
        <f t="shared" si="2"/>
        <v>1.163333333</v>
      </c>
      <c r="AB12" s="180">
        <f t="shared" si="2"/>
        <v>1.163333333</v>
      </c>
      <c r="AC12" s="180">
        <f t="shared" si="2"/>
        <v>1.163333333</v>
      </c>
      <c r="AD12" s="180">
        <f t="shared" si="2"/>
        <v>1.163333333</v>
      </c>
      <c r="AE12" s="180">
        <f t="shared" si="2"/>
        <v>1.163333333</v>
      </c>
      <c r="AF12" s="180">
        <f t="shared" si="2"/>
        <v>1.163333333</v>
      </c>
      <c r="AG12" s="180">
        <f t="shared" si="2"/>
        <v>1.163333333</v>
      </c>
      <c r="AH12" s="180">
        <f t="shared" si="2"/>
        <v>1.163333333</v>
      </c>
      <c r="AI12" s="180">
        <f t="shared" si="2"/>
        <v>1.163333333</v>
      </c>
      <c r="AJ12" s="180">
        <f t="shared" si="2"/>
        <v>1.163333333</v>
      </c>
      <c r="AK12" s="180">
        <f t="shared" si="2"/>
        <v>1.163333333</v>
      </c>
      <c r="AL12" s="180">
        <f t="shared" si="2"/>
        <v>1.163333333</v>
      </c>
      <c r="AM12" s="180">
        <f t="shared" si="2"/>
        <v>1.163333333</v>
      </c>
      <c r="AN12" s="180">
        <f t="shared" si="2"/>
        <v>1.163333333</v>
      </c>
      <c r="AO12" s="180">
        <f t="shared" si="2"/>
        <v>1.163333333</v>
      </c>
      <c r="AP12" s="180">
        <f t="shared" si="2"/>
        <v>1.163333333</v>
      </c>
      <c r="AQ12" s="180">
        <f t="shared" si="2"/>
        <v>1.163333333</v>
      </c>
      <c r="AR12" s="180">
        <f t="shared" si="2"/>
        <v>1.163333333</v>
      </c>
      <c r="AS12" s="180">
        <f t="shared" si="2"/>
        <v>1.163333333</v>
      </c>
      <c r="AT12" s="180">
        <f t="shared" si="2"/>
        <v>1.163333333</v>
      </c>
      <c r="AU12" s="180">
        <f t="shared" si="2"/>
        <v>1.163333333</v>
      </c>
      <c r="AV12" s="180">
        <f t="shared" si="2"/>
        <v>1.163333333</v>
      </c>
      <c r="AW12" s="180">
        <f t="shared" si="2"/>
        <v>1.163333333</v>
      </c>
      <c r="AX12" s="180">
        <f t="shared" si="2"/>
        <v>1.163333333</v>
      </c>
      <c r="AY12" s="180">
        <f t="shared" si="2"/>
        <v>1.163333333</v>
      </c>
      <c r="AZ12" s="180">
        <f t="shared" si="2"/>
        <v>1.163333333</v>
      </c>
      <c r="BA12" s="180">
        <f t="shared" si="2"/>
        <v>1.163333333</v>
      </c>
      <c r="BB12" s="180">
        <f t="shared" si="2"/>
        <v>1.163333333</v>
      </c>
      <c r="BC12" s="180">
        <f t="shared" si="2"/>
        <v>1.163333333</v>
      </c>
      <c r="BD12" s="180">
        <f t="shared" si="2"/>
        <v>1.163333333</v>
      </c>
      <c r="BE12" s="180">
        <f t="shared" si="2"/>
        <v>1.163333333</v>
      </c>
      <c r="BF12" s="180">
        <f t="shared" si="2"/>
        <v>1.163333333</v>
      </c>
      <c r="BG12" s="180">
        <f t="shared" si="2"/>
        <v>1.163333333</v>
      </c>
      <c r="BH12" s="180">
        <f t="shared" si="2"/>
        <v>1.163333333</v>
      </c>
      <c r="BI12" s="180">
        <f t="shared" si="2"/>
        <v>1.163333333</v>
      </c>
      <c r="BJ12" s="180">
        <f t="shared" si="2"/>
        <v>1.163333333</v>
      </c>
      <c r="BK12" s="180">
        <f t="shared" si="2"/>
        <v>1.163333333</v>
      </c>
      <c r="BL12" s="180">
        <f t="shared" si="2"/>
        <v>1.163333333</v>
      </c>
      <c r="BM12" s="180">
        <f t="shared" ref="BM12:CP12" si="3">+$C41</f>
        <v>0.8166666667</v>
      </c>
      <c r="BN12" s="180">
        <f t="shared" si="3"/>
        <v>0.8166666667</v>
      </c>
      <c r="BO12" s="180">
        <f t="shared" si="3"/>
        <v>0.8166666667</v>
      </c>
      <c r="BP12" s="180">
        <f t="shared" si="3"/>
        <v>0.8166666667</v>
      </c>
      <c r="BQ12" s="180">
        <f t="shared" si="3"/>
        <v>0.8166666667</v>
      </c>
      <c r="BR12" s="180">
        <f t="shared" si="3"/>
        <v>0.8166666667</v>
      </c>
      <c r="BS12" s="180">
        <f t="shared" si="3"/>
        <v>0.8166666667</v>
      </c>
      <c r="BT12" s="180">
        <f t="shared" si="3"/>
        <v>0.8166666667</v>
      </c>
      <c r="BU12" s="180">
        <f t="shared" si="3"/>
        <v>0.8166666667</v>
      </c>
      <c r="BV12" s="180">
        <f t="shared" si="3"/>
        <v>0.8166666667</v>
      </c>
      <c r="BW12" s="180">
        <f t="shared" si="3"/>
        <v>0.8166666667</v>
      </c>
      <c r="BX12" s="180">
        <f t="shared" si="3"/>
        <v>0.8166666667</v>
      </c>
      <c r="BY12" s="180">
        <f t="shared" si="3"/>
        <v>0.8166666667</v>
      </c>
      <c r="BZ12" s="180">
        <f t="shared" si="3"/>
        <v>0.8166666667</v>
      </c>
      <c r="CA12" s="180">
        <f t="shared" si="3"/>
        <v>0.8166666667</v>
      </c>
      <c r="CB12" s="180">
        <f t="shared" si="3"/>
        <v>0.8166666667</v>
      </c>
      <c r="CC12" s="180">
        <f t="shared" si="3"/>
        <v>0.8166666667</v>
      </c>
      <c r="CD12" s="180">
        <f t="shared" si="3"/>
        <v>0.8166666667</v>
      </c>
      <c r="CE12" s="180">
        <f t="shared" si="3"/>
        <v>0.8166666667</v>
      </c>
      <c r="CF12" s="180">
        <f t="shared" si="3"/>
        <v>0.8166666667</v>
      </c>
      <c r="CG12" s="180">
        <f t="shared" si="3"/>
        <v>0.8166666667</v>
      </c>
      <c r="CH12" s="180">
        <f t="shared" si="3"/>
        <v>0.8166666667</v>
      </c>
      <c r="CI12" s="180">
        <f t="shared" si="3"/>
        <v>0.8166666667</v>
      </c>
      <c r="CJ12" s="180">
        <f t="shared" si="3"/>
        <v>0.8166666667</v>
      </c>
      <c r="CK12" s="180">
        <f t="shared" si="3"/>
        <v>0.8166666667</v>
      </c>
      <c r="CL12" s="180">
        <f t="shared" si="3"/>
        <v>0.8166666667</v>
      </c>
      <c r="CM12" s="180">
        <f t="shared" si="3"/>
        <v>0.8166666667</v>
      </c>
      <c r="CN12" s="180">
        <f t="shared" si="3"/>
        <v>0.8166666667</v>
      </c>
      <c r="CO12" s="180">
        <f t="shared" si="3"/>
        <v>0.8166666667</v>
      </c>
      <c r="CP12" s="180">
        <f t="shared" si="3"/>
        <v>0.8166666667</v>
      </c>
    </row>
    <row r="13" ht="12.75" customHeight="1">
      <c r="J13" s="91"/>
      <c r="K13" s="91"/>
      <c r="L13" s="91"/>
    </row>
    <row r="14" ht="12.75" customHeight="1">
      <c r="A14" s="115" t="s">
        <v>297</v>
      </c>
      <c r="B14" s="116">
        <f t="shared" ref="B14:H14" si="4">+B10+$B41</f>
        <v>3.413333333</v>
      </c>
      <c r="C14" s="116">
        <f t="shared" si="4"/>
        <v>3.413333333</v>
      </c>
      <c r="D14" s="116">
        <f t="shared" si="4"/>
        <v>3.213333333</v>
      </c>
      <c r="E14" s="116">
        <f t="shared" si="4"/>
        <v>3.213333333</v>
      </c>
      <c r="F14" s="116">
        <f t="shared" si="4"/>
        <v>3.213333333</v>
      </c>
      <c r="G14" s="116">
        <f t="shared" si="4"/>
        <v>2.813333333</v>
      </c>
      <c r="H14" s="116">
        <f t="shared" si="4"/>
        <v>2.813333333</v>
      </c>
      <c r="I14" s="116">
        <f t="shared" ref="I14:CP14" si="5">SUM(I10:I12)</f>
        <v>2.813333333</v>
      </c>
      <c r="J14" s="116">
        <f t="shared" si="5"/>
        <v>2.813333333</v>
      </c>
      <c r="K14" s="116">
        <f t="shared" si="5"/>
        <v>2.813333333</v>
      </c>
      <c r="L14" s="116">
        <f t="shared" si="5"/>
        <v>2.813333333</v>
      </c>
      <c r="M14" s="116">
        <f t="shared" si="5"/>
        <v>2.813333333</v>
      </c>
      <c r="N14" s="116">
        <f t="shared" si="5"/>
        <v>2.813333333</v>
      </c>
      <c r="O14" s="116">
        <f t="shared" si="5"/>
        <v>2.813333333</v>
      </c>
      <c r="P14" s="116">
        <f t="shared" si="5"/>
        <v>2.813333333</v>
      </c>
      <c r="Q14" s="116">
        <f t="shared" si="5"/>
        <v>2.813333333</v>
      </c>
      <c r="R14" s="116">
        <f t="shared" si="5"/>
        <v>2.813333333</v>
      </c>
      <c r="S14" s="116">
        <f t="shared" si="5"/>
        <v>2.813333333</v>
      </c>
      <c r="T14" s="116">
        <f t="shared" si="5"/>
        <v>2.813333333</v>
      </c>
      <c r="U14" s="116">
        <f t="shared" si="5"/>
        <v>2.813333333</v>
      </c>
      <c r="V14" s="116">
        <f t="shared" si="5"/>
        <v>2.813333333</v>
      </c>
      <c r="W14" s="116">
        <f t="shared" si="5"/>
        <v>2.813333333</v>
      </c>
      <c r="X14" s="116">
        <f t="shared" si="5"/>
        <v>2.813333333</v>
      </c>
      <c r="Y14" s="116">
        <f t="shared" si="5"/>
        <v>2.813333333</v>
      </c>
      <c r="Z14" s="116">
        <f t="shared" si="5"/>
        <v>2.813333333</v>
      </c>
      <c r="AA14" s="116">
        <f t="shared" si="5"/>
        <v>2.813333333</v>
      </c>
      <c r="AB14" s="116">
        <f t="shared" si="5"/>
        <v>2.813333333</v>
      </c>
      <c r="AC14" s="116">
        <f t="shared" si="5"/>
        <v>2.813333333</v>
      </c>
      <c r="AD14" s="116">
        <f t="shared" si="5"/>
        <v>2.813333333</v>
      </c>
      <c r="AE14" s="116">
        <f t="shared" si="5"/>
        <v>2.813333333</v>
      </c>
      <c r="AF14" s="116">
        <f t="shared" si="5"/>
        <v>2.813333333</v>
      </c>
      <c r="AG14" s="116">
        <f t="shared" si="5"/>
        <v>2.413333333</v>
      </c>
      <c r="AH14" s="116">
        <f t="shared" si="5"/>
        <v>2.413333333</v>
      </c>
      <c r="AI14" s="116">
        <f t="shared" si="5"/>
        <v>2.413333333</v>
      </c>
      <c r="AJ14" s="116">
        <f t="shared" si="5"/>
        <v>2.413333333</v>
      </c>
      <c r="AK14" s="116">
        <f t="shared" si="5"/>
        <v>2.413333333</v>
      </c>
      <c r="AL14" s="116">
        <f t="shared" si="5"/>
        <v>2.413333333</v>
      </c>
      <c r="AM14" s="116">
        <f t="shared" si="5"/>
        <v>2.413333333</v>
      </c>
      <c r="AN14" s="116">
        <f t="shared" si="5"/>
        <v>2.413333333</v>
      </c>
      <c r="AO14" s="116">
        <f t="shared" si="5"/>
        <v>2.413333333</v>
      </c>
      <c r="AP14" s="116">
        <f t="shared" si="5"/>
        <v>2.413333333</v>
      </c>
      <c r="AQ14" s="116">
        <f t="shared" si="5"/>
        <v>2.413333333</v>
      </c>
      <c r="AR14" s="116">
        <f t="shared" si="5"/>
        <v>2.413333333</v>
      </c>
      <c r="AS14" s="116">
        <f t="shared" si="5"/>
        <v>2.413333333</v>
      </c>
      <c r="AT14" s="116">
        <f t="shared" si="5"/>
        <v>2.413333333</v>
      </c>
      <c r="AU14" s="150">
        <f t="shared" si="5"/>
        <v>2.413333333</v>
      </c>
      <c r="AV14" s="150">
        <f t="shared" si="5"/>
        <v>2.413333333</v>
      </c>
      <c r="AW14" s="150">
        <f t="shared" si="5"/>
        <v>2.413333333</v>
      </c>
      <c r="AX14" s="150">
        <f t="shared" si="5"/>
        <v>2.413333333</v>
      </c>
      <c r="AY14" s="150">
        <f t="shared" si="5"/>
        <v>2.413333333</v>
      </c>
      <c r="AZ14" s="150">
        <f t="shared" si="5"/>
        <v>2.413333333</v>
      </c>
      <c r="BA14" s="150">
        <f t="shared" si="5"/>
        <v>2.413333333</v>
      </c>
      <c r="BB14" s="150">
        <f t="shared" si="5"/>
        <v>2.413333333</v>
      </c>
      <c r="BC14" s="150">
        <f t="shared" si="5"/>
        <v>2.413333333</v>
      </c>
      <c r="BD14" s="150">
        <f t="shared" si="5"/>
        <v>2.413333333</v>
      </c>
      <c r="BE14" s="150">
        <f t="shared" si="5"/>
        <v>2.413333333</v>
      </c>
      <c r="BF14" s="150">
        <f t="shared" si="5"/>
        <v>2.413333333</v>
      </c>
      <c r="BG14" s="150">
        <f t="shared" si="5"/>
        <v>2.103333333</v>
      </c>
      <c r="BH14" s="150">
        <f t="shared" si="5"/>
        <v>2.103333333</v>
      </c>
      <c r="BI14" s="150">
        <f t="shared" si="5"/>
        <v>2.103333333</v>
      </c>
      <c r="BJ14" s="150">
        <f t="shared" si="5"/>
        <v>2.103333333</v>
      </c>
      <c r="BK14" s="150">
        <f t="shared" si="5"/>
        <v>2.103333333</v>
      </c>
      <c r="BL14" s="150">
        <f t="shared" si="5"/>
        <v>2.103333333</v>
      </c>
      <c r="BM14" s="150">
        <f t="shared" si="5"/>
        <v>1.756666667</v>
      </c>
      <c r="BN14" s="150">
        <f t="shared" si="5"/>
        <v>1.756666667</v>
      </c>
      <c r="BO14" s="150">
        <f t="shared" si="5"/>
        <v>1.756666667</v>
      </c>
      <c r="BP14" s="150">
        <f t="shared" si="5"/>
        <v>1.756666667</v>
      </c>
      <c r="BQ14" s="150">
        <f t="shared" si="5"/>
        <v>1.756666667</v>
      </c>
      <c r="BR14" s="150">
        <f t="shared" si="5"/>
        <v>1.756666667</v>
      </c>
      <c r="BS14" s="150">
        <f t="shared" si="5"/>
        <v>1.756666667</v>
      </c>
      <c r="BT14" s="150">
        <f t="shared" si="5"/>
        <v>1.756666667</v>
      </c>
      <c r="BU14" s="150">
        <f t="shared" si="5"/>
        <v>1.756666667</v>
      </c>
      <c r="BV14" s="150">
        <f t="shared" si="5"/>
        <v>1.756666667</v>
      </c>
      <c r="BW14" s="150">
        <f t="shared" si="5"/>
        <v>1.756666667</v>
      </c>
      <c r="BX14" s="150">
        <f t="shared" si="5"/>
        <v>1.756666667</v>
      </c>
      <c r="BY14" s="150">
        <f t="shared" si="5"/>
        <v>1.756666667</v>
      </c>
      <c r="BZ14" s="150">
        <f t="shared" si="5"/>
        <v>1.756666667</v>
      </c>
      <c r="CA14" s="150">
        <f t="shared" si="5"/>
        <v>1.756666667</v>
      </c>
      <c r="CB14" s="150">
        <f t="shared" si="5"/>
        <v>1.756666667</v>
      </c>
      <c r="CC14" s="150">
        <f t="shared" si="5"/>
        <v>1.756666667</v>
      </c>
      <c r="CD14" s="150">
        <f t="shared" si="5"/>
        <v>1.756666667</v>
      </c>
      <c r="CE14" s="150">
        <f t="shared" si="5"/>
        <v>1.756666667</v>
      </c>
      <c r="CF14" s="150">
        <f t="shared" si="5"/>
        <v>1.756666667</v>
      </c>
      <c r="CG14" s="150">
        <f t="shared" si="5"/>
        <v>1.756666667</v>
      </c>
      <c r="CH14" s="150">
        <f t="shared" si="5"/>
        <v>1.756666667</v>
      </c>
      <c r="CI14" s="150">
        <f t="shared" si="5"/>
        <v>1.756666667</v>
      </c>
      <c r="CJ14" s="150">
        <f t="shared" si="5"/>
        <v>1.756666667</v>
      </c>
      <c r="CK14" s="150">
        <f t="shared" si="5"/>
        <v>1.756666667</v>
      </c>
      <c r="CL14" s="150">
        <f t="shared" si="5"/>
        <v>1.756666667</v>
      </c>
      <c r="CM14" s="150">
        <f t="shared" si="5"/>
        <v>1.756666667</v>
      </c>
      <c r="CN14" s="150">
        <f t="shared" si="5"/>
        <v>1.756666667</v>
      </c>
      <c r="CO14" s="150">
        <f t="shared" si="5"/>
        <v>1.756666667</v>
      </c>
      <c r="CP14" s="150">
        <f t="shared" si="5"/>
        <v>1.756666667</v>
      </c>
    </row>
    <row r="15" ht="12.75" customHeight="1">
      <c r="J15" s="91"/>
      <c r="K15" s="91"/>
      <c r="L15" s="91"/>
    </row>
    <row r="16" ht="12.75" customHeight="1">
      <c r="J16" s="91"/>
      <c r="K16" s="91"/>
      <c r="L16" s="91"/>
    </row>
    <row r="17" ht="12.75" customHeight="1">
      <c r="A17" s="91" t="s">
        <v>298</v>
      </c>
      <c r="B17" s="96">
        <f t="shared" ref="B17:CP17" si="6">+D9</f>
        <v>44012</v>
      </c>
      <c r="C17" s="96">
        <f t="shared" si="6"/>
        <v>44043</v>
      </c>
      <c r="D17" s="96">
        <f t="shared" si="6"/>
        <v>44074</v>
      </c>
      <c r="E17" s="96">
        <f t="shared" si="6"/>
        <v>44104</v>
      </c>
      <c r="F17" s="96">
        <f t="shared" si="6"/>
        <v>44135</v>
      </c>
      <c r="G17" s="96">
        <f t="shared" si="6"/>
        <v>44165</v>
      </c>
      <c r="H17" s="96">
        <f t="shared" si="6"/>
        <v>44196</v>
      </c>
      <c r="I17" s="96">
        <f t="shared" si="6"/>
        <v>44227</v>
      </c>
      <c r="J17" s="96">
        <f t="shared" si="6"/>
        <v>44255</v>
      </c>
      <c r="K17" s="96">
        <f t="shared" si="6"/>
        <v>44286</v>
      </c>
      <c r="L17" s="96">
        <f t="shared" si="6"/>
        <v>44316</v>
      </c>
      <c r="M17" s="96">
        <f t="shared" si="6"/>
        <v>44347</v>
      </c>
      <c r="N17" s="96">
        <f t="shared" si="6"/>
        <v>44377</v>
      </c>
      <c r="O17" s="96">
        <f t="shared" si="6"/>
        <v>44408</v>
      </c>
      <c r="P17" s="96">
        <f t="shared" si="6"/>
        <v>44439</v>
      </c>
      <c r="Q17" s="96">
        <f t="shared" si="6"/>
        <v>44469</v>
      </c>
      <c r="R17" s="96">
        <f t="shared" si="6"/>
        <v>44500</v>
      </c>
      <c r="S17" s="96">
        <f t="shared" si="6"/>
        <v>44530</v>
      </c>
      <c r="T17" s="96">
        <f t="shared" si="6"/>
        <v>44561</v>
      </c>
      <c r="U17" s="96">
        <f t="shared" si="6"/>
        <v>44592</v>
      </c>
      <c r="V17" s="96">
        <f t="shared" si="6"/>
        <v>44620</v>
      </c>
      <c r="W17" s="96">
        <f t="shared" si="6"/>
        <v>44651</v>
      </c>
      <c r="X17" s="96">
        <f t="shared" si="6"/>
        <v>44681</v>
      </c>
      <c r="Y17" s="96">
        <f t="shared" si="6"/>
        <v>44712</v>
      </c>
      <c r="Z17" s="96">
        <f t="shared" si="6"/>
        <v>44742</v>
      </c>
      <c r="AA17" s="96">
        <f t="shared" si="6"/>
        <v>44773</v>
      </c>
      <c r="AB17" s="96">
        <f t="shared" si="6"/>
        <v>44804</v>
      </c>
      <c r="AC17" s="96">
        <f t="shared" si="6"/>
        <v>44834</v>
      </c>
      <c r="AD17" s="96">
        <f t="shared" si="6"/>
        <v>44865</v>
      </c>
      <c r="AE17" s="96">
        <f t="shared" si="6"/>
        <v>44895</v>
      </c>
      <c r="AF17" s="96">
        <f t="shared" si="6"/>
        <v>44926</v>
      </c>
      <c r="AG17" s="96">
        <f t="shared" si="6"/>
        <v>44957</v>
      </c>
      <c r="AH17" s="96">
        <f t="shared" si="6"/>
        <v>44985</v>
      </c>
      <c r="AI17" s="96">
        <f t="shared" si="6"/>
        <v>45016</v>
      </c>
      <c r="AJ17" s="96">
        <f t="shared" si="6"/>
        <v>45046</v>
      </c>
      <c r="AK17" s="96">
        <f t="shared" si="6"/>
        <v>45077</v>
      </c>
      <c r="AL17" s="96">
        <f t="shared" si="6"/>
        <v>45107</v>
      </c>
      <c r="AM17" s="96">
        <f t="shared" si="6"/>
        <v>45138</v>
      </c>
      <c r="AN17" s="96">
        <f t="shared" si="6"/>
        <v>45169</v>
      </c>
      <c r="AO17" s="96">
        <f t="shared" si="6"/>
        <v>45199</v>
      </c>
      <c r="AP17" s="96">
        <f t="shared" si="6"/>
        <v>45230</v>
      </c>
      <c r="AQ17" s="96">
        <f t="shared" si="6"/>
        <v>45260</v>
      </c>
      <c r="AR17" s="96">
        <f t="shared" si="6"/>
        <v>45291</v>
      </c>
      <c r="AS17" s="96">
        <f t="shared" si="6"/>
        <v>45322</v>
      </c>
      <c r="AT17" s="96">
        <f t="shared" si="6"/>
        <v>45351</v>
      </c>
      <c r="AU17" s="96">
        <f t="shared" si="6"/>
        <v>45382</v>
      </c>
      <c r="AV17" s="96">
        <f t="shared" si="6"/>
        <v>45412</v>
      </c>
      <c r="AW17" s="96">
        <f t="shared" si="6"/>
        <v>45443</v>
      </c>
      <c r="AX17" s="96">
        <f t="shared" si="6"/>
        <v>45473</v>
      </c>
      <c r="AY17" s="96">
        <f t="shared" si="6"/>
        <v>45504</v>
      </c>
      <c r="AZ17" s="96">
        <f t="shared" si="6"/>
        <v>45535</v>
      </c>
      <c r="BA17" s="96">
        <f t="shared" si="6"/>
        <v>45565</v>
      </c>
      <c r="BB17" s="96">
        <f t="shared" si="6"/>
        <v>45596</v>
      </c>
      <c r="BC17" s="96">
        <f t="shared" si="6"/>
        <v>45626</v>
      </c>
      <c r="BD17" s="96">
        <f t="shared" si="6"/>
        <v>45657</v>
      </c>
      <c r="BE17" s="96">
        <f t="shared" si="6"/>
        <v>45688</v>
      </c>
      <c r="BF17" s="96">
        <f t="shared" si="6"/>
        <v>45716</v>
      </c>
      <c r="BG17" s="96">
        <f t="shared" si="6"/>
        <v>45747</v>
      </c>
      <c r="BH17" s="96">
        <f t="shared" si="6"/>
        <v>45777</v>
      </c>
      <c r="BI17" s="96">
        <f t="shared" si="6"/>
        <v>45808</v>
      </c>
      <c r="BJ17" s="96">
        <f t="shared" si="6"/>
        <v>45838</v>
      </c>
      <c r="BK17" s="96">
        <f t="shared" si="6"/>
        <v>45869</v>
      </c>
      <c r="BL17" s="96">
        <f t="shared" si="6"/>
        <v>45900</v>
      </c>
      <c r="BM17" s="96">
        <f t="shared" si="6"/>
        <v>45930</v>
      </c>
      <c r="BN17" s="96">
        <f t="shared" si="6"/>
        <v>45961</v>
      </c>
      <c r="BO17" s="96">
        <f t="shared" si="6"/>
        <v>45991</v>
      </c>
      <c r="BP17" s="96">
        <f t="shared" si="6"/>
        <v>46022</v>
      </c>
      <c r="BQ17" s="96">
        <f t="shared" si="6"/>
        <v>46053</v>
      </c>
      <c r="BR17" s="96">
        <f t="shared" si="6"/>
        <v>46081</v>
      </c>
      <c r="BS17" s="96">
        <f t="shared" si="6"/>
        <v>46112</v>
      </c>
      <c r="BT17" s="96">
        <f t="shared" si="6"/>
        <v>46142</v>
      </c>
      <c r="BU17" s="96">
        <f t="shared" si="6"/>
        <v>46173</v>
      </c>
      <c r="BV17" s="96">
        <f t="shared" si="6"/>
        <v>46203</v>
      </c>
      <c r="BW17" s="96">
        <f t="shared" si="6"/>
        <v>46234</v>
      </c>
      <c r="BX17" s="96">
        <f t="shared" si="6"/>
        <v>46265</v>
      </c>
      <c r="BY17" s="96">
        <f t="shared" si="6"/>
        <v>46295</v>
      </c>
      <c r="BZ17" s="96">
        <f t="shared" si="6"/>
        <v>46326</v>
      </c>
      <c r="CA17" s="96">
        <f t="shared" si="6"/>
        <v>46356</v>
      </c>
      <c r="CB17" s="96">
        <f t="shared" si="6"/>
        <v>46387</v>
      </c>
      <c r="CC17" s="96">
        <f t="shared" si="6"/>
        <v>46418</v>
      </c>
      <c r="CD17" s="96">
        <f t="shared" si="6"/>
        <v>46446</v>
      </c>
      <c r="CE17" s="96">
        <f t="shared" si="6"/>
        <v>46477</v>
      </c>
      <c r="CF17" s="96">
        <f t="shared" si="6"/>
        <v>46507</v>
      </c>
      <c r="CG17" s="96">
        <f t="shared" si="6"/>
        <v>46538</v>
      </c>
      <c r="CH17" s="96">
        <f t="shared" si="6"/>
        <v>46568</v>
      </c>
      <c r="CI17" s="96">
        <f t="shared" si="6"/>
        <v>46599</v>
      </c>
      <c r="CJ17" s="96">
        <f t="shared" si="6"/>
        <v>46630</v>
      </c>
      <c r="CK17" s="96">
        <f t="shared" si="6"/>
        <v>46660</v>
      </c>
      <c r="CL17" s="96">
        <f t="shared" si="6"/>
        <v>46691</v>
      </c>
      <c r="CM17" s="96">
        <f t="shared" si="6"/>
        <v>46721</v>
      </c>
      <c r="CN17" s="96">
        <f t="shared" si="6"/>
        <v>46752</v>
      </c>
      <c r="CO17" s="96" t="str">
        <f t="shared" si="6"/>
        <v/>
      </c>
      <c r="CP17" s="96" t="str">
        <f t="shared" si="6"/>
        <v/>
      </c>
    </row>
    <row r="18" ht="12.75" customHeight="1">
      <c r="A18" s="91"/>
    </row>
    <row r="19" ht="12.75" customHeight="1">
      <c r="A19" s="140" t="s">
        <v>299</v>
      </c>
    </row>
    <row r="20" ht="12.75" customHeight="1">
      <c r="A20" s="140" t="s">
        <v>300</v>
      </c>
    </row>
    <row r="21" ht="12.75" customHeight="1">
      <c r="A21" s="140" t="s">
        <v>301</v>
      </c>
      <c r="B21" s="181">
        <f>+'Rev 2'!W19</f>
        <v>1564.391902</v>
      </c>
      <c r="C21" s="181">
        <f>+'Rev 2'!X19</f>
        <v>2384.518718</v>
      </c>
      <c r="D21" s="181">
        <f>+'Rev 2'!Y19</f>
        <v>3089.923312</v>
      </c>
      <c r="E21" s="181">
        <f>+'Rev 2'!Z19</f>
        <v>3045.422178</v>
      </c>
      <c r="F21" s="181">
        <f>+'Rev 2'!AA19</f>
        <v>4367.344157</v>
      </c>
      <c r="G21" s="181">
        <f>+'Rev 2'!AB19</f>
        <v>8559.709992</v>
      </c>
      <c r="H21" s="181">
        <f>+'Rev 2'!AC19</f>
        <v>8287.244216</v>
      </c>
      <c r="I21" s="181">
        <f>+'Rev 2'!AD19</f>
        <v>13386.07657</v>
      </c>
      <c r="J21" s="181">
        <f>+'Rev 2'!AE19</f>
        <v>16858.16888</v>
      </c>
      <c r="K21" s="181">
        <f>+'Rev 2'!AF19</f>
        <v>23972.2365</v>
      </c>
      <c r="L21" s="181">
        <f>+'Rev 2'!AG19</f>
        <v>23977.35429</v>
      </c>
      <c r="M21" s="181">
        <f>+'Rev 2'!AH19</f>
        <v>21112.71059</v>
      </c>
      <c r="N21" s="181">
        <f>+'Rev 2'!AI19</f>
        <v>18248.06689</v>
      </c>
      <c r="O21" s="181">
        <f>+'Rev 2'!AJ19</f>
        <v>16885.73801</v>
      </c>
      <c r="P21" s="181">
        <f>+'Rev 2'!AK19</f>
        <v>19394.71382</v>
      </c>
      <c r="Q21" s="181">
        <f>+'Rev 2'!AL19</f>
        <v>23954.00668</v>
      </c>
      <c r="R21" s="181">
        <f>+'Rev 2'!AM19</f>
        <v>32613.93361</v>
      </c>
      <c r="S21" s="181">
        <f>+'Rev 2'!AN19</f>
        <v>30094.56793</v>
      </c>
      <c r="T21" s="181">
        <f>+'Rev 2'!AO19</f>
        <v>25664.63763</v>
      </c>
      <c r="U21" s="181">
        <f>+'Rev 2'!AP19</f>
        <v>18783.09652</v>
      </c>
      <c r="V21" s="181">
        <f>+'Rev 2'!AQ19</f>
        <v>20205.25912</v>
      </c>
      <c r="W21" s="181">
        <f>+'Rev 2'!AR19</f>
        <v>21599.29708</v>
      </c>
      <c r="X21" s="181">
        <f>+'Rev 2'!AS19</f>
        <v>21917.33269</v>
      </c>
      <c r="Y21" s="181">
        <f>+'Rev 2'!AT19</f>
        <v>22038.49587</v>
      </c>
      <c r="Z21" s="181">
        <f>+'Rev 2'!AU19</f>
        <v>20390.58833</v>
      </c>
      <c r="AA21" s="181">
        <f>+'Rev 2'!AV19</f>
        <v>18324.32689</v>
      </c>
      <c r="AB21" s="181">
        <f>+'Rev 2'!AW19</f>
        <v>17424.97525</v>
      </c>
      <c r="AC21" s="181">
        <f>+'Rev 2'!AX19</f>
        <v>21217.05512</v>
      </c>
      <c r="AD21" s="181">
        <f>+'Rev 2'!AY19</f>
        <v>25125.1491</v>
      </c>
      <c r="AE21" s="181">
        <f>+'Rev 2'!AZ19</f>
        <v>25089.48826</v>
      </c>
      <c r="AF21" s="181">
        <f>+'Rev 2'!BA19</f>
        <v>22462.17464</v>
      </c>
      <c r="AG21" s="181">
        <f>+'Rev 2'!BB19</f>
        <v>19459.35015</v>
      </c>
      <c r="AH21" s="181">
        <f>+'Rev 2'!BC19</f>
        <v>17585.37765</v>
      </c>
      <c r="AI21" s="181">
        <f>+'Rev 2'!BD19</f>
        <v>15557.51037</v>
      </c>
      <c r="AJ21" s="181">
        <f>+'Rev 2'!BE19</f>
        <v>13573.04404</v>
      </c>
      <c r="AK21" s="181">
        <f>+'Rev 2'!BF19</f>
        <v>13919.67036</v>
      </c>
      <c r="AL21" s="181">
        <f>+'Rev 2'!BG19</f>
        <v>14399.01273</v>
      </c>
      <c r="AM21" s="181">
        <f>+'Rev 2'!BH19</f>
        <v>14878.98381</v>
      </c>
      <c r="AN21" s="181">
        <f>+'Rev 2'!BI19</f>
        <v>14837.42711</v>
      </c>
      <c r="AO21" s="181">
        <f>+'Rev 2'!BJ19</f>
        <v>14795.87041</v>
      </c>
      <c r="AP21" s="181">
        <f>+'Rev 2'!BK19</f>
        <v>14563.22575</v>
      </c>
      <c r="AQ21" s="181">
        <f>+'Rev 2'!BL19</f>
        <v>14118.73837</v>
      </c>
      <c r="AR21" s="181">
        <f>+'Rev 2'!BM19</f>
        <v>13247.05276</v>
      </c>
      <c r="AS21" s="181">
        <f>+'Rev 2'!BN19</f>
        <v>13212.45</v>
      </c>
      <c r="AT21" s="181">
        <f>+'Rev 2'!BO19</f>
        <v>14380.11986</v>
      </c>
      <c r="AU21" s="181">
        <f>+'Rev 2'!BP19</f>
        <v>17986.0987</v>
      </c>
      <c r="AV21" s="181">
        <f>+'Rev 2'!BQ19</f>
        <v>20712.92221</v>
      </c>
      <c r="AW21" s="181">
        <f>+'Rev 2'!BR19</f>
        <v>23547.72064</v>
      </c>
      <c r="AX21" s="181">
        <f>+'Rev 2'!BS19</f>
        <v>24460.54881</v>
      </c>
      <c r="AY21" s="181">
        <f>+'Rev 2'!BT19</f>
        <v>26065.71967</v>
      </c>
      <c r="AZ21" s="181">
        <f>+'Rev 2'!BU19</f>
        <v>28198.00389</v>
      </c>
      <c r="BA21" s="181">
        <f>+'Rev 2'!BV19</f>
        <v>27166.94182</v>
      </c>
      <c r="BB21" s="181">
        <f>+'Rev 2'!BW19</f>
        <v>25471.44664</v>
      </c>
      <c r="BC21" s="181">
        <f>+'Rev 2'!BX19</f>
        <v>22289.22779</v>
      </c>
      <c r="BD21" s="181">
        <f>+'Rev 2'!BY19</f>
        <v>21982.89077</v>
      </c>
      <c r="BE21" s="181">
        <f>+'Rev 2'!BZ19</f>
        <v>25414.04334</v>
      </c>
      <c r="BF21" s="181">
        <f>+'Rev 2'!CA19</f>
        <v>24564.79918</v>
      </c>
      <c r="BG21" s="181">
        <f>+'Rev 2'!CB19</f>
        <v>23600.30559</v>
      </c>
      <c r="BH21" s="181">
        <f>+'Rev 2'!CC19</f>
        <v>19254.80608</v>
      </c>
      <c r="BI21" s="181">
        <f>+'Rev 2'!CD19</f>
        <v>19341.17731</v>
      </c>
      <c r="BJ21" s="181">
        <f>+'Rev 2'!CE19</f>
        <v>19465.5168</v>
      </c>
      <c r="BK21" s="181">
        <f>+'Rev 2'!CF19</f>
        <v>19533.18653</v>
      </c>
      <c r="BL21" s="181">
        <f>+'Rev 2'!CG19</f>
        <v>19569.71143</v>
      </c>
      <c r="BM21" s="181">
        <f>+'Rev 2'!CH19</f>
        <v>19454.36331</v>
      </c>
      <c r="BN21" s="181">
        <f>+'Rev 2'!CI19</f>
        <v>20920.68833</v>
      </c>
      <c r="BO21" s="181">
        <f>+'Rev 2'!CJ19</f>
        <v>22326.90974</v>
      </c>
      <c r="BP21" s="181">
        <f>+'Rev 2'!CK19</f>
        <v>23755.47934</v>
      </c>
      <c r="BQ21" s="181">
        <f>+'Rev 2'!CL19</f>
        <v>23717.59503</v>
      </c>
      <c r="BR21" s="181">
        <f>+'Rev 2'!CM19</f>
        <v>23598.50134</v>
      </c>
      <c r="BS21" s="181">
        <f>+'Rev 2'!CN19</f>
        <v>25246.75476</v>
      </c>
      <c r="BT21" s="181">
        <f>+'Rev 2'!CO19</f>
        <v>28476.68134</v>
      </c>
      <c r="BU21" s="181">
        <f>+'Rev 2'!CP19</f>
        <v>31788.81104</v>
      </c>
      <c r="BV21" s="181">
        <f>+'Rev 2'!CQ19</f>
        <v>33714.09549</v>
      </c>
      <c r="BW21" s="181">
        <f>+'Rev 2'!CR19</f>
        <v>35536.08448</v>
      </c>
      <c r="BX21" s="181">
        <f>+'Rev 2'!CS19</f>
        <v>37662.76734</v>
      </c>
      <c r="BY21" s="181">
        <f>+'Rev 2'!CT19</f>
        <v>39717.78354</v>
      </c>
      <c r="BZ21" s="181">
        <f>+'Rev 2'!CU19</f>
        <v>40368.03783</v>
      </c>
      <c r="CA21" s="181">
        <f>+'Rev 2'!CV19</f>
        <v>40992.3507</v>
      </c>
      <c r="CB21" s="181">
        <f>+'Rev 2'!CW19</f>
        <v>41616.66358</v>
      </c>
      <c r="CC21" s="181">
        <f>+'Rev 2'!CX19</f>
        <v>42410.78432</v>
      </c>
      <c r="CD21" s="181">
        <f>+'Rev 2'!CY19</f>
        <v>43172.91102</v>
      </c>
      <c r="CE21" s="181">
        <f>+'Rev 2'!CZ19</f>
        <v>45421.38268</v>
      </c>
      <c r="CF21" s="181">
        <f>+'Rev 2'!DA19</f>
        <v>47385.77837</v>
      </c>
      <c r="CG21" s="181">
        <f>+'Rev 2'!DB19</f>
        <v>49372.3875</v>
      </c>
      <c r="CH21" s="181">
        <f>+'Rev 2'!DC19</f>
        <v>51519.82797</v>
      </c>
      <c r="CI21" s="181">
        <f>+'Rev 2'!DD19</f>
        <v>53536.64005</v>
      </c>
      <c r="CJ21" s="181">
        <f>+'Rev 2'!DE19</f>
        <v>57078.91953</v>
      </c>
      <c r="CK21" s="181">
        <f>+'Rev 2'!DF19</f>
        <v>59259.41556</v>
      </c>
      <c r="CL21" s="181">
        <f>+'Rev 2'!DG19</f>
        <v>61331.43087</v>
      </c>
      <c r="CM21" s="181">
        <f>+'Rev 2'!DH19</f>
        <v>62167.57505</v>
      </c>
      <c r="CN21" s="181">
        <f>+'Rev 2'!DI19</f>
        <v>63003.71923</v>
      </c>
      <c r="CO21" s="181">
        <f>+'Rev 2'!DJ19</f>
        <v>63003.71923</v>
      </c>
      <c r="CP21" s="181">
        <f>+'Rev 2'!DK19</f>
        <v>63003.71923</v>
      </c>
    </row>
    <row r="22" ht="12.75" customHeight="1"/>
    <row r="23" ht="12.75" customHeight="1">
      <c r="B23" s="98">
        <f t="shared" ref="B23:CP23" si="7">+B21*B14</f>
        <v>5339.791025</v>
      </c>
      <c r="C23" s="98">
        <f t="shared" si="7"/>
        <v>8139.157224</v>
      </c>
      <c r="D23" s="98">
        <f t="shared" si="7"/>
        <v>9928.953576</v>
      </c>
      <c r="E23" s="98">
        <f t="shared" si="7"/>
        <v>9785.956599</v>
      </c>
      <c r="F23" s="98">
        <f t="shared" si="7"/>
        <v>14033.73256</v>
      </c>
      <c r="G23" s="98">
        <f t="shared" si="7"/>
        <v>24081.31744</v>
      </c>
      <c r="H23" s="98">
        <f t="shared" si="7"/>
        <v>23314.78039</v>
      </c>
      <c r="I23" s="98">
        <f t="shared" si="7"/>
        <v>37659.49542</v>
      </c>
      <c r="J23" s="98">
        <f t="shared" si="7"/>
        <v>47427.64845</v>
      </c>
      <c r="K23" s="98">
        <f t="shared" si="7"/>
        <v>67441.89202</v>
      </c>
      <c r="L23" s="98">
        <f t="shared" si="7"/>
        <v>67456.29006</v>
      </c>
      <c r="M23" s="98">
        <f t="shared" si="7"/>
        <v>59397.09246</v>
      </c>
      <c r="N23" s="98">
        <f t="shared" si="7"/>
        <v>51337.89486</v>
      </c>
      <c r="O23" s="98">
        <f t="shared" si="7"/>
        <v>47505.2096</v>
      </c>
      <c r="P23" s="98">
        <f t="shared" si="7"/>
        <v>54563.79489</v>
      </c>
      <c r="Q23" s="98">
        <f t="shared" si="7"/>
        <v>67390.60545</v>
      </c>
      <c r="R23" s="98">
        <f t="shared" si="7"/>
        <v>91753.86656</v>
      </c>
      <c r="S23" s="98">
        <f t="shared" si="7"/>
        <v>84666.0511</v>
      </c>
      <c r="T23" s="98">
        <f t="shared" si="7"/>
        <v>72203.18054</v>
      </c>
      <c r="U23" s="98">
        <f t="shared" si="7"/>
        <v>52843.11155</v>
      </c>
      <c r="V23" s="98">
        <f t="shared" si="7"/>
        <v>56844.12898</v>
      </c>
      <c r="W23" s="98">
        <f t="shared" si="7"/>
        <v>60766.02244</v>
      </c>
      <c r="X23" s="98">
        <f t="shared" si="7"/>
        <v>61660.76263</v>
      </c>
      <c r="Y23" s="98">
        <f t="shared" si="7"/>
        <v>62001.63504</v>
      </c>
      <c r="Z23" s="98">
        <f t="shared" si="7"/>
        <v>57365.52185</v>
      </c>
      <c r="AA23" s="98">
        <f t="shared" si="7"/>
        <v>51552.43966</v>
      </c>
      <c r="AB23" s="98">
        <f t="shared" si="7"/>
        <v>49022.2637</v>
      </c>
      <c r="AC23" s="98">
        <f t="shared" si="7"/>
        <v>59690.6484</v>
      </c>
      <c r="AD23" s="98">
        <f t="shared" si="7"/>
        <v>70685.41946</v>
      </c>
      <c r="AE23" s="98">
        <f t="shared" si="7"/>
        <v>70585.09364</v>
      </c>
      <c r="AF23" s="98">
        <f t="shared" si="7"/>
        <v>63193.58467</v>
      </c>
      <c r="AG23" s="98">
        <f t="shared" si="7"/>
        <v>46961.89836</v>
      </c>
      <c r="AH23" s="98">
        <f t="shared" si="7"/>
        <v>42439.37805</v>
      </c>
      <c r="AI23" s="98">
        <f t="shared" si="7"/>
        <v>37545.45836</v>
      </c>
      <c r="AJ23" s="98">
        <f t="shared" si="7"/>
        <v>32756.27961</v>
      </c>
      <c r="AK23" s="98">
        <f t="shared" si="7"/>
        <v>33592.80447</v>
      </c>
      <c r="AL23" s="98">
        <f t="shared" si="7"/>
        <v>34749.6174</v>
      </c>
      <c r="AM23" s="98">
        <f t="shared" si="7"/>
        <v>35907.9476</v>
      </c>
      <c r="AN23" s="98">
        <f t="shared" si="7"/>
        <v>35807.65743</v>
      </c>
      <c r="AO23" s="98">
        <f t="shared" si="7"/>
        <v>35707.36726</v>
      </c>
      <c r="AP23" s="98">
        <f t="shared" si="7"/>
        <v>35145.91814</v>
      </c>
      <c r="AQ23" s="98">
        <f t="shared" si="7"/>
        <v>34073.22194</v>
      </c>
      <c r="AR23" s="98">
        <f t="shared" si="7"/>
        <v>31969.55399</v>
      </c>
      <c r="AS23" s="98">
        <f t="shared" si="7"/>
        <v>31886.04601</v>
      </c>
      <c r="AT23" s="98">
        <f t="shared" si="7"/>
        <v>34704.0226</v>
      </c>
      <c r="AU23" s="98">
        <f t="shared" si="7"/>
        <v>43406.45152</v>
      </c>
      <c r="AV23" s="98">
        <f t="shared" si="7"/>
        <v>49987.18559</v>
      </c>
      <c r="AW23" s="98">
        <f t="shared" si="7"/>
        <v>56828.49915</v>
      </c>
      <c r="AX23" s="98">
        <f t="shared" si="7"/>
        <v>59031.4578</v>
      </c>
      <c r="AY23" s="98">
        <f t="shared" si="7"/>
        <v>62905.27013</v>
      </c>
      <c r="AZ23" s="98">
        <f t="shared" si="7"/>
        <v>68051.18271</v>
      </c>
      <c r="BA23" s="98">
        <f t="shared" si="7"/>
        <v>65562.88625</v>
      </c>
      <c r="BB23" s="98">
        <f t="shared" si="7"/>
        <v>61471.09122</v>
      </c>
      <c r="BC23" s="98">
        <f t="shared" si="7"/>
        <v>53791.33639</v>
      </c>
      <c r="BD23" s="98">
        <f t="shared" si="7"/>
        <v>53052.04306</v>
      </c>
      <c r="BE23" s="98">
        <f t="shared" si="7"/>
        <v>61332.55794</v>
      </c>
      <c r="BF23" s="98">
        <f t="shared" si="7"/>
        <v>59283.0487</v>
      </c>
      <c r="BG23" s="98">
        <f t="shared" si="7"/>
        <v>49639.30943</v>
      </c>
      <c r="BH23" s="98">
        <f t="shared" si="7"/>
        <v>40499.27545</v>
      </c>
      <c r="BI23" s="98">
        <f t="shared" si="7"/>
        <v>40680.94295</v>
      </c>
      <c r="BJ23" s="98">
        <f t="shared" si="7"/>
        <v>40942.47034</v>
      </c>
      <c r="BK23" s="98">
        <f t="shared" si="7"/>
        <v>41084.80235</v>
      </c>
      <c r="BL23" s="98">
        <f t="shared" si="7"/>
        <v>41161.62637</v>
      </c>
      <c r="BM23" s="98">
        <f t="shared" si="7"/>
        <v>34174.83154</v>
      </c>
      <c r="BN23" s="98">
        <f t="shared" si="7"/>
        <v>36750.67583</v>
      </c>
      <c r="BO23" s="98">
        <f t="shared" si="7"/>
        <v>39220.93811</v>
      </c>
      <c r="BP23" s="98">
        <f t="shared" si="7"/>
        <v>41730.45871</v>
      </c>
      <c r="BQ23" s="98">
        <f t="shared" si="7"/>
        <v>41663.9086</v>
      </c>
      <c r="BR23" s="98">
        <f t="shared" si="7"/>
        <v>41454.70068</v>
      </c>
      <c r="BS23" s="98">
        <f t="shared" si="7"/>
        <v>44350.13254</v>
      </c>
      <c r="BT23" s="98">
        <f t="shared" si="7"/>
        <v>50024.03688</v>
      </c>
      <c r="BU23" s="98">
        <f t="shared" si="7"/>
        <v>55842.34472</v>
      </c>
      <c r="BV23" s="98">
        <f t="shared" si="7"/>
        <v>59224.42775</v>
      </c>
      <c r="BW23" s="98">
        <f t="shared" si="7"/>
        <v>62425.05507</v>
      </c>
      <c r="BX23" s="98">
        <f t="shared" si="7"/>
        <v>66160.92797</v>
      </c>
      <c r="BY23" s="98">
        <f t="shared" si="7"/>
        <v>69770.90642</v>
      </c>
      <c r="BZ23" s="98">
        <f t="shared" si="7"/>
        <v>70913.18646</v>
      </c>
      <c r="CA23" s="98">
        <f t="shared" si="7"/>
        <v>72009.89607</v>
      </c>
      <c r="CB23" s="98">
        <f t="shared" si="7"/>
        <v>73106.60568</v>
      </c>
      <c r="CC23" s="98">
        <f t="shared" si="7"/>
        <v>74501.61113</v>
      </c>
      <c r="CD23" s="98">
        <f t="shared" si="7"/>
        <v>75840.4137</v>
      </c>
      <c r="CE23" s="98">
        <f t="shared" si="7"/>
        <v>79790.22891</v>
      </c>
      <c r="CF23" s="98">
        <f t="shared" si="7"/>
        <v>83241.01734</v>
      </c>
      <c r="CG23" s="98">
        <f t="shared" si="7"/>
        <v>86730.82737</v>
      </c>
      <c r="CH23" s="98">
        <f t="shared" si="7"/>
        <v>90503.16448</v>
      </c>
      <c r="CI23" s="98">
        <f t="shared" si="7"/>
        <v>94046.03102</v>
      </c>
      <c r="CJ23" s="98">
        <f t="shared" si="7"/>
        <v>100268.6353</v>
      </c>
      <c r="CK23" s="98">
        <f t="shared" si="7"/>
        <v>104099.04</v>
      </c>
      <c r="CL23" s="98">
        <f t="shared" si="7"/>
        <v>107738.8802</v>
      </c>
      <c r="CM23" s="98">
        <f t="shared" si="7"/>
        <v>109207.7068</v>
      </c>
      <c r="CN23" s="98">
        <f t="shared" si="7"/>
        <v>110676.5334</v>
      </c>
      <c r="CO23" s="98">
        <f t="shared" si="7"/>
        <v>110676.5334</v>
      </c>
      <c r="CP23" s="98">
        <f t="shared" si="7"/>
        <v>110676.5334</v>
      </c>
    </row>
    <row r="24" ht="12.75" customHeight="1">
      <c r="B24" s="98"/>
      <c r="C24" s="98"/>
      <c r="D24" s="98"/>
      <c r="E24" s="98"/>
      <c r="F24" s="98"/>
      <c r="G24" s="98"/>
      <c r="H24" s="98"/>
      <c r="I24" s="98"/>
    </row>
    <row r="25" ht="12.75" customHeight="1">
      <c r="B25" s="94"/>
    </row>
    <row r="26" ht="12.75" customHeight="1">
      <c r="A26" s="91" t="s">
        <v>302</v>
      </c>
    </row>
    <row r="27" ht="12.75" customHeight="1">
      <c r="A27" s="91" t="s">
        <v>303</v>
      </c>
      <c r="B27" s="167">
        <f>+'Rev 2'!V19+'Rev 2'!W19</f>
        <v>1693.561875</v>
      </c>
    </row>
    <row r="28" ht="12.75" customHeight="1">
      <c r="A28" s="91" t="s">
        <v>304</v>
      </c>
      <c r="B28" s="182">
        <f>+B14</f>
        <v>3.413333333</v>
      </c>
    </row>
    <row r="29" ht="12.75" customHeight="1">
      <c r="B29" s="98">
        <f>+B27*B28</f>
        <v>5780.691201</v>
      </c>
    </row>
    <row r="30" ht="12.75" customHeight="1">
      <c r="A30" s="91" t="s">
        <v>305</v>
      </c>
      <c r="B30" s="109">
        <v>-5000.0</v>
      </c>
    </row>
    <row r="31" ht="12.75" customHeight="1">
      <c r="A31" s="91" t="s">
        <v>306</v>
      </c>
      <c r="B31" s="98"/>
    </row>
    <row r="32" ht="12.75" customHeight="1">
      <c r="A32" s="91" t="s">
        <v>307</v>
      </c>
      <c r="B32" s="98">
        <f>SUM(B29:B30)</f>
        <v>780.6912013</v>
      </c>
    </row>
    <row r="33" ht="12.75" customHeight="1"/>
    <row r="34" ht="12.75" customHeight="1">
      <c r="C34" s="115" t="s">
        <v>308</v>
      </c>
    </row>
    <row r="35" ht="12.75" customHeight="1">
      <c r="C35" s="115" t="s">
        <v>309</v>
      </c>
    </row>
    <row r="36" ht="12.75" customHeight="1">
      <c r="A36" s="124" t="s">
        <v>310</v>
      </c>
      <c r="B36" s="115"/>
    </row>
    <row r="37" ht="12.75" customHeight="1">
      <c r="A37" s="115" t="s">
        <v>311</v>
      </c>
      <c r="B37" s="183">
        <v>0.95</v>
      </c>
      <c r="C37" s="183">
        <v>0.65</v>
      </c>
    </row>
    <row r="38" ht="12.75" customHeight="1">
      <c r="A38" s="115" t="s">
        <v>312</v>
      </c>
      <c r="B38" s="184">
        <v>0.13</v>
      </c>
      <c r="C38" s="184">
        <v>0.1</v>
      </c>
    </row>
    <row r="39" ht="12.75" customHeight="1">
      <c r="A39" s="115" t="s">
        <v>313</v>
      </c>
      <c r="B39" s="184">
        <f>0.15/6</f>
        <v>0.025</v>
      </c>
      <c r="C39" s="184">
        <f t="shared" ref="C39:C40" si="8">+B39*0.8</f>
        <v>0.02</v>
      </c>
    </row>
    <row r="40" ht="12.75" customHeight="1">
      <c r="A40" s="115" t="s">
        <v>314</v>
      </c>
      <c r="B40" s="185">
        <f>0.35/6</f>
        <v>0.05833333333</v>
      </c>
      <c r="C40" s="185">
        <f t="shared" si="8"/>
        <v>0.04666666667</v>
      </c>
    </row>
    <row r="41" ht="12.75" customHeight="1">
      <c r="A41" s="115" t="s">
        <v>315</v>
      </c>
      <c r="B41" s="186">
        <f t="shared" ref="B41:C41" si="9">SUM(B37:B40)</f>
        <v>1.163333333</v>
      </c>
      <c r="C41" s="186">
        <f t="shared" si="9"/>
        <v>0.8166666667</v>
      </c>
      <c r="E41" s="91"/>
      <c r="F41" s="91"/>
      <c r="G41" s="91"/>
      <c r="H41" s="91"/>
      <c r="I41" s="91"/>
      <c r="J41" s="91"/>
      <c r="K41" s="91"/>
      <c r="L41" s="91"/>
    </row>
    <row r="42" ht="12.75" customHeight="1">
      <c r="A42" s="115"/>
      <c r="B42" s="115"/>
      <c r="E42" s="91"/>
      <c r="F42" s="91"/>
      <c r="G42" s="91"/>
      <c r="H42" s="91"/>
      <c r="I42" s="91"/>
      <c r="J42" s="91"/>
      <c r="K42" s="91"/>
      <c r="L42" s="91"/>
    </row>
    <row r="43" ht="12.75" customHeight="1">
      <c r="A43" s="115"/>
      <c r="B43" s="115"/>
      <c r="E43" s="91"/>
      <c r="F43" s="91"/>
      <c r="G43" s="91"/>
      <c r="H43" s="91"/>
      <c r="I43" s="91"/>
      <c r="J43" s="91"/>
      <c r="K43" s="91"/>
      <c r="L43" s="91"/>
    </row>
    <row r="44" ht="12.75" customHeight="1">
      <c r="A44" s="124"/>
      <c r="B44" s="115"/>
      <c r="E44" s="91"/>
      <c r="F44" s="91"/>
      <c r="G44" s="91"/>
      <c r="H44" s="91"/>
      <c r="I44" s="91"/>
      <c r="J44" s="91"/>
      <c r="K44" s="91"/>
      <c r="L44" s="91"/>
    </row>
    <row r="45" ht="12.75" customHeight="1">
      <c r="A45" s="115"/>
      <c r="B45" s="186"/>
      <c r="E45" s="91"/>
      <c r="F45" s="91"/>
      <c r="G45" s="91"/>
      <c r="H45" s="115"/>
      <c r="I45" s="91"/>
      <c r="J45" s="91"/>
      <c r="K45" s="91"/>
      <c r="L45" s="91"/>
    </row>
    <row r="46" ht="12.75" customHeight="1">
      <c r="A46" s="115"/>
      <c r="B46" s="186"/>
      <c r="E46" s="91"/>
      <c r="F46" s="91"/>
      <c r="G46" s="91"/>
      <c r="H46" s="115"/>
      <c r="I46" s="91"/>
      <c r="J46" s="91"/>
      <c r="K46" s="91"/>
      <c r="L46" s="91"/>
    </row>
    <row r="47" ht="12.75" customHeight="1">
      <c r="A47" s="115"/>
      <c r="B47" s="187"/>
      <c r="E47" s="116"/>
      <c r="F47" s="115"/>
      <c r="G47" s="116"/>
      <c r="H47" s="115"/>
      <c r="I47" s="91"/>
      <c r="J47" s="91"/>
      <c r="K47" s="91"/>
      <c r="L47" s="91"/>
    </row>
    <row r="48" ht="12.75" customHeight="1">
      <c r="B48" s="91"/>
      <c r="E48" s="91"/>
      <c r="F48" s="91"/>
      <c r="G48" s="91"/>
      <c r="H48" s="91"/>
      <c r="I48" s="91"/>
      <c r="J48" s="91"/>
      <c r="K48" s="91"/>
      <c r="L48" s="91"/>
    </row>
    <row r="49" ht="12.75" customHeight="1">
      <c r="A49" s="115"/>
      <c r="B49" s="116"/>
      <c r="E49" s="116"/>
      <c r="F49" s="91"/>
      <c r="G49" s="91"/>
      <c r="H49" s="91"/>
      <c r="I49" s="91"/>
      <c r="J49" s="91"/>
      <c r="K49" s="91"/>
      <c r="L49" s="91"/>
    </row>
    <row r="50" ht="12.75" customHeight="1">
      <c r="B50" s="91"/>
      <c r="E50" s="91"/>
      <c r="F50" s="91"/>
      <c r="G50" s="91"/>
      <c r="H50" s="91"/>
      <c r="I50" s="91"/>
      <c r="J50" s="91"/>
      <c r="K50" s="91"/>
      <c r="L50" s="91"/>
    </row>
    <row r="51" ht="12.75" customHeight="1">
      <c r="A51" s="115"/>
      <c r="B51" s="91"/>
      <c r="E51" s="116"/>
      <c r="F51" s="91"/>
      <c r="G51" s="91"/>
      <c r="H51" s="91"/>
      <c r="I51" s="116"/>
      <c r="J51" s="91"/>
      <c r="K51" s="91"/>
      <c r="L51" s="91"/>
    </row>
    <row r="52" ht="12.75" customHeight="1">
      <c r="E52" s="91"/>
      <c r="F52" s="91"/>
      <c r="G52" s="91"/>
      <c r="H52" s="91"/>
      <c r="I52" s="91"/>
      <c r="J52" s="91"/>
      <c r="K52" s="91"/>
      <c r="L52" s="91"/>
    </row>
    <row r="53" ht="12.75" customHeight="1">
      <c r="A53" s="115"/>
      <c r="B53" s="116"/>
      <c r="E53" s="91"/>
      <c r="F53" s="91"/>
      <c r="G53" s="91"/>
      <c r="H53" s="91"/>
      <c r="I53" s="91"/>
      <c r="J53" s="91"/>
      <c r="K53" s="91"/>
      <c r="L53" s="91"/>
    </row>
    <row r="54" ht="12.75" customHeight="1">
      <c r="E54" s="91"/>
      <c r="F54" s="91"/>
      <c r="G54" s="91"/>
      <c r="H54" s="91"/>
      <c r="I54" s="91"/>
      <c r="J54" s="91"/>
      <c r="K54" s="91"/>
      <c r="L54" s="91"/>
    </row>
    <row r="55" ht="12.75" customHeight="1">
      <c r="E55" s="91"/>
      <c r="F55" s="91"/>
      <c r="G55" s="91"/>
      <c r="H55" s="91"/>
      <c r="I55" s="91"/>
      <c r="J55" s="91"/>
      <c r="K55" s="91"/>
      <c r="L55" s="91"/>
    </row>
    <row r="56" ht="12.75" customHeight="1">
      <c r="E56" s="91"/>
      <c r="F56" s="91"/>
      <c r="G56" s="91"/>
      <c r="H56" s="91"/>
      <c r="I56" s="91"/>
      <c r="J56" s="91"/>
      <c r="K56" s="91"/>
      <c r="L56" s="91"/>
    </row>
    <row r="57" ht="12.75" customHeight="1">
      <c r="E57" s="91"/>
      <c r="F57" s="91"/>
      <c r="G57" s="91"/>
      <c r="H57" s="91"/>
      <c r="I57" s="91"/>
      <c r="J57" s="91"/>
      <c r="K57" s="91"/>
      <c r="L57" s="91"/>
    </row>
    <row r="58" ht="12.75" customHeight="1">
      <c r="E58" s="91"/>
      <c r="F58" s="91"/>
      <c r="G58" s="91"/>
      <c r="H58" s="91"/>
      <c r="I58" s="91"/>
      <c r="J58" s="91"/>
      <c r="K58" s="91"/>
      <c r="L58" s="91"/>
    </row>
    <row r="59" ht="12.75" customHeight="1">
      <c r="E59" s="91"/>
      <c r="F59" s="91"/>
      <c r="G59" s="91"/>
      <c r="H59" s="91"/>
      <c r="I59" s="91"/>
      <c r="J59" s="91"/>
      <c r="K59" s="91"/>
      <c r="L59" s="91"/>
    </row>
    <row r="60" ht="12.75" customHeight="1">
      <c r="E60" s="91"/>
      <c r="F60" s="91"/>
      <c r="G60" s="91"/>
      <c r="H60" s="91"/>
      <c r="I60" s="91"/>
      <c r="J60" s="91"/>
      <c r="K60" s="91"/>
      <c r="L60" s="91"/>
    </row>
    <row r="61" ht="12.75" customHeight="1">
      <c r="E61" s="91"/>
      <c r="F61" s="91"/>
      <c r="G61" s="91"/>
      <c r="H61" s="91"/>
      <c r="I61" s="91"/>
      <c r="J61" s="91"/>
      <c r="K61" s="91"/>
      <c r="L61" s="91"/>
    </row>
    <row r="62" ht="12.75" customHeight="1">
      <c r="E62" s="91"/>
      <c r="F62" s="91"/>
      <c r="G62" s="91"/>
      <c r="H62" s="91"/>
      <c r="I62" s="91"/>
      <c r="J62" s="91"/>
      <c r="K62" s="91"/>
      <c r="L62" s="91"/>
    </row>
    <row r="63" ht="12.75" customHeight="1">
      <c r="E63" s="91"/>
      <c r="F63" s="91"/>
      <c r="G63" s="91"/>
      <c r="H63" s="91"/>
      <c r="I63" s="91"/>
      <c r="J63" s="91"/>
      <c r="K63" s="91"/>
      <c r="L63" s="91"/>
    </row>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F2"/>
    <mergeCell ref="A3:M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1.0" topLeftCell="B12" activePane="bottomRight" state="frozen"/>
      <selection activeCell="B1" sqref="B1" pane="topRight"/>
      <selection activeCell="A12" sqref="A12" pane="bottomLeft"/>
      <selection activeCell="B12" sqref="B12" pane="bottomRight"/>
    </sheetView>
  </sheetViews>
  <sheetFormatPr customHeight="1" defaultColWidth="14.43" defaultRowHeight="15.0"/>
  <cols>
    <col customWidth="1" min="1" max="1" width="48.29"/>
    <col customWidth="1" hidden="1" min="2" max="42" width="12.71"/>
    <col hidden="1" min="43" max="45" width="14.43"/>
  </cols>
  <sheetData>
    <row r="1" ht="12.75" customHeight="1">
      <c r="AO1" s="91"/>
      <c r="AP1" s="91"/>
      <c r="AQ1" s="91"/>
      <c r="AR1" s="91"/>
      <c r="AS1" s="91"/>
      <c r="AT1" s="91"/>
      <c r="AU1" s="91"/>
      <c r="AV1" s="91"/>
      <c r="AW1" s="91"/>
      <c r="AX1" s="91"/>
      <c r="AY1" s="91"/>
      <c r="AZ1" s="91"/>
      <c r="BA1" s="91"/>
      <c r="BB1" s="91"/>
      <c r="BC1" s="91"/>
      <c r="BD1" s="91"/>
      <c r="BE1" s="91"/>
      <c r="BF1" s="91"/>
      <c r="BG1" s="91"/>
      <c r="BH1" s="91"/>
      <c r="BI1" s="91"/>
    </row>
    <row r="2" ht="12.75" customHeight="1">
      <c r="AO2" s="91"/>
      <c r="AP2" s="91"/>
      <c r="AQ2" s="91"/>
      <c r="AR2" s="91"/>
      <c r="AS2" s="91"/>
      <c r="AT2" s="91"/>
      <c r="AU2" s="91"/>
      <c r="AV2" s="91"/>
      <c r="AW2" s="91"/>
      <c r="AX2" s="91"/>
      <c r="AY2" s="91"/>
      <c r="AZ2" s="91"/>
      <c r="BA2" s="91"/>
      <c r="BB2" s="91"/>
      <c r="BC2" s="91"/>
      <c r="BD2" s="91"/>
      <c r="BE2" s="91"/>
      <c r="BF2" s="91"/>
      <c r="BG2" s="91"/>
      <c r="BH2" s="91"/>
      <c r="BI2" s="91"/>
    </row>
    <row r="3" ht="30.0" customHeight="1">
      <c r="A3" s="92"/>
      <c r="B3" s="34"/>
      <c r="C3" s="34"/>
      <c r="D3" s="34"/>
      <c r="E3" s="34"/>
      <c r="F3" s="34"/>
      <c r="G3" s="34"/>
      <c r="H3" s="34"/>
      <c r="I3" s="34"/>
      <c r="J3" s="34"/>
      <c r="K3" s="34"/>
      <c r="L3" s="34"/>
      <c r="M3" s="35"/>
      <c r="AJ3" s="103"/>
      <c r="AO3" s="91"/>
      <c r="AP3" s="91"/>
      <c r="AQ3" s="91"/>
      <c r="AR3" s="91"/>
      <c r="AS3" s="91"/>
      <c r="AT3" s="91"/>
      <c r="AU3" s="91"/>
      <c r="AV3" s="91"/>
      <c r="AW3" s="91"/>
      <c r="AX3" s="91"/>
      <c r="AY3" s="91"/>
      <c r="AZ3" s="91"/>
      <c r="BA3" s="91"/>
      <c r="BB3" s="91"/>
      <c r="BC3" s="91"/>
      <c r="BD3" s="91"/>
      <c r="BE3" s="91"/>
      <c r="BF3" s="91"/>
      <c r="BG3" s="91"/>
      <c r="BH3" s="91"/>
      <c r="BI3" s="91"/>
    </row>
    <row r="4" ht="30.0" customHeight="1">
      <c r="A4" s="92" t="s">
        <v>316</v>
      </c>
      <c r="B4" s="34"/>
      <c r="C4" s="34"/>
      <c r="D4" s="34"/>
      <c r="E4" s="34"/>
      <c r="F4" s="34"/>
      <c r="G4" s="34"/>
      <c r="H4" s="34"/>
      <c r="I4" s="34"/>
      <c r="J4" s="34"/>
      <c r="K4" s="34"/>
      <c r="L4" s="34"/>
      <c r="M4" s="35"/>
      <c r="N4" s="115"/>
      <c r="O4" s="115"/>
      <c r="P4" s="115"/>
      <c r="Q4" s="115"/>
      <c r="R4" s="115"/>
      <c r="AO4" s="91"/>
      <c r="AP4" s="91"/>
      <c r="AQ4" s="91"/>
      <c r="AR4" s="91"/>
      <c r="AS4" s="91"/>
      <c r="AT4" s="91"/>
      <c r="AU4" s="91"/>
      <c r="AV4" s="91"/>
      <c r="AW4" s="91"/>
      <c r="AX4" s="91"/>
      <c r="AY4" s="91"/>
      <c r="AZ4" s="91"/>
      <c r="BA4" s="91"/>
      <c r="BB4" s="91"/>
      <c r="BC4" s="91"/>
      <c r="BD4" s="91"/>
      <c r="BE4" s="91"/>
      <c r="BF4" s="91"/>
      <c r="BG4" s="91"/>
      <c r="BH4" s="91"/>
      <c r="BI4" s="91"/>
    </row>
    <row r="5" ht="12.75" customHeight="1">
      <c r="AO5" s="91"/>
      <c r="AP5" s="91"/>
      <c r="AQ5" s="91"/>
      <c r="AR5" s="91"/>
      <c r="AS5" s="91"/>
      <c r="AT5" s="91"/>
      <c r="AU5" s="91"/>
      <c r="AV5" s="91"/>
      <c r="AW5" s="91"/>
      <c r="AX5" s="91"/>
      <c r="AY5" s="91"/>
      <c r="AZ5" s="91"/>
      <c r="BA5" s="91"/>
      <c r="BB5" s="91"/>
      <c r="BC5" s="91"/>
      <c r="BD5" s="91"/>
      <c r="BE5" s="91"/>
      <c r="BF5" s="91"/>
      <c r="BG5" s="91"/>
      <c r="BH5" s="91"/>
      <c r="BI5" s="91"/>
    </row>
    <row r="6" ht="12.75" customHeight="1">
      <c r="AO6" s="91"/>
      <c r="AP6" s="91"/>
      <c r="AQ6" s="91"/>
      <c r="AR6" s="91"/>
      <c r="AS6" s="91"/>
      <c r="AT6" s="91"/>
      <c r="AU6" s="91"/>
      <c r="AV6" s="91"/>
      <c r="AW6" s="91"/>
      <c r="AX6" s="91"/>
      <c r="AY6" s="91"/>
      <c r="AZ6" s="91"/>
      <c r="BA6" s="91"/>
      <c r="BB6" s="91"/>
      <c r="BC6" s="91"/>
      <c r="BD6" s="91"/>
      <c r="BE6" s="91"/>
      <c r="BF6" s="91"/>
      <c r="BG6" s="91"/>
      <c r="BH6" s="91"/>
      <c r="BI6" s="91"/>
    </row>
    <row r="7" ht="12.75" customHeight="1">
      <c r="AO7" s="91"/>
      <c r="AP7" s="91"/>
      <c r="AQ7" s="91"/>
      <c r="AR7" s="91"/>
      <c r="AS7" s="91"/>
      <c r="AT7" s="91"/>
      <c r="AU7" s="91"/>
      <c r="AV7" s="91"/>
      <c r="AW7" s="91"/>
      <c r="AX7" s="91"/>
      <c r="AY7" s="91"/>
      <c r="AZ7" s="91"/>
      <c r="BA7" s="91"/>
      <c r="BB7" s="91"/>
      <c r="BC7" s="91"/>
      <c r="BD7" s="91"/>
      <c r="BE7" s="91"/>
      <c r="BF7" s="91"/>
      <c r="BG7" s="91"/>
      <c r="BH7" s="91"/>
      <c r="BI7" s="91"/>
    </row>
    <row r="8" ht="12.75" customHeight="1">
      <c r="AO8" s="91"/>
      <c r="AP8" s="91"/>
      <c r="AQ8" s="91"/>
      <c r="AR8" s="91"/>
      <c r="AS8" s="91"/>
      <c r="AT8" s="91"/>
      <c r="AU8" s="91"/>
      <c r="AV8" s="91"/>
      <c r="AW8" s="91"/>
      <c r="AX8" s="91"/>
      <c r="AY8" s="91"/>
      <c r="AZ8" s="91"/>
      <c r="BA8" s="91"/>
      <c r="BB8" s="91"/>
      <c r="BC8" s="91"/>
      <c r="BD8" s="91"/>
      <c r="BE8" s="91"/>
      <c r="BF8" s="91"/>
      <c r="BG8" s="91"/>
      <c r="BH8" s="91"/>
      <c r="BI8" s="91"/>
    </row>
    <row r="9" ht="12.75" customHeight="1">
      <c r="B9" s="96">
        <f>+'P&amp;L Cash Flow Monthly'!B8</f>
        <v>43951</v>
      </c>
      <c r="C9" s="96">
        <f>+'P&amp;L Cash Flow Monthly'!C8</f>
        <v>43982</v>
      </c>
      <c r="D9" s="96">
        <f>+'P&amp;L Cash Flow Monthly'!D8</f>
        <v>44012</v>
      </c>
      <c r="E9" s="96">
        <f>+'P&amp;L Cash Flow Monthly'!E8</f>
        <v>44043</v>
      </c>
      <c r="F9" s="96">
        <f>+'P&amp;L Cash Flow Monthly'!F8</f>
        <v>44074</v>
      </c>
      <c r="G9" s="96">
        <f>+'P&amp;L Cash Flow Monthly'!G8</f>
        <v>44104</v>
      </c>
      <c r="H9" s="96">
        <f>+'P&amp;L Cash Flow Monthly'!H8</f>
        <v>44135</v>
      </c>
      <c r="I9" s="96">
        <f>+'P&amp;L Cash Flow Monthly'!I8</f>
        <v>44165</v>
      </c>
      <c r="J9" s="96">
        <f>+'P&amp;L Cash Flow Monthly'!J8</f>
        <v>44196</v>
      </c>
      <c r="K9" s="96">
        <f>+'P&amp;L Cash Flow Monthly'!K8</f>
        <v>44227</v>
      </c>
      <c r="L9" s="96">
        <f>+'P&amp;L Cash Flow Monthly'!L8</f>
        <v>44255</v>
      </c>
      <c r="M9" s="96">
        <f>+'P&amp;L Cash Flow Monthly'!M8</f>
        <v>44286</v>
      </c>
      <c r="N9" s="96">
        <f>+'P&amp;L Cash Flow Monthly'!N8</f>
        <v>44316</v>
      </c>
      <c r="O9" s="96">
        <f>+'P&amp;L Cash Flow Monthly'!O8</f>
        <v>44347</v>
      </c>
      <c r="P9" s="96">
        <f>+'P&amp;L Cash Flow Monthly'!P8</f>
        <v>44377</v>
      </c>
      <c r="Q9" s="96">
        <f>+'P&amp;L Cash Flow Monthly'!Q8</f>
        <v>44408</v>
      </c>
      <c r="R9" s="96">
        <f>+'P&amp;L Cash Flow Monthly'!R8</f>
        <v>44439</v>
      </c>
      <c r="S9" s="96">
        <f>+'P&amp;L Cash Flow Monthly'!S8</f>
        <v>44469</v>
      </c>
      <c r="T9" s="96">
        <f>+'P&amp;L Cash Flow Monthly'!T8</f>
        <v>44500</v>
      </c>
      <c r="U9" s="96">
        <f>+'P&amp;L Cash Flow Monthly'!U8</f>
        <v>44530</v>
      </c>
      <c r="V9" s="96">
        <f>+'P&amp;L Cash Flow Monthly'!V8</f>
        <v>44561</v>
      </c>
      <c r="W9" s="96">
        <f>+'P&amp;L Cash Flow Monthly'!W8</f>
        <v>44592</v>
      </c>
      <c r="X9" s="96">
        <f>+'P&amp;L Cash Flow Monthly'!X8</f>
        <v>44620</v>
      </c>
      <c r="Y9" s="96">
        <f>+'P&amp;L Cash Flow Monthly'!Y8</f>
        <v>44651</v>
      </c>
      <c r="Z9" s="96">
        <f>+'P&amp;L Cash Flow Monthly'!Z8</f>
        <v>44681</v>
      </c>
      <c r="AA9" s="96">
        <f>+'P&amp;L Cash Flow Monthly'!AA8</f>
        <v>44712</v>
      </c>
      <c r="AB9" s="96">
        <f>+'P&amp;L Cash Flow Monthly'!AB8</f>
        <v>44742</v>
      </c>
      <c r="AC9" s="96">
        <f>+'P&amp;L Cash Flow Monthly'!AC8</f>
        <v>44773</v>
      </c>
      <c r="AD9" s="96">
        <f>+'P&amp;L Cash Flow Monthly'!AD8</f>
        <v>44804</v>
      </c>
      <c r="AE9" s="96">
        <f>+'P&amp;L Cash Flow Monthly'!AE8</f>
        <v>44834</v>
      </c>
      <c r="AF9" s="96">
        <f>+'P&amp;L Cash Flow Monthly'!AF8</f>
        <v>44865</v>
      </c>
      <c r="AG9" s="96">
        <f>+'P&amp;L Cash Flow Monthly'!AG8</f>
        <v>44895</v>
      </c>
      <c r="AH9" s="96">
        <f>+'P&amp;L Cash Flow Monthly'!AH8</f>
        <v>44926</v>
      </c>
      <c r="AI9" s="96">
        <f>+'P&amp;L Cash Flow Monthly'!AI8</f>
        <v>44957</v>
      </c>
      <c r="AJ9" s="96">
        <f>+'P&amp;L Cash Flow Monthly'!AJ8</f>
        <v>44985</v>
      </c>
      <c r="AK9" s="96">
        <f>+'P&amp;L Cash Flow Monthly'!AK8</f>
        <v>45016</v>
      </c>
      <c r="AL9" s="96">
        <f>+'P&amp;L Cash Flow Monthly'!AL8</f>
        <v>45046</v>
      </c>
      <c r="AM9" s="96">
        <f>+'P&amp;L Cash Flow Monthly'!AM8</f>
        <v>45077</v>
      </c>
      <c r="AN9" s="96">
        <f>+'P&amp;L Cash Flow Monthly'!AN8</f>
        <v>45107</v>
      </c>
      <c r="AO9" s="96">
        <f>+'P&amp;L Cash Flow Monthly'!AO8</f>
        <v>45138</v>
      </c>
      <c r="AP9" s="96">
        <f>+'P&amp;L Cash Flow Monthly'!AP8</f>
        <v>45169</v>
      </c>
      <c r="AQ9" s="96">
        <f>+'P&amp;L Cash Flow Monthly'!AQ8</f>
        <v>45199</v>
      </c>
      <c r="AR9" s="96">
        <f>+'P&amp;L Cash Flow Monthly'!AR8</f>
        <v>45230</v>
      </c>
      <c r="AS9" s="96">
        <f>+'P&amp;L Cash Flow Monthly'!AS8</f>
        <v>45260</v>
      </c>
      <c r="AT9" s="96">
        <f>+'P&amp;L Cash Flow Monthly'!AT8</f>
        <v>45291</v>
      </c>
      <c r="AU9" s="96">
        <f>+'P&amp;L Cash Flow Monthly'!AU8</f>
        <v>45322</v>
      </c>
      <c r="AV9" s="96">
        <f>+'P&amp;L Cash Flow Monthly'!AV8</f>
        <v>45351</v>
      </c>
      <c r="AW9" s="96">
        <f>+'P&amp;L Cash Flow Monthly'!AW8</f>
        <v>45382</v>
      </c>
      <c r="AX9" s="96">
        <f>+'P&amp;L Cash Flow Monthly'!AX8</f>
        <v>45412</v>
      </c>
      <c r="AY9" s="96">
        <f>+'P&amp;L Cash Flow Monthly'!AY8</f>
        <v>45443</v>
      </c>
      <c r="AZ9" s="96">
        <f>+'P&amp;L Cash Flow Monthly'!AZ8</f>
        <v>45473</v>
      </c>
      <c r="BA9" s="96">
        <f>+'P&amp;L Cash Flow Monthly'!BA8</f>
        <v>45504</v>
      </c>
      <c r="BB9" s="96">
        <f>+'P&amp;L Cash Flow Monthly'!BB8</f>
        <v>45535</v>
      </c>
      <c r="BC9" s="96">
        <f>+'P&amp;L Cash Flow Monthly'!BC8</f>
        <v>45565</v>
      </c>
      <c r="BD9" s="96">
        <f>+'P&amp;L Cash Flow Monthly'!BD8</f>
        <v>45596</v>
      </c>
      <c r="BE9" s="96">
        <f>+'P&amp;L Cash Flow Monthly'!BE8</f>
        <v>45626</v>
      </c>
      <c r="BF9" s="96">
        <f>+'P&amp;L Cash Flow Monthly'!BF8</f>
        <v>45657</v>
      </c>
      <c r="BG9" s="96">
        <f>+'P&amp;L Cash Flow Monthly'!BG8</f>
        <v>45688</v>
      </c>
      <c r="BH9" s="96">
        <f>+'P&amp;L Cash Flow Monthly'!BH8</f>
        <v>45716</v>
      </c>
      <c r="BI9" s="96">
        <f>+'P&amp;L Cash Flow Monthly'!BI8</f>
        <v>45747</v>
      </c>
      <c r="BJ9" s="96">
        <f>+'P&amp;L Cash Flow Monthly'!BJ8</f>
        <v>45777</v>
      </c>
      <c r="BK9" s="96">
        <f>+'P&amp;L Cash Flow Monthly'!BK8</f>
        <v>45808</v>
      </c>
      <c r="BL9" s="96">
        <f>+'P&amp;L Cash Flow Monthly'!BL8</f>
        <v>45838</v>
      </c>
      <c r="BM9" s="96">
        <f>+'P&amp;L Cash Flow Monthly'!BM8</f>
        <v>45869</v>
      </c>
      <c r="BN9" s="96">
        <f>+'P&amp;L Cash Flow Monthly'!BN8</f>
        <v>45900</v>
      </c>
      <c r="BO9" s="96">
        <f>+'P&amp;L Cash Flow Monthly'!BO8</f>
        <v>45930</v>
      </c>
      <c r="BP9" s="96">
        <f>+'P&amp;L Cash Flow Monthly'!BP8</f>
        <v>45961</v>
      </c>
      <c r="BQ9" s="96">
        <f>+'P&amp;L Cash Flow Monthly'!BQ8</f>
        <v>45991</v>
      </c>
      <c r="BR9" s="96">
        <f>+'P&amp;L Cash Flow Monthly'!BR8</f>
        <v>46022</v>
      </c>
      <c r="BS9" s="96">
        <f>+'P&amp;L Cash Flow Monthly'!BS8</f>
        <v>46053</v>
      </c>
      <c r="BT9" s="96">
        <f>+'P&amp;L Cash Flow Monthly'!BT8</f>
        <v>46081</v>
      </c>
      <c r="BU9" s="96">
        <f>+'P&amp;L Cash Flow Monthly'!BU8</f>
        <v>46112</v>
      </c>
      <c r="BV9" s="96">
        <f>+'P&amp;L Cash Flow Monthly'!BV8</f>
        <v>46142</v>
      </c>
      <c r="BW9" s="96">
        <f>+'P&amp;L Cash Flow Monthly'!BW8</f>
        <v>46173</v>
      </c>
      <c r="BX9" s="96">
        <f>+'P&amp;L Cash Flow Monthly'!BX8</f>
        <v>46203</v>
      </c>
      <c r="BY9" s="96">
        <f>+'P&amp;L Cash Flow Monthly'!BY8</f>
        <v>46234</v>
      </c>
      <c r="BZ9" s="96">
        <f>+'P&amp;L Cash Flow Monthly'!BZ8</f>
        <v>46265</v>
      </c>
      <c r="CA9" s="96">
        <f>+'P&amp;L Cash Flow Monthly'!CA8</f>
        <v>46295</v>
      </c>
      <c r="CB9" s="96">
        <f>+'P&amp;L Cash Flow Monthly'!CB8</f>
        <v>46326</v>
      </c>
      <c r="CC9" s="96">
        <f>+'P&amp;L Cash Flow Monthly'!CC8</f>
        <v>46356</v>
      </c>
      <c r="CD9" s="96">
        <f>+'P&amp;L Cash Flow Monthly'!CD8</f>
        <v>46387</v>
      </c>
      <c r="CE9" s="96">
        <f>+'P&amp;L Cash Flow Monthly'!CE8</f>
        <v>46418</v>
      </c>
      <c r="CF9" s="96">
        <f>+'P&amp;L Cash Flow Monthly'!CF8</f>
        <v>46446</v>
      </c>
      <c r="CG9" s="96">
        <f>+'P&amp;L Cash Flow Monthly'!CG8</f>
        <v>46477</v>
      </c>
      <c r="CH9" s="96">
        <f>+'P&amp;L Cash Flow Monthly'!CH8</f>
        <v>46507</v>
      </c>
      <c r="CI9" s="96">
        <f>+'P&amp;L Cash Flow Monthly'!CI8</f>
        <v>46538</v>
      </c>
      <c r="CJ9" s="96">
        <f>+'P&amp;L Cash Flow Monthly'!CJ8</f>
        <v>46568</v>
      </c>
      <c r="CK9" s="96">
        <f>+'P&amp;L Cash Flow Monthly'!CK8</f>
        <v>46599</v>
      </c>
      <c r="CL9" s="96">
        <f>+'P&amp;L Cash Flow Monthly'!CL8</f>
        <v>46630</v>
      </c>
      <c r="CM9" s="96">
        <f>+'P&amp;L Cash Flow Monthly'!CM8</f>
        <v>46660</v>
      </c>
      <c r="CN9" s="96">
        <f>+'P&amp;L Cash Flow Monthly'!CN8</f>
        <v>46691</v>
      </c>
      <c r="CO9" s="96">
        <f>+'P&amp;L Cash Flow Monthly'!CO8</f>
        <v>46721</v>
      </c>
      <c r="CP9" s="96">
        <f>+'P&amp;L Cash Flow Monthly'!CP8</f>
        <v>46752</v>
      </c>
      <c r="CQ9" s="96"/>
      <c r="CR9" s="96"/>
      <c r="CS9" s="96"/>
      <c r="CT9" s="96"/>
      <c r="CU9" s="96"/>
      <c r="CV9" s="96"/>
      <c r="CW9" s="96"/>
      <c r="CX9" s="96"/>
      <c r="CY9" s="96"/>
      <c r="CZ9" s="96"/>
      <c r="DA9" s="96"/>
      <c r="DB9" s="96"/>
      <c r="DC9" s="96"/>
      <c r="DD9" s="96"/>
      <c r="DE9" s="96"/>
      <c r="DF9" s="96"/>
      <c r="DG9" s="96"/>
      <c r="DH9" s="96"/>
      <c r="DI9" s="96"/>
      <c r="DJ9" s="96"/>
    </row>
    <row r="10" ht="12.75" customHeight="1">
      <c r="A10" s="115" t="s">
        <v>317</v>
      </c>
      <c r="B10" s="188"/>
      <c r="C10" s="188"/>
      <c r="D10" s="188"/>
      <c r="E10" s="188"/>
      <c r="F10" s="188"/>
      <c r="G10" s="188"/>
      <c r="H10" s="189"/>
      <c r="I10" s="189"/>
      <c r="J10" s="188"/>
      <c r="K10" s="115"/>
      <c r="L10" s="91"/>
      <c r="M10" s="91"/>
      <c r="AO10" s="91"/>
      <c r="AP10" s="91"/>
      <c r="AQ10" s="91"/>
      <c r="AR10" s="91"/>
      <c r="AS10" s="91"/>
      <c r="AT10" s="91"/>
      <c r="AU10" s="91"/>
      <c r="AV10" s="91"/>
      <c r="AW10" s="91"/>
      <c r="AX10" s="91"/>
      <c r="AY10" s="91"/>
      <c r="AZ10" s="91"/>
      <c r="BA10" s="91"/>
      <c r="BB10" s="91"/>
      <c r="BC10" s="91"/>
      <c r="BD10" s="91"/>
      <c r="BE10" s="91"/>
      <c r="BF10" s="91"/>
      <c r="BG10" s="91"/>
      <c r="BH10" s="91"/>
      <c r="BI10" s="91"/>
    </row>
    <row r="11" ht="12.75" customHeight="1">
      <c r="A11" s="115"/>
      <c r="B11" s="91"/>
      <c r="C11" s="91"/>
      <c r="D11" s="91"/>
      <c r="E11" s="91"/>
      <c r="F11" s="91"/>
      <c r="G11" s="91"/>
      <c r="H11" s="91"/>
      <c r="I11" s="91"/>
      <c r="J11" s="91"/>
      <c r="K11" s="91"/>
      <c r="L11" s="91"/>
      <c r="M11" s="91"/>
      <c r="AO11" s="91"/>
      <c r="AP11" s="91"/>
      <c r="AQ11" s="91"/>
      <c r="AR11" s="91"/>
      <c r="AS11" s="91"/>
      <c r="AT11" s="91"/>
      <c r="AU11" s="91"/>
      <c r="AV11" s="91"/>
      <c r="AW11" s="91"/>
      <c r="AX11" s="91"/>
      <c r="AY11" s="91"/>
      <c r="AZ11" s="91"/>
      <c r="BA11" s="91"/>
      <c r="BB11" s="91"/>
      <c r="BC11" s="91"/>
      <c r="BD11" s="91"/>
      <c r="BE11" s="91"/>
      <c r="BF11" s="91"/>
      <c r="BG11" s="91"/>
      <c r="BH11" s="91"/>
      <c r="BI11" s="91"/>
    </row>
    <row r="12" ht="12.75" customHeight="1">
      <c r="A12" s="115"/>
      <c r="B12" s="91"/>
      <c r="C12" s="91"/>
      <c r="D12" s="91"/>
      <c r="E12" s="91"/>
      <c r="F12" s="91"/>
      <c r="G12" s="91"/>
      <c r="H12" s="91"/>
      <c r="I12" s="91"/>
      <c r="J12" s="91"/>
      <c r="K12" s="91"/>
      <c r="L12" s="91"/>
      <c r="M12" s="91"/>
      <c r="AO12" s="91"/>
      <c r="AP12" s="91"/>
      <c r="AQ12" s="91"/>
      <c r="AR12" s="91"/>
      <c r="AS12" s="91"/>
      <c r="AT12" s="91"/>
      <c r="AU12" s="91"/>
      <c r="AV12" s="91"/>
      <c r="AW12" s="91"/>
      <c r="AX12" s="91"/>
      <c r="AY12" s="91"/>
      <c r="AZ12" s="91"/>
      <c r="BA12" s="91"/>
      <c r="BB12" s="91"/>
      <c r="BC12" s="91"/>
      <c r="BD12" s="91"/>
      <c r="BE12" s="91"/>
      <c r="BF12" s="91"/>
      <c r="BG12" s="91"/>
      <c r="BH12" s="91"/>
      <c r="BI12" s="91"/>
    </row>
    <row r="13" ht="12.75" customHeight="1">
      <c r="A13" s="190" t="s">
        <v>318</v>
      </c>
      <c r="B13" s="191"/>
      <c r="C13" s="191"/>
      <c r="D13" s="191"/>
      <c r="E13" s="191"/>
      <c r="F13" s="191"/>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c r="BO13" s="191"/>
      <c r="BP13" s="191"/>
      <c r="BQ13" s="191"/>
      <c r="BR13" s="191"/>
      <c r="BS13" s="191"/>
      <c r="BT13" s="191"/>
      <c r="BU13" s="191"/>
      <c r="BV13" s="191"/>
      <c r="BW13" s="191"/>
      <c r="BX13" s="191"/>
      <c r="BY13" s="191"/>
      <c r="BZ13" s="191"/>
      <c r="CA13" s="191"/>
      <c r="CB13" s="191"/>
      <c r="CC13" s="191"/>
      <c r="CD13" s="191"/>
      <c r="CE13" s="191"/>
      <c r="CF13" s="191"/>
      <c r="CG13" s="191"/>
      <c r="CH13" s="191"/>
      <c r="CI13" s="191"/>
      <c r="CJ13" s="191"/>
      <c r="CK13" s="191"/>
      <c r="CL13" s="191"/>
      <c r="CM13" s="191"/>
      <c r="CN13" s="191"/>
      <c r="CO13" s="191"/>
      <c r="CP13" s="191"/>
    </row>
    <row r="14" ht="12.75" customHeight="1">
      <c r="A14" s="190" t="s">
        <v>319</v>
      </c>
      <c r="B14" s="191"/>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1"/>
      <c r="CD14" s="191"/>
      <c r="CE14" s="191"/>
      <c r="CF14" s="191"/>
      <c r="CG14" s="191"/>
      <c r="CH14" s="191"/>
      <c r="CI14" s="191"/>
      <c r="CJ14" s="191"/>
      <c r="CK14" s="191"/>
      <c r="CL14" s="191"/>
      <c r="CM14" s="191"/>
      <c r="CN14" s="191"/>
      <c r="CO14" s="191"/>
      <c r="CP14" s="191"/>
    </row>
    <row r="15" ht="12.75" customHeight="1">
      <c r="A15" s="190" t="s">
        <v>320</v>
      </c>
      <c r="B15" s="191"/>
      <c r="C15" s="191"/>
      <c r="D15" s="191"/>
      <c r="E15" s="191"/>
      <c r="F15" s="191"/>
      <c r="G15" s="191"/>
      <c r="H15" s="191"/>
      <c r="I15" s="191"/>
      <c r="J15" s="191"/>
      <c r="K15" s="191"/>
      <c r="L15" s="191"/>
      <c r="M15" s="191"/>
      <c r="N15" s="191"/>
      <c r="O15" s="191"/>
      <c r="P15" s="191"/>
      <c r="Q15" s="191"/>
      <c r="R15" s="191"/>
      <c r="S15" s="191"/>
      <c r="T15" s="191"/>
      <c r="U15" s="191"/>
      <c r="V15" s="191"/>
      <c r="W15" s="191"/>
      <c r="X15" s="191"/>
      <c r="Y15" s="191"/>
      <c r="Z15" s="191"/>
      <c r="AA15" s="191"/>
      <c r="AB15" s="191"/>
      <c r="AC15" s="191"/>
      <c r="AD15" s="191"/>
      <c r="AE15" s="191"/>
      <c r="AF15" s="191"/>
      <c r="AG15" s="191"/>
      <c r="AH15" s="191"/>
      <c r="AI15" s="191"/>
      <c r="AJ15" s="191">
        <v>0.0</v>
      </c>
      <c r="AK15" s="191"/>
      <c r="AL15" s="191">
        <v>0.0</v>
      </c>
      <c r="AM15" s="191"/>
      <c r="AN15" s="191"/>
      <c r="AO15" s="191"/>
      <c r="AP15" s="191"/>
      <c r="AQ15" s="191"/>
      <c r="AR15" s="191"/>
      <c r="AS15" s="191"/>
      <c r="AT15" s="191"/>
      <c r="AU15" s="191">
        <v>2000.0</v>
      </c>
      <c r="AV15" s="191">
        <v>2000.0</v>
      </c>
      <c r="AW15" s="191">
        <v>2000.0</v>
      </c>
      <c r="AX15" s="191">
        <v>2000.0</v>
      </c>
      <c r="AY15" s="191">
        <v>2000.0</v>
      </c>
      <c r="AZ15" s="191">
        <v>2000.0</v>
      </c>
      <c r="BA15" s="191">
        <v>2000.0</v>
      </c>
      <c r="BB15" s="191">
        <v>2000.0</v>
      </c>
      <c r="BC15" s="191">
        <v>2000.0</v>
      </c>
      <c r="BD15" s="191">
        <v>2000.0</v>
      </c>
      <c r="BE15" s="191">
        <v>2000.0</v>
      </c>
      <c r="BF15" s="191">
        <v>2000.0</v>
      </c>
      <c r="BG15" s="191">
        <v>2000.0</v>
      </c>
      <c r="BH15" s="191">
        <v>2000.0</v>
      </c>
      <c r="BI15" s="191">
        <v>2000.0</v>
      </c>
      <c r="BJ15" s="191">
        <v>2000.0</v>
      </c>
      <c r="BK15" s="191">
        <v>2000.0</v>
      </c>
      <c r="BL15" s="191">
        <v>2000.0</v>
      </c>
      <c r="BM15" s="191">
        <v>2000.0</v>
      </c>
      <c r="BN15" s="191">
        <v>3000.0</v>
      </c>
      <c r="BO15" s="191">
        <v>3000.0</v>
      </c>
      <c r="BP15" s="191">
        <v>3000.0</v>
      </c>
      <c r="BQ15" s="191">
        <v>3000.0</v>
      </c>
      <c r="BR15" s="191">
        <v>3000.0</v>
      </c>
      <c r="BS15" s="191">
        <v>3000.0</v>
      </c>
      <c r="BT15" s="191">
        <v>3000.0</v>
      </c>
      <c r="BU15" s="191">
        <v>3000.0</v>
      </c>
      <c r="BV15" s="191">
        <v>3000.0</v>
      </c>
      <c r="BW15" s="191">
        <v>3000.0</v>
      </c>
      <c r="BX15" s="191">
        <v>3000.0</v>
      </c>
      <c r="BY15" s="191">
        <v>3000.0</v>
      </c>
      <c r="BZ15" s="191">
        <v>3000.0</v>
      </c>
      <c r="CA15" s="191">
        <v>3000.0</v>
      </c>
      <c r="CB15" s="191">
        <v>3000.0</v>
      </c>
      <c r="CC15" s="191">
        <v>3000.0</v>
      </c>
      <c r="CD15" s="191">
        <v>3000.0</v>
      </c>
      <c r="CE15" s="191">
        <v>6000.0</v>
      </c>
      <c r="CF15" s="191">
        <v>6000.0</v>
      </c>
      <c r="CG15" s="191">
        <v>6000.0</v>
      </c>
      <c r="CH15" s="191">
        <v>6000.0</v>
      </c>
      <c r="CI15" s="191">
        <v>6000.0</v>
      </c>
      <c r="CJ15" s="191">
        <v>6000.0</v>
      </c>
      <c r="CK15" s="191">
        <v>6000.0</v>
      </c>
      <c r="CL15" s="191">
        <v>6000.0</v>
      </c>
      <c r="CM15" s="191">
        <v>6000.0</v>
      </c>
      <c r="CN15" s="191">
        <v>6000.0</v>
      </c>
      <c r="CO15" s="191">
        <v>6000.0</v>
      </c>
      <c r="CP15" s="191">
        <v>6000.0</v>
      </c>
    </row>
    <row r="16" ht="12.75" customHeight="1">
      <c r="A16" s="190" t="s">
        <v>321</v>
      </c>
      <c r="B16" s="191"/>
      <c r="C16" s="191"/>
      <c r="D16" s="191"/>
      <c r="E16" s="191"/>
      <c r="F16" s="191"/>
      <c r="G16" s="191"/>
      <c r="H16" s="191"/>
      <c r="I16" s="191"/>
      <c r="J16" s="191"/>
      <c r="K16" s="191"/>
      <c r="L16" s="191"/>
      <c r="M16" s="191"/>
      <c r="N16" s="191"/>
      <c r="O16" s="191"/>
      <c r="P16" s="191"/>
      <c r="Q16" s="191"/>
      <c r="R16" s="191"/>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c r="BO16" s="191"/>
      <c r="BP16" s="191"/>
      <c r="BQ16" s="191"/>
      <c r="BR16" s="191"/>
      <c r="BS16" s="191"/>
      <c r="BT16" s="191"/>
      <c r="BU16" s="191"/>
      <c r="BV16" s="191"/>
      <c r="BW16" s="191"/>
      <c r="BX16" s="191"/>
      <c r="BY16" s="191"/>
      <c r="BZ16" s="191"/>
      <c r="CA16" s="191"/>
      <c r="CB16" s="191"/>
      <c r="CC16" s="191"/>
      <c r="CD16" s="191"/>
      <c r="CE16" s="191"/>
      <c r="CF16" s="191"/>
      <c r="CG16" s="191"/>
      <c r="CH16" s="191"/>
      <c r="CI16" s="191"/>
      <c r="CJ16" s="191"/>
      <c r="CK16" s="191"/>
      <c r="CL16" s="191"/>
      <c r="CM16" s="191"/>
      <c r="CN16" s="191"/>
      <c r="CO16" s="191"/>
      <c r="CP16" s="191"/>
    </row>
    <row r="17" ht="12.75" customHeight="1">
      <c r="A17" s="190" t="s">
        <v>322</v>
      </c>
      <c r="B17" s="191"/>
      <c r="C17" s="191"/>
      <c r="D17" s="191"/>
      <c r="E17" s="191"/>
      <c r="F17" s="191"/>
      <c r="G17" s="191"/>
      <c r="H17" s="191"/>
      <c r="I17" s="191"/>
      <c r="J17" s="191"/>
      <c r="K17" s="191"/>
      <c r="L17" s="191"/>
      <c r="M17" s="191"/>
      <c r="N17" s="191"/>
      <c r="O17" s="191"/>
      <c r="P17" s="191"/>
      <c r="Q17" s="191"/>
      <c r="R17" s="191"/>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c r="BO17" s="191"/>
      <c r="BP17" s="191"/>
      <c r="BQ17" s="191"/>
      <c r="BR17" s="191"/>
      <c r="BS17" s="191"/>
      <c r="BT17" s="191"/>
      <c r="BU17" s="191"/>
      <c r="BV17" s="191"/>
      <c r="BW17" s="191"/>
      <c r="BX17" s="191"/>
      <c r="BY17" s="191"/>
      <c r="BZ17" s="191"/>
      <c r="CA17" s="191"/>
      <c r="CB17" s="191"/>
      <c r="CC17" s="191"/>
      <c r="CD17" s="191"/>
      <c r="CE17" s="191"/>
      <c r="CF17" s="191"/>
      <c r="CG17" s="191"/>
      <c r="CH17" s="191"/>
      <c r="CI17" s="191"/>
      <c r="CJ17" s="191"/>
      <c r="CK17" s="191"/>
      <c r="CL17" s="191"/>
      <c r="CM17" s="191"/>
      <c r="CN17" s="191"/>
      <c r="CO17" s="191"/>
      <c r="CP17" s="191"/>
    </row>
    <row r="18" ht="12.75" customHeight="1">
      <c r="A18" s="190" t="s">
        <v>323</v>
      </c>
      <c r="B18" s="191"/>
      <c r="C18" s="191"/>
      <c r="D18" s="191"/>
      <c r="E18" s="191"/>
      <c r="F18" s="191"/>
      <c r="G18" s="191"/>
      <c r="H18" s="191"/>
      <c r="I18" s="191"/>
      <c r="J18" s="191"/>
      <c r="K18" s="191"/>
      <c r="L18" s="191"/>
      <c r="M18" s="191"/>
      <c r="N18" s="191"/>
      <c r="O18" s="191"/>
      <c r="P18" s="191"/>
      <c r="Q18" s="191"/>
      <c r="R18" s="191"/>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c r="BO18" s="191"/>
      <c r="BP18" s="191"/>
      <c r="BQ18" s="191"/>
      <c r="BR18" s="191"/>
      <c r="BS18" s="191"/>
      <c r="BT18" s="191"/>
      <c r="BU18" s="191"/>
      <c r="BV18" s="191"/>
      <c r="BW18" s="191"/>
      <c r="BX18" s="191"/>
      <c r="BY18" s="191"/>
      <c r="BZ18" s="191"/>
      <c r="CA18" s="191"/>
      <c r="CB18" s="191"/>
      <c r="CC18" s="191"/>
      <c r="CD18" s="191"/>
      <c r="CE18" s="191"/>
      <c r="CF18" s="191"/>
      <c r="CG18" s="191"/>
      <c r="CH18" s="191"/>
      <c r="CI18" s="191"/>
      <c r="CJ18" s="191"/>
      <c r="CK18" s="191"/>
      <c r="CL18" s="191"/>
      <c r="CM18" s="191"/>
      <c r="CN18" s="191"/>
      <c r="CO18" s="191"/>
      <c r="CP18" s="191"/>
    </row>
    <row r="19" ht="12.75" customHeight="1">
      <c r="A19" s="190" t="s">
        <v>324</v>
      </c>
      <c r="B19" s="191"/>
      <c r="C19" s="191"/>
      <c r="D19" s="191"/>
      <c r="E19" s="191"/>
      <c r="F19" s="191"/>
      <c r="G19" s="191"/>
      <c r="H19" s="191"/>
      <c r="I19" s="191"/>
      <c r="J19" s="191"/>
      <c r="K19" s="191"/>
      <c r="L19" s="191"/>
      <c r="M19" s="191"/>
      <c r="N19" s="191"/>
      <c r="O19" s="191"/>
      <c r="P19" s="191"/>
      <c r="Q19" s="191"/>
      <c r="R19" s="191"/>
      <c r="S19" s="191"/>
      <c r="T19" s="191"/>
      <c r="U19" s="191"/>
      <c r="V19" s="191"/>
      <c r="W19" s="191"/>
      <c r="X19" s="191"/>
      <c r="Y19" s="191"/>
      <c r="Z19" s="191"/>
      <c r="AA19" s="191"/>
      <c r="AB19" s="191"/>
      <c r="AC19" s="191"/>
      <c r="AD19" s="191"/>
      <c r="AE19" s="191"/>
      <c r="AF19" s="191"/>
      <c r="AG19" s="191"/>
      <c r="AH19" s="191"/>
      <c r="AI19" s="191"/>
      <c r="AJ19" s="191"/>
      <c r="AK19" s="191"/>
      <c r="AL19" s="191"/>
      <c r="AM19" s="191"/>
      <c r="AN19" s="191"/>
      <c r="AO19" s="191">
        <v>0.0</v>
      </c>
      <c r="AP19" s="191"/>
      <c r="AQ19" s="191"/>
      <c r="AR19" s="191"/>
      <c r="AS19" s="191"/>
      <c r="AT19" s="191"/>
      <c r="AU19" s="191"/>
      <c r="AV19" s="191"/>
      <c r="AW19" s="191"/>
      <c r="AX19" s="191"/>
      <c r="AY19" s="191"/>
      <c r="AZ19" s="191"/>
      <c r="BA19" s="191"/>
      <c r="BB19" s="191"/>
      <c r="BC19" s="191"/>
      <c r="BD19" s="191"/>
      <c r="BE19" s="191"/>
      <c r="BF19" s="191"/>
      <c r="BG19" s="191"/>
      <c r="BH19" s="191"/>
      <c r="BI19" s="191"/>
      <c r="BJ19" s="191"/>
      <c r="BK19" s="191"/>
      <c r="BL19" s="191"/>
      <c r="BM19" s="191"/>
      <c r="BN19" s="191"/>
      <c r="BO19" s="191"/>
      <c r="BP19" s="191"/>
      <c r="BQ19" s="191"/>
      <c r="BR19" s="191"/>
      <c r="BS19" s="191"/>
      <c r="BT19" s="191"/>
      <c r="BU19" s="191"/>
      <c r="BV19" s="191"/>
      <c r="BW19" s="191"/>
      <c r="BX19" s="191"/>
      <c r="BY19" s="191"/>
      <c r="BZ19" s="191"/>
      <c r="CA19" s="191"/>
      <c r="CB19" s="191"/>
      <c r="CC19" s="191"/>
      <c r="CD19" s="191"/>
      <c r="CE19" s="191"/>
      <c r="CF19" s="191"/>
      <c r="CG19" s="191"/>
      <c r="CH19" s="191"/>
      <c r="CI19" s="191"/>
      <c r="CJ19" s="191"/>
      <c r="CK19" s="191"/>
      <c r="CL19" s="191"/>
      <c r="CM19" s="191"/>
      <c r="CN19" s="191"/>
      <c r="CO19" s="191"/>
      <c r="CP19" s="191"/>
    </row>
    <row r="20" ht="12.75" customHeight="1">
      <c r="A20" s="190" t="s">
        <v>325</v>
      </c>
      <c r="B20" s="191"/>
      <c r="C20" s="191"/>
      <c r="D20" s="191"/>
      <c r="E20" s="191"/>
      <c r="F20" s="191"/>
      <c r="G20" s="191"/>
      <c r="H20" s="191"/>
      <c r="I20" s="191"/>
      <c r="J20" s="191"/>
      <c r="K20" s="191"/>
      <c r="L20" s="191"/>
      <c r="M20" s="191"/>
      <c r="N20" s="191"/>
      <c r="O20" s="191"/>
      <c r="P20" s="191"/>
      <c r="Q20" s="191"/>
      <c r="R20" s="191"/>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v>0.0</v>
      </c>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c r="BO20" s="191"/>
      <c r="BP20" s="191"/>
      <c r="BQ20" s="191"/>
      <c r="BR20" s="191"/>
      <c r="BS20" s="191"/>
      <c r="BT20" s="191"/>
      <c r="BU20" s="191"/>
      <c r="BV20" s="191"/>
      <c r="BW20" s="191"/>
      <c r="BX20" s="191"/>
      <c r="BY20" s="191"/>
      <c r="BZ20" s="191"/>
      <c r="CA20" s="191"/>
      <c r="CB20" s="191"/>
      <c r="CC20" s="191"/>
      <c r="CD20" s="191"/>
      <c r="CE20" s="191"/>
      <c r="CF20" s="191"/>
      <c r="CG20" s="191"/>
      <c r="CH20" s="191"/>
      <c r="CI20" s="191"/>
      <c r="CJ20" s="191"/>
      <c r="CK20" s="191"/>
      <c r="CL20" s="191"/>
      <c r="CM20" s="191"/>
      <c r="CN20" s="191"/>
      <c r="CO20" s="191"/>
      <c r="CP20" s="191"/>
    </row>
    <row r="21" ht="12.75" customHeight="1">
      <c r="A21" s="190" t="s">
        <v>323</v>
      </c>
      <c r="B21" s="191"/>
      <c r="C21" s="191"/>
      <c r="D21" s="191"/>
      <c r="E21" s="191"/>
      <c r="F21" s="191"/>
      <c r="G21" s="191"/>
      <c r="H21" s="191"/>
      <c r="I21" s="191"/>
      <c r="J21" s="191"/>
      <c r="K21" s="191"/>
      <c r="L21" s="191"/>
      <c r="M21" s="191"/>
      <c r="N21" s="191"/>
      <c r="O21" s="191"/>
      <c r="P21" s="191"/>
      <c r="Q21" s="191"/>
      <c r="R21" s="191"/>
      <c r="S21" s="191"/>
      <c r="T21" s="191"/>
      <c r="U21" s="191"/>
      <c r="V21" s="191"/>
      <c r="W21" s="191"/>
      <c r="X21" s="191"/>
      <c r="Y21" s="191"/>
      <c r="Z21" s="191"/>
      <c r="AA21" s="191"/>
      <c r="AB21" s="191"/>
      <c r="AC21" s="191"/>
      <c r="AD21" s="191"/>
      <c r="AE21" s="191"/>
      <c r="AF21" s="191"/>
      <c r="AG21" s="191"/>
      <c r="AH21" s="191"/>
      <c r="AI21" s="191"/>
      <c r="AJ21" s="191">
        <v>0.0</v>
      </c>
      <c r="AK21" s="191">
        <v>0.0</v>
      </c>
      <c r="AL21" s="191">
        <v>0.0</v>
      </c>
      <c r="AM21" s="191">
        <v>0.0</v>
      </c>
      <c r="AN21" s="191">
        <v>0.0</v>
      </c>
      <c r="AO21" s="191">
        <v>0.0</v>
      </c>
      <c r="AP21" s="191">
        <v>0.0</v>
      </c>
      <c r="AQ21" s="191">
        <v>0.0</v>
      </c>
      <c r="AR21" s="191">
        <v>0.0</v>
      </c>
      <c r="AS21" s="191">
        <v>0.0</v>
      </c>
      <c r="AT21" s="191">
        <v>0.0</v>
      </c>
      <c r="AU21" s="191">
        <v>0.0</v>
      </c>
      <c r="AV21" s="191">
        <v>0.0</v>
      </c>
      <c r="AW21" s="191">
        <v>0.0</v>
      </c>
      <c r="AX21" s="191">
        <v>0.0</v>
      </c>
      <c r="AY21" s="191">
        <v>0.0</v>
      </c>
      <c r="AZ21" s="191">
        <v>0.0</v>
      </c>
      <c r="BA21" s="191">
        <v>0.0</v>
      </c>
      <c r="BB21" s="191">
        <v>0.0</v>
      </c>
      <c r="BC21" s="191">
        <v>0.0</v>
      </c>
      <c r="BD21" s="191">
        <v>0.0</v>
      </c>
      <c r="BE21" s="191">
        <v>0.0</v>
      </c>
      <c r="BF21" s="191">
        <v>0.0</v>
      </c>
      <c r="BG21" s="191">
        <v>0.0</v>
      </c>
      <c r="BH21" s="191">
        <v>0.0</v>
      </c>
      <c r="BI21" s="191">
        <v>0.0</v>
      </c>
      <c r="BJ21" s="191">
        <v>0.0</v>
      </c>
      <c r="BK21" s="191">
        <v>0.0</v>
      </c>
      <c r="BL21" s="191">
        <v>0.0</v>
      </c>
      <c r="BM21" s="191">
        <v>0.0</v>
      </c>
      <c r="BN21" s="191">
        <v>0.0</v>
      </c>
      <c r="BO21" s="191">
        <v>0.0</v>
      </c>
      <c r="BP21" s="191">
        <v>0.0</v>
      </c>
      <c r="BQ21" s="191">
        <v>0.0</v>
      </c>
      <c r="BR21" s="191">
        <v>0.0</v>
      </c>
      <c r="BS21" s="191">
        <v>0.0</v>
      </c>
      <c r="BT21" s="191">
        <v>0.0</v>
      </c>
      <c r="BU21" s="191">
        <v>0.0</v>
      </c>
      <c r="BV21" s="191">
        <v>0.0</v>
      </c>
      <c r="BW21" s="191">
        <v>0.0</v>
      </c>
      <c r="BX21" s="191">
        <v>0.0</v>
      </c>
      <c r="BY21" s="191">
        <v>0.0</v>
      </c>
      <c r="BZ21" s="191">
        <v>0.0</v>
      </c>
      <c r="CA21" s="191">
        <v>0.0</v>
      </c>
      <c r="CB21" s="191">
        <v>0.0</v>
      </c>
      <c r="CC21" s="191">
        <v>0.0</v>
      </c>
      <c r="CD21" s="191">
        <v>0.0</v>
      </c>
      <c r="CE21" s="191">
        <v>0.0</v>
      </c>
      <c r="CF21" s="191">
        <v>0.0</v>
      </c>
      <c r="CG21" s="191">
        <v>0.0</v>
      </c>
      <c r="CH21" s="191">
        <v>0.0</v>
      </c>
      <c r="CI21" s="191">
        <v>0.0</v>
      </c>
      <c r="CJ21" s="191">
        <v>0.0</v>
      </c>
      <c r="CK21" s="191">
        <v>0.0</v>
      </c>
      <c r="CL21" s="191">
        <v>0.0</v>
      </c>
      <c r="CM21" s="191">
        <v>0.0</v>
      </c>
      <c r="CN21" s="191">
        <v>0.0</v>
      </c>
      <c r="CO21" s="191">
        <v>0.0</v>
      </c>
      <c r="CP21" s="191">
        <v>0.0</v>
      </c>
      <c r="CQ21" s="191">
        <v>0.0</v>
      </c>
    </row>
    <row r="22" ht="12.75" customHeight="1">
      <c r="A22" s="190" t="s">
        <v>326</v>
      </c>
      <c r="B22" s="191"/>
      <c r="C22" s="191"/>
      <c r="D22" s="191"/>
      <c r="E22" s="191"/>
      <c r="F22" s="191"/>
      <c r="G22" s="191"/>
      <c r="H22" s="191"/>
      <c r="I22" s="191"/>
      <c r="J22" s="191"/>
      <c r="K22" s="191"/>
      <c r="L22" s="191"/>
      <c r="M22" s="191"/>
      <c r="N22" s="191"/>
      <c r="O22" s="191"/>
      <c r="P22" s="191"/>
      <c r="Q22" s="191"/>
      <c r="R22" s="191"/>
      <c r="S22" s="191"/>
      <c r="T22" s="191"/>
      <c r="U22" s="191"/>
      <c r="V22" s="191"/>
      <c r="W22" s="191"/>
      <c r="X22" s="191"/>
      <c r="Y22" s="191"/>
      <c r="Z22" s="191"/>
      <c r="AA22" s="191"/>
      <c r="AB22" s="191"/>
      <c r="AC22" s="191"/>
      <c r="AD22" s="191"/>
      <c r="AE22" s="191"/>
      <c r="AF22" s="191"/>
      <c r="AG22" s="191"/>
      <c r="AH22" s="191"/>
      <c r="AI22" s="191">
        <v>1500.0</v>
      </c>
      <c r="AJ22" s="191">
        <v>1500.0</v>
      </c>
      <c r="AK22" s="191">
        <v>1500.0</v>
      </c>
      <c r="AL22" s="191">
        <v>1500.0</v>
      </c>
      <c r="AM22" s="191">
        <v>1500.0</v>
      </c>
      <c r="AN22" s="191">
        <v>1500.0</v>
      </c>
      <c r="AO22" s="191">
        <v>1500.0</v>
      </c>
      <c r="AP22" s="191">
        <v>1500.0</v>
      </c>
      <c r="AQ22" s="191">
        <v>1500.0</v>
      </c>
      <c r="AR22" s="191">
        <v>1500.0</v>
      </c>
      <c r="AS22" s="191">
        <v>1500.0</v>
      </c>
      <c r="AT22" s="191">
        <v>1500.0</v>
      </c>
      <c r="AU22" s="191">
        <v>1500.0</v>
      </c>
      <c r="AV22" s="191">
        <v>1500.0</v>
      </c>
      <c r="AW22" s="191">
        <v>1500.0</v>
      </c>
      <c r="AX22" s="191">
        <v>1500.0</v>
      </c>
      <c r="AY22" s="191">
        <v>1500.0</v>
      </c>
      <c r="AZ22" s="191">
        <v>1500.0</v>
      </c>
      <c r="BA22" s="191">
        <v>1500.0</v>
      </c>
      <c r="BB22" s="191">
        <v>1500.0</v>
      </c>
      <c r="BC22" s="191">
        <v>1500.0</v>
      </c>
      <c r="BD22" s="191">
        <v>1500.0</v>
      </c>
      <c r="BE22" s="191">
        <v>1500.0</v>
      </c>
      <c r="BF22" s="191">
        <v>1500.0</v>
      </c>
      <c r="BG22" s="191">
        <v>1500.0</v>
      </c>
      <c r="BH22" s="191">
        <v>1500.0</v>
      </c>
      <c r="BI22" s="191">
        <v>1500.0</v>
      </c>
      <c r="BJ22" s="191">
        <v>1500.0</v>
      </c>
      <c r="BK22" s="191">
        <v>1500.0</v>
      </c>
      <c r="BL22" s="191">
        <v>1500.0</v>
      </c>
      <c r="BM22" s="191">
        <v>1500.0</v>
      </c>
      <c r="BN22" s="191">
        <v>1500.0</v>
      </c>
      <c r="BO22" s="191">
        <v>1500.0</v>
      </c>
      <c r="BP22" s="191">
        <v>1500.0</v>
      </c>
      <c r="BQ22" s="191">
        <v>3000.0</v>
      </c>
      <c r="BR22" s="191">
        <v>3000.0</v>
      </c>
      <c r="BS22" s="191">
        <v>3000.0</v>
      </c>
      <c r="BT22" s="191">
        <v>3000.0</v>
      </c>
      <c r="BU22" s="191">
        <v>3000.0</v>
      </c>
      <c r="BV22" s="191">
        <v>3000.0</v>
      </c>
      <c r="BW22" s="191">
        <v>3000.0</v>
      </c>
      <c r="BX22" s="191">
        <v>3000.0</v>
      </c>
      <c r="BY22" s="191">
        <v>3000.0</v>
      </c>
      <c r="BZ22" s="191">
        <v>3000.0</v>
      </c>
      <c r="CA22" s="191">
        <v>3000.0</v>
      </c>
      <c r="CB22" s="191">
        <v>3000.0</v>
      </c>
      <c r="CC22" s="191">
        <v>3000.0</v>
      </c>
      <c r="CD22" s="191">
        <v>3000.0</v>
      </c>
      <c r="CE22" s="191">
        <v>3000.0</v>
      </c>
      <c r="CF22" s="191">
        <v>3000.0</v>
      </c>
      <c r="CG22" s="191">
        <v>3000.0</v>
      </c>
      <c r="CH22" s="191">
        <v>3000.0</v>
      </c>
      <c r="CI22" s="191">
        <v>3000.0</v>
      </c>
      <c r="CJ22" s="191">
        <v>3000.0</v>
      </c>
      <c r="CK22" s="191">
        <v>3000.0</v>
      </c>
      <c r="CL22" s="191">
        <v>3000.0</v>
      </c>
      <c r="CM22" s="191">
        <v>3000.0</v>
      </c>
      <c r="CN22" s="191">
        <v>3000.0</v>
      </c>
      <c r="CO22" s="191">
        <v>3000.0</v>
      </c>
      <c r="CP22" s="191">
        <v>3000.0</v>
      </c>
    </row>
    <row r="23" ht="12.75" customHeight="1">
      <c r="A23" s="190" t="s">
        <v>327</v>
      </c>
      <c r="B23" s="191">
        <v>3000.0</v>
      </c>
      <c r="C23" s="191">
        <v>3000.0</v>
      </c>
      <c r="D23" s="191">
        <v>3000.0</v>
      </c>
      <c r="E23" s="191">
        <v>3000.0</v>
      </c>
      <c r="F23" s="191">
        <v>3000.0</v>
      </c>
      <c r="G23" s="191">
        <v>3000.0</v>
      </c>
      <c r="H23" s="191">
        <v>3000.0</v>
      </c>
      <c r="I23" s="191">
        <v>3000.0</v>
      </c>
      <c r="J23" s="191">
        <v>3000.0</v>
      </c>
      <c r="K23" s="191">
        <v>3000.0</v>
      </c>
      <c r="L23" s="191">
        <v>3000.0</v>
      </c>
      <c r="M23" s="191">
        <v>3000.0</v>
      </c>
      <c r="N23" s="191">
        <v>3000.0</v>
      </c>
      <c r="O23" s="191">
        <v>3000.0</v>
      </c>
      <c r="P23" s="191">
        <v>3000.0</v>
      </c>
      <c r="Q23" s="191">
        <v>3000.0</v>
      </c>
      <c r="R23" s="191">
        <v>3000.0</v>
      </c>
      <c r="S23" s="191">
        <v>3000.0</v>
      </c>
      <c r="T23" s="191">
        <v>3000.0</v>
      </c>
      <c r="U23" s="191">
        <v>3000.0</v>
      </c>
      <c r="V23" s="191">
        <v>3000.0</v>
      </c>
      <c r="W23" s="191">
        <v>3000.0</v>
      </c>
      <c r="X23" s="191">
        <v>3000.0</v>
      </c>
      <c r="Y23" s="191">
        <v>3000.0</v>
      </c>
      <c r="Z23" s="191">
        <v>3000.0</v>
      </c>
      <c r="AA23" s="191">
        <v>3000.0</v>
      </c>
      <c r="AB23" s="191">
        <v>3000.0</v>
      </c>
      <c r="AC23" s="191">
        <v>3000.0</v>
      </c>
      <c r="AD23" s="191">
        <v>3000.0</v>
      </c>
      <c r="AE23" s="191">
        <v>3000.0</v>
      </c>
      <c r="AF23" s="191">
        <v>3000.0</v>
      </c>
      <c r="AG23" s="191">
        <v>3000.0</v>
      </c>
      <c r="AH23" s="191"/>
      <c r="AI23" s="191">
        <v>1500.0</v>
      </c>
      <c r="AJ23" s="191">
        <v>1500.0</v>
      </c>
      <c r="AK23" s="191">
        <v>1500.0</v>
      </c>
      <c r="AL23" s="191">
        <v>1500.0</v>
      </c>
      <c r="AM23" s="191">
        <v>1500.0</v>
      </c>
      <c r="AN23" s="191">
        <v>1500.0</v>
      </c>
      <c r="AO23" s="191">
        <v>1500.0</v>
      </c>
      <c r="AP23" s="191">
        <v>1500.0</v>
      </c>
      <c r="AQ23" s="191">
        <v>1500.0</v>
      </c>
      <c r="AR23" s="191">
        <v>1500.0</v>
      </c>
      <c r="AS23" s="191">
        <v>1500.0</v>
      </c>
      <c r="AT23" s="191">
        <v>1500.0</v>
      </c>
      <c r="AU23" s="191">
        <v>1500.0</v>
      </c>
      <c r="AV23" s="191">
        <v>1500.0</v>
      </c>
      <c r="AW23" s="191">
        <v>1500.0</v>
      </c>
      <c r="AX23" s="191">
        <v>1500.0</v>
      </c>
      <c r="AY23" s="191">
        <v>1500.0</v>
      </c>
      <c r="AZ23" s="191">
        <v>1500.0</v>
      </c>
      <c r="BA23" s="191">
        <v>1500.0</v>
      </c>
      <c r="BB23" s="191">
        <v>1500.0</v>
      </c>
      <c r="BC23" s="191">
        <v>1500.0</v>
      </c>
      <c r="BD23" s="191">
        <v>1500.0</v>
      </c>
      <c r="BE23" s="191">
        <v>1500.0</v>
      </c>
      <c r="BF23" s="191">
        <v>1500.0</v>
      </c>
      <c r="BG23" s="191">
        <v>1500.0</v>
      </c>
      <c r="BH23" s="191">
        <v>1500.0</v>
      </c>
      <c r="BI23" s="191">
        <v>1500.0</v>
      </c>
      <c r="BJ23" s="191">
        <v>1500.0</v>
      </c>
      <c r="BK23" s="191">
        <v>1500.0</v>
      </c>
      <c r="BL23" s="191">
        <v>1500.0</v>
      </c>
      <c r="BM23" s="191">
        <v>1500.0</v>
      </c>
      <c r="BN23" s="191">
        <v>1500.0</v>
      </c>
      <c r="BO23" s="191">
        <v>1500.0</v>
      </c>
      <c r="BP23" s="191">
        <v>2000.0</v>
      </c>
      <c r="BQ23" s="191">
        <v>2000.0</v>
      </c>
      <c r="BR23" s="191">
        <v>2000.0</v>
      </c>
      <c r="BS23" s="191">
        <v>2000.0</v>
      </c>
      <c r="BT23" s="191">
        <v>2000.0</v>
      </c>
      <c r="BU23" s="191">
        <v>2000.0</v>
      </c>
      <c r="BV23" s="191">
        <v>2000.0</v>
      </c>
      <c r="BW23" s="191">
        <v>2000.0</v>
      </c>
      <c r="BX23" s="191">
        <v>2000.0</v>
      </c>
      <c r="BY23" s="191">
        <v>2000.0</v>
      </c>
      <c r="BZ23" s="191">
        <v>2000.0</v>
      </c>
      <c r="CA23" s="191">
        <v>2000.0</v>
      </c>
      <c r="CB23" s="191">
        <v>2000.0</v>
      </c>
      <c r="CC23" s="191">
        <v>2000.0</v>
      </c>
      <c r="CD23" s="191">
        <v>2000.0</v>
      </c>
      <c r="CE23" s="191">
        <v>2000.0</v>
      </c>
      <c r="CF23" s="191">
        <v>2000.0</v>
      </c>
      <c r="CG23" s="191">
        <v>2000.0</v>
      </c>
      <c r="CH23" s="191">
        <v>2000.0</v>
      </c>
      <c r="CI23" s="191">
        <v>2000.0</v>
      </c>
      <c r="CJ23" s="191">
        <v>2000.0</v>
      </c>
      <c r="CK23" s="191">
        <v>2000.0</v>
      </c>
      <c r="CL23" s="191">
        <v>2000.0</v>
      </c>
      <c r="CM23" s="191">
        <v>2000.0</v>
      </c>
      <c r="CN23" s="191">
        <v>2000.0</v>
      </c>
      <c r="CO23" s="191">
        <v>2000.0</v>
      </c>
      <c r="CP23" s="191">
        <v>2000.0</v>
      </c>
    </row>
    <row r="24" ht="12.75" customHeight="1">
      <c r="A24" s="190" t="s">
        <v>328</v>
      </c>
      <c r="B24" s="191"/>
      <c r="C24" s="191"/>
      <c r="D24" s="191"/>
      <c r="E24" s="191"/>
      <c r="F24" s="191"/>
      <c r="G24" s="191"/>
      <c r="H24" s="191"/>
      <c r="I24" s="191"/>
      <c r="J24" s="191"/>
      <c r="K24" s="191"/>
      <c r="L24" s="191"/>
      <c r="M24" s="191"/>
      <c r="N24" s="191"/>
      <c r="O24" s="191"/>
      <c r="P24" s="191"/>
      <c r="Q24" s="191"/>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1"/>
      <c r="BM24" s="191"/>
      <c r="BN24" s="191"/>
      <c r="BO24" s="191"/>
      <c r="BP24" s="191"/>
      <c r="BQ24" s="191"/>
      <c r="BR24" s="191"/>
      <c r="BS24" s="191"/>
      <c r="BT24" s="191"/>
      <c r="BU24" s="191"/>
      <c r="BV24" s="191"/>
      <c r="BW24" s="191"/>
      <c r="BX24" s="191"/>
      <c r="BY24" s="191"/>
      <c r="BZ24" s="191"/>
      <c r="CA24" s="191"/>
      <c r="CB24" s="191"/>
      <c r="CC24" s="191"/>
      <c r="CD24" s="191"/>
      <c r="CE24" s="191"/>
      <c r="CF24" s="191"/>
      <c r="CG24" s="191"/>
      <c r="CH24" s="191"/>
      <c r="CI24" s="191"/>
      <c r="CJ24" s="191"/>
      <c r="CK24" s="191"/>
      <c r="CL24" s="191"/>
      <c r="CM24" s="191"/>
      <c r="CN24" s="191"/>
      <c r="CO24" s="191"/>
      <c r="CP24" s="191"/>
    </row>
    <row r="25" ht="12.75" customHeight="1">
      <c r="A25" s="190"/>
      <c r="B25" s="191"/>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c r="BO25" s="191"/>
      <c r="BP25" s="191"/>
      <c r="BQ25" s="191"/>
      <c r="BR25" s="191"/>
      <c r="BS25" s="191"/>
      <c r="BT25" s="191"/>
      <c r="BU25" s="191"/>
      <c r="BV25" s="191"/>
      <c r="BW25" s="191"/>
      <c r="BX25" s="191"/>
      <c r="BY25" s="191"/>
      <c r="BZ25" s="191"/>
      <c r="CA25" s="191"/>
      <c r="CB25" s="191"/>
      <c r="CC25" s="191"/>
      <c r="CD25" s="191"/>
      <c r="CE25" s="191"/>
      <c r="CF25" s="191"/>
      <c r="CG25" s="191"/>
      <c r="CH25" s="191"/>
      <c r="CI25" s="191"/>
      <c r="CJ25" s="191"/>
      <c r="CK25" s="191"/>
      <c r="CL25" s="191"/>
      <c r="CM25" s="191"/>
      <c r="CN25" s="191"/>
      <c r="CO25" s="191"/>
      <c r="CP25" s="191"/>
    </row>
    <row r="26" ht="12.75" customHeight="1">
      <c r="A26" s="190" t="s">
        <v>329</v>
      </c>
      <c r="B26" s="191"/>
      <c r="C26" s="191"/>
      <c r="D26" s="191"/>
      <c r="E26" s="191"/>
      <c r="F26" s="191"/>
      <c r="G26" s="191"/>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c r="BO26" s="191"/>
      <c r="BP26" s="191"/>
      <c r="BQ26" s="191"/>
      <c r="BR26" s="191"/>
      <c r="BS26" s="191"/>
      <c r="BT26" s="191"/>
      <c r="BU26" s="191"/>
      <c r="BV26" s="191"/>
      <c r="BW26" s="191"/>
      <c r="BX26" s="191"/>
      <c r="BY26" s="191"/>
      <c r="BZ26" s="191"/>
      <c r="CA26" s="191"/>
      <c r="CB26" s="191"/>
      <c r="CC26" s="191"/>
      <c r="CD26" s="191"/>
      <c r="CE26" s="191"/>
      <c r="CF26" s="191"/>
      <c r="CG26" s="191"/>
      <c r="CH26" s="191"/>
      <c r="CI26" s="191"/>
      <c r="CJ26" s="191"/>
      <c r="CK26" s="191"/>
      <c r="CL26" s="191"/>
      <c r="CM26" s="191"/>
      <c r="CN26" s="191"/>
      <c r="CO26" s="191"/>
      <c r="CP26" s="191"/>
    </row>
    <row r="27" ht="12.75" customHeight="1">
      <c r="A27" s="190" t="s">
        <v>330</v>
      </c>
      <c r="B27" s="191"/>
      <c r="C27" s="191"/>
      <c r="D27" s="191"/>
      <c r="E27" s="191"/>
      <c r="F27" s="191"/>
      <c r="G27" s="191"/>
      <c r="H27" s="191"/>
      <c r="I27" s="191"/>
      <c r="J27" s="191"/>
      <c r="K27" s="191"/>
      <c r="L27" s="191"/>
      <c r="M27" s="191"/>
      <c r="N27" s="191"/>
      <c r="O27" s="191"/>
      <c r="P27" s="191"/>
      <c r="Q27" s="191"/>
      <c r="R27" s="191"/>
      <c r="S27" s="191"/>
      <c r="T27" s="191"/>
      <c r="U27" s="191"/>
      <c r="V27" s="191"/>
      <c r="W27" s="191"/>
      <c r="X27" s="191"/>
      <c r="Y27" s="191"/>
      <c r="Z27" s="191"/>
      <c r="AA27" s="191"/>
      <c r="AB27" s="191"/>
      <c r="AC27" s="191"/>
      <c r="AD27" s="191"/>
      <c r="AE27" s="191"/>
      <c r="AF27" s="191"/>
      <c r="AG27" s="191"/>
      <c r="AH27" s="191">
        <v>0.0</v>
      </c>
      <c r="AI27" s="191">
        <v>1000.0</v>
      </c>
      <c r="AJ27" s="191">
        <v>1000.0</v>
      </c>
      <c r="AK27" s="191">
        <v>1000.0</v>
      </c>
      <c r="AL27" s="191">
        <v>1000.0</v>
      </c>
      <c r="AM27" s="191">
        <v>1000.0</v>
      </c>
      <c r="AN27" s="191">
        <v>1000.0</v>
      </c>
      <c r="AO27" s="191">
        <v>1000.0</v>
      </c>
      <c r="AP27" s="191">
        <v>10000.0</v>
      </c>
      <c r="AQ27" s="191">
        <v>2000.0</v>
      </c>
      <c r="AR27" s="191">
        <v>2000.0</v>
      </c>
      <c r="AS27" s="191">
        <v>2000.0</v>
      </c>
      <c r="AT27" s="191">
        <v>2000.0</v>
      </c>
      <c r="AU27" s="191">
        <v>2000.0</v>
      </c>
      <c r="AV27" s="191">
        <v>2000.0</v>
      </c>
      <c r="AW27" s="191">
        <v>2000.0</v>
      </c>
      <c r="AX27" s="191">
        <v>2000.0</v>
      </c>
      <c r="AY27" s="191">
        <v>2000.0</v>
      </c>
      <c r="AZ27" s="191">
        <v>2000.0</v>
      </c>
      <c r="BA27" s="191">
        <v>2000.0</v>
      </c>
      <c r="BB27" s="191">
        <v>5000.0</v>
      </c>
      <c r="BC27" s="191">
        <v>5000.0</v>
      </c>
      <c r="BD27" s="191">
        <v>5000.0</v>
      </c>
      <c r="BE27" s="191">
        <v>5000.0</v>
      </c>
      <c r="BF27" s="191">
        <v>5000.0</v>
      </c>
      <c r="BG27" s="191">
        <v>5000.0</v>
      </c>
      <c r="BH27" s="191">
        <v>5000.0</v>
      </c>
      <c r="BI27" s="191">
        <v>5000.0</v>
      </c>
      <c r="BJ27" s="191">
        <v>3000.0</v>
      </c>
      <c r="BK27" s="191">
        <v>3000.0</v>
      </c>
      <c r="BL27" s="191">
        <v>3000.0</v>
      </c>
      <c r="BM27" s="191">
        <v>3000.0</v>
      </c>
      <c r="BN27" s="191">
        <v>3000.0</v>
      </c>
      <c r="BO27" s="191">
        <v>3000.0</v>
      </c>
      <c r="BP27" s="191">
        <v>3000.0</v>
      </c>
      <c r="BQ27" s="191">
        <v>3000.0</v>
      </c>
      <c r="BR27" s="191">
        <v>3000.0</v>
      </c>
      <c r="BS27" s="191">
        <v>3000.0</v>
      </c>
      <c r="BT27" s="191">
        <v>3000.0</v>
      </c>
      <c r="BU27" s="191">
        <v>3000.0</v>
      </c>
      <c r="BV27" s="191">
        <v>3000.0</v>
      </c>
      <c r="BW27" s="191">
        <v>3000.0</v>
      </c>
      <c r="BX27" s="191">
        <v>3000.0</v>
      </c>
      <c r="BY27" s="191">
        <v>3000.0</v>
      </c>
      <c r="BZ27" s="191">
        <v>3000.0</v>
      </c>
      <c r="CA27" s="191">
        <v>3000.0</v>
      </c>
      <c r="CB27" s="191">
        <v>3000.0</v>
      </c>
      <c r="CC27" s="191">
        <v>3000.0</v>
      </c>
      <c r="CD27" s="191">
        <v>3000.0</v>
      </c>
      <c r="CE27" s="191">
        <v>3000.0</v>
      </c>
      <c r="CF27" s="191">
        <v>3000.0</v>
      </c>
      <c r="CG27" s="191">
        <v>3000.0</v>
      </c>
      <c r="CH27" s="191">
        <v>10000.0</v>
      </c>
      <c r="CI27" s="191">
        <v>10000.0</v>
      </c>
      <c r="CJ27" s="191">
        <v>10000.0</v>
      </c>
      <c r="CK27" s="191">
        <v>10000.0</v>
      </c>
      <c r="CL27" s="191">
        <v>10000.0</v>
      </c>
      <c r="CM27" s="191">
        <v>10000.0</v>
      </c>
      <c r="CN27" s="191">
        <v>10000.0</v>
      </c>
      <c r="CO27" s="191">
        <v>10000.0</v>
      </c>
      <c r="CP27" s="191">
        <v>10000.0</v>
      </c>
    </row>
    <row r="28" ht="12.75" customHeight="1">
      <c r="A28" s="190" t="s">
        <v>331</v>
      </c>
      <c r="B28" s="191"/>
      <c r="C28" s="191"/>
      <c r="D28" s="191"/>
      <c r="E28" s="191"/>
      <c r="F28" s="191"/>
      <c r="G28" s="191"/>
      <c r="H28" s="191"/>
      <c r="I28" s="191"/>
      <c r="J28" s="191"/>
      <c r="K28" s="191"/>
      <c r="L28" s="191"/>
      <c r="M28" s="191"/>
      <c r="N28" s="191"/>
      <c r="O28" s="191"/>
      <c r="P28" s="191"/>
      <c r="Q28" s="191"/>
      <c r="R28" s="191"/>
      <c r="S28" s="191"/>
      <c r="T28" s="191"/>
      <c r="U28" s="191"/>
      <c r="V28" s="191"/>
      <c r="W28" s="191"/>
      <c r="X28" s="191"/>
      <c r="Y28" s="191"/>
      <c r="Z28" s="191"/>
      <c r="AA28" s="191"/>
      <c r="AB28" s="191"/>
      <c r="AC28" s="191"/>
      <c r="AD28" s="191"/>
      <c r="AE28" s="191"/>
      <c r="AF28" s="191"/>
      <c r="AG28" s="191"/>
      <c r="AH28" s="192">
        <v>10000.0</v>
      </c>
      <c r="AI28" s="192">
        <v>10000.0</v>
      </c>
      <c r="AJ28" s="192">
        <v>5000.0</v>
      </c>
      <c r="AK28" s="192">
        <v>5000.0</v>
      </c>
      <c r="AL28" s="192">
        <v>5000.0</v>
      </c>
      <c r="AM28" s="192">
        <v>7000.0</v>
      </c>
      <c r="AN28" s="192">
        <v>7000.0</v>
      </c>
      <c r="AO28" s="192">
        <v>7000.0</v>
      </c>
      <c r="AP28" s="192">
        <v>7000.0</v>
      </c>
      <c r="AQ28" s="192">
        <v>7000.0</v>
      </c>
      <c r="AR28" s="192">
        <v>7000.0</v>
      </c>
      <c r="AS28" s="192">
        <v>7000.0</v>
      </c>
      <c r="AT28" s="192">
        <v>5000.0</v>
      </c>
      <c r="AU28" s="192">
        <v>8000.0</v>
      </c>
      <c r="AV28" s="192">
        <v>15000.0</v>
      </c>
      <c r="AW28" s="192">
        <v>25000.0</v>
      </c>
      <c r="AX28" s="192">
        <v>25000.0</v>
      </c>
      <c r="AY28" s="192">
        <v>25000.0</v>
      </c>
      <c r="AZ28" s="192">
        <v>25000.0</v>
      </c>
      <c r="BA28" s="192">
        <v>25000.0</v>
      </c>
      <c r="BB28" s="192">
        <v>25000.0</v>
      </c>
      <c r="BC28" s="192">
        <v>15000.0</v>
      </c>
      <c r="BD28" s="192">
        <v>15000.0</v>
      </c>
      <c r="BE28" s="192">
        <v>15000.0</v>
      </c>
      <c r="BF28" s="192">
        <v>15000.0</v>
      </c>
      <c r="BG28" s="192">
        <v>25000.0</v>
      </c>
      <c r="BH28" s="192">
        <v>10000.0</v>
      </c>
      <c r="BI28" s="192">
        <v>10000.0</v>
      </c>
      <c r="BJ28" s="192">
        <v>10000.0</v>
      </c>
      <c r="BK28" s="192">
        <v>10000.0</v>
      </c>
      <c r="BL28" s="192">
        <v>10000.0</v>
      </c>
      <c r="BM28" s="192">
        <v>10000.0</v>
      </c>
      <c r="BN28" s="192">
        <v>10000.0</v>
      </c>
      <c r="BO28" s="192">
        <v>10000.0</v>
      </c>
      <c r="BP28" s="192">
        <v>15000.0</v>
      </c>
      <c r="BQ28" s="192">
        <v>15000.0</v>
      </c>
      <c r="BR28" s="192">
        <v>15000.0</v>
      </c>
      <c r="BS28" s="192">
        <v>15000.0</v>
      </c>
      <c r="BT28" s="192">
        <v>15000.0</v>
      </c>
      <c r="BU28" s="192">
        <v>20000.0</v>
      </c>
      <c r="BV28" s="192">
        <v>25000.0</v>
      </c>
      <c r="BW28" s="192">
        <v>25000.0</v>
      </c>
      <c r="BX28" s="192">
        <v>25000.0</v>
      </c>
      <c r="BY28" s="192">
        <v>30000.0</v>
      </c>
      <c r="BZ28" s="192">
        <v>30000.0</v>
      </c>
      <c r="CA28" s="192">
        <v>30000.0</v>
      </c>
      <c r="CB28" s="192">
        <v>30000.0</v>
      </c>
      <c r="CC28" s="192">
        <v>30000.0</v>
      </c>
      <c r="CD28" s="192">
        <v>30000.0</v>
      </c>
      <c r="CE28" s="192">
        <v>35000.0</v>
      </c>
      <c r="CF28" s="192">
        <v>35000.0</v>
      </c>
      <c r="CG28" s="192">
        <v>40000.0</v>
      </c>
      <c r="CH28" s="192">
        <v>40000.0</v>
      </c>
      <c r="CI28" s="192">
        <v>40000.0</v>
      </c>
      <c r="CJ28" s="192">
        <v>45000.0</v>
      </c>
      <c r="CK28" s="192">
        <v>45000.0</v>
      </c>
      <c r="CL28" s="192">
        <v>50000.0</v>
      </c>
      <c r="CM28" s="192">
        <v>50000.0</v>
      </c>
      <c r="CN28" s="192">
        <v>50000.0</v>
      </c>
      <c r="CO28" s="192">
        <v>50000.0</v>
      </c>
      <c r="CP28" s="192">
        <v>50000.0</v>
      </c>
    </row>
    <row r="29" ht="12.75" customHeight="1">
      <c r="A29" s="190" t="s">
        <v>332</v>
      </c>
      <c r="B29" s="191"/>
      <c r="C29" s="191"/>
      <c r="D29" s="191"/>
      <c r="E29" s="191"/>
      <c r="F29" s="191"/>
      <c r="G29" s="191"/>
      <c r="H29" s="191"/>
      <c r="I29" s="191"/>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1"/>
      <c r="BK29" s="191"/>
      <c r="BL29" s="191"/>
      <c r="BM29" s="191"/>
      <c r="BN29" s="191"/>
      <c r="BO29" s="191"/>
      <c r="BP29" s="191"/>
      <c r="BQ29" s="191"/>
      <c r="BR29" s="191"/>
      <c r="BS29" s="191"/>
      <c r="BT29" s="191"/>
      <c r="BU29" s="191"/>
      <c r="BV29" s="191"/>
      <c r="BW29" s="191"/>
      <c r="BX29" s="191"/>
      <c r="BY29" s="191"/>
      <c r="BZ29" s="191"/>
      <c r="CA29" s="191"/>
      <c r="CB29" s="191"/>
      <c r="CC29" s="191"/>
      <c r="CD29" s="191"/>
      <c r="CE29" s="191"/>
      <c r="CF29" s="191"/>
      <c r="CG29" s="191"/>
      <c r="CH29" s="191"/>
      <c r="CI29" s="191"/>
      <c r="CJ29" s="191"/>
      <c r="CK29" s="191"/>
      <c r="CL29" s="191"/>
      <c r="CM29" s="191"/>
      <c r="CN29" s="191"/>
      <c r="CO29" s="191"/>
      <c r="CP29" s="191"/>
    </row>
    <row r="30" ht="12.75" customHeight="1">
      <c r="A30" s="190" t="s">
        <v>333</v>
      </c>
      <c r="B30" s="191"/>
      <c r="C30" s="191"/>
      <c r="D30" s="191"/>
      <c r="E30" s="191"/>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1"/>
      <c r="BM30" s="191"/>
      <c r="BN30" s="191"/>
      <c r="BO30" s="191"/>
      <c r="BP30" s="191"/>
      <c r="BQ30" s="191"/>
      <c r="BR30" s="191"/>
      <c r="BS30" s="191"/>
      <c r="BT30" s="191"/>
      <c r="BU30" s="191"/>
      <c r="BV30" s="191"/>
      <c r="BW30" s="191"/>
      <c r="BX30" s="191"/>
      <c r="BY30" s="191"/>
      <c r="BZ30" s="191"/>
      <c r="CA30" s="191"/>
      <c r="CB30" s="191"/>
      <c r="CC30" s="191"/>
      <c r="CD30" s="191"/>
      <c r="CE30" s="191"/>
      <c r="CF30" s="191"/>
      <c r="CG30" s="191"/>
      <c r="CH30" s="191"/>
      <c r="CI30" s="191"/>
      <c r="CJ30" s="191"/>
      <c r="CK30" s="191"/>
      <c r="CL30" s="191"/>
      <c r="CM30" s="191"/>
      <c r="CN30" s="191"/>
      <c r="CO30" s="191"/>
      <c r="CP30" s="191"/>
    </row>
    <row r="31" ht="12.75" customHeight="1">
      <c r="A31" s="190" t="s">
        <v>334</v>
      </c>
      <c r="B31" s="191"/>
      <c r="C31" s="191"/>
      <c r="D31" s="191"/>
      <c r="E31" s="191"/>
      <c r="F31" s="191"/>
      <c r="G31" s="191"/>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c r="BF31" s="191"/>
      <c r="BG31" s="191"/>
      <c r="BH31" s="191"/>
      <c r="BI31" s="191"/>
      <c r="BJ31" s="191"/>
      <c r="BK31" s="191"/>
      <c r="BL31" s="191"/>
      <c r="BM31" s="191"/>
      <c r="BN31" s="191"/>
      <c r="BO31" s="191"/>
      <c r="BP31" s="191"/>
      <c r="BQ31" s="191"/>
      <c r="BR31" s="191"/>
      <c r="BS31" s="191"/>
      <c r="BT31" s="191"/>
      <c r="BU31" s="191"/>
      <c r="BV31" s="191"/>
      <c r="BW31" s="191"/>
      <c r="BX31" s="191"/>
      <c r="BY31" s="191"/>
      <c r="BZ31" s="191"/>
      <c r="CA31" s="191"/>
      <c r="CB31" s="191"/>
      <c r="CC31" s="191"/>
      <c r="CD31" s="191"/>
      <c r="CE31" s="191"/>
      <c r="CF31" s="191"/>
      <c r="CG31" s="191"/>
      <c r="CH31" s="191"/>
      <c r="CI31" s="191"/>
      <c r="CJ31" s="191"/>
      <c r="CK31" s="191"/>
      <c r="CL31" s="191"/>
      <c r="CM31" s="191"/>
      <c r="CN31" s="191"/>
      <c r="CO31" s="191"/>
      <c r="CP31" s="191"/>
    </row>
    <row r="32" ht="12.75" customHeight="1">
      <c r="A32" s="190" t="s">
        <v>335</v>
      </c>
      <c r="B32" s="191"/>
      <c r="C32" s="191"/>
      <c r="D32" s="191"/>
      <c r="E32" s="191"/>
      <c r="F32" s="191"/>
      <c r="G32" s="191"/>
      <c r="H32" s="191"/>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1"/>
      <c r="AH32" s="105">
        <v>0.0</v>
      </c>
      <c r="AI32" s="105">
        <v>0.0</v>
      </c>
      <c r="AJ32" s="105">
        <v>0.0</v>
      </c>
      <c r="AK32" s="105">
        <v>0.0</v>
      </c>
      <c r="AL32" s="105">
        <v>0.0</v>
      </c>
      <c r="AM32" s="105">
        <v>0.0</v>
      </c>
      <c r="AN32" s="105">
        <v>0.0</v>
      </c>
      <c r="AO32" s="105">
        <v>0.0</v>
      </c>
      <c r="AP32" s="105">
        <v>0.0</v>
      </c>
      <c r="AQ32" s="105">
        <v>0.0</v>
      </c>
      <c r="AR32" s="105">
        <v>0.0</v>
      </c>
      <c r="AS32" s="105">
        <v>0.0</v>
      </c>
      <c r="AT32" s="105">
        <v>0.0</v>
      </c>
      <c r="AU32" s="105">
        <v>0.0</v>
      </c>
      <c r="AV32" s="105">
        <v>0.0</v>
      </c>
      <c r="AW32" s="105">
        <v>0.0</v>
      </c>
      <c r="AX32" s="105">
        <v>0.0</v>
      </c>
      <c r="AY32" s="105">
        <v>0.0</v>
      </c>
      <c r="AZ32" s="105">
        <v>0.0</v>
      </c>
      <c r="BA32" s="105">
        <v>0.0</v>
      </c>
      <c r="BB32" s="105">
        <v>0.0</v>
      </c>
      <c r="BC32" s="105">
        <v>0.0</v>
      </c>
      <c r="BD32" s="105">
        <v>0.0</v>
      </c>
      <c r="BE32" s="105">
        <v>0.0</v>
      </c>
      <c r="BF32" s="105">
        <v>0.0</v>
      </c>
      <c r="BG32" s="105">
        <v>0.0</v>
      </c>
      <c r="BH32" s="105">
        <v>0.0</v>
      </c>
      <c r="BI32" s="105">
        <v>0.0</v>
      </c>
      <c r="BJ32" s="105">
        <v>0.0</v>
      </c>
      <c r="BK32" s="105">
        <v>0.0</v>
      </c>
      <c r="BL32" s="105">
        <v>0.0</v>
      </c>
      <c r="BM32" s="105">
        <v>0.0</v>
      </c>
      <c r="BN32" s="105">
        <v>0.0</v>
      </c>
      <c r="BO32" s="105">
        <v>0.0</v>
      </c>
      <c r="BP32" s="105">
        <v>0.0</v>
      </c>
      <c r="BQ32" s="105">
        <v>0.0</v>
      </c>
      <c r="BR32" s="105">
        <v>0.0</v>
      </c>
      <c r="BS32" s="105">
        <v>0.0</v>
      </c>
      <c r="BT32" s="105">
        <v>0.0</v>
      </c>
      <c r="BU32" s="105">
        <v>0.0</v>
      </c>
      <c r="BV32" s="105">
        <v>0.0</v>
      </c>
      <c r="BW32" s="105">
        <v>0.0</v>
      </c>
      <c r="BX32" s="105">
        <v>0.0</v>
      </c>
      <c r="BY32" s="105">
        <v>0.0</v>
      </c>
      <c r="BZ32" s="105">
        <v>0.0</v>
      </c>
      <c r="CA32" s="105">
        <v>0.0</v>
      </c>
      <c r="CB32" s="105">
        <v>0.0</v>
      </c>
      <c r="CC32" s="105">
        <v>0.0</v>
      </c>
      <c r="CD32" s="105">
        <v>0.0</v>
      </c>
      <c r="CE32" s="105">
        <v>0.0</v>
      </c>
      <c r="CF32" s="105">
        <v>0.0</v>
      </c>
      <c r="CG32" s="105">
        <v>0.0</v>
      </c>
      <c r="CH32" s="105">
        <v>0.0</v>
      </c>
      <c r="CI32" s="105">
        <v>0.0</v>
      </c>
      <c r="CJ32" s="105">
        <v>0.0</v>
      </c>
      <c r="CK32" s="105">
        <v>0.0</v>
      </c>
      <c r="CL32" s="105">
        <v>0.0</v>
      </c>
      <c r="CM32" s="105">
        <v>0.0</v>
      </c>
      <c r="CN32" s="105">
        <v>0.0</v>
      </c>
      <c r="CO32" s="105">
        <v>0.0</v>
      </c>
      <c r="CP32" s="105">
        <v>0.0</v>
      </c>
      <c r="CQ32" s="105">
        <v>0.0</v>
      </c>
      <c r="CR32" s="105">
        <v>0.0</v>
      </c>
      <c r="CS32" s="105">
        <v>0.0</v>
      </c>
      <c r="CT32" s="105">
        <v>0.0</v>
      </c>
      <c r="CU32" s="105">
        <v>0.0</v>
      </c>
      <c r="CV32" s="105">
        <v>0.0</v>
      </c>
      <c r="CW32" s="105">
        <v>0.0</v>
      </c>
      <c r="CX32" s="105">
        <v>0.0</v>
      </c>
    </row>
    <row r="33" ht="12.75" customHeight="1">
      <c r="A33" s="190" t="s">
        <v>336</v>
      </c>
      <c r="B33" s="191"/>
      <c r="C33" s="191"/>
      <c r="D33" s="191"/>
      <c r="E33" s="191"/>
      <c r="F33" s="191"/>
      <c r="G33" s="191"/>
      <c r="H33" s="191"/>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c r="BF33" s="191"/>
      <c r="BG33" s="191"/>
      <c r="BH33" s="191"/>
      <c r="BI33" s="191"/>
      <c r="BJ33" s="191"/>
      <c r="BK33" s="191"/>
      <c r="BL33" s="191"/>
      <c r="BM33" s="191"/>
      <c r="BN33" s="191"/>
      <c r="BO33" s="191"/>
      <c r="BP33" s="191"/>
      <c r="BQ33" s="191"/>
      <c r="BR33" s="191"/>
      <c r="BS33" s="191"/>
      <c r="BT33" s="191"/>
      <c r="BU33" s="191"/>
      <c r="BV33" s="191"/>
      <c r="BW33" s="191"/>
      <c r="BX33" s="191"/>
      <c r="BY33" s="191"/>
      <c r="BZ33" s="191"/>
      <c r="CA33" s="191"/>
      <c r="CB33" s="191"/>
      <c r="CC33" s="191"/>
      <c r="CD33" s="191"/>
      <c r="CE33" s="191"/>
      <c r="CF33" s="191"/>
      <c r="CG33" s="191"/>
      <c r="CH33" s="191"/>
      <c r="CI33" s="191"/>
      <c r="CJ33" s="191"/>
      <c r="CK33" s="191"/>
      <c r="CL33" s="191"/>
      <c r="CM33" s="191"/>
      <c r="CN33" s="191"/>
      <c r="CO33" s="191"/>
      <c r="CP33" s="191"/>
    </row>
    <row r="34" ht="12.75" customHeight="1">
      <c r="A34" s="190" t="s">
        <v>337</v>
      </c>
      <c r="B34" s="191"/>
      <c r="C34" s="191"/>
      <c r="D34" s="191"/>
      <c r="E34" s="191"/>
      <c r="F34" s="191"/>
      <c r="G34" s="191"/>
      <c r="H34" s="191"/>
      <c r="I34" s="191"/>
      <c r="J34" s="191"/>
      <c r="K34" s="191"/>
      <c r="L34" s="191"/>
      <c r="M34" s="191"/>
      <c r="N34" s="191"/>
      <c r="O34" s="191"/>
      <c r="P34" s="191"/>
      <c r="Q34" s="191"/>
      <c r="R34" s="191"/>
      <c r="S34" s="191"/>
      <c r="T34" s="191"/>
      <c r="U34" s="191"/>
      <c r="V34" s="191"/>
      <c r="W34" s="191"/>
      <c r="X34" s="191"/>
      <c r="Y34" s="191"/>
      <c r="Z34" s="191"/>
      <c r="AA34" s="191"/>
      <c r="AB34" s="191"/>
      <c r="AC34" s="191"/>
      <c r="AD34" s="191"/>
      <c r="AE34" s="191"/>
      <c r="AF34" s="191"/>
      <c r="AG34" s="191"/>
      <c r="AH34" s="191">
        <v>1500.0</v>
      </c>
      <c r="AI34" s="191">
        <v>1500.0</v>
      </c>
      <c r="AJ34" s="191">
        <v>1500.0</v>
      </c>
      <c r="AK34" s="191">
        <v>1500.0</v>
      </c>
      <c r="AL34" s="191">
        <v>1500.0</v>
      </c>
      <c r="AM34" s="191">
        <v>1500.0</v>
      </c>
      <c r="AN34" s="191">
        <v>1500.0</v>
      </c>
      <c r="AO34" s="191">
        <v>1500.0</v>
      </c>
      <c r="AP34" s="191">
        <v>1500.0</v>
      </c>
      <c r="AQ34" s="191">
        <v>1500.0</v>
      </c>
      <c r="AR34" s="191">
        <v>1500.0</v>
      </c>
      <c r="AS34" s="191">
        <v>1500.0</v>
      </c>
      <c r="AT34" s="191">
        <v>1500.0</v>
      </c>
      <c r="AU34" s="191">
        <v>2500.0</v>
      </c>
      <c r="AV34" s="191">
        <v>2500.0</v>
      </c>
      <c r="AW34" s="191">
        <v>2500.0</v>
      </c>
      <c r="AX34" s="191">
        <v>2500.0</v>
      </c>
      <c r="AY34" s="191">
        <v>2500.0</v>
      </c>
      <c r="AZ34" s="191">
        <v>2500.0</v>
      </c>
      <c r="BA34" s="191">
        <v>2500.0</v>
      </c>
      <c r="BB34" s="191">
        <v>2500.0</v>
      </c>
      <c r="BC34" s="191">
        <v>2500.0</v>
      </c>
      <c r="BD34" s="191">
        <v>2500.0</v>
      </c>
      <c r="BE34" s="191">
        <v>2500.0</v>
      </c>
      <c r="BF34" s="191">
        <v>2500.0</v>
      </c>
      <c r="BG34" s="191">
        <v>2500.0</v>
      </c>
      <c r="BH34" s="191">
        <v>2500.0</v>
      </c>
      <c r="BI34" s="191">
        <v>2500.0</v>
      </c>
      <c r="BJ34" s="191">
        <v>2500.0</v>
      </c>
      <c r="BK34" s="191">
        <v>2500.0</v>
      </c>
      <c r="BL34" s="191">
        <v>2500.0</v>
      </c>
      <c r="BM34" s="191">
        <v>2500.0</v>
      </c>
      <c r="BN34" s="191">
        <v>2500.0</v>
      </c>
      <c r="BO34" s="191">
        <v>2500.0</v>
      </c>
      <c r="BP34" s="191">
        <v>2500.0</v>
      </c>
      <c r="BQ34" s="191">
        <v>2500.0</v>
      </c>
      <c r="BR34" s="191">
        <v>2500.0</v>
      </c>
      <c r="BS34" s="191">
        <v>2500.0</v>
      </c>
      <c r="BT34" s="191">
        <v>2500.0</v>
      </c>
      <c r="BU34" s="191">
        <v>2500.0</v>
      </c>
      <c r="BV34" s="191">
        <v>2500.0</v>
      </c>
      <c r="BW34" s="191">
        <v>2500.0</v>
      </c>
      <c r="BX34" s="191">
        <v>2500.0</v>
      </c>
      <c r="BY34" s="191">
        <v>2500.0</v>
      </c>
      <c r="BZ34" s="191">
        <v>2500.0</v>
      </c>
      <c r="CA34" s="191">
        <v>2500.0</v>
      </c>
      <c r="CB34" s="191">
        <v>2500.0</v>
      </c>
      <c r="CC34" s="191">
        <v>2500.0</v>
      </c>
      <c r="CD34" s="191">
        <v>2500.0</v>
      </c>
      <c r="CE34" s="191">
        <v>2500.0</v>
      </c>
      <c r="CF34" s="191">
        <v>2500.0</v>
      </c>
      <c r="CG34" s="191">
        <v>2500.0</v>
      </c>
      <c r="CH34" s="191">
        <v>2500.0</v>
      </c>
      <c r="CI34" s="191">
        <v>2500.0</v>
      </c>
      <c r="CJ34" s="191">
        <v>2500.0</v>
      </c>
      <c r="CK34" s="191">
        <v>2500.0</v>
      </c>
      <c r="CL34" s="191">
        <v>2500.0</v>
      </c>
      <c r="CM34" s="191">
        <v>2500.0</v>
      </c>
      <c r="CN34" s="191">
        <v>2500.0</v>
      </c>
      <c r="CO34" s="191">
        <v>2500.0</v>
      </c>
      <c r="CP34" s="191">
        <v>2500.0</v>
      </c>
    </row>
    <row r="35" ht="12.75" customHeight="1">
      <c r="A35" s="190" t="s">
        <v>338</v>
      </c>
      <c r="B35" s="191"/>
      <c r="C35" s="191"/>
      <c r="D35" s="191"/>
      <c r="E35" s="191"/>
      <c r="F35" s="191"/>
      <c r="G35" s="191"/>
      <c r="H35" s="191"/>
      <c r="I35" s="191"/>
      <c r="J35" s="191"/>
      <c r="K35" s="191"/>
      <c r="L35" s="191"/>
      <c r="M35" s="191"/>
      <c r="N35" s="191"/>
      <c r="O35" s="191"/>
      <c r="P35" s="191"/>
      <c r="Q35" s="191"/>
      <c r="R35" s="191"/>
      <c r="S35" s="191"/>
      <c r="T35" s="191"/>
      <c r="U35" s="191"/>
      <c r="V35" s="191"/>
      <c r="W35" s="191"/>
      <c r="X35" s="191"/>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c r="BF35" s="191"/>
      <c r="BG35" s="191"/>
      <c r="BH35" s="191"/>
      <c r="BI35" s="191"/>
      <c r="BJ35" s="191"/>
      <c r="BK35" s="191"/>
      <c r="BL35" s="191"/>
      <c r="BM35" s="191"/>
      <c r="BN35" s="191"/>
      <c r="BO35" s="191"/>
      <c r="BP35" s="191"/>
      <c r="BQ35" s="191"/>
      <c r="BR35" s="191"/>
      <c r="BS35" s="191"/>
      <c r="BT35" s="191"/>
      <c r="BU35" s="191"/>
      <c r="BV35" s="191"/>
      <c r="BW35" s="191"/>
      <c r="BX35" s="191"/>
      <c r="BY35" s="191"/>
      <c r="BZ35" s="191"/>
      <c r="CA35" s="191"/>
      <c r="CB35" s="191"/>
      <c r="CC35" s="191"/>
      <c r="CD35" s="191"/>
      <c r="CE35" s="191"/>
      <c r="CF35" s="191"/>
      <c r="CG35" s="191"/>
      <c r="CH35" s="191"/>
      <c r="CI35" s="191"/>
      <c r="CJ35" s="191"/>
      <c r="CK35" s="191"/>
      <c r="CL35" s="191"/>
      <c r="CM35" s="191"/>
      <c r="CN35" s="191"/>
      <c r="CO35" s="191"/>
      <c r="CP35" s="191"/>
    </row>
    <row r="36" ht="12.75" customHeight="1">
      <c r="A36" s="190" t="s">
        <v>339</v>
      </c>
      <c r="B36" s="191"/>
      <c r="C36" s="191"/>
      <c r="D36" s="191"/>
      <c r="E36" s="191"/>
      <c r="F36" s="191"/>
      <c r="G36" s="191"/>
      <c r="H36" s="191"/>
      <c r="I36" s="191"/>
      <c r="J36" s="191"/>
      <c r="K36" s="191"/>
      <c r="L36" s="191"/>
      <c r="M36" s="191"/>
      <c r="N36" s="191"/>
      <c r="O36" s="191"/>
      <c r="P36" s="191"/>
      <c r="Q36" s="191"/>
      <c r="R36" s="191"/>
      <c r="S36" s="191"/>
      <c r="T36" s="191"/>
      <c r="U36" s="191"/>
      <c r="V36" s="191"/>
      <c r="W36" s="191"/>
      <c r="X36" s="191"/>
      <c r="Y36" s="191"/>
      <c r="Z36" s="191"/>
      <c r="AA36" s="191"/>
      <c r="AB36" s="191"/>
      <c r="AC36" s="191"/>
      <c r="AD36" s="191"/>
      <c r="AE36" s="191"/>
      <c r="AF36" s="191"/>
      <c r="AG36" s="191"/>
      <c r="AH36" s="105">
        <v>0.0</v>
      </c>
      <c r="AI36" s="105">
        <v>0.0</v>
      </c>
      <c r="AJ36" s="105">
        <v>0.0</v>
      </c>
      <c r="AK36" s="105">
        <v>0.0</v>
      </c>
      <c r="AL36" s="105">
        <v>0.0</v>
      </c>
      <c r="AM36" s="105">
        <v>0.0</v>
      </c>
      <c r="AN36" s="105">
        <v>0.0</v>
      </c>
      <c r="AO36" s="105">
        <v>0.0</v>
      </c>
      <c r="AP36" s="105">
        <v>0.0</v>
      </c>
      <c r="AQ36" s="105">
        <v>0.0</v>
      </c>
      <c r="AR36" s="105">
        <v>0.0</v>
      </c>
      <c r="AS36" s="105">
        <v>0.0</v>
      </c>
      <c r="AT36" s="105">
        <v>0.0</v>
      </c>
      <c r="AU36" s="105">
        <v>0.0</v>
      </c>
      <c r="AV36" s="105">
        <v>2000.0</v>
      </c>
      <c r="AW36" s="105">
        <v>2000.0</v>
      </c>
      <c r="AX36" s="105">
        <v>2000.0</v>
      </c>
      <c r="AY36" s="105">
        <v>2000.0</v>
      </c>
      <c r="AZ36" s="105">
        <v>2000.0</v>
      </c>
      <c r="BA36" s="105">
        <v>2000.0</v>
      </c>
      <c r="BB36" s="105">
        <v>2000.0</v>
      </c>
      <c r="BC36" s="105">
        <v>2000.0</v>
      </c>
      <c r="BD36" s="105">
        <v>2000.0</v>
      </c>
      <c r="BE36" s="105">
        <v>2000.0</v>
      </c>
      <c r="BF36" s="105">
        <v>2000.0</v>
      </c>
      <c r="BG36" s="105">
        <v>2000.0</v>
      </c>
      <c r="BH36" s="105">
        <v>2000.0</v>
      </c>
      <c r="BI36" s="105">
        <v>2000.0</v>
      </c>
      <c r="BJ36" s="105">
        <v>2000.0</v>
      </c>
      <c r="BK36" s="105">
        <v>2000.0</v>
      </c>
      <c r="BL36" s="105">
        <v>2000.0</v>
      </c>
      <c r="BM36" s="105">
        <v>2000.0</v>
      </c>
      <c r="BN36" s="105">
        <v>2000.0</v>
      </c>
      <c r="BO36" s="105">
        <v>2000.0</v>
      </c>
      <c r="BP36" s="105">
        <v>2000.0</v>
      </c>
      <c r="BQ36" s="105">
        <v>1000.0</v>
      </c>
      <c r="BR36" s="105">
        <v>1000.0</v>
      </c>
      <c r="BS36" s="105">
        <v>1000.0</v>
      </c>
      <c r="BT36" s="105">
        <v>1000.0</v>
      </c>
      <c r="BU36" s="105">
        <v>1000.0</v>
      </c>
      <c r="BV36" s="105">
        <v>1000.0</v>
      </c>
      <c r="BW36" s="105">
        <v>1000.0</v>
      </c>
      <c r="BX36" s="105">
        <v>1000.0</v>
      </c>
      <c r="BY36" s="105">
        <v>1000.0</v>
      </c>
      <c r="BZ36" s="105">
        <v>1000.0</v>
      </c>
      <c r="CA36" s="105">
        <v>1000.0</v>
      </c>
      <c r="CB36" s="105">
        <v>1000.0</v>
      </c>
      <c r="CC36" s="105">
        <v>1000.0</v>
      </c>
      <c r="CD36" s="105">
        <v>1000.0</v>
      </c>
      <c r="CE36" s="105">
        <v>1000.0</v>
      </c>
      <c r="CF36" s="105">
        <v>1000.0</v>
      </c>
      <c r="CG36" s="105">
        <v>1000.0</v>
      </c>
      <c r="CH36" s="105">
        <v>1000.0</v>
      </c>
      <c r="CI36" s="105">
        <v>1000.0</v>
      </c>
      <c r="CJ36" s="105">
        <v>1000.0</v>
      </c>
      <c r="CK36" s="105">
        <v>1000.0</v>
      </c>
      <c r="CL36" s="105">
        <v>1000.0</v>
      </c>
      <c r="CM36" s="105">
        <v>1000.0</v>
      </c>
      <c r="CN36" s="105">
        <v>1000.0</v>
      </c>
      <c r="CO36" s="105">
        <v>1000.0</v>
      </c>
      <c r="CP36" s="105">
        <v>1000.0</v>
      </c>
    </row>
    <row r="37" ht="12.75" customHeight="1">
      <c r="A37" s="190" t="s">
        <v>340</v>
      </c>
      <c r="B37" s="191"/>
      <c r="C37" s="191"/>
      <c r="D37" s="191"/>
      <c r="E37" s="191"/>
      <c r="F37" s="191"/>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row>
    <row r="38" ht="12.75" customHeight="1">
      <c r="A38" s="190" t="s">
        <v>341</v>
      </c>
      <c r="B38" s="191"/>
      <c r="C38" s="191"/>
      <c r="D38" s="191"/>
      <c r="E38" s="191"/>
      <c r="F38" s="191"/>
      <c r="G38" s="191"/>
      <c r="H38" s="191"/>
      <c r="I38" s="191"/>
      <c r="J38" s="191"/>
      <c r="K38" s="191"/>
      <c r="L38" s="191"/>
      <c r="M38" s="191"/>
      <c r="N38" s="191"/>
      <c r="O38" s="191"/>
      <c r="P38" s="191"/>
      <c r="Q38" s="191"/>
      <c r="R38" s="191"/>
      <c r="S38" s="191"/>
      <c r="T38" s="191"/>
      <c r="U38" s="191"/>
      <c r="V38" s="191"/>
      <c r="W38" s="191"/>
      <c r="X38" s="191"/>
      <c r="Y38" s="191"/>
      <c r="Z38" s="191"/>
      <c r="AA38" s="191"/>
      <c r="AB38" s="191"/>
      <c r="AC38" s="191"/>
      <c r="AD38" s="191"/>
      <c r="AE38" s="191"/>
      <c r="AF38" s="191"/>
      <c r="AG38" s="191"/>
      <c r="AH38" s="105"/>
      <c r="AI38" s="105">
        <v>0.0</v>
      </c>
      <c r="AJ38" s="105">
        <v>0.0</v>
      </c>
      <c r="AK38" s="105">
        <v>0.0</v>
      </c>
      <c r="AL38" s="105">
        <v>0.0</v>
      </c>
      <c r="AM38" s="105">
        <v>0.0</v>
      </c>
      <c r="AN38" s="105">
        <v>0.0</v>
      </c>
      <c r="AO38" s="105">
        <v>0.0</v>
      </c>
      <c r="AP38" s="105">
        <v>0.0</v>
      </c>
      <c r="AQ38" s="105">
        <v>0.0</v>
      </c>
      <c r="AR38" s="105">
        <v>0.0</v>
      </c>
      <c r="AS38" s="105">
        <v>0.0</v>
      </c>
      <c r="AT38" s="105">
        <v>0.0</v>
      </c>
      <c r="AU38" s="105">
        <v>0.0</v>
      </c>
      <c r="AV38" s="105">
        <v>0.0</v>
      </c>
      <c r="AW38" s="105">
        <v>0.0</v>
      </c>
      <c r="AX38" s="105">
        <v>0.0</v>
      </c>
      <c r="AY38" s="105">
        <v>0.0</v>
      </c>
      <c r="AZ38" s="105">
        <v>0.0</v>
      </c>
      <c r="BA38" s="105">
        <v>0.0</v>
      </c>
      <c r="BB38" s="105">
        <v>0.0</v>
      </c>
      <c r="BC38" s="105">
        <v>0.0</v>
      </c>
      <c r="BD38" s="105">
        <v>0.0</v>
      </c>
      <c r="BE38" s="105">
        <v>0.0</v>
      </c>
      <c r="BF38" s="105">
        <v>0.0</v>
      </c>
      <c r="BG38" s="105">
        <v>0.0</v>
      </c>
      <c r="BH38" s="105">
        <v>0.0</v>
      </c>
      <c r="BI38" s="105">
        <v>0.0</v>
      </c>
      <c r="BJ38" s="105">
        <v>0.0</v>
      </c>
      <c r="BK38" s="105">
        <v>0.0</v>
      </c>
      <c r="BL38" s="105">
        <v>0.0</v>
      </c>
      <c r="BM38" s="105">
        <v>0.0</v>
      </c>
      <c r="BN38" s="105">
        <v>0.0</v>
      </c>
      <c r="BO38" s="105">
        <v>0.0</v>
      </c>
      <c r="BP38" s="105">
        <v>0.0</v>
      </c>
      <c r="BQ38" s="105">
        <v>0.0</v>
      </c>
      <c r="BR38" s="105">
        <v>0.0</v>
      </c>
      <c r="BS38" s="105">
        <v>0.0</v>
      </c>
      <c r="BT38" s="105">
        <v>0.0</v>
      </c>
      <c r="BU38" s="105">
        <v>0.0</v>
      </c>
      <c r="BV38" s="105">
        <v>0.0</v>
      </c>
      <c r="BW38" s="105">
        <v>0.0</v>
      </c>
      <c r="BX38" s="105">
        <v>0.0</v>
      </c>
      <c r="BY38" s="105">
        <v>0.0</v>
      </c>
      <c r="BZ38" s="105">
        <v>0.0</v>
      </c>
      <c r="CA38" s="105">
        <v>0.0</v>
      </c>
      <c r="CB38" s="105">
        <v>0.0</v>
      </c>
      <c r="CC38" s="105">
        <v>0.0</v>
      </c>
      <c r="CD38" s="105">
        <v>0.0</v>
      </c>
      <c r="CE38" s="105">
        <v>0.0</v>
      </c>
      <c r="CF38" s="105">
        <v>0.0</v>
      </c>
      <c r="CG38" s="105">
        <v>0.0</v>
      </c>
      <c r="CH38" s="105">
        <v>0.0</v>
      </c>
      <c r="CI38" s="105">
        <v>0.0</v>
      </c>
      <c r="CJ38" s="105">
        <v>0.0</v>
      </c>
      <c r="CK38" s="105">
        <v>0.0</v>
      </c>
      <c r="CL38" s="105">
        <v>0.0</v>
      </c>
      <c r="CM38" s="105">
        <v>0.0</v>
      </c>
      <c r="CN38" s="105">
        <v>0.0</v>
      </c>
      <c r="CO38" s="105">
        <v>0.0</v>
      </c>
      <c r="CP38" s="105">
        <v>0.0</v>
      </c>
    </row>
    <row r="39" ht="12.75" customHeight="1">
      <c r="A39" s="190"/>
      <c r="B39" s="191"/>
      <c r="C39" s="191"/>
      <c r="D39" s="191"/>
      <c r="E39" s="191"/>
      <c r="F39" s="191"/>
      <c r="G39" s="191"/>
      <c r="H39" s="191"/>
      <c r="I39" s="191"/>
      <c r="J39" s="191"/>
      <c r="K39" s="191"/>
      <c r="L39" s="191"/>
      <c r="M39" s="191"/>
      <c r="N39" s="191"/>
      <c r="O39" s="191"/>
      <c r="P39" s="191"/>
      <c r="Q39" s="191"/>
      <c r="R39" s="191"/>
      <c r="S39" s="191"/>
      <c r="T39" s="191"/>
      <c r="U39" s="191"/>
      <c r="V39" s="191"/>
      <c r="W39" s="191"/>
      <c r="X39" s="191"/>
      <c r="Y39" s="191"/>
      <c r="Z39" s="191"/>
      <c r="AA39" s="191"/>
      <c r="AB39" s="191"/>
      <c r="AC39" s="191"/>
      <c r="AD39" s="191"/>
      <c r="AE39" s="191"/>
      <c r="AF39" s="191"/>
      <c r="AG39" s="191"/>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5"/>
      <c r="BO39" s="105"/>
      <c r="BP39" s="105"/>
      <c r="BQ39" s="105"/>
      <c r="BR39" s="105"/>
      <c r="BS39" s="105"/>
      <c r="BT39" s="105"/>
      <c r="BU39" s="105"/>
      <c r="BV39" s="105"/>
      <c r="BW39" s="105"/>
      <c r="BX39" s="105"/>
      <c r="BY39" s="105"/>
      <c r="BZ39" s="105"/>
      <c r="CA39" s="105"/>
      <c r="CB39" s="105"/>
      <c r="CC39" s="105"/>
      <c r="CD39" s="105"/>
      <c r="CE39" s="105"/>
      <c r="CF39" s="105"/>
      <c r="CG39" s="105"/>
      <c r="CH39" s="105"/>
      <c r="CI39" s="105"/>
      <c r="CJ39" s="105"/>
      <c r="CK39" s="105"/>
      <c r="CL39" s="105"/>
      <c r="CM39" s="105"/>
      <c r="CN39" s="105"/>
      <c r="CO39" s="105"/>
      <c r="CP39" s="105"/>
    </row>
    <row r="40" ht="12.75" customHeight="1">
      <c r="A40" s="190" t="s">
        <v>342</v>
      </c>
      <c r="B40" s="191"/>
      <c r="C40" s="191"/>
      <c r="D40" s="191"/>
      <c r="E40" s="191"/>
      <c r="F40" s="191"/>
      <c r="G40" s="191"/>
      <c r="H40" s="191"/>
      <c r="I40" s="191"/>
      <c r="J40" s="191"/>
      <c r="K40" s="191"/>
      <c r="L40" s="191"/>
      <c r="M40" s="191"/>
      <c r="N40" s="191"/>
      <c r="O40" s="191"/>
      <c r="P40" s="191"/>
      <c r="Q40" s="191"/>
      <c r="R40" s="191"/>
      <c r="S40" s="191"/>
      <c r="T40" s="191"/>
      <c r="U40" s="191"/>
      <c r="V40" s="191"/>
      <c r="W40" s="191"/>
      <c r="X40" s="191"/>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c r="BF40" s="191"/>
      <c r="BG40" s="191"/>
      <c r="BH40" s="191"/>
      <c r="BI40" s="191"/>
      <c r="BJ40" s="191"/>
      <c r="BK40" s="191"/>
      <c r="BL40" s="191"/>
      <c r="BM40" s="191"/>
      <c r="BN40" s="191"/>
      <c r="BO40" s="191"/>
      <c r="BP40" s="191"/>
      <c r="BQ40" s="191"/>
      <c r="BR40" s="191"/>
      <c r="BS40" s="191"/>
      <c r="BT40" s="191"/>
      <c r="BU40" s="191"/>
      <c r="BV40" s="191"/>
      <c r="BW40" s="191"/>
      <c r="BX40" s="191"/>
      <c r="BY40" s="191"/>
      <c r="BZ40" s="191"/>
      <c r="CA40" s="191"/>
      <c r="CB40" s="191"/>
      <c r="CC40" s="191"/>
      <c r="CD40" s="191"/>
      <c r="CE40" s="191"/>
      <c r="CF40" s="191"/>
      <c r="CG40" s="191"/>
      <c r="CH40" s="191"/>
      <c r="CI40" s="191"/>
      <c r="CJ40" s="191"/>
      <c r="CK40" s="191"/>
      <c r="CL40" s="191"/>
      <c r="CM40" s="191"/>
      <c r="CN40" s="191"/>
      <c r="CO40" s="191"/>
      <c r="CP40" s="191"/>
    </row>
    <row r="41" ht="12.75" customHeight="1">
      <c r="A41" s="190" t="s">
        <v>343</v>
      </c>
      <c r="B41" s="191"/>
      <c r="C41" s="191"/>
      <c r="D41" s="191"/>
      <c r="E41" s="191"/>
      <c r="F41" s="191"/>
      <c r="G41" s="191"/>
      <c r="H41" s="191"/>
      <c r="I41" s="191"/>
      <c r="J41" s="191"/>
      <c r="K41" s="191"/>
      <c r="L41" s="191"/>
      <c r="M41" s="191"/>
      <c r="N41" s="191"/>
      <c r="O41" s="191"/>
      <c r="P41" s="191"/>
      <c r="Q41" s="191"/>
      <c r="R41" s="191"/>
      <c r="S41" s="191"/>
      <c r="T41" s="191"/>
      <c r="U41" s="191"/>
      <c r="V41" s="191"/>
      <c r="W41" s="191"/>
      <c r="X41" s="191"/>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c r="BE41" s="191"/>
      <c r="BF41" s="191"/>
      <c r="BG41" s="191"/>
      <c r="BH41" s="191"/>
      <c r="BI41" s="191"/>
      <c r="BJ41" s="191"/>
      <c r="BK41" s="191"/>
      <c r="BL41" s="191"/>
      <c r="BM41" s="191"/>
      <c r="BN41" s="191"/>
      <c r="BO41" s="191"/>
      <c r="BP41" s="191"/>
      <c r="BQ41" s="191"/>
      <c r="BR41" s="191"/>
      <c r="BS41" s="191"/>
      <c r="BT41" s="191"/>
      <c r="BU41" s="191"/>
      <c r="BV41" s="191"/>
      <c r="BW41" s="191"/>
      <c r="BX41" s="191"/>
      <c r="BY41" s="191"/>
      <c r="BZ41" s="191"/>
      <c r="CA41" s="191"/>
      <c r="CB41" s="191"/>
      <c r="CC41" s="191"/>
      <c r="CD41" s="191"/>
      <c r="CE41" s="191"/>
      <c r="CF41" s="191"/>
      <c r="CG41" s="191"/>
      <c r="CH41" s="191"/>
      <c r="CI41" s="191"/>
      <c r="CJ41" s="191"/>
      <c r="CK41" s="191"/>
      <c r="CL41" s="191"/>
      <c r="CM41" s="191"/>
      <c r="CN41" s="191"/>
      <c r="CO41" s="191"/>
      <c r="CP41" s="191"/>
    </row>
    <row r="42" ht="12.75" customHeight="1">
      <c r="A42" s="190" t="s">
        <v>344</v>
      </c>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c r="AA42" s="191"/>
      <c r="AB42" s="191"/>
      <c r="AC42" s="191"/>
      <c r="AD42" s="191"/>
      <c r="AE42" s="191"/>
      <c r="AF42" s="191"/>
      <c r="AG42" s="191"/>
      <c r="AH42" s="191">
        <v>3000.0</v>
      </c>
      <c r="AI42" s="191">
        <v>3000.0</v>
      </c>
      <c r="AJ42" s="191">
        <v>3000.0</v>
      </c>
      <c r="AK42" s="191">
        <v>3000.0</v>
      </c>
      <c r="AL42" s="191">
        <v>3000.0</v>
      </c>
      <c r="AM42" s="191">
        <v>3000.0</v>
      </c>
      <c r="AN42" s="191">
        <v>3000.0</v>
      </c>
      <c r="AO42" s="191">
        <v>3000.0</v>
      </c>
      <c r="AP42" s="191">
        <v>3000.0</v>
      </c>
      <c r="AQ42" s="191">
        <v>3000.0</v>
      </c>
      <c r="AR42" s="191">
        <v>3000.0</v>
      </c>
      <c r="AS42" s="191">
        <v>3000.0</v>
      </c>
      <c r="AT42" s="191">
        <v>3000.0</v>
      </c>
      <c r="AU42" s="191">
        <v>3000.0</v>
      </c>
      <c r="AV42" s="191">
        <v>3000.0</v>
      </c>
      <c r="AW42" s="191">
        <v>3000.0</v>
      </c>
      <c r="AX42" s="191">
        <v>3000.0</v>
      </c>
      <c r="AY42" s="191">
        <v>3000.0</v>
      </c>
      <c r="AZ42" s="191">
        <v>3000.0</v>
      </c>
      <c r="BA42" s="191">
        <v>3000.0</v>
      </c>
      <c r="BB42" s="191">
        <v>3000.0</v>
      </c>
      <c r="BC42" s="191">
        <v>3000.0</v>
      </c>
      <c r="BD42" s="191">
        <v>3000.0</v>
      </c>
      <c r="BE42" s="191">
        <v>3000.0</v>
      </c>
      <c r="BF42" s="191">
        <v>3000.0</v>
      </c>
      <c r="BG42" s="191">
        <v>5000.0</v>
      </c>
      <c r="BH42" s="191">
        <v>5000.0</v>
      </c>
      <c r="BI42" s="191">
        <v>5000.0</v>
      </c>
      <c r="BJ42" s="191">
        <v>5000.0</v>
      </c>
      <c r="BK42" s="191">
        <v>5000.0</v>
      </c>
      <c r="BL42" s="191">
        <v>5000.0</v>
      </c>
      <c r="BM42" s="191">
        <v>5000.0</v>
      </c>
      <c r="BN42" s="191">
        <v>5000.0</v>
      </c>
      <c r="BO42" s="191">
        <v>5000.0</v>
      </c>
      <c r="BP42" s="191">
        <v>5000.0</v>
      </c>
      <c r="BQ42" s="191">
        <v>5000.0</v>
      </c>
      <c r="BR42" s="191">
        <v>5000.0</v>
      </c>
      <c r="BS42" s="191">
        <v>5000.0</v>
      </c>
      <c r="BT42" s="191">
        <v>5000.0</v>
      </c>
      <c r="BU42" s="191">
        <v>5000.0</v>
      </c>
      <c r="BV42" s="191">
        <v>5000.0</v>
      </c>
      <c r="BW42" s="191">
        <v>5000.0</v>
      </c>
      <c r="BX42" s="191">
        <v>5000.0</v>
      </c>
      <c r="BY42" s="191">
        <v>5000.0</v>
      </c>
      <c r="BZ42" s="191">
        <v>5000.0</v>
      </c>
      <c r="CA42" s="191">
        <v>5000.0</v>
      </c>
      <c r="CB42" s="191">
        <v>5000.0</v>
      </c>
      <c r="CC42" s="191">
        <v>5000.0</v>
      </c>
      <c r="CD42" s="191">
        <v>5000.0</v>
      </c>
      <c r="CE42" s="191">
        <v>5000.0</v>
      </c>
      <c r="CF42" s="191">
        <v>5000.0</v>
      </c>
      <c r="CG42" s="191">
        <v>5000.0</v>
      </c>
      <c r="CH42" s="191">
        <v>5000.0</v>
      </c>
      <c r="CI42" s="191">
        <v>5000.0</v>
      </c>
      <c r="CJ42" s="191">
        <v>5000.0</v>
      </c>
      <c r="CK42" s="191">
        <v>5000.0</v>
      </c>
      <c r="CL42" s="191">
        <v>5000.0</v>
      </c>
      <c r="CM42" s="191">
        <v>5000.0</v>
      </c>
      <c r="CN42" s="191">
        <v>5000.0</v>
      </c>
      <c r="CO42" s="191">
        <v>5000.0</v>
      </c>
      <c r="CP42" s="191">
        <v>5000.0</v>
      </c>
    </row>
    <row r="43" ht="12.75" customHeight="1">
      <c r="A43" s="190" t="s">
        <v>345</v>
      </c>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c r="AA43" s="191"/>
      <c r="AB43" s="191"/>
      <c r="AC43" s="191"/>
      <c r="AD43" s="191"/>
      <c r="AE43" s="191"/>
      <c r="AF43" s="191"/>
      <c r="AG43" s="191"/>
      <c r="AH43" s="105">
        <f>+'P&amp;L Cash Flow Monthly'!AH15*0.04</f>
        <v>3593.967943</v>
      </c>
      <c r="AI43" s="105">
        <f>+'P&amp;L Cash Flow Monthly'!AI15*0.04</f>
        <v>3113.516024</v>
      </c>
      <c r="AJ43" s="105">
        <f>+'P&amp;L Cash Flow Monthly'!AJ15*0.04</f>
        <v>2813.680423</v>
      </c>
      <c r="AK43" s="105">
        <f>+'P&amp;L Cash Flow Monthly'!AK15*0.04</f>
        <v>2489.221659</v>
      </c>
      <c r="AL43" s="105">
        <f>+'P&amp;L Cash Flow Monthly'!AL15*0.04</f>
        <v>2171.707046</v>
      </c>
      <c r="AM43" s="105">
        <f>+'P&amp;L Cash Flow Monthly'!AM15*0.04</f>
        <v>2227.167258</v>
      </c>
      <c r="AN43" s="105">
        <f>+'P&amp;L Cash Flow Monthly'!AN15*0.04</f>
        <v>2303.862037</v>
      </c>
      <c r="AO43" s="105">
        <f>+'P&amp;L Cash Flow Monthly'!AO15*0.04</f>
        <v>2380.65741</v>
      </c>
      <c r="AP43" s="105">
        <f>+'P&amp;L Cash Flow Monthly'!AP15*0.04</f>
        <v>2374.008338</v>
      </c>
      <c r="AQ43" s="105">
        <f>+'P&amp;L Cash Flow Monthly'!AQ15*0.04</f>
        <v>2367.359266</v>
      </c>
      <c r="AR43" s="105">
        <f>+'P&amp;L Cash Flow Monthly'!AR15*0.04</f>
        <v>2330.13612</v>
      </c>
      <c r="AS43" s="105">
        <f>+'P&amp;L Cash Flow Monthly'!AS15*0.04</f>
        <v>2259.01814</v>
      </c>
      <c r="AT43" s="105">
        <f>+'P&amp;L Cash Flow Monthly'!AT15*0.04</f>
        <v>2119.548441</v>
      </c>
      <c r="AU43" s="105">
        <f>+'P&amp;L Cash Flow Monthly'!AU15*0.04</f>
        <v>2114.012001</v>
      </c>
      <c r="AV43" s="105">
        <f>+'P&amp;L Cash Flow Monthly'!AV15*0.04</f>
        <v>2300.839178</v>
      </c>
      <c r="AW43" s="105">
        <f>+'P&amp;L Cash Flow Monthly'!AW15*0.04</f>
        <v>2877.795792</v>
      </c>
      <c r="AX43" s="105">
        <f>+'P&amp;L Cash Flow Monthly'!AX15*0.04</f>
        <v>3314.087553</v>
      </c>
      <c r="AY43" s="105">
        <f>+'P&amp;L Cash Flow Monthly'!AY15*0.04</f>
        <v>3767.655303</v>
      </c>
      <c r="AZ43" s="105">
        <f>+'P&amp;L Cash Flow Monthly'!AZ15*0.04</f>
        <v>3913.70781</v>
      </c>
      <c r="BA43" s="105">
        <f>+'P&amp;L Cash Flow Monthly'!BA15*0.04</f>
        <v>4170.535147</v>
      </c>
      <c r="BB43" s="105">
        <f>+'P&amp;L Cash Flow Monthly'!BB15*0.04</f>
        <v>4511.700622</v>
      </c>
      <c r="BC43" s="105">
        <f>+'P&amp;L Cash Flow Monthly'!BC15*0.04</f>
        <v>4346.730691</v>
      </c>
      <c r="BD43" s="105">
        <f>+'P&amp;L Cash Flow Monthly'!BD15*0.04</f>
        <v>4075.451462</v>
      </c>
      <c r="BE43" s="105">
        <f>+'P&amp;L Cash Flow Monthly'!BE15*0.04</f>
        <v>3566.296446</v>
      </c>
      <c r="BF43" s="105">
        <f>+'P&amp;L Cash Flow Monthly'!BF15*0.04</f>
        <v>3517.282523</v>
      </c>
      <c r="BG43" s="105">
        <f>+'P&amp;L Cash Flow Monthly'!BG15*0.04</f>
        <v>4066.266935</v>
      </c>
      <c r="BH43" s="105">
        <f>+'P&amp;L Cash Flow Monthly'!BH15*0.04</f>
        <v>3930.38787</v>
      </c>
      <c r="BI43" s="105">
        <f>+'P&amp;L Cash Flow Monthly'!BI15*0.04</f>
        <v>3776.068895</v>
      </c>
      <c r="BJ43" s="105">
        <f>+'P&amp;L Cash Flow Monthly'!BJ15*0.04</f>
        <v>3080.788972</v>
      </c>
      <c r="BK43" s="105">
        <f>+'P&amp;L Cash Flow Monthly'!BK15*0.04</f>
        <v>3094.60837</v>
      </c>
      <c r="BL43" s="105">
        <f>+'P&amp;L Cash Flow Monthly'!BL15*0.04</f>
        <v>3114.502688</v>
      </c>
      <c r="BM43" s="105">
        <f>+'P&amp;L Cash Flow Monthly'!BM15*0.04</f>
        <v>3125.329846</v>
      </c>
      <c r="BN43" s="105">
        <f>+'P&amp;L Cash Flow Monthly'!BN15*0.04</f>
        <v>3131.173829</v>
      </c>
      <c r="BO43" s="105">
        <f>+'P&amp;L Cash Flow Monthly'!BO15*0.04</f>
        <v>3112.718129</v>
      </c>
      <c r="BP43" s="105">
        <f>+'P&amp;L Cash Flow Monthly'!BP15*0.04</f>
        <v>3347.330133</v>
      </c>
      <c r="BQ43" s="105">
        <f>+'P&amp;L Cash Flow Monthly'!BQ15*0.04</f>
        <v>3572.325558</v>
      </c>
      <c r="BR43" s="105">
        <f>+'P&amp;L Cash Flow Monthly'!BR15*0.04</f>
        <v>3800.896695</v>
      </c>
      <c r="BS43" s="105">
        <f>+'P&amp;L Cash Flow Monthly'!BS15*0.04</f>
        <v>3794.835204</v>
      </c>
      <c r="BT43" s="105">
        <f>+'P&amp;L Cash Flow Monthly'!BT15*0.04</f>
        <v>3775.780214</v>
      </c>
      <c r="BU43" s="105">
        <f>+'P&amp;L Cash Flow Monthly'!BU15*0.04</f>
        <v>4039.500762</v>
      </c>
      <c r="BV43" s="105">
        <f>+'P&amp;L Cash Flow Monthly'!BV15*0.04</f>
        <v>4556.289014</v>
      </c>
      <c r="BW43" s="105">
        <f>+'P&amp;L Cash Flow Monthly'!BW15*0.04</f>
        <v>5086.229766</v>
      </c>
      <c r="BX43" s="105">
        <f>+'P&amp;L Cash Flow Monthly'!BX15*0.04</f>
        <v>5394.275279</v>
      </c>
      <c r="BY43" s="105">
        <f>+'P&amp;L Cash Flow Monthly'!BY15*0.04</f>
        <v>5685.793517</v>
      </c>
      <c r="BZ43" s="105">
        <f>+'P&amp;L Cash Flow Monthly'!BZ15*0.04</f>
        <v>6026.062775</v>
      </c>
      <c r="CA43" s="105">
        <f>+'P&amp;L Cash Flow Monthly'!CA15*0.04</f>
        <v>6354.865367</v>
      </c>
      <c r="CB43" s="105">
        <f>+'P&amp;L Cash Flow Monthly'!CB15*0.04</f>
        <v>6458.906053</v>
      </c>
      <c r="CC43" s="105">
        <f>+'P&amp;L Cash Flow Monthly'!CC15*0.04</f>
        <v>6558.796113</v>
      </c>
      <c r="CD43" s="105">
        <f>+'P&amp;L Cash Flow Monthly'!CD15*0.04</f>
        <v>6658.686172</v>
      </c>
      <c r="CE43" s="105">
        <f>+'P&amp;L Cash Flow Monthly'!CE15*0.04</f>
        <v>6785.745492</v>
      </c>
      <c r="CF43" s="105">
        <f>+'P&amp;L Cash Flow Monthly'!CF15*0.04</f>
        <v>6907.685764</v>
      </c>
      <c r="CG43" s="105">
        <f>+'P&amp;L Cash Flow Monthly'!CG15*0.04</f>
        <v>7267.441229</v>
      </c>
      <c r="CH43" s="105">
        <f>+'P&amp;L Cash Flow Monthly'!CH15*0.04</f>
        <v>7581.744539</v>
      </c>
      <c r="CI43" s="105">
        <f>+'P&amp;L Cash Flow Monthly'!CI15*0.04</f>
        <v>7899.602</v>
      </c>
      <c r="CJ43" s="105">
        <f>+'P&amp;L Cash Flow Monthly'!CJ15*0.04</f>
        <v>8243.192476</v>
      </c>
      <c r="CK43" s="105">
        <f>+'P&amp;L Cash Flow Monthly'!CK15*0.04</f>
        <v>8565.882408</v>
      </c>
      <c r="CL43" s="105">
        <f>+'P&amp;L Cash Flow Monthly'!CL15*0.04</f>
        <v>9132.647125</v>
      </c>
      <c r="CM43" s="105">
        <f>+'P&amp;L Cash Flow Monthly'!CM15*0.04</f>
        <v>9481.52649</v>
      </c>
      <c r="CN43" s="105">
        <f>+'P&amp;L Cash Flow Monthly'!CN15*0.04</f>
        <v>9813.048939</v>
      </c>
      <c r="CO43" s="105">
        <f>+'P&amp;L Cash Flow Monthly'!CO15*0.04</f>
        <v>9946.832007</v>
      </c>
      <c r="CP43" s="105">
        <f>+'P&amp;L Cash Flow Monthly'!CP15*0.04</f>
        <v>10080.61508</v>
      </c>
    </row>
    <row r="44" ht="12.75" customHeight="1">
      <c r="A44" s="190" t="s">
        <v>346</v>
      </c>
      <c r="B44" s="191"/>
      <c r="C44" s="191"/>
      <c r="D44" s="191"/>
      <c r="E44" s="191"/>
      <c r="F44" s="191"/>
      <c r="G44" s="191"/>
      <c r="H44" s="191"/>
      <c r="I44" s="191"/>
      <c r="J44" s="191"/>
      <c r="K44" s="191"/>
      <c r="L44" s="191"/>
      <c r="M44" s="191"/>
      <c r="N44" s="191"/>
      <c r="O44" s="191"/>
      <c r="P44" s="191"/>
      <c r="Q44" s="191"/>
      <c r="R44" s="191"/>
      <c r="S44" s="191"/>
      <c r="T44" s="191"/>
      <c r="U44" s="191"/>
      <c r="V44" s="191"/>
      <c r="W44" s="191"/>
      <c r="X44" s="191"/>
      <c r="Y44" s="191"/>
      <c r="Z44" s="191"/>
      <c r="AA44" s="191"/>
      <c r="AB44" s="191"/>
      <c r="AC44" s="191"/>
      <c r="AD44" s="191"/>
      <c r="AE44" s="191"/>
      <c r="AF44" s="191"/>
      <c r="AG44" s="191"/>
      <c r="AH44" s="191">
        <v>200.0</v>
      </c>
      <c r="AI44" s="191">
        <v>200.0</v>
      </c>
      <c r="AJ44" s="191">
        <v>200.0</v>
      </c>
      <c r="AK44" s="191">
        <v>200.0</v>
      </c>
      <c r="AL44" s="191">
        <v>200.0</v>
      </c>
      <c r="AM44" s="191">
        <v>200.0</v>
      </c>
      <c r="AN44" s="191">
        <v>200.0</v>
      </c>
      <c r="AO44" s="191">
        <v>200.0</v>
      </c>
      <c r="AP44" s="191">
        <v>200.0</v>
      </c>
      <c r="AQ44" s="191">
        <v>200.0</v>
      </c>
      <c r="AR44" s="191">
        <v>200.0</v>
      </c>
      <c r="AS44" s="191">
        <v>200.0</v>
      </c>
      <c r="AT44" s="191">
        <v>200.0</v>
      </c>
      <c r="AU44" s="191">
        <v>1200.0</v>
      </c>
      <c r="AV44" s="191">
        <v>1200.0</v>
      </c>
      <c r="AW44" s="191">
        <v>1200.0</v>
      </c>
      <c r="AX44" s="191">
        <v>1200.0</v>
      </c>
      <c r="AY44" s="191">
        <v>1200.0</v>
      </c>
      <c r="AZ44" s="191">
        <v>1200.0</v>
      </c>
      <c r="BA44" s="191">
        <v>1200.0</v>
      </c>
      <c r="BB44" s="191">
        <v>1200.0</v>
      </c>
      <c r="BC44" s="191">
        <v>1200.0</v>
      </c>
      <c r="BD44" s="191">
        <v>1200.0</v>
      </c>
      <c r="BE44" s="191">
        <v>1200.0</v>
      </c>
      <c r="BF44" s="191">
        <v>1200.0</v>
      </c>
      <c r="BG44" s="191">
        <v>1200.0</v>
      </c>
      <c r="BH44" s="191">
        <v>1200.0</v>
      </c>
      <c r="BI44" s="191">
        <v>1200.0</v>
      </c>
      <c r="BJ44" s="191">
        <v>1200.0</v>
      </c>
      <c r="BK44" s="191">
        <v>1200.0</v>
      </c>
      <c r="BL44" s="191">
        <v>1200.0</v>
      </c>
      <c r="BM44" s="191">
        <v>1200.0</v>
      </c>
      <c r="BN44" s="191">
        <v>1200.0</v>
      </c>
      <c r="BO44" s="191">
        <v>1200.0</v>
      </c>
      <c r="BP44" s="191">
        <v>1200.0</v>
      </c>
      <c r="BQ44" s="191">
        <v>2400.0</v>
      </c>
      <c r="BR44" s="191">
        <v>2400.0</v>
      </c>
      <c r="BS44" s="191">
        <v>5500.0</v>
      </c>
      <c r="BT44" s="191">
        <v>5500.0</v>
      </c>
      <c r="BU44" s="191">
        <v>5500.0</v>
      </c>
      <c r="BV44" s="191">
        <v>5500.0</v>
      </c>
      <c r="BW44" s="191">
        <v>5500.0</v>
      </c>
      <c r="BX44" s="191">
        <v>5500.0</v>
      </c>
      <c r="BY44" s="191">
        <v>5500.0</v>
      </c>
      <c r="BZ44" s="191">
        <v>5500.0</v>
      </c>
      <c r="CA44" s="191">
        <v>5500.0</v>
      </c>
      <c r="CB44" s="191">
        <v>5500.0</v>
      </c>
      <c r="CC44" s="191">
        <v>5500.0</v>
      </c>
      <c r="CD44" s="191">
        <v>5500.0</v>
      </c>
      <c r="CE44" s="191">
        <v>5500.0</v>
      </c>
      <c r="CF44" s="191">
        <v>5500.0</v>
      </c>
      <c r="CG44" s="191">
        <v>5500.0</v>
      </c>
      <c r="CH44" s="191">
        <v>5500.0</v>
      </c>
      <c r="CI44" s="191">
        <v>5500.0</v>
      </c>
      <c r="CJ44" s="191">
        <v>5500.0</v>
      </c>
      <c r="CK44" s="191">
        <v>5500.0</v>
      </c>
      <c r="CL44" s="191">
        <v>5500.0</v>
      </c>
      <c r="CM44" s="191">
        <v>5500.0</v>
      </c>
      <c r="CN44" s="191">
        <v>5500.0</v>
      </c>
      <c r="CO44" s="191">
        <v>5500.0</v>
      </c>
      <c r="CP44" s="191">
        <v>5500.0</v>
      </c>
    </row>
    <row r="45" ht="12.75" customHeight="1">
      <c r="A45" s="190" t="s">
        <v>347</v>
      </c>
      <c r="B45" s="191"/>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c r="AA45" s="191"/>
      <c r="AB45" s="191"/>
      <c r="AC45" s="191"/>
      <c r="AD45" s="191"/>
      <c r="AE45" s="191"/>
      <c r="AF45" s="191"/>
      <c r="AG45" s="191"/>
      <c r="AH45" s="191">
        <v>1200.0</v>
      </c>
      <c r="AI45" s="191">
        <v>1200.0</v>
      </c>
      <c r="AJ45" s="191">
        <v>1200.0</v>
      </c>
      <c r="AK45" s="191">
        <v>1200.0</v>
      </c>
      <c r="AL45" s="191">
        <v>1200.0</v>
      </c>
      <c r="AM45" s="191">
        <v>1200.0</v>
      </c>
      <c r="AN45" s="191">
        <v>1200.0</v>
      </c>
      <c r="AO45" s="191">
        <v>1200.0</v>
      </c>
      <c r="AP45" s="191">
        <v>1200.0</v>
      </c>
      <c r="AQ45" s="191">
        <v>1200.0</v>
      </c>
      <c r="AR45" s="191">
        <v>1200.0</v>
      </c>
      <c r="AS45" s="191">
        <v>1200.0</v>
      </c>
      <c r="AT45" s="191">
        <v>1200.0</v>
      </c>
      <c r="AU45" s="191">
        <v>1200.0</v>
      </c>
      <c r="AV45" s="191">
        <v>1200.0</v>
      </c>
      <c r="AW45" s="191">
        <v>1200.0</v>
      </c>
      <c r="AX45" s="191">
        <v>1200.0</v>
      </c>
      <c r="AY45" s="191">
        <v>1200.0</v>
      </c>
      <c r="AZ45" s="191">
        <v>1200.0</v>
      </c>
      <c r="BA45" s="191">
        <v>1200.0</v>
      </c>
      <c r="BB45" s="191">
        <v>1200.0</v>
      </c>
      <c r="BC45" s="191">
        <v>1200.0</v>
      </c>
      <c r="BD45" s="191">
        <v>1200.0</v>
      </c>
      <c r="BE45" s="191">
        <v>1200.0</v>
      </c>
      <c r="BF45" s="191">
        <v>1200.0</v>
      </c>
      <c r="BG45" s="191">
        <v>1200.0</v>
      </c>
      <c r="BH45" s="191">
        <v>1200.0</v>
      </c>
      <c r="BI45" s="191">
        <v>1200.0</v>
      </c>
      <c r="BJ45" s="191">
        <v>1200.0</v>
      </c>
      <c r="BK45" s="191">
        <v>1200.0</v>
      </c>
      <c r="BL45" s="191">
        <v>1200.0</v>
      </c>
      <c r="BM45" s="191">
        <v>1200.0</v>
      </c>
      <c r="BN45" s="191">
        <v>1200.0</v>
      </c>
      <c r="BO45" s="191">
        <v>1200.0</v>
      </c>
      <c r="BP45" s="191">
        <v>1200.0</v>
      </c>
      <c r="BQ45" s="191">
        <v>1200.0</v>
      </c>
      <c r="BR45" s="191">
        <v>1200.0</v>
      </c>
      <c r="BS45" s="191">
        <v>1200.0</v>
      </c>
      <c r="BT45" s="191">
        <v>1200.0</v>
      </c>
      <c r="BU45" s="191">
        <v>1200.0</v>
      </c>
      <c r="BV45" s="191">
        <v>1200.0</v>
      </c>
      <c r="BW45" s="191">
        <v>1200.0</v>
      </c>
      <c r="BX45" s="191">
        <v>1200.0</v>
      </c>
      <c r="BY45" s="191">
        <v>1200.0</v>
      </c>
      <c r="BZ45" s="191">
        <v>1200.0</v>
      </c>
      <c r="CA45" s="191">
        <v>1200.0</v>
      </c>
      <c r="CB45" s="191">
        <v>1200.0</v>
      </c>
      <c r="CC45" s="191">
        <v>1200.0</v>
      </c>
      <c r="CD45" s="191">
        <v>1200.0</v>
      </c>
      <c r="CE45" s="191">
        <v>1200.0</v>
      </c>
      <c r="CF45" s="191">
        <v>1200.0</v>
      </c>
      <c r="CG45" s="191">
        <v>1200.0</v>
      </c>
      <c r="CH45" s="191">
        <v>1200.0</v>
      </c>
      <c r="CI45" s="191">
        <v>1200.0</v>
      </c>
      <c r="CJ45" s="191">
        <v>1200.0</v>
      </c>
      <c r="CK45" s="191">
        <v>1200.0</v>
      </c>
      <c r="CL45" s="191">
        <v>1200.0</v>
      </c>
      <c r="CM45" s="191">
        <v>1200.0</v>
      </c>
      <c r="CN45" s="191">
        <v>1200.0</v>
      </c>
      <c r="CO45" s="191">
        <v>1200.0</v>
      </c>
      <c r="CP45" s="191">
        <v>1200.0</v>
      </c>
    </row>
    <row r="46" ht="12.75" customHeight="1">
      <c r="A46" s="190" t="s">
        <v>348</v>
      </c>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c r="AA46" s="191"/>
      <c r="AB46" s="191"/>
      <c r="AC46" s="191"/>
      <c r="AD46" s="191"/>
      <c r="AE46" s="191"/>
      <c r="AF46" s="191"/>
      <c r="AG46" s="191"/>
      <c r="AH46" s="191">
        <v>1300.0</v>
      </c>
      <c r="AI46" s="191">
        <v>1300.0</v>
      </c>
      <c r="AJ46" s="191">
        <v>1300.0</v>
      </c>
      <c r="AK46" s="191">
        <v>1300.0</v>
      </c>
      <c r="AL46" s="191">
        <v>1300.0</v>
      </c>
      <c r="AM46" s="191">
        <v>1300.0</v>
      </c>
      <c r="AN46" s="191">
        <v>1300.0</v>
      </c>
      <c r="AO46" s="191">
        <v>1300.0</v>
      </c>
      <c r="AP46" s="191">
        <v>1300.0</v>
      </c>
      <c r="AQ46" s="191">
        <v>1300.0</v>
      </c>
      <c r="AR46" s="191">
        <v>1300.0</v>
      </c>
      <c r="AS46" s="191">
        <v>1300.0</v>
      </c>
      <c r="AT46" s="191">
        <v>1300.0</v>
      </c>
      <c r="AU46" s="191">
        <v>1300.0</v>
      </c>
      <c r="AV46" s="191">
        <v>1300.0</v>
      </c>
      <c r="AW46" s="191">
        <v>1300.0</v>
      </c>
      <c r="AX46" s="191">
        <v>1300.0</v>
      </c>
      <c r="AY46" s="191">
        <v>1300.0</v>
      </c>
      <c r="AZ46" s="191">
        <v>1300.0</v>
      </c>
      <c r="BA46" s="191">
        <v>1300.0</v>
      </c>
      <c r="BB46" s="191">
        <v>1300.0</v>
      </c>
      <c r="BC46" s="191">
        <v>1300.0</v>
      </c>
      <c r="BD46" s="191">
        <v>1300.0</v>
      </c>
      <c r="BE46" s="191">
        <v>1300.0</v>
      </c>
      <c r="BF46" s="191">
        <v>1300.0</v>
      </c>
      <c r="BG46" s="191">
        <v>1300.0</v>
      </c>
      <c r="BH46" s="191">
        <v>1300.0</v>
      </c>
      <c r="BI46" s="191">
        <v>1300.0</v>
      </c>
      <c r="BJ46" s="191">
        <v>1300.0</v>
      </c>
      <c r="BK46" s="191">
        <v>1300.0</v>
      </c>
      <c r="BL46" s="191">
        <v>1300.0</v>
      </c>
      <c r="BM46" s="191">
        <v>1300.0</v>
      </c>
      <c r="BN46" s="191">
        <v>1300.0</v>
      </c>
      <c r="BO46" s="191">
        <v>1300.0</v>
      </c>
      <c r="BP46" s="191">
        <v>1300.0</v>
      </c>
      <c r="BQ46" s="191">
        <v>5000.0</v>
      </c>
      <c r="BR46" s="191">
        <v>5000.0</v>
      </c>
      <c r="BS46" s="191">
        <v>5000.0</v>
      </c>
      <c r="BT46" s="191">
        <v>5000.0</v>
      </c>
      <c r="BU46" s="191">
        <v>5000.0</v>
      </c>
      <c r="BV46" s="191">
        <v>5000.0</v>
      </c>
      <c r="BW46" s="191">
        <v>5000.0</v>
      </c>
      <c r="BX46" s="191">
        <v>5000.0</v>
      </c>
      <c r="BY46" s="191">
        <v>5000.0</v>
      </c>
      <c r="BZ46" s="191">
        <v>5000.0</v>
      </c>
      <c r="CA46" s="191">
        <v>5000.0</v>
      </c>
      <c r="CB46" s="191">
        <v>5000.0</v>
      </c>
      <c r="CC46" s="191">
        <v>5000.0</v>
      </c>
      <c r="CD46" s="191">
        <v>5000.0</v>
      </c>
      <c r="CE46" s="191">
        <v>5000.0</v>
      </c>
      <c r="CF46" s="191">
        <v>5000.0</v>
      </c>
      <c r="CG46" s="191">
        <v>5000.0</v>
      </c>
      <c r="CH46" s="191">
        <v>5000.0</v>
      </c>
      <c r="CI46" s="191">
        <v>5000.0</v>
      </c>
      <c r="CJ46" s="191">
        <v>5000.0</v>
      </c>
      <c r="CK46" s="191">
        <v>5000.0</v>
      </c>
      <c r="CL46" s="191">
        <v>5000.0</v>
      </c>
      <c r="CM46" s="191">
        <v>5000.0</v>
      </c>
      <c r="CN46" s="191">
        <v>5000.0</v>
      </c>
      <c r="CO46" s="191">
        <v>5000.0</v>
      </c>
      <c r="CP46" s="191">
        <v>5000.0</v>
      </c>
    </row>
    <row r="47" ht="12.75" customHeight="1">
      <c r="A47" s="190" t="s">
        <v>349</v>
      </c>
      <c r="B47" s="191"/>
      <c r="C47" s="191"/>
      <c r="D47" s="191"/>
      <c r="E47" s="191"/>
      <c r="F47" s="191"/>
      <c r="G47" s="191"/>
      <c r="H47" s="191"/>
      <c r="I47" s="191"/>
      <c r="J47" s="191"/>
      <c r="K47" s="191"/>
      <c r="L47" s="191"/>
      <c r="M47" s="191"/>
      <c r="N47" s="191"/>
      <c r="O47" s="191"/>
      <c r="P47" s="191"/>
      <c r="Q47" s="191"/>
      <c r="R47" s="191"/>
      <c r="S47" s="191"/>
      <c r="T47" s="191"/>
      <c r="U47" s="191"/>
      <c r="V47" s="191"/>
      <c r="W47" s="191"/>
      <c r="X47" s="191"/>
      <c r="Y47" s="191"/>
      <c r="Z47" s="191"/>
      <c r="AA47" s="191"/>
      <c r="AB47" s="191"/>
      <c r="AC47" s="191"/>
      <c r="AD47" s="191"/>
      <c r="AE47" s="191"/>
      <c r="AF47" s="191"/>
      <c r="AG47" s="191"/>
      <c r="AH47" s="191">
        <v>200.0</v>
      </c>
      <c r="AI47" s="191">
        <v>200.0</v>
      </c>
      <c r="AJ47" s="191">
        <v>200.0</v>
      </c>
      <c r="AK47" s="191">
        <v>200.0</v>
      </c>
      <c r="AL47" s="191">
        <v>200.0</v>
      </c>
      <c r="AM47" s="191">
        <v>1500.0</v>
      </c>
      <c r="AN47" s="191">
        <v>1500.0</v>
      </c>
      <c r="AO47" s="191">
        <v>1500.0</v>
      </c>
      <c r="AP47" s="191">
        <v>1500.0</v>
      </c>
      <c r="AQ47" s="191">
        <v>1500.0</v>
      </c>
      <c r="AR47" s="191">
        <v>1500.0</v>
      </c>
      <c r="AS47" s="191">
        <v>1500.0</v>
      </c>
      <c r="AT47" s="191">
        <v>1500.0</v>
      </c>
      <c r="AU47" s="191">
        <v>1500.0</v>
      </c>
      <c r="AV47" s="191">
        <v>1500.0</v>
      </c>
      <c r="AW47" s="191">
        <v>1500.0</v>
      </c>
      <c r="AX47" s="191">
        <v>1500.0</v>
      </c>
      <c r="AY47" s="191">
        <v>1500.0</v>
      </c>
      <c r="AZ47" s="191">
        <v>1500.0</v>
      </c>
      <c r="BA47" s="191">
        <v>1500.0</v>
      </c>
      <c r="BB47" s="191">
        <v>1500.0</v>
      </c>
      <c r="BC47" s="191">
        <v>1500.0</v>
      </c>
      <c r="BD47" s="191">
        <v>1500.0</v>
      </c>
      <c r="BE47" s="191">
        <v>1500.0</v>
      </c>
      <c r="BF47" s="191">
        <v>1500.0</v>
      </c>
      <c r="BG47" s="191">
        <v>1500.0</v>
      </c>
      <c r="BH47" s="191">
        <v>1500.0</v>
      </c>
      <c r="BI47" s="191">
        <v>1500.0</v>
      </c>
      <c r="BJ47" s="191">
        <v>1500.0</v>
      </c>
      <c r="BK47" s="191">
        <v>1500.0</v>
      </c>
      <c r="BL47" s="191">
        <v>1500.0</v>
      </c>
      <c r="BM47" s="191">
        <v>1500.0</v>
      </c>
      <c r="BN47" s="191">
        <v>1500.0</v>
      </c>
      <c r="BO47" s="191">
        <v>1500.0</v>
      </c>
      <c r="BP47" s="191">
        <v>3000.0</v>
      </c>
      <c r="BQ47" s="191">
        <v>3000.0</v>
      </c>
      <c r="BR47" s="191">
        <v>3000.0</v>
      </c>
      <c r="BS47" s="191">
        <v>3000.0</v>
      </c>
      <c r="BT47" s="191">
        <v>3000.0</v>
      </c>
      <c r="BU47" s="191">
        <v>3000.0</v>
      </c>
      <c r="BV47" s="191">
        <v>3000.0</v>
      </c>
      <c r="BW47" s="191">
        <v>3000.0</v>
      </c>
      <c r="BX47" s="191">
        <v>3000.0</v>
      </c>
      <c r="BY47" s="191">
        <v>3000.0</v>
      </c>
      <c r="BZ47" s="191">
        <v>3000.0</v>
      </c>
      <c r="CA47" s="191">
        <v>3000.0</v>
      </c>
      <c r="CB47" s="191">
        <v>3000.0</v>
      </c>
      <c r="CC47" s="191">
        <v>3000.0</v>
      </c>
      <c r="CD47" s="191">
        <v>3000.0</v>
      </c>
      <c r="CE47" s="191">
        <v>3000.0</v>
      </c>
      <c r="CF47" s="191">
        <v>3000.0</v>
      </c>
      <c r="CG47" s="191">
        <v>3000.0</v>
      </c>
      <c r="CH47" s="191">
        <v>3000.0</v>
      </c>
      <c r="CI47" s="191">
        <v>3000.0</v>
      </c>
      <c r="CJ47" s="191">
        <v>3000.0</v>
      </c>
      <c r="CK47" s="191">
        <v>3000.0</v>
      </c>
      <c r="CL47" s="191">
        <v>3000.0</v>
      </c>
      <c r="CM47" s="191">
        <v>3000.0</v>
      </c>
      <c r="CN47" s="191">
        <v>3000.0</v>
      </c>
      <c r="CO47" s="191">
        <v>3000.0</v>
      </c>
      <c r="CP47" s="191">
        <v>3000.0</v>
      </c>
    </row>
    <row r="48" ht="12.75" customHeight="1">
      <c r="A48" s="190" t="s">
        <v>350</v>
      </c>
      <c r="B48" s="191"/>
      <c r="C48" s="191"/>
      <c r="D48" s="191"/>
      <c r="E48" s="191"/>
      <c r="F48" s="191"/>
      <c r="G48" s="191"/>
      <c r="H48" s="191"/>
      <c r="I48" s="191"/>
      <c r="J48" s="191"/>
      <c r="K48" s="191"/>
      <c r="L48" s="191"/>
      <c r="M48" s="191"/>
      <c r="N48" s="191"/>
      <c r="O48" s="191"/>
      <c r="P48" s="191"/>
      <c r="Q48" s="191"/>
      <c r="R48" s="191"/>
      <c r="S48" s="191"/>
      <c r="T48" s="191"/>
      <c r="U48" s="191"/>
      <c r="V48" s="191"/>
      <c r="W48" s="191"/>
      <c r="X48" s="191"/>
      <c r="Y48" s="191"/>
      <c r="Z48" s="191"/>
      <c r="AA48" s="191"/>
      <c r="AB48" s="191"/>
      <c r="AC48" s="191"/>
      <c r="AD48" s="191"/>
      <c r="AE48" s="191"/>
      <c r="AF48" s="191"/>
      <c r="AG48" s="191"/>
      <c r="AH48" s="191">
        <v>400.0</v>
      </c>
      <c r="AI48" s="191">
        <v>400.0</v>
      </c>
      <c r="AJ48" s="191">
        <v>400.0</v>
      </c>
      <c r="AK48" s="191">
        <v>400.0</v>
      </c>
      <c r="AL48" s="191">
        <v>400.0</v>
      </c>
      <c r="AM48" s="191">
        <v>800.0</v>
      </c>
      <c r="AN48" s="191">
        <v>800.0</v>
      </c>
      <c r="AO48" s="191">
        <v>800.0</v>
      </c>
      <c r="AP48" s="191">
        <v>800.0</v>
      </c>
      <c r="AQ48" s="191">
        <v>800.0</v>
      </c>
      <c r="AR48" s="191">
        <v>800.0</v>
      </c>
      <c r="AS48" s="191">
        <v>800.0</v>
      </c>
      <c r="AT48" s="191">
        <v>800.0</v>
      </c>
      <c r="AU48" s="191">
        <v>800.0</v>
      </c>
      <c r="AV48" s="191">
        <v>800.0</v>
      </c>
      <c r="AW48" s="191">
        <v>800.0</v>
      </c>
      <c r="AX48" s="191">
        <v>800.0</v>
      </c>
      <c r="AY48" s="191">
        <v>800.0</v>
      </c>
      <c r="AZ48" s="191">
        <v>800.0</v>
      </c>
      <c r="BA48" s="191">
        <v>800.0</v>
      </c>
      <c r="BB48" s="191">
        <v>800.0</v>
      </c>
      <c r="BC48" s="191">
        <v>800.0</v>
      </c>
      <c r="BD48" s="191">
        <v>800.0</v>
      </c>
      <c r="BE48" s="191">
        <v>800.0</v>
      </c>
      <c r="BF48" s="191">
        <v>800.0</v>
      </c>
      <c r="BG48" s="191">
        <v>1400.0</v>
      </c>
      <c r="BH48" s="191">
        <v>1400.0</v>
      </c>
      <c r="BI48" s="191">
        <v>1400.0</v>
      </c>
      <c r="BJ48" s="191">
        <v>1400.0</v>
      </c>
      <c r="BK48" s="191">
        <v>1400.0</v>
      </c>
      <c r="BL48" s="191">
        <v>1400.0</v>
      </c>
      <c r="BM48" s="191">
        <v>1400.0</v>
      </c>
      <c r="BN48" s="191">
        <v>1400.0</v>
      </c>
      <c r="BO48" s="191">
        <v>1400.0</v>
      </c>
      <c r="BP48" s="191">
        <v>1400.0</v>
      </c>
      <c r="BQ48" s="191">
        <v>1400.0</v>
      </c>
      <c r="BR48" s="191">
        <v>1400.0</v>
      </c>
      <c r="BS48" s="191">
        <v>1400.0</v>
      </c>
      <c r="BT48" s="191">
        <v>1400.0</v>
      </c>
      <c r="BU48" s="191">
        <v>1400.0</v>
      </c>
      <c r="BV48" s="191">
        <v>1400.0</v>
      </c>
      <c r="BW48" s="191">
        <v>1400.0</v>
      </c>
      <c r="BX48" s="191">
        <v>1400.0</v>
      </c>
      <c r="BY48" s="191">
        <v>1400.0</v>
      </c>
      <c r="BZ48" s="191">
        <v>1400.0</v>
      </c>
      <c r="CA48" s="191">
        <v>1400.0</v>
      </c>
      <c r="CB48" s="191">
        <v>1400.0</v>
      </c>
      <c r="CC48" s="191">
        <v>1400.0</v>
      </c>
      <c r="CD48" s="191">
        <v>1400.0</v>
      </c>
      <c r="CE48" s="191">
        <v>1400.0</v>
      </c>
      <c r="CF48" s="191">
        <v>1400.0</v>
      </c>
      <c r="CG48" s="191">
        <v>1400.0</v>
      </c>
      <c r="CH48" s="191">
        <v>1400.0</v>
      </c>
      <c r="CI48" s="191">
        <v>1400.0</v>
      </c>
      <c r="CJ48" s="191">
        <v>1400.0</v>
      </c>
      <c r="CK48" s="191">
        <v>1400.0</v>
      </c>
      <c r="CL48" s="191">
        <v>1400.0</v>
      </c>
      <c r="CM48" s="191">
        <v>1400.0</v>
      </c>
      <c r="CN48" s="191">
        <v>1400.0</v>
      </c>
      <c r="CO48" s="191">
        <v>1400.0</v>
      </c>
      <c r="CP48" s="191">
        <v>1400.0</v>
      </c>
    </row>
    <row r="49" ht="12.75" customHeight="1">
      <c r="A49" s="190" t="s">
        <v>351</v>
      </c>
      <c r="B49" s="191"/>
      <c r="C49" s="191"/>
      <c r="D49" s="191"/>
      <c r="E49" s="191"/>
      <c r="F49" s="191"/>
      <c r="G49" s="191"/>
      <c r="H49" s="191"/>
      <c r="I49" s="191"/>
      <c r="J49" s="191"/>
      <c r="K49" s="191"/>
      <c r="L49" s="191"/>
      <c r="M49" s="191"/>
      <c r="N49" s="191"/>
      <c r="O49" s="191"/>
      <c r="P49" s="191"/>
      <c r="Q49" s="191"/>
      <c r="R49" s="191"/>
      <c r="S49" s="191"/>
      <c r="T49" s="191"/>
      <c r="U49" s="191"/>
      <c r="V49" s="191"/>
      <c r="W49" s="191"/>
      <c r="X49" s="191"/>
      <c r="Y49" s="191"/>
      <c r="Z49" s="191"/>
      <c r="AA49" s="191"/>
      <c r="AB49" s="191"/>
      <c r="AC49" s="191"/>
      <c r="AD49" s="191"/>
      <c r="AE49" s="191"/>
      <c r="AF49" s="191"/>
      <c r="AG49" s="191"/>
      <c r="AH49" s="105">
        <v>500.0</v>
      </c>
      <c r="AI49" s="105">
        <v>500.0</v>
      </c>
      <c r="AJ49" s="105">
        <v>500.0</v>
      </c>
      <c r="AK49" s="105">
        <v>500.0</v>
      </c>
      <c r="AL49" s="105">
        <v>500.0</v>
      </c>
      <c r="AM49" s="105">
        <v>500.0</v>
      </c>
      <c r="AN49" s="105">
        <v>500.0</v>
      </c>
      <c r="AO49" s="105">
        <v>500.0</v>
      </c>
      <c r="AP49" s="105">
        <v>500.0</v>
      </c>
      <c r="AQ49" s="105">
        <v>500.0</v>
      </c>
      <c r="AR49" s="105">
        <v>500.0</v>
      </c>
      <c r="AS49" s="105">
        <v>500.0</v>
      </c>
      <c r="AT49" s="105">
        <v>500.0</v>
      </c>
      <c r="AU49" s="105">
        <v>500.0</v>
      </c>
      <c r="AV49" s="105">
        <v>500.0</v>
      </c>
      <c r="AW49" s="105">
        <v>500.0</v>
      </c>
      <c r="AX49" s="105">
        <v>500.0</v>
      </c>
      <c r="AY49" s="105">
        <v>500.0</v>
      </c>
      <c r="AZ49" s="105">
        <v>500.0</v>
      </c>
      <c r="BA49" s="105">
        <v>500.0</v>
      </c>
      <c r="BB49" s="105">
        <v>500.0</v>
      </c>
      <c r="BC49" s="105">
        <v>500.0</v>
      </c>
      <c r="BD49" s="105">
        <v>500.0</v>
      </c>
      <c r="BE49" s="105">
        <v>500.0</v>
      </c>
      <c r="BF49" s="105">
        <v>500.0</v>
      </c>
      <c r="BG49" s="105">
        <v>500.0</v>
      </c>
      <c r="BH49" s="105">
        <v>500.0</v>
      </c>
      <c r="BI49" s="105">
        <v>500.0</v>
      </c>
      <c r="BJ49" s="105">
        <v>500.0</v>
      </c>
      <c r="BK49" s="105">
        <v>500.0</v>
      </c>
      <c r="BL49" s="105">
        <v>500.0</v>
      </c>
      <c r="BM49" s="105">
        <v>500.0</v>
      </c>
      <c r="BN49" s="105">
        <v>500.0</v>
      </c>
      <c r="BO49" s="105">
        <v>500.0</v>
      </c>
      <c r="BP49" s="105">
        <v>500.0</v>
      </c>
      <c r="BQ49" s="105">
        <v>2500.0</v>
      </c>
      <c r="BR49" s="105">
        <v>2500.0</v>
      </c>
      <c r="BS49" s="105">
        <v>2500.0</v>
      </c>
      <c r="BT49" s="105">
        <v>2500.0</v>
      </c>
      <c r="BU49" s="105">
        <v>2500.0</v>
      </c>
      <c r="BV49" s="105">
        <v>2500.0</v>
      </c>
      <c r="BW49" s="105">
        <v>2500.0</v>
      </c>
      <c r="BX49" s="105">
        <v>2500.0</v>
      </c>
      <c r="BY49" s="105">
        <v>2500.0</v>
      </c>
      <c r="BZ49" s="105">
        <v>2500.0</v>
      </c>
      <c r="CA49" s="105">
        <v>2500.0</v>
      </c>
      <c r="CB49" s="105">
        <v>2500.0</v>
      </c>
      <c r="CC49" s="105">
        <v>2500.0</v>
      </c>
      <c r="CD49" s="105">
        <v>2500.0</v>
      </c>
      <c r="CE49" s="105">
        <v>2500.0</v>
      </c>
      <c r="CF49" s="105">
        <v>2500.0</v>
      </c>
      <c r="CG49" s="105">
        <v>2500.0</v>
      </c>
      <c r="CH49" s="105">
        <v>2500.0</v>
      </c>
      <c r="CI49" s="105">
        <v>2500.0</v>
      </c>
      <c r="CJ49" s="105">
        <v>2500.0</v>
      </c>
      <c r="CK49" s="105">
        <v>2500.0</v>
      </c>
      <c r="CL49" s="105">
        <v>2500.0</v>
      </c>
      <c r="CM49" s="105">
        <v>2500.0</v>
      </c>
      <c r="CN49" s="105">
        <v>2500.0</v>
      </c>
      <c r="CO49" s="105">
        <v>2500.0</v>
      </c>
      <c r="CP49" s="105">
        <v>2500.0</v>
      </c>
    </row>
    <row r="50" ht="12.75" customHeight="1">
      <c r="A50" s="190" t="s">
        <v>352</v>
      </c>
      <c r="B50" s="191"/>
      <c r="C50" s="191"/>
      <c r="D50" s="191"/>
      <c r="E50" s="191"/>
      <c r="F50" s="191"/>
      <c r="G50" s="191"/>
      <c r="H50" s="191"/>
      <c r="I50" s="191"/>
      <c r="J50" s="191"/>
      <c r="K50" s="191"/>
      <c r="L50" s="191"/>
      <c r="M50" s="191"/>
      <c r="N50" s="191"/>
      <c r="O50" s="191"/>
      <c r="P50" s="191"/>
      <c r="Q50" s="191"/>
      <c r="R50" s="191"/>
      <c r="S50" s="191"/>
      <c r="T50" s="191"/>
      <c r="U50" s="191"/>
      <c r="V50" s="191"/>
      <c r="W50" s="191"/>
      <c r="X50" s="191"/>
      <c r="Y50" s="191"/>
      <c r="Z50" s="191"/>
      <c r="AA50" s="191"/>
      <c r="AB50" s="191"/>
      <c r="AC50" s="191"/>
      <c r="AD50" s="191"/>
      <c r="AE50" s="191"/>
      <c r="AF50" s="191"/>
      <c r="AG50" s="191"/>
      <c r="AH50" s="191">
        <f>'P&amp;L Cash Flow Monthly'!AH15*0.00285</f>
        <v>256.070216</v>
      </c>
      <c r="AI50" s="191">
        <f>'P&amp;L Cash Flow Monthly'!AI15*0.00285</f>
        <v>221.8380167</v>
      </c>
      <c r="AJ50" s="191">
        <f>'P&amp;L Cash Flow Monthly'!AJ15*0.00285</f>
        <v>200.4747302</v>
      </c>
      <c r="AK50" s="191">
        <f>'P&amp;L Cash Flow Monthly'!AK15*0.00285</f>
        <v>177.3570432</v>
      </c>
      <c r="AL50" s="191">
        <f>'P&amp;L Cash Flow Monthly'!AL15*0.00285</f>
        <v>154.734127</v>
      </c>
      <c r="AM50" s="191">
        <f>'P&amp;L Cash Flow Monthly'!AM15*0.00285</f>
        <v>158.6856671</v>
      </c>
      <c r="AN50" s="191">
        <f>'P&amp;L Cash Flow Monthly'!AN15*0.00285</f>
        <v>164.1501702</v>
      </c>
      <c r="AO50" s="191">
        <f>'P&amp;L Cash Flow Monthly'!AO15*0.00285</f>
        <v>169.6218405</v>
      </c>
      <c r="AP50" s="191">
        <f>'P&amp;L Cash Flow Monthly'!AP15*0.00285</f>
        <v>169.1480941</v>
      </c>
      <c r="AQ50" s="191">
        <f>'P&amp;L Cash Flow Monthly'!AQ15*0.00285</f>
        <v>168.6743477</v>
      </c>
      <c r="AR50" s="191">
        <f>'P&amp;L Cash Flow Monthly'!AR15*0.00285</f>
        <v>166.0221985</v>
      </c>
      <c r="AS50" s="191">
        <f>'P&amp;L Cash Flow Monthly'!AS15*0.00285</f>
        <v>160.9550425</v>
      </c>
      <c r="AT50" s="191">
        <f>'P&amp;L Cash Flow Monthly'!AT15*0.00285</f>
        <v>151.0178264</v>
      </c>
      <c r="AU50" s="191">
        <f>'P&amp;L Cash Flow Monthly'!AU15*0.00285</f>
        <v>150.623355</v>
      </c>
      <c r="AV50" s="191">
        <f>'P&amp;L Cash Flow Monthly'!AV15*0.00285</f>
        <v>163.9347914</v>
      </c>
      <c r="AW50" s="191">
        <f>'P&amp;L Cash Flow Monthly'!AW15*0.00285</f>
        <v>205.0429502</v>
      </c>
      <c r="AX50" s="191">
        <f>'P&amp;L Cash Flow Monthly'!AX15*0.00285</f>
        <v>236.1287381</v>
      </c>
      <c r="AY50" s="191">
        <f>'P&amp;L Cash Flow Monthly'!AY15*0.00285</f>
        <v>268.4454403</v>
      </c>
      <c r="AZ50" s="191">
        <f>'P&amp;L Cash Flow Monthly'!AZ15*0.00285</f>
        <v>278.8516814</v>
      </c>
      <c r="BA50" s="191">
        <f>'P&amp;L Cash Flow Monthly'!BA15*0.00285</f>
        <v>297.1506292</v>
      </c>
      <c r="BB50" s="191">
        <f>'P&amp;L Cash Flow Monthly'!BB15*0.00285</f>
        <v>321.4586693</v>
      </c>
      <c r="BC50" s="191">
        <f>'P&amp;L Cash Flow Monthly'!BC15*0.00285</f>
        <v>309.7045617</v>
      </c>
      <c r="BD50" s="191">
        <f>'P&amp;L Cash Flow Monthly'!BD15*0.00285</f>
        <v>290.3759167</v>
      </c>
      <c r="BE50" s="191">
        <f>'P&amp;L Cash Flow Monthly'!BE15*0.00285</f>
        <v>254.0986218</v>
      </c>
      <c r="BF50" s="191">
        <f>'P&amp;L Cash Flow Monthly'!BF15*0.00285</f>
        <v>250.6063798</v>
      </c>
      <c r="BG50" s="191">
        <f>'P&amp;L Cash Flow Monthly'!BG15*0.00285</f>
        <v>289.7215191</v>
      </c>
      <c r="BH50" s="191">
        <f>'P&amp;L Cash Flow Monthly'!BH15*0.00285</f>
        <v>280.0401357</v>
      </c>
      <c r="BI50" s="191">
        <f>'P&amp;L Cash Flow Monthly'!BI15*0.00285</f>
        <v>269.0449087</v>
      </c>
      <c r="BJ50" s="191">
        <f>'P&amp;L Cash Flow Monthly'!BJ15*0.00285</f>
        <v>219.5062143</v>
      </c>
      <c r="BK50" s="191">
        <f>'P&amp;L Cash Flow Monthly'!BK15*0.00285</f>
        <v>220.4908464</v>
      </c>
      <c r="BL50" s="191">
        <f>'P&amp;L Cash Flow Monthly'!BL15*0.00285</f>
        <v>221.9083165</v>
      </c>
      <c r="BM50" s="191">
        <f>'P&amp;L Cash Flow Monthly'!BM15*0.00285</f>
        <v>222.6797515</v>
      </c>
      <c r="BN50" s="191">
        <f>'P&amp;L Cash Flow Monthly'!BN15*0.00285</f>
        <v>223.0961353</v>
      </c>
      <c r="BO50" s="191">
        <f>'P&amp;L Cash Flow Monthly'!BO15*0.00285</f>
        <v>221.7811667</v>
      </c>
      <c r="BP50" s="191">
        <f>'P&amp;L Cash Flow Monthly'!BP15*0.00285</f>
        <v>238.497272</v>
      </c>
      <c r="BQ50" s="191">
        <f>'P&amp;L Cash Flow Monthly'!BQ15*0.00285</f>
        <v>254.528196</v>
      </c>
      <c r="BR50" s="191">
        <f>'P&amp;L Cash Flow Monthly'!BR15*0.00285</f>
        <v>270.8138895</v>
      </c>
      <c r="BS50" s="191">
        <f>'P&amp;L Cash Flow Monthly'!BS15*0.00285</f>
        <v>270.3820083</v>
      </c>
      <c r="BT50" s="191">
        <f>'P&amp;L Cash Flow Monthly'!BT15*0.00285</f>
        <v>269.0243402</v>
      </c>
      <c r="BU50" s="191">
        <f>'P&amp;L Cash Flow Monthly'!BU15*0.00285</f>
        <v>287.8144293</v>
      </c>
      <c r="BV50" s="191">
        <f>'P&amp;L Cash Flow Monthly'!BV15*0.00285</f>
        <v>324.6355923</v>
      </c>
      <c r="BW50" s="191">
        <f>'P&amp;L Cash Flow Monthly'!BW15*0.00285</f>
        <v>362.3938708</v>
      </c>
      <c r="BX50" s="191">
        <f>'P&amp;L Cash Flow Monthly'!BX15*0.00285</f>
        <v>384.3421136</v>
      </c>
      <c r="BY50" s="191">
        <f>'P&amp;L Cash Flow Monthly'!BY15*0.00285</f>
        <v>405.1127881</v>
      </c>
      <c r="BZ50" s="191">
        <f>'P&amp;L Cash Flow Monthly'!BZ15*0.00285</f>
        <v>429.3569727</v>
      </c>
      <c r="CA50" s="191">
        <f>'P&amp;L Cash Flow Monthly'!CA15*0.00285</f>
        <v>452.7841574</v>
      </c>
      <c r="CB50" s="191">
        <f>'P&amp;L Cash Flow Monthly'!CB15*0.00285</f>
        <v>460.1970563</v>
      </c>
      <c r="CC50" s="191">
        <f>'P&amp;L Cash Flow Monthly'!CC15*0.00285</f>
        <v>467.314223</v>
      </c>
      <c r="CD50" s="191">
        <f>'P&amp;L Cash Flow Monthly'!CD15*0.00285</f>
        <v>474.4313898</v>
      </c>
      <c r="CE50" s="191">
        <f>'P&amp;L Cash Flow Monthly'!CE15*0.00285</f>
        <v>483.4843663</v>
      </c>
      <c r="CF50" s="191">
        <f>'P&amp;L Cash Flow Monthly'!CF15*0.00285</f>
        <v>492.1726107</v>
      </c>
      <c r="CG50" s="191">
        <f>'P&amp;L Cash Flow Monthly'!CG15*0.00285</f>
        <v>517.8051876</v>
      </c>
      <c r="CH50" s="191">
        <f>'P&amp;L Cash Flow Monthly'!CH15*0.00285</f>
        <v>540.1992984</v>
      </c>
      <c r="CI50" s="191">
        <f>'P&amp;L Cash Flow Monthly'!CI15*0.00285</f>
        <v>562.8466425</v>
      </c>
      <c r="CJ50" s="191">
        <f>'P&amp;L Cash Flow Monthly'!CJ15*0.00285</f>
        <v>587.3274639</v>
      </c>
      <c r="CK50" s="191">
        <f>'P&amp;L Cash Flow Monthly'!CK15*0.00285</f>
        <v>610.3191216</v>
      </c>
      <c r="CL50" s="191">
        <f>'P&amp;L Cash Flow Monthly'!CL15*0.00285</f>
        <v>650.7011076</v>
      </c>
      <c r="CM50" s="191">
        <f>'P&amp;L Cash Flow Monthly'!CM15*0.00285</f>
        <v>675.5587624</v>
      </c>
      <c r="CN50" s="191">
        <f>'P&amp;L Cash Flow Monthly'!CN15*0.00285</f>
        <v>699.1797369</v>
      </c>
      <c r="CO50" s="191">
        <f>'P&amp;L Cash Flow Monthly'!CO15*0.00285</f>
        <v>708.7117805</v>
      </c>
      <c r="CP50" s="191">
        <f>'P&amp;L Cash Flow Monthly'!CP15*0.00285</f>
        <v>718.2438242</v>
      </c>
    </row>
    <row r="51" ht="12.75" customHeight="1">
      <c r="A51" s="190" t="s">
        <v>353</v>
      </c>
      <c r="B51" s="191"/>
      <c r="C51" s="191"/>
      <c r="D51" s="191"/>
      <c r="E51" s="191"/>
      <c r="F51" s="191"/>
      <c r="G51" s="191"/>
      <c r="H51" s="191"/>
      <c r="I51" s="191"/>
      <c r="J51" s="191"/>
      <c r="K51" s="191"/>
      <c r="L51" s="191"/>
      <c r="M51" s="191"/>
      <c r="N51" s="191"/>
      <c r="O51" s="191"/>
      <c r="P51" s="191"/>
      <c r="Q51" s="191"/>
      <c r="R51" s="191"/>
      <c r="S51" s="191"/>
      <c r="T51" s="191"/>
      <c r="U51" s="191"/>
      <c r="V51" s="191"/>
      <c r="W51" s="191"/>
      <c r="X51" s="191"/>
      <c r="Y51" s="191"/>
      <c r="Z51" s="191"/>
      <c r="AA51" s="191"/>
      <c r="AB51" s="191"/>
      <c r="AC51" s="191"/>
      <c r="AD51" s="191"/>
      <c r="AE51" s="191"/>
      <c r="AF51" s="191"/>
      <c r="AG51" s="191"/>
      <c r="AH51" s="105">
        <v>2000.0</v>
      </c>
      <c r="AI51" s="105">
        <v>2000.0</v>
      </c>
      <c r="AJ51" s="105">
        <v>2000.0</v>
      </c>
      <c r="AK51" s="105">
        <v>2000.0</v>
      </c>
      <c r="AL51" s="105">
        <v>2000.0</v>
      </c>
      <c r="AM51" s="105">
        <v>2000.0</v>
      </c>
      <c r="AN51" s="105">
        <v>2000.0</v>
      </c>
      <c r="AO51" s="105">
        <v>2000.0</v>
      </c>
      <c r="AP51" s="105">
        <v>2000.0</v>
      </c>
      <c r="AQ51" s="105">
        <v>2000.0</v>
      </c>
      <c r="AR51" s="105">
        <v>2000.0</v>
      </c>
      <c r="AS51" s="105">
        <v>2000.0</v>
      </c>
      <c r="AT51" s="105">
        <v>2000.0</v>
      </c>
      <c r="AU51" s="105">
        <v>2000.0</v>
      </c>
      <c r="AV51" s="105">
        <v>2000.0</v>
      </c>
      <c r="AW51" s="105">
        <v>2000.0</v>
      </c>
      <c r="AX51" s="105">
        <v>2000.0</v>
      </c>
      <c r="AY51" s="105">
        <v>2000.0</v>
      </c>
      <c r="AZ51" s="105">
        <v>2000.0</v>
      </c>
      <c r="BA51" s="105">
        <v>2000.0</v>
      </c>
      <c r="BB51" s="105">
        <v>2000.0</v>
      </c>
      <c r="BC51" s="105">
        <v>2000.0</v>
      </c>
      <c r="BD51" s="105">
        <v>2000.0</v>
      </c>
      <c r="BE51" s="105">
        <v>2000.0</v>
      </c>
      <c r="BF51" s="105">
        <v>2000.0</v>
      </c>
      <c r="BG51" s="105">
        <v>2000.0</v>
      </c>
      <c r="BH51" s="105">
        <v>2000.0</v>
      </c>
      <c r="BI51" s="105">
        <v>2000.0</v>
      </c>
      <c r="BJ51" s="105">
        <v>2000.0</v>
      </c>
      <c r="BK51" s="105">
        <v>2000.0</v>
      </c>
      <c r="BL51" s="105">
        <v>2000.0</v>
      </c>
      <c r="BM51" s="105">
        <v>2000.0</v>
      </c>
      <c r="BN51" s="105">
        <v>1000.0</v>
      </c>
      <c r="BO51" s="105">
        <v>1000.0</v>
      </c>
      <c r="BP51" s="105">
        <v>1000.0</v>
      </c>
      <c r="BQ51" s="105">
        <v>1000.0</v>
      </c>
      <c r="BR51" s="105">
        <v>1000.0</v>
      </c>
      <c r="BS51" s="105">
        <v>1000.0</v>
      </c>
      <c r="BT51" s="105">
        <v>1000.0</v>
      </c>
      <c r="BU51" s="105">
        <v>1000.0</v>
      </c>
      <c r="BV51" s="105">
        <v>1000.0</v>
      </c>
      <c r="BW51" s="105">
        <v>1000.0</v>
      </c>
      <c r="BX51" s="105">
        <v>1000.0</v>
      </c>
      <c r="BY51" s="105">
        <v>1000.0</v>
      </c>
      <c r="BZ51" s="105">
        <v>1000.0</v>
      </c>
      <c r="CA51" s="105">
        <v>1000.0</v>
      </c>
      <c r="CB51" s="105">
        <v>1000.0</v>
      </c>
      <c r="CC51" s="105">
        <v>1000.0</v>
      </c>
      <c r="CD51" s="105">
        <v>1000.0</v>
      </c>
      <c r="CE51" s="105">
        <v>1000.0</v>
      </c>
      <c r="CF51" s="105">
        <v>1000.0</v>
      </c>
      <c r="CG51" s="105">
        <v>1000.0</v>
      </c>
      <c r="CH51" s="105">
        <v>1000.0</v>
      </c>
      <c r="CI51" s="105">
        <v>1000.0</v>
      </c>
      <c r="CJ51" s="105">
        <v>1000.0</v>
      </c>
      <c r="CK51" s="105">
        <v>1000.0</v>
      </c>
      <c r="CL51" s="105">
        <v>1000.0</v>
      </c>
      <c r="CM51" s="105">
        <v>1000.0</v>
      </c>
      <c r="CN51" s="105">
        <v>1000.0</v>
      </c>
      <c r="CO51" s="105">
        <v>1000.0</v>
      </c>
      <c r="CP51" s="105">
        <v>1000.0</v>
      </c>
    </row>
    <row r="52" ht="12.75" customHeight="1">
      <c r="A52" s="190" t="s">
        <v>354</v>
      </c>
      <c r="B52" s="191"/>
      <c r="C52" s="191"/>
      <c r="D52" s="191"/>
      <c r="E52" s="191"/>
      <c r="F52" s="191"/>
      <c r="G52" s="191"/>
      <c r="H52" s="191"/>
      <c r="I52" s="191"/>
      <c r="J52" s="191"/>
      <c r="K52" s="191"/>
      <c r="L52" s="191"/>
      <c r="M52" s="191"/>
      <c r="N52" s="191"/>
      <c r="O52" s="191"/>
      <c r="P52" s="191"/>
      <c r="Q52" s="191"/>
      <c r="R52" s="191"/>
      <c r="S52" s="191"/>
      <c r="T52" s="191"/>
      <c r="U52" s="191"/>
      <c r="V52" s="191"/>
      <c r="W52" s="191"/>
      <c r="X52" s="191"/>
      <c r="Y52" s="191"/>
      <c r="Z52" s="191"/>
      <c r="AA52" s="191"/>
      <c r="AB52" s="191"/>
      <c r="AC52" s="191"/>
      <c r="AD52" s="191"/>
      <c r="AE52" s="191"/>
      <c r="AF52" s="191"/>
      <c r="AG52" s="191"/>
      <c r="AH52" s="105">
        <v>500.0</v>
      </c>
      <c r="AI52" s="105">
        <v>1000.0</v>
      </c>
      <c r="AJ52" s="105">
        <v>1000.0</v>
      </c>
      <c r="AK52" s="105">
        <v>1000.0</v>
      </c>
      <c r="AL52" s="105">
        <v>1000.0</v>
      </c>
      <c r="AM52" s="105">
        <v>1000.0</v>
      </c>
      <c r="AN52" s="105">
        <v>1000.0</v>
      </c>
      <c r="AO52" s="105">
        <v>1000.0</v>
      </c>
      <c r="AP52" s="105">
        <v>1000.0</v>
      </c>
      <c r="AQ52" s="105">
        <v>1000.0</v>
      </c>
      <c r="AR52" s="105">
        <v>1000.0</v>
      </c>
      <c r="AS52" s="105">
        <v>1000.0</v>
      </c>
      <c r="AT52" s="105">
        <v>1000.0</v>
      </c>
      <c r="AU52" s="105">
        <v>1000.0</v>
      </c>
      <c r="AV52" s="105">
        <v>1000.0</v>
      </c>
      <c r="AW52" s="105">
        <v>1000.0</v>
      </c>
      <c r="AX52" s="105">
        <v>1000.0</v>
      </c>
      <c r="AY52" s="105">
        <v>1000.0</v>
      </c>
      <c r="AZ52" s="105">
        <v>1000.0</v>
      </c>
      <c r="BA52" s="105">
        <v>1000.0</v>
      </c>
      <c r="BB52" s="105">
        <v>1000.0</v>
      </c>
      <c r="BC52" s="105">
        <v>1000.0</v>
      </c>
      <c r="BD52" s="105">
        <v>1000.0</v>
      </c>
      <c r="BE52" s="105">
        <v>1000.0</v>
      </c>
      <c r="BF52" s="105">
        <v>1000.0</v>
      </c>
      <c r="BG52" s="105">
        <v>1000.0</v>
      </c>
      <c r="BH52" s="105">
        <v>1000.0</v>
      </c>
      <c r="BI52" s="105">
        <v>1000.0</v>
      </c>
      <c r="BJ52" s="105">
        <v>1000.0</v>
      </c>
      <c r="BK52" s="105">
        <v>1000.0</v>
      </c>
      <c r="BL52" s="105">
        <v>1000.0</v>
      </c>
      <c r="BM52" s="105">
        <v>1000.0</v>
      </c>
      <c r="BN52" s="105">
        <v>1000.0</v>
      </c>
      <c r="BO52" s="105">
        <v>1000.0</v>
      </c>
      <c r="BP52" s="105">
        <v>1000.0</v>
      </c>
      <c r="BQ52" s="105">
        <v>1000.0</v>
      </c>
      <c r="BR52" s="105">
        <v>1000.0</v>
      </c>
      <c r="BS52" s="105">
        <v>1000.0</v>
      </c>
      <c r="BT52" s="105">
        <v>1000.0</v>
      </c>
      <c r="BU52" s="105">
        <v>1000.0</v>
      </c>
      <c r="BV52" s="105">
        <v>1000.0</v>
      </c>
      <c r="BW52" s="105">
        <v>1000.0</v>
      </c>
      <c r="BX52" s="105">
        <v>1000.0</v>
      </c>
      <c r="BY52" s="105">
        <v>1000.0</v>
      </c>
      <c r="BZ52" s="105">
        <v>1000.0</v>
      </c>
      <c r="CA52" s="105">
        <v>1000.0</v>
      </c>
      <c r="CB52" s="105">
        <v>1000.0</v>
      </c>
      <c r="CC52" s="105">
        <v>1000.0</v>
      </c>
      <c r="CD52" s="105">
        <v>1000.0</v>
      </c>
      <c r="CE52" s="105">
        <v>2000.0</v>
      </c>
      <c r="CF52" s="105">
        <v>2000.0</v>
      </c>
      <c r="CG52" s="105">
        <v>2000.0</v>
      </c>
      <c r="CH52" s="105">
        <v>2000.0</v>
      </c>
      <c r="CI52" s="105">
        <v>2000.0</v>
      </c>
      <c r="CJ52" s="105">
        <v>2000.0</v>
      </c>
      <c r="CK52" s="105">
        <v>2000.0</v>
      </c>
      <c r="CL52" s="105">
        <v>2000.0</v>
      </c>
      <c r="CM52" s="105">
        <v>2000.0</v>
      </c>
      <c r="CN52" s="105">
        <v>2000.0</v>
      </c>
      <c r="CO52" s="105">
        <v>2000.0</v>
      </c>
      <c r="CP52" s="105">
        <v>2000.0</v>
      </c>
    </row>
    <row r="53" ht="12.75" customHeight="1">
      <c r="A53" s="190" t="s">
        <v>355</v>
      </c>
      <c r="B53" s="191"/>
      <c r="C53" s="191"/>
      <c r="D53" s="191"/>
      <c r="E53" s="191"/>
      <c r="F53" s="191"/>
      <c r="G53" s="191"/>
      <c r="H53" s="191"/>
      <c r="I53" s="191"/>
      <c r="J53" s="191"/>
      <c r="K53" s="191"/>
      <c r="L53" s="191"/>
      <c r="M53" s="191"/>
      <c r="N53" s="191"/>
      <c r="O53" s="191"/>
      <c r="P53" s="191"/>
      <c r="Q53" s="191"/>
      <c r="R53" s="191"/>
      <c r="S53" s="191"/>
      <c r="T53" s="191"/>
      <c r="U53" s="191"/>
      <c r="V53" s="191"/>
      <c r="W53" s="191"/>
      <c r="X53" s="191"/>
      <c r="Y53" s="191"/>
      <c r="Z53" s="191"/>
      <c r="AA53" s="191"/>
      <c r="AB53" s="191"/>
      <c r="AC53" s="191"/>
      <c r="AD53" s="191"/>
      <c r="AE53" s="191"/>
      <c r="AF53" s="191"/>
      <c r="AG53" s="191"/>
      <c r="AH53" s="105"/>
      <c r="AI53" s="105"/>
      <c r="AJ53" s="105"/>
      <c r="AK53" s="105"/>
      <c r="AL53" s="105"/>
      <c r="AM53" s="105"/>
      <c r="AN53" s="105"/>
      <c r="AO53" s="105"/>
      <c r="AP53" s="105"/>
      <c r="AQ53" s="105"/>
      <c r="AR53" s="105"/>
      <c r="AS53" s="105"/>
      <c r="AT53" s="105"/>
      <c r="AU53" s="105"/>
      <c r="AV53" s="193"/>
      <c r="AW53" s="193"/>
      <c r="AX53" s="193"/>
      <c r="AY53" s="193"/>
      <c r="AZ53" s="193"/>
      <c r="BA53" s="193"/>
      <c r="BB53" s="193"/>
      <c r="BC53" s="193"/>
      <c r="BD53" s="105"/>
      <c r="BE53" s="105"/>
      <c r="BF53" s="105"/>
      <c r="BG53" s="105"/>
      <c r="BH53" s="105"/>
      <c r="BI53" s="105"/>
      <c r="BJ53" s="105"/>
      <c r="BK53" s="105"/>
      <c r="BL53" s="105"/>
      <c r="BM53" s="105"/>
      <c r="BN53" s="105"/>
      <c r="BO53" s="105"/>
      <c r="BP53" s="105"/>
      <c r="BQ53" s="105"/>
      <c r="BR53" s="105"/>
      <c r="BS53" s="105"/>
      <c r="BT53" s="105"/>
      <c r="BU53" s="105"/>
      <c r="BV53" s="105"/>
      <c r="BW53" s="105"/>
      <c r="BX53" s="105">
        <v>1000.0</v>
      </c>
      <c r="BY53" s="105">
        <v>1000.0</v>
      </c>
      <c r="BZ53" s="105">
        <v>1000.0</v>
      </c>
      <c r="CA53" s="105">
        <v>0.0</v>
      </c>
      <c r="CB53" s="105"/>
      <c r="CC53" s="105">
        <v>1000.0</v>
      </c>
      <c r="CD53" s="105">
        <v>1000.0</v>
      </c>
      <c r="CE53" s="105"/>
      <c r="CF53" s="105">
        <v>1000.0</v>
      </c>
      <c r="CG53" s="105">
        <v>1000.0</v>
      </c>
      <c r="CH53" s="105"/>
      <c r="CI53" s="105">
        <v>1000.0</v>
      </c>
      <c r="CJ53" s="105">
        <v>1000.0</v>
      </c>
      <c r="CK53" s="105">
        <v>1000.0</v>
      </c>
      <c r="CL53" s="105">
        <v>1000.0</v>
      </c>
      <c r="CM53" s="105">
        <v>1000.0</v>
      </c>
      <c r="CN53" s="105">
        <v>1000.0</v>
      </c>
      <c r="CO53" s="105">
        <v>1000.0</v>
      </c>
      <c r="CP53" s="105">
        <v>1000.0</v>
      </c>
    </row>
    <row r="54" ht="12.75" customHeight="1">
      <c r="A54" s="190" t="s">
        <v>356</v>
      </c>
      <c r="B54" s="191"/>
      <c r="C54" s="191"/>
      <c r="D54" s="191"/>
      <c r="E54" s="191"/>
      <c r="F54" s="191"/>
      <c r="G54" s="191"/>
      <c r="H54" s="191"/>
      <c r="I54" s="191"/>
      <c r="J54" s="191"/>
      <c r="K54" s="191"/>
      <c r="L54" s="191"/>
      <c r="M54" s="191"/>
      <c r="N54" s="191"/>
      <c r="O54" s="191"/>
      <c r="P54" s="191"/>
      <c r="Q54" s="191"/>
      <c r="R54" s="191"/>
      <c r="S54" s="191"/>
      <c r="T54" s="191"/>
      <c r="U54" s="191"/>
      <c r="V54" s="191"/>
      <c r="W54" s="191"/>
      <c r="X54" s="191"/>
      <c r="Y54" s="191"/>
      <c r="Z54" s="191"/>
      <c r="AA54" s="191"/>
      <c r="AB54" s="191"/>
      <c r="AC54" s="191"/>
      <c r="AD54" s="191"/>
      <c r="AE54" s="191"/>
      <c r="AF54" s="191"/>
      <c r="AG54" s="191"/>
      <c r="AH54" s="103">
        <f>+IF('P&amp;L Cash Flow Monthly'!AG39&gt;2000000,'P&amp;L Cash Flow Monthly'!AG23*0.05,0)</f>
        <v>0</v>
      </c>
      <c r="AI54" s="103">
        <f>+IF('P&amp;L Cash Flow Monthly'!AH39&gt;2000000,'P&amp;L Cash Flow Monthly'!AH23*0.05,0)</f>
        <v>0</v>
      </c>
      <c r="AJ54" s="103">
        <f>+IF('P&amp;L Cash Flow Monthly'!AI39&gt;2000000,'P&amp;L Cash Flow Monthly'!AI23*0.05,0)</f>
        <v>0</v>
      </c>
      <c r="AK54" s="103">
        <f>+IF('P&amp;L Cash Flow Monthly'!AJ39&gt;2000000,'P&amp;L Cash Flow Monthly'!AJ23*0.05,0)</f>
        <v>0</v>
      </c>
      <c r="AL54" s="103">
        <f>+IF('P&amp;L Cash Flow Monthly'!AK39&gt;2000000,'P&amp;L Cash Flow Monthly'!AK23*0.05,0)</f>
        <v>0</v>
      </c>
      <c r="AM54" s="103">
        <f>+IF('P&amp;L Cash Flow Monthly'!AL39&gt;2000000,'P&amp;L Cash Flow Monthly'!AL23*0.05,0)</f>
        <v>0</v>
      </c>
      <c r="AN54" s="103">
        <f>+IF('P&amp;L Cash Flow Monthly'!AM39&gt;2000000,'P&amp;L Cash Flow Monthly'!AM23*0.05,0)</f>
        <v>0</v>
      </c>
      <c r="AO54" s="103">
        <f>+IF('P&amp;L Cash Flow Monthly'!AN39&gt;2000000,'P&amp;L Cash Flow Monthly'!AN23*0.05,0)</f>
        <v>0</v>
      </c>
      <c r="AP54" s="103">
        <f>+IF('P&amp;L Cash Flow Monthly'!AO39&gt;2000000,'P&amp;L Cash Flow Monthly'!AO23*0.05,0)</f>
        <v>0</v>
      </c>
      <c r="AQ54" s="103">
        <f>+IF('P&amp;L Cash Flow Monthly'!AP39&gt;2000000,'P&amp;L Cash Flow Monthly'!AP23*0.05,0)</f>
        <v>0</v>
      </c>
      <c r="AR54" s="103">
        <f>+IF('P&amp;L Cash Flow Monthly'!AQ39&gt;2000000,'P&amp;L Cash Flow Monthly'!AQ23*0.05,0)</f>
        <v>0</v>
      </c>
      <c r="AS54" s="103">
        <f>+IF('P&amp;L Cash Flow Monthly'!AR39&gt;2000000,'P&amp;L Cash Flow Monthly'!AR23*0.05,0)</f>
        <v>0</v>
      </c>
      <c r="AT54" s="103">
        <f>+IF('P&amp;L Cash Flow Monthly'!AS39&gt;2000000,'P&amp;L Cash Flow Monthly'!AS23*0.05,0)</f>
        <v>0</v>
      </c>
      <c r="AU54" s="103">
        <f>+IF('P&amp;L Cash Flow Monthly'!AT39&gt;2000000,'P&amp;L Cash Flow Monthly'!AT23*0.05,0)</f>
        <v>0</v>
      </c>
      <c r="AV54" s="103">
        <f>+IF('P&amp;L Cash Flow Monthly'!AU39&gt;2000000,'P&amp;L Cash Flow Monthly'!AU23*0.05,0)</f>
        <v>0</v>
      </c>
      <c r="AW54" s="103">
        <f>+IF('P&amp;L Cash Flow Monthly'!AV39&gt;2000000,'P&amp;L Cash Flow Monthly'!AV23*0.05,0)</f>
        <v>0</v>
      </c>
      <c r="AX54" s="103">
        <f>+IF('P&amp;L Cash Flow Monthly'!AW39&gt;2000000,'P&amp;L Cash Flow Monthly'!AW23*0.05,0)</f>
        <v>0</v>
      </c>
      <c r="AY54" s="103">
        <f>+IF('P&amp;L Cash Flow Monthly'!AX39&gt;2000000,'P&amp;L Cash Flow Monthly'!AX23*0.05,0)</f>
        <v>0</v>
      </c>
      <c r="AZ54" s="103">
        <f>+IF('P&amp;L Cash Flow Monthly'!AY39&gt;2000000,'P&amp;L Cash Flow Monthly'!AY23*0.05,0)</f>
        <v>0</v>
      </c>
      <c r="BA54" s="103">
        <f>+IF('P&amp;L Cash Flow Monthly'!AZ39&gt;2000000,'P&amp;L Cash Flow Monthly'!AZ23*0.05,0)</f>
        <v>0</v>
      </c>
      <c r="BB54" s="103">
        <f>+IF('P&amp;L Cash Flow Monthly'!BA39&gt;2000000,'P&amp;L Cash Flow Monthly'!BA23*0.05,0)</f>
        <v>0</v>
      </c>
      <c r="BC54" s="103">
        <f>+IF('P&amp;L Cash Flow Monthly'!BB39&gt;2000000,'P&amp;L Cash Flow Monthly'!BB23*0.05,0)</f>
        <v>0</v>
      </c>
      <c r="BD54" s="103">
        <f>+IF('P&amp;L Cash Flow Monthly'!BC39&gt;2000000,'P&amp;L Cash Flow Monthly'!BC23*0.05,0)</f>
        <v>0</v>
      </c>
      <c r="BE54" s="103">
        <f>+IF('P&amp;L Cash Flow Monthly'!BD39&gt;2000000,'P&amp;L Cash Flow Monthly'!BD23*0.05,0)</f>
        <v>0</v>
      </c>
      <c r="BF54" s="103">
        <f>+IF('P&amp;L Cash Flow Monthly'!BE39&gt;2000000,'P&amp;L Cash Flow Monthly'!BE23*0.05,0)</f>
        <v>0</v>
      </c>
      <c r="BG54" s="103">
        <f>+IF('P&amp;L Cash Flow Monthly'!BF39&gt;2000000,'P&amp;L Cash Flow Monthly'!BF23*0.05,0)</f>
        <v>0</v>
      </c>
      <c r="BH54" s="103">
        <f>+IF('P&amp;L Cash Flow Monthly'!BG39&gt;2000000,'P&amp;L Cash Flow Monthly'!BG23*0.05,0)</f>
        <v>0</v>
      </c>
      <c r="BI54" s="103">
        <f>+IF('P&amp;L Cash Flow Monthly'!BH39&gt;2000000,'P&amp;L Cash Flow Monthly'!BH23*0.05,0)</f>
        <v>0</v>
      </c>
      <c r="BJ54" s="103">
        <f>+IF('P&amp;L Cash Flow Monthly'!BI39&gt;2000000,'P&amp;L Cash Flow Monthly'!BI23*0.05,0)</f>
        <v>0</v>
      </c>
      <c r="BK54" s="103">
        <f>+IF('P&amp;L Cash Flow Monthly'!BJ39&gt;2000000,'P&amp;L Cash Flow Monthly'!BJ23*0.05,0)</f>
        <v>0</v>
      </c>
      <c r="BL54" s="103">
        <f>+IF('P&amp;L Cash Flow Monthly'!BK39&gt;2000000,'P&amp;L Cash Flow Monthly'!BK23*0.05,0)</f>
        <v>0</v>
      </c>
      <c r="BM54" s="103">
        <f>+IF('P&amp;L Cash Flow Monthly'!BL39&gt;2000000,'P&amp;L Cash Flow Monthly'!BL23*0.05,0)</f>
        <v>0</v>
      </c>
      <c r="BN54" s="103">
        <f>+IF('P&amp;L Cash Flow Monthly'!BM39&gt;2000000,'P&amp;L Cash Flow Monthly'!BM23*0.05,0)</f>
        <v>0</v>
      </c>
      <c r="BO54" s="103">
        <f>+IF('P&amp;L Cash Flow Monthly'!BN39&gt;2000000,'P&amp;L Cash Flow Monthly'!BN23*0.05,0)</f>
        <v>0</v>
      </c>
      <c r="BP54" s="103">
        <f>+IF('P&amp;L Cash Flow Monthly'!BO39&gt;2000000,'P&amp;L Cash Flow Monthly'!BO23*0.05,0)</f>
        <v>0</v>
      </c>
      <c r="BQ54" s="103">
        <f>+IF('P&amp;L Cash Flow Monthly'!BP39&gt;2000000,'P&amp;L Cash Flow Monthly'!BP23*0.05,0)</f>
        <v>0</v>
      </c>
      <c r="BR54" s="103">
        <f>+IF('P&amp;L Cash Flow Monthly'!BQ39&gt;2000000,'P&amp;L Cash Flow Monthly'!BQ23*0.05,0)</f>
        <v>0</v>
      </c>
      <c r="BS54" s="103">
        <f>+IF('P&amp;L Cash Flow Monthly'!BR39&gt;2000000,'P&amp;L Cash Flow Monthly'!BR23*0.05,0)</f>
        <v>0</v>
      </c>
      <c r="BT54" s="103">
        <f>+IF('P&amp;L Cash Flow Monthly'!BS39&gt;2000000,'P&amp;L Cash Flow Monthly'!BS23*0.05,0)</f>
        <v>0</v>
      </c>
      <c r="BU54" s="103">
        <f>+IF('P&amp;L Cash Flow Monthly'!BT39&gt;2000000,'P&amp;L Cash Flow Monthly'!BT23*0.05,0)</f>
        <v>0</v>
      </c>
      <c r="BV54" s="103">
        <f>+IF('P&amp;L Cash Flow Monthly'!BU39&gt;2000000,'P&amp;L Cash Flow Monthly'!BU23*0.05,0)</f>
        <v>0</v>
      </c>
      <c r="BW54" s="103">
        <f>+IF('P&amp;L Cash Flow Monthly'!BV39&gt;2000000,'P&amp;L Cash Flow Monthly'!BV23*0.05,0)</f>
        <v>0</v>
      </c>
      <c r="BX54" s="103">
        <f>+IF('P&amp;L Cash Flow Monthly'!BW39&gt;2000000,'P&amp;L Cash Flow Monthly'!BW23*0.05,0)</f>
        <v>0</v>
      </c>
      <c r="BY54" s="103">
        <f>+IF('P&amp;L Cash Flow Monthly'!BX39&gt;2000000,'P&amp;L Cash Flow Monthly'!BX23*0.05,0)</f>
        <v>0</v>
      </c>
      <c r="BZ54" s="103">
        <f>+IF('P&amp;L Cash Flow Monthly'!BY39&gt;2000000,'P&amp;L Cash Flow Monthly'!BY23*0.05,0)</f>
        <v>0</v>
      </c>
      <c r="CA54" s="103">
        <f>+IF('P&amp;L Cash Flow Monthly'!BZ39&gt;2000000,'P&amp;L Cash Flow Monthly'!BZ23*0.05,0)</f>
        <v>0</v>
      </c>
      <c r="CB54" s="103">
        <f>+IF('P&amp;L Cash Flow Monthly'!CA39&gt;2000000,'P&amp;L Cash Flow Monthly'!CA23*0.05,0)</f>
        <v>0</v>
      </c>
      <c r="CC54" s="103">
        <f>+IF('P&amp;L Cash Flow Monthly'!CB39&gt;2000000,'P&amp;L Cash Flow Monthly'!CB23*0.05,0)</f>
        <v>0</v>
      </c>
      <c r="CD54" s="103">
        <f>+IF('P&amp;L Cash Flow Monthly'!CC39&gt;2000000,'P&amp;L Cash Flow Monthly'!CC23*0.05,0)</f>
        <v>0</v>
      </c>
      <c r="CE54" s="103">
        <f>+IF('P&amp;L Cash Flow Monthly'!CD39&gt;2000000,'P&amp;L Cash Flow Monthly'!CD23*0.05,0)</f>
        <v>0</v>
      </c>
      <c r="CF54" s="103">
        <f>+IF('P&amp;L Cash Flow Monthly'!CE39&gt;2000000,'P&amp;L Cash Flow Monthly'!CE23*0.05,0)</f>
        <v>0</v>
      </c>
      <c r="CG54" s="103">
        <f>+IF('P&amp;L Cash Flow Monthly'!CF39&gt;2000000,'P&amp;L Cash Flow Monthly'!CF23*0.05,0)</f>
        <v>0</v>
      </c>
      <c r="CH54" s="103">
        <f>+IF('P&amp;L Cash Flow Monthly'!CG39&gt;2000000,'P&amp;L Cash Flow Monthly'!CG23*0.05,0)</f>
        <v>0</v>
      </c>
      <c r="CI54" s="103">
        <f>+IF('P&amp;L Cash Flow Monthly'!CH39&gt;2000000,'P&amp;L Cash Flow Monthly'!CH23*0.05,0)</f>
        <v>0</v>
      </c>
      <c r="CJ54" s="103">
        <f>+IF('P&amp;L Cash Flow Monthly'!CI39&gt;2000000,'P&amp;L Cash Flow Monthly'!CI23*0.05,0)</f>
        <v>0</v>
      </c>
      <c r="CK54" s="103">
        <f>+IF('P&amp;L Cash Flow Monthly'!CJ39&gt;2000000,'P&amp;L Cash Flow Monthly'!CJ23*0.05,0)</f>
        <v>0</v>
      </c>
      <c r="CL54" s="103">
        <f>+IF('P&amp;L Cash Flow Monthly'!CK39&gt;2000000,'P&amp;L Cash Flow Monthly'!CK23*0.05,0)</f>
        <v>0</v>
      </c>
      <c r="CM54" s="103">
        <f>+IF('P&amp;L Cash Flow Monthly'!CL39&gt;2000000,'P&amp;L Cash Flow Monthly'!CL23*0.05,0)</f>
        <v>0</v>
      </c>
      <c r="CN54" s="103">
        <f>+IF('P&amp;L Cash Flow Monthly'!CM39&gt;2000000,'P&amp;L Cash Flow Monthly'!CM23*0.05,0)</f>
        <v>0</v>
      </c>
      <c r="CO54" s="103">
        <f>+IF('P&amp;L Cash Flow Monthly'!CN39&gt;2000000,'P&amp;L Cash Flow Monthly'!CN23*0.05,0)</f>
        <v>0</v>
      </c>
      <c r="CP54" s="103">
        <f>+IF('P&amp;L Cash Flow Monthly'!CO39&gt;2000000,'P&amp;L Cash Flow Monthly'!CO23*0.05,0)</f>
        <v>0</v>
      </c>
    </row>
    <row r="55" ht="12.75" customHeight="1">
      <c r="A55" s="190" t="s">
        <v>357</v>
      </c>
      <c r="B55" s="191"/>
      <c r="C55" s="191"/>
      <c r="D55" s="191"/>
      <c r="E55" s="191"/>
      <c r="F55" s="191"/>
      <c r="G55" s="191"/>
      <c r="H55" s="191"/>
      <c r="I55" s="191"/>
      <c r="J55" s="191"/>
      <c r="K55" s="191"/>
      <c r="L55" s="191"/>
      <c r="M55" s="191"/>
      <c r="N55" s="191"/>
      <c r="O55" s="191"/>
      <c r="P55" s="191"/>
      <c r="Q55" s="191"/>
      <c r="R55" s="191"/>
      <c r="S55" s="191"/>
      <c r="T55" s="191"/>
      <c r="U55" s="191"/>
      <c r="V55" s="191"/>
      <c r="W55" s="191"/>
      <c r="X55" s="191"/>
      <c r="Y55" s="191"/>
      <c r="Z55" s="191"/>
      <c r="AA55" s="191"/>
      <c r="AB55" s="191"/>
      <c r="AC55" s="191"/>
      <c r="AD55" s="191"/>
      <c r="AE55" s="191">
        <v>7000.0</v>
      </c>
      <c r="AF55" s="191">
        <v>70000.0</v>
      </c>
      <c r="AG55" s="191">
        <v>25000.0</v>
      </c>
      <c r="AH55" s="191">
        <v>3500.0</v>
      </c>
      <c r="AI55" s="191">
        <v>3500.0</v>
      </c>
      <c r="AJ55" s="191">
        <v>3500.0</v>
      </c>
      <c r="AK55" s="191">
        <v>3500.0</v>
      </c>
      <c r="AL55" s="191">
        <v>3500.0</v>
      </c>
      <c r="AM55" s="191">
        <v>3500.0</v>
      </c>
      <c r="AN55" s="191">
        <v>3500.0</v>
      </c>
      <c r="AO55" s="191">
        <v>3500.0</v>
      </c>
      <c r="AP55" s="191">
        <v>3500.0</v>
      </c>
      <c r="AQ55" s="191">
        <v>3500.0</v>
      </c>
      <c r="AR55" s="191">
        <v>3500.0</v>
      </c>
      <c r="AS55" s="191">
        <v>3500.0</v>
      </c>
      <c r="AT55" s="191">
        <v>3500.0</v>
      </c>
      <c r="AU55" s="191">
        <v>3500.0</v>
      </c>
      <c r="AV55" s="191">
        <v>3500.0</v>
      </c>
      <c r="AW55" s="191">
        <v>3500.0</v>
      </c>
      <c r="AX55" s="191">
        <v>3500.0</v>
      </c>
      <c r="AY55" s="191">
        <v>3500.0</v>
      </c>
      <c r="AZ55" s="191">
        <v>3500.0</v>
      </c>
      <c r="BA55" s="191">
        <v>3500.0</v>
      </c>
      <c r="BB55" s="191">
        <v>3500.0</v>
      </c>
      <c r="BC55" s="191">
        <v>3500.0</v>
      </c>
      <c r="BD55" s="191">
        <v>3500.0</v>
      </c>
      <c r="BE55" s="191">
        <v>3500.0</v>
      </c>
      <c r="BF55" s="191">
        <v>3500.0</v>
      </c>
      <c r="BG55" s="191">
        <v>3500.0</v>
      </c>
      <c r="BH55" s="191">
        <v>3500.0</v>
      </c>
      <c r="BI55" s="191">
        <v>3500.0</v>
      </c>
      <c r="BJ55" s="191">
        <v>3500.0</v>
      </c>
      <c r="BK55" s="191">
        <v>3500.0</v>
      </c>
      <c r="BL55" s="191">
        <v>3500.0</v>
      </c>
      <c r="BM55" s="191">
        <v>3500.0</v>
      </c>
      <c r="BN55" s="191">
        <v>3500.0</v>
      </c>
      <c r="BO55" s="191">
        <v>3500.0</v>
      </c>
      <c r="BP55" s="191">
        <v>3500.0</v>
      </c>
      <c r="BQ55" s="191">
        <v>3500.0</v>
      </c>
      <c r="BR55" s="191">
        <v>3500.0</v>
      </c>
      <c r="BS55" s="191">
        <v>3500.0</v>
      </c>
      <c r="BT55" s="191">
        <v>3500.0</v>
      </c>
      <c r="BU55" s="191">
        <v>3500.0</v>
      </c>
      <c r="BV55" s="191">
        <v>3500.0</v>
      </c>
      <c r="BW55" s="191">
        <v>3500.0</v>
      </c>
      <c r="BX55" s="191">
        <v>3500.0</v>
      </c>
      <c r="BY55" s="191">
        <v>3500.0</v>
      </c>
      <c r="BZ55" s="191">
        <v>3500.0</v>
      </c>
      <c r="CA55" s="191">
        <v>3500.0</v>
      </c>
      <c r="CB55" s="191">
        <v>3500.0</v>
      </c>
      <c r="CC55" s="191">
        <v>3500.0</v>
      </c>
      <c r="CD55" s="191">
        <v>3500.0</v>
      </c>
      <c r="CE55" s="191">
        <v>3500.0</v>
      </c>
      <c r="CF55" s="191">
        <v>3500.0</v>
      </c>
      <c r="CG55" s="191">
        <v>3500.0</v>
      </c>
      <c r="CH55" s="191">
        <v>3500.0</v>
      </c>
      <c r="CI55" s="191">
        <v>3500.0</v>
      </c>
      <c r="CJ55" s="191">
        <v>3500.0</v>
      </c>
      <c r="CK55" s="191">
        <v>3500.0</v>
      </c>
      <c r="CL55" s="191">
        <v>3500.0</v>
      </c>
      <c r="CM55" s="191">
        <v>3500.0</v>
      </c>
      <c r="CN55" s="191">
        <v>3500.0</v>
      </c>
      <c r="CO55" s="191">
        <v>3500.0</v>
      </c>
      <c r="CP55" s="191">
        <v>3500.0</v>
      </c>
    </row>
    <row r="56" ht="12.75" customHeight="1">
      <c r="A56" s="190"/>
      <c r="B56" s="191"/>
      <c r="C56" s="191"/>
      <c r="D56" s="191"/>
      <c r="E56" s="191"/>
      <c r="F56" s="191"/>
      <c r="G56" s="191"/>
      <c r="H56" s="191"/>
      <c r="I56" s="191"/>
      <c r="J56" s="191"/>
      <c r="K56" s="191"/>
      <c r="L56" s="191"/>
      <c r="M56" s="191"/>
      <c r="N56" s="191"/>
      <c r="O56" s="191"/>
      <c r="P56" s="191"/>
      <c r="Q56" s="191"/>
      <c r="R56" s="191"/>
      <c r="S56" s="191"/>
      <c r="T56" s="191"/>
      <c r="U56" s="191"/>
      <c r="V56" s="191"/>
      <c r="W56" s="191"/>
      <c r="X56" s="191"/>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c r="BF56" s="191"/>
      <c r="BG56" s="191"/>
      <c r="BH56" s="191"/>
      <c r="BI56" s="191"/>
      <c r="BJ56" s="191"/>
      <c r="BK56" s="191"/>
      <c r="BL56" s="191"/>
      <c r="BM56" s="191"/>
      <c r="BN56" s="191"/>
      <c r="BO56" s="191"/>
      <c r="BP56" s="191"/>
      <c r="BQ56" s="191"/>
      <c r="BR56" s="191"/>
      <c r="BS56" s="191"/>
      <c r="BT56" s="191"/>
      <c r="BU56" s="191"/>
      <c r="BV56" s="191"/>
      <c r="BW56" s="191"/>
      <c r="BX56" s="191"/>
      <c r="BY56" s="191"/>
      <c r="BZ56" s="191"/>
      <c r="CA56" s="191"/>
      <c r="CB56" s="191"/>
      <c r="CC56" s="191"/>
      <c r="CD56" s="191"/>
      <c r="CE56" s="191"/>
      <c r="CF56" s="191"/>
      <c r="CG56" s="191"/>
      <c r="CH56" s="191"/>
      <c r="CI56" s="191"/>
      <c r="CJ56" s="191"/>
      <c r="CK56" s="191"/>
      <c r="CL56" s="191"/>
      <c r="CM56" s="191"/>
      <c r="CN56" s="191"/>
      <c r="CO56" s="191"/>
      <c r="CP56" s="191"/>
    </row>
    <row r="57" ht="12.75" customHeight="1">
      <c r="A57" s="190" t="s">
        <v>358</v>
      </c>
      <c r="B57" s="191"/>
      <c r="C57" s="191"/>
      <c r="D57" s="191"/>
      <c r="E57" s="191"/>
      <c r="F57" s="191"/>
      <c r="G57" s="191"/>
      <c r="H57" s="191"/>
      <c r="I57" s="191"/>
      <c r="J57" s="191"/>
      <c r="K57" s="191"/>
      <c r="L57" s="191"/>
      <c r="M57" s="191"/>
      <c r="N57" s="191"/>
      <c r="O57" s="191"/>
      <c r="P57" s="191"/>
      <c r="Q57" s="191"/>
      <c r="R57" s="191"/>
      <c r="S57" s="191"/>
      <c r="T57" s="191"/>
      <c r="U57" s="191"/>
      <c r="V57" s="191"/>
      <c r="W57" s="191"/>
      <c r="X57" s="191"/>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E57" s="191"/>
      <c r="BF57" s="191"/>
      <c r="BG57" s="191"/>
      <c r="BH57" s="191"/>
      <c r="BI57" s="191"/>
      <c r="BJ57" s="191"/>
      <c r="BK57" s="191"/>
      <c r="BL57" s="191"/>
      <c r="BM57" s="191"/>
      <c r="BN57" s="191"/>
      <c r="BO57" s="191"/>
      <c r="BP57" s="191"/>
      <c r="BQ57" s="191"/>
      <c r="BR57" s="191"/>
      <c r="BS57" s="191"/>
      <c r="BT57" s="191"/>
      <c r="BU57" s="191"/>
      <c r="BV57" s="191"/>
      <c r="BW57" s="191"/>
      <c r="BX57" s="191"/>
      <c r="BY57" s="191"/>
      <c r="BZ57" s="191"/>
      <c r="CA57" s="191"/>
      <c r="CB57" s="191"/>
      <c r="CC57" s="191"/>
      <c r="CD57" s="191"/>
      <c r="CE57" s="191"/>
      <c r="CF57" s="191"/>
      <c r="CG57" s="191"/>
      <c r="CH57" s="191"/>
      <c r="CI57" s="191"/>
      <c r="CJ57" s="191"/>
      <c r="CK57" s="191"/>
      <c r="CL57" s="191"/>
      <c r="CM57" s="191"/>
      <c r="CN57" s="191"/>
      <c r="CO57" s="191"/>
      <c r="CP57" s="191"/>
    </row>
    <row r="58" ht="12.75" customHeight="1">
      <c r="A58" s="190" t="s">
        <v>359</v>
      </c>
      <c r="B58" s="191"/>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c r="AA58" s="191"/>
      <c r="AB58" s="191"/>
      <c r="AC58" s="191"/>
      <c r="AD58" s="191"/>
      <c r="AE58" s="191"/>
      <c r="AF58" s="191"/>
      <c r="AG58" s="191"/>
      <c r="AH58" s="191">
        <v>0.0</v>
      </c>
      <c r="AI58" s="191">
        <v>0.0</v>
      </c>
      <c r="AJ58" s="191">
        <v>0.0</v>
      </c>
      <c r="AK58" s="191">
        <v>0.0</v>
      </c>
      <c r="AL58" s="191">
        <v>0.0</v>
      </c>
      <c r="AM58" s="191">
        <v>0.0</v>
      </c>
      <c r="AN58" s="191"/>
      <c r="AO58" s="191"/>
      <c r="AP58" s="191">
        <v>1000.0</v>
      </c>
      <c r="AQ58" s="191"/>
      <c r="AR58" s="191">
        <v>1000.0</v>
      </c>
      <c r="AS58" s="191"/>
      <c r="AT58" s="191">
        <v>1000.0</v>
      </c>
      <c r="AU58" s="191">
        <v>0.0</v>
      </c>
      <c r="AV58" s="191">
        <v>0.0</v>
      </c>
      <c r="AW58" s="191">
        <v>0.0</v>
      </c>
      <c r="AX58" s="191">
        <v>0.0</v>
      </c>
      <c r="AY58" s="191">
        <v>0.0</v>
      </c>
      <c r="AZ58" s="191">
        <v>0.0</v>
      </c>
      <c r="BA58" s="191">
        <v>0.0</v>
      </c>
      <c r="BB58" s="191">
        <v>0.0</v>
      </c>
      <c r="BC58" s="191">
        <v>0.0</v>
      </c>
      <c r="BD58" s="191">
        <v>0.0</v>
      </c>
      <c r="BE58" s="191">
        <v>0.0</v>
      </c>
      <c r="BF58" s="191">
        <v>0.0</v>
      </c>
      <c r="BG58" s="191">
        <v>2000.0</v>
      </c>
      <c r="BH58" s="191"/>
      <c r="BI58" s="191">
        <v>2000.0</v>
      </c>
      <c r="BJ58" s="191"/>
      <c r="BK58" s="191">
        <v>2000.0</v>
      </c>
      <c r="BL58" s="191"/>
      <c r="BM58" s="191">
        <v>2000.0</v>
      </c>
      <c r="BN58" s="191"/>
      <c r="BO58" s="191">
        <v>2000.0</v>
      </c>
      <c r="BP58" s="191"/>
      <c r="BQ58" s="191"/>
      <c r="BR58" s="191"/>
      <c r="BS58" s="191"/>
      <c r="BT58" s="191"/>
      <c r="BU58" s="191"/>
      <c r="BV58" s="191"/>
      <c r="BW58" s="191"/>
      <c r="BX58" s="191"/>
      <c r="BY58" s="191"/>
      <c r="BZ58" s="191"/>
      <c r="CA58" s="191"/>
      <c r="CB58" s="191"/>
      <c r="CC58" s="191"/>
      <c r="CD58" s="191"/>
      <c r="CE58" s="191"/>
      <c r="CF58" s="191"/>
      <c r="CG58" s="191"/>
      <c r="CH58" s="191"/>
      <c r="CI58" s="191"/>
      <c r="CJ58" s="191">
        <v>2000.0</v>
      </c>
      <c r="CK58" s="191">
        <v>2000.0</v>
      </c>
      <c r="CL58" s="191">
        <v>2000.0</v>
      </c>
      <c r="CM58" s="191">
        <v>2000.0</v>
      </c>
      <c r="CN58" s="191">
        <v>2000.0</v>
      </c>
      <c r="CO58" s="191">
        <v>2000.0</v>
      </c>
      <c r="CP58" s="191">
        <v>2000.0</v>
      </c>
    </row>
    <row r="59" ht="12.75" customHeight="1">
      <c r="A59" s="190"/>
      <c r="B59" s="191"/>
      <c r="C59" s="191"/>
      <c r="D59" s="191"/>
      <c r="E59" s="191"/>
      <c r="F59" s="191"/>
      <c r="G59" s="191"/>
      <c r="H59" s="191"/>
      <c r="I59" s="191"/>
      <c r="J59" s="191"/>
      <c r="K59" s="191"/>
      <c r="L59" s="191"/>
      <c r="M59" s="191"/>
      <c r="N59" s="191"/>
      <c r="O59" s="191"/>
      <c r="P59" s="191"/>
      <c r="Q59" s="191"/>
      <c r="R59" s="191"/>
      <c r="S59" s="191"/>
      <c r="T59" s="191"/>
      <c r="U59" s="191"/>
      <c r="V59" s="191"/>
      <c r="W59" s="191"/>
      <c r="X59" s="191"/>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c r="BE59" s="191"/>
      <c r="BF59" s="191"/>
      <c r="BG59" s="191"/>
      <c r="BH59" s="191"/>
      <c r="BI59" s="191"/>
      <c r="BJ59" s="191"/>
      <c r="BK59" s="191"/>
      <c r="BL59" s="191"/>
      <c r="BM59" s="191"/>
      <c r="BN59" s="191"/>
      <c r="BO59" s="191"/>
      <c r="BP59" s="191"/>
      <c r="BQ59" s="191"/>
      <c r="BR59" s="191"/>
      <c r="BS59" s="191"/>
      <c r="BT59" s="191"/>
      <c r="BU59" s="191"/>
      <c r="BV59" s="191"/>
      <c r="BW59" s="191"/>
      <c r="BX59" s="191"/>
      <c r="BY59" s="191"/>
      <c r="BZ59" s="191"/>
      <c r="CA59" s="191"/>
      <c r="CB59" s="191"/>
      <c r="CC59" s="191"/>
      <c r="CD59" s="191"/>
      <c r="CE59" s="191"/>
      <c r="CF59" s="191"/>
      <c r="CG59" s="191"/>
      <c r="CH59" s="191"/>
      <c r="CI59" s="191"/>
      <c r="CJ59" s="191"/>
      <c r="CK59" s="191"/>
      <c r="CL59" s="191"/>
      <c r="CM59" s="191"/>
      <c r="CN59" s="191"/>
      <c r="CO59" s="191"/>
      <c r="CP59" s="191"/>
    </row>
    <row r="60" ht="12.75" customHeight="1">
      <c r="A60" s="190" t="s">
        <v>360</v>
      </c>
      <c r="B60" s="191"/>
      <c r="C60" s="191"/>
      <c r="D60" s="191"/>
      <c r="E60" s="191"/>
      <c r="F60" s="191"/>
      <c r="G60" s="191"/>
      <c r="H60" s="191"/>
      <c r="I60" s="191"/>
      <c r="J60" s="191"/>
      <c r="K60" s="191"/>
      <c r="L60" s="191"/>
      <c r="M60" s="191"/>
      <c r="N60" s="191"/>
      <c r="O60" s="191"/>
      <c r="P60" s="191"/>
      <c r="Q60" s="191"/>
      <c r="R60" s="191"/>
      <c r="S60" s="191"/>
      <c r="T60" s="191"/>
      <c r="U60" s="191"/>
      <c r="V60" s="191"/>
      <c r="W60" s="191"/>
      <c r="X60" s="191"/>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c r="BF60" s="191"/>
      <c r="BG60" s="191"/>
      <c r="BH60" s="191"/>
      <c r="BI60" s="191"/>
      <c r="BJ60" s="191"/>
      <c r="BK60" s="191"/>
      <c r="BL60" s="191"/>
      <c r="BM60" s="191"/>
      <c r="BN60" s="191"/>
      <c r="BO60" s="191"/>
      <c r="BP60" s="191"/>
      <c r="BQ60" s="191"/>
      <c r="BR60" s="191"/>
      <c r="BS60" s="191"/>
      <c r="BT60" s="191"/>
      <c r="BU60" s="191"/>
      <c r="BV60" s="191"/>
      <c r="BW60" s="191"/>
      <c r="BX60" s="191"/>
      <c r="BY60" s="191"/>
      <c r="BZ60" s="191"/>
      <c r="CA60" s="191"/>
      <c r="CB60" s="191"/>
      <c r="CC60" s="191"/>
      <c r="CD60" s="191"/>
      <c r="CE60" s="191"/>
      <c r="CF60" s="191"/>
      <c r="CG60" s="191"/>
      <c r="CH60" s="191"/>
      <c r="CI60" s="191"/>
      <c r="CJ60" s="191"/>
      <c r="CK60" s="191"/>
      <c r="CL60" s="191"/>
      <c r="CM60" s="191"/>
      <c r="CN60" s="191"/>
      <c r="CO60" s="191"/>
      <c r="CP60" s="191"/>
    </row>
    <row r="61" ht="12.75" customHeight="1">
      <c r="A61" s="190" t="s">
        <v>361</v>
      </c>
      <c r="B61" s="191"/>
      <c r="C61" s="191"/>
      <c r="D61" s="191"/>
      <c r="E61" s="191"/>
      <c r="F61" s="191"/>
      <c r="G61" s="191"/>
      <c r="H61" s="191"/>
      <c r="I61" s="191"/>
      <c r="J61" s="191"/>
      <c r="K61" s="191"/>
      <c r="L61" s="191"/>
      <c r="M61" s="191"/>
      <c r="N61" s="191"/>
      <c r="O61" s="191"/>
      <c r="P61" s="191"/>
      <c r="Q61" s="191"/>
      <c r="R61" s="191"/>
      <c r="S61" s="191"/>
      <c r="T61" s="191"/>
      <c r="U61" s="191"/>
      <c r="V61" s="191"/>
      <c r="W61" s="191"/>
      <c r="X61" s="191"/>
      <c r="Y61" s="191"/>
      <c r="Z61" s="191"/>
      <c r="AA61" s="191"/>
      <c r="AB61" s="191"/>
      <c r="AC61" s="191"/>
      <c r="AD61" s="191"/>
      <c r="AE61" s="191"/>
      <c r="AF61" s="191"/>
      <c r="AG61" s="191"/>
      <c r="AH61" s="105"/>
      <c r="AI61" s="105"/>
      <c r="AJ61" s="105"/>
      <c r="AK61" s="105"/>
      <c r="AL61" s="105"/>
      <c r="AM61" s="106"/>
      <c r="AN61" s="105"/>
      <c r="AO61" s="105"/>
      <c r="AP61" s="105"/>
      <c r="AQ61" s="105"/>
      <c r="AR61" s="105"/>
      <c r="AS61" s="105"/>
      <c r="AT61" s="105"/>
      <c r="AU61" s="105"/>
      <c r="AV61" s="105"/>
      <c r="AW61" s="105"/>
      <c r="AX61" s="105"/>
      <c r="AY61" s="105"/>
      <c r="AZ61" s="105"/>
      <c r="BA61" s="105"/>
      <c r="BB61" s="105"/>
      <c r="BC61" s="105"/>
      <c r="BD61" s="105"/>
      <c r="BE61" s="105"/>
      <c r="BF61" s="105"/>
      <c r="BG61" s="105"/>
      <c r="BH61" s="105"/>
      <c r="BI61" s="105"/>
      <c r="BJ61" s="105"/>
      <c r="BK61" s="105"/>
      <c r="BL61" s="105"/>
      <c r="BM61" s="105"/>
      <c r="BN61" s="105"/>
      <c r="BO61" s="105"/>
      <c r="BP61" s="105"/>
      <c r="BQ61" s="105"/>
      <c r="BR61" s="105"/>
      <c r="BS61" s="105"/>
      <c r="BT61" s="105"/>
      <c r="BU61" s="105"/>
      <c r="BV61" s="105"/>
      <c r="BW61" s="105"/>
      <c r="BX61" s="105"/>
      <c r="BY61" s="105"/>
      <c r="BZ61" s="105"/>
      <c r="CA61" s="105"/>
      <c r="CB61" s="105"/>
      <c r="CC61" s="105"/>
      <c r="CD61" s="105"/>
      <c r="CE61" s="105"/>
      <c r="CF61" s="105"/>
      <c r="CG61" s="105"/>
      <c r="CH61" s="105"/>
      <c r="CI61" s="105"/>
      <c r="CJ61" s="105"/>
      <c r="CK61" s="105"/>
      <c r="CL61" s="105"/>
      <c r="CM61" s="105"/>
      <c r="CN61" s="105"/>
      <c r="CO61" s="105"/>
      <c r="CP61" s="105"/>
    </row>
    <row r="62" ht="12.75" customHeight="1">
      <c r="A62" s="190"/>
      <c r="B62" s="191"/>
      <c r="C62" s="191"/>
      <c r="D62" s="191"/>
      <c r="E62" s="191"/>
      <c r="F62" s="191"/>
      <c r="G62" s="191"/>
      <c r="H62" s="191"/>
      <c r="I62" s="191"/>
      <c r="J62" s="191"/>
      <c r="K62" s="191"/>
      <c r="L62" s="191"/>
      <c r="M62" s="191"/>
      <c r="N62" s="191"/>
      <c r="O62" s="191"/>
      <c r="P62" s="191"/>
      <c r="Q62" s="191"/>
      <c r="R62" s="191"/>
      <c r="S62" s="191"/>
      <c r="T62" s="191"/>
      <c r="U62" s="191"/>
      <c r="V62" s="191"/>
      <c r="W62" s="191"/>
      <c r="X62" s="191"/>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c r="BE62" s="191"/>
      <c r="BF62" s="191"/>
      <c r="BG62" s="191"/>
      <c r="BH62" s="191"/>
      <c r="BI62" s="191"/>
      <c r="BJ62" s="191"/>
      <c r="BK62" s="191"/>
      <c r="BL62" s="191"/>
      <c r="BM62" s="191"/>
      <c r="BN62" s="191"/>
      <c r="BO62" s="191"/>
      <c r="BP62" s="191"/>
      <c r="BQ62" s="191"/>
      <c r="BR62" s="191"/>
      <c r="BS62" s="191"/>
      <c r="BT62" s="191"/>
      <c r="BU62" s="191"/>
      <c r="BV62" s="191"/>
      <c r="BW62" s="191"/>
      <c r="BX62" s="191"/>
      <c r="BY62" s="191"/>
      <c r="BZ62" s="191"/>
      <c r="CA62" s="191"/>
      <c r="CB62" s="191"/>
      <c r="CC62" s="191"/>
      <c r="CD62" s="191"/>
      <c r="CE62" s="191"/>
      <c r="CF62" s="191"/>
      <c r="CG62" s="191"/>
      <c r="CH62" s="191"/>
      <c r="CI62" s="191"/>
      <c r="CJ62" s="191"/>
      <c r="CK62" s="191"/>
      <c r="CL62" s="191"/>
      <c r="CM62" s="191"/>
      <c r="CN62" s="191"/>
      <c r="CO62" s="191"/>
      <c r="CP62" s="191"/>
    </row>
    <row r="63" ht="12.75" hidden="1" customHeight="1">
      <c r="A63" s="190"/>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c r="BE63" s="191"/>
      <c r="BF63" s="191"/>
      <c r="BG63" s="191"/>
      <c r="BH63" s="191"/>
      <c r="BI63" s="191"/>
      <c r="BJ63" s="191"/>
      <c r="BK63" s="191"/>
      <c r="BL63" s="191"/>
      <c r="BM63" s="191"/>
      <c r="BN63" s="191"/>
      <c r="BO63" s="191"/>
      <c r="BP63" s="191"/>
      <c r="BQ63" s="191"/>
      <c r="BR63" s="191"/>
      <c r="BS63" s="191"/>
      <c r="BT63" s="191"/>
      <c r="BU63" s="191"/>
      <c r="BV63" s="191"/>
      <c r="BW63" s="191"/>
      <c r="BX63" s="191"/>
      <c r="BY63" s="191"/>
      <c r="BZ63" s="191"/>
      <c r="CA63" s="191"/>
      <c r="CB63" s="191"/>
      <c r="CC63" s="191"/>
      <c r="CD63" s="191"/>
      <c r="CE63" s="191"/>
      <c r="CF63" s="191"/>
      <c r="CG63" s="191"/>
      <c r="CH63" s="191"/>
      <c r="CI63" s="191"/>
      <c r="CJ63" s="191"/>
      <c r="CK63" s="191"/>
      <c r="CL63" s="191"/>
      <c r="CM63" s="191"/>
      <c r="CN63" s="191"/>
      <c r="CO63" s="191"/>
      <c r="CP63" s="191"/>
    </row>
    <row r="64" ht="12.75" hidden="1" customHeight="1">
      <c r="A64" s="190"/>
      <c r="B64" s="191"/>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c r="AA64" s="191"/>
      <c r="AB64" s="191"/>
      <c r="AC64" s="191"/>
      <c r="AD64" s="191"/>
      <c r="AE64" s="191"/>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c r="BE64" s="191"/>
      <c r="BF64" s="191"/>
      <c r="BG64" s="191"/>
      <c r="BH64" s="191"/>
      <c r="BI64" s="191"/>
      <c r="BJ64" s="191"/>
      <c r="BK64" s="191"/>
      <c r="BL64" s="191"/>
      <c r="BM64" s="191"/>
      <c r="BN64" s="191"/>
      <c r="BO64" s="191"/>
      <c r="BP64" s="191"/>
      <c r="BQ64" s="191"/>
      <c r="BR64" s="191"/>
      <c r="BS64" s="191"/>
      <c r="BT64" s="191"/>
      <c r="BU64" s="191"/>
      <c r="BV64" s="191"/>
      <c r="BW64" s="191"/>
      <c r="BX64" s="191"/>
      <c r="BY64" s="191"/>
      <c r="BZ64" s="191"/>
      <c r="CA64" s="191"/>
      <c r="CB64" s="191"/>
      <c r="CC64" s="191"/>
      <c r="CD64" s="191"/>
      <c r="CE64" s="191"/>
      <c r="CF64" s="191"/>
      <c r="CG64" s="191"/>
      <c r="CH64" s="191"/>
      <c r="CI64" s="191"/>
      <c r="CJ64" s="191"/>
      <c r="CK64" s="191"/>
      <c r="CL64" s="191"/>
      <c r="CM64" s="191"/>
      <c r="CN64" s="191"/>
      <c r="CO64" s="191"/>
      <c r="CP64" s="191"/>
    </row>
    <row r="65" ht="12.75" hidden="1" customHeight="1">
      <c r="A65" s="190"/>
      <c r="B65" s="191"/>
      <c r="C65" s="191"/>
      <c r="D65" s="191"/>
      <c r="E65" s="191"/>
      <c r="F65" s="191"/>
      <c r="G65" s="191"/>
      <c r="H65" s="191"/>
      <c r="I65" s="191"/>
      <c r="J65" s="191"/>
      <c r="K65" s="191"/>
      <c r="L65" s="191"/>
      <c r="M65" s="191"/>
      <c r="N65" s="191"/>
      <c r="O65" s="191"/>
      <c r="P65" s="191"/>
      <c r="Q65" s="191"/>
      <c r="R65" s="191"/>
      <c r="S65" s="191"/>
      <c r="T65" s="191"/>
      <c r="U65" s="191"/>
      <c r="V65" s="191"/>
      <c r="W65" s="191"/>
      <c r="X65" s="191"/>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c r="BE65" s="191"/>
      <c r="BF65" s="191"/>
      <c r="BG65" s="191"/>
      <c r="BH65" s="191"/>
      <c r="BI65" s="191"/>
      <c r="BJ65" s="191"/>
      <c r="BK65" s="191"/>
      <c r="BL65" s="191"/>
      <c r="BM65" s="191"/>
      <c r="BN65" s="191"/>
      <c r="BO65" s="191"/>
      <c r="BP65" s="191"/>
      <c r="BQ65" s="191"/>
      <c r="BR65" s="191"/>
      <c r="BS65" s="191"/>
      <c r="BT65" s="191"/>
      <c r="BU65" s="191"/>
      <c r="BV65" s="191"/>
      <c r="BW65" s="191"/>
      <c r="BX65" s="191"/>
      <c r="BY65" s="191"/>
      <c r="BZ65" s="191"/>
      <c r="CA65" s="191"/>
      <c r="CB65" s="191"/>
      <c r="CC65" s="191"/>
      <c r="CD65" s="191"/>
      <c r="CE65" s="191"/>
      <c r="CF65" s="191"/>
      <c r="CG65" s="191"/>
      <c r="CH65" s="191"/>
      <c r="CI65" s="191"/>
      <c r="CJ65" s="191"/>
      <c r="CK65" s="191"/>
      <c r="CL65" s="191"/>
      <c r="CM65" s="191"/>
      <c r="CN65" s="191"/>
      <c r="CO65" s="191"/>
      <c r="CP65" s="191"/>
    </row>
    <row r="66" ht="12.75" hidden="1" customHeight="1">
      <c r="A66" s="190"/>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c r="AA66" s="191"/>
      <c r="AB66" s="191"/>
      <c r="AC66" s="191"/>
      <c r="AD66" s="191"/>
      <c r="AE66" s="191"/>
      <c r="AF66" s="191"/>
      <c r="AG66" s="191"/>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c r="BE66" s="191"/>
      <c r="BF66" s="191"/>
      <c r="BG66" s="191"/>
      <c r="BH66" s="191"/>
      <c r="BI66" s="191"/>
      <c r="BJ66" s="191"/>
      <c r="BK66" s="191"/>
      <c r="BL66" s="191"/>
      <c r="BM66" s="191"/>
      <c r="BN66" s="191"/>
      <c r="BO66" s="191"/>
      <c r="BP66" s="191"/>
      <c r="BQ66" s="191"/>
      <c r="BR66" s="191"/>
      <c r="BS66" s="191"/>
      <c r="BT66" s="191"/>
      <c r="BU66" s="191"/>
      <c r="BV66" s="191"/>
      <c r="BW66" s="191"/>
      <c r="BX66" s="191"/>
      <c r="BY66" s="191"/>
      <c r="BZ66" s="191"/>
      <c r="CA66" s="191"/>
      <c r="CB66" s="191"/>
      <c r="CC66" s="191"/>
      <c r="CD66" s="191"/>
      <c r="CE66" s="191"/>
      <c r="CF66" s="191"/>
      <c r="CG66" s="191"/>
      <c r="CH66" s="191"/>
      <c r="CI66" s="191"/>
      <c r="CJ66" s="191"/>
      <c r="CK66" s="191"/>
      <c r="CL66" s="191"/>
      <c r="CM66" s="191"/>
      <c r="CN66" s="191"/>
      <c r="CO66" s="191"/>
      <c r="CP66" s="191"/>
    </row>
    <row r="67" ht="12.75" hidden="1" customHeight="1">
      <c r="A67" s="190"/>
      <c r="B67" s="19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c r="BE67" s="191"/>
      <c r="BF67" s="191"/>
      <c r="BG67" s="191"/>
      <c r="BH67" s="191"/>
      <c r="BI67" s="191"/>
      <c r="BJ67" s="191"/>
      <c r="BK67" s="191"/>
      <c r="BL67" s="191"/>
      <c r="BM67" s="191"/>
      <c r="BN67" s="191"/>
      <c r="BO67" s="191"/>
      <c r="BP67" s="191"/>
      <c r="BQ67" s="191"/>
      <c r="BR67" s="191"/>
      <c r="BS67" s="191"/>
      <c r="BT67" s="191"/>
      <c r="BU67" s="191"/>
      <c r="BV67" s="191"/>
      <c r="BW67" s="191"/>
      <c r="BX67" s="191"/>
      <c r="BY67" s="191"/>
      <c r="BZ67" s="191"/>
      <c r="CA67" s="191"/>
      <c r="CB67" s="191"/>
      <c r="CC67" s="191"/>
      <c r="CD67" s="191"/>
      <c r="CE67" s="191"/>
      <c r="CF67" s="191"/>
      <c r="CG67" s="191"/>
      <c r="CH67" s="191"/>
      <c r="CI67" s="191"/>
      <c r="CJ67" s="191"/>
      <c r="CK67" s="191"/>
      <c r="CL67" s="191"/>
      <c r="CM67" s="191"/>
      <c r="CN67" s="191"/>
      <c r="CO67" s="191"/>
      <c r="CP67" s="191"/>
    </row>
    <row r="68" ht="12.75" hidden="1" customHeight="1">
      <c r="A68" s="190"/>
      <c r="B68" s="191"/>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c r="BE68" s="191"/>
      <c r="BF68" s="191"/>
      <c r="BG68" s="191"/>
      <c r="BH68" s="191"/>
      <c r="BI68" s="191"/>
      <c r="BJ68" s="191"/>
      <c r="BK68" s="191"/>
      <c r="BL68" s="191"/>
      <c r="BM68" s="191"/>
      <c r="BN68" s="191"/>
      <c r="BO68" s="191"/>
      <c r="BP68" s="191"/>
      <c r="BQ68" s="191"/>
      <c r="BR68" s="191"/>
      <c r="BS68" s="191"/>
      <c r="BT68" s="191"/>
      <c r="BU68" s="191"/>
      <c r="BV68" s="191"/>
      <c r="BW68" s="191"/>
      <c r="BX68" s="191"/>
      <c r="BY68" s="191"/>
      <c r="BZ68" s="191"/>
      <c r="CA68" s="191"/>
      <c r="CB68" s="191"/>
      <c r="CC68" s="191"/>
      <c r="CD68" s="191"/>
      <c r="CE68" s="191"/>
      <c r="CF68" s="191"/>
      <c r="CG68" s="191"/>
      <c r="CH68" s="191"/>
      <c r="CI68" s="191"/>
      <c r="CJ68" s="191"/>
      <c r="CK68" s="191"/>
      <c r="CL68" s="191"/>
      <c r="CM68" s="191"/>
      <c r="CN68" s="191"/>
      <c r="CO68" s="191"/>
      <c r="CP68" s="191"/>
    </row>
    <row r="69" ht="12.75" hidden="1" customHeight="1">
      <c r="A69" s="190"/>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c r="BF69" s="191"/>
      <c r="BG69" s="191"/>
      <c r="BH69" s="191"/>
      <c r="BI69" s="191"/>
      <c r="BJ69" s="191"/>
      <c r="BK69" s="191"/>
      <c r="BL69" s="191"/>
      <c r="BM69" s="191"/>
      <c r="BN69" s="191"/>
      <c r="BO69" s="191"/>
      <c r="BP69" s="191"/>
      <c r="BQ69" s="191"/>
      <c r="BR69" s="191"/>
      <c r="BS69" s="191"/>
      <c r="BT69" s="191"/>
      <c r="BU69" s="191"/>
      <c r="BV69" s="191"/>
      <c r="BW69" s="191"/>
      <c r="BX69" s="191"/>
      <c r="BY69" s="191"/>
      <c r="BZ69" s="191"/>
      <c r="CA69" s="191"/>
      <c r="CB69" s="191"/>
      <c r="CC69" s="191"/>
      <c r="CD69" s="191"/>
      <c r="CE69" s="191"/>
      <c r="CF69" s="191"/>
      <c r="CG69" s="191"/>
      <c r="CH69" s="191"/>
      <c r="CI69" s="191"/>
      <c r="CJ69" s="191"/>
      <c r="CK69" s="191"/>
      <c r="CL69" s="191"/>
      <c r="CM69" s="191"/>
      <c r="CN69" s="191"/>
      <c r="CO69" s="191"/>
      <c r="CP69" s="191"/>
    </row>
    <row r="70" ht="12.75" hidden="1" customHeight="1">
      <c r="A70" s="190"/>
      <c r="B70" s="191"/>
      <c r="C70" s="191"/>
      <c r="D70" s="191"/>
      <c r="E70" s="191"/>
      <c r="F70" s="191"/>
      <c r="G70" s="191"/>
      <c r="H70" s="191"/>
      <c r="I70" s="191"/>
      <c r="J70" s="191"/>
      <c r="K70" s="191"/>
      <c r="L70" s="191"/>
      <c r="M70" s="191"/>
      <c r="N70" s="191"/>
      <c r="O70" s="191"/>
      <c r="P70" s="191"/>
      <c r="Q70" s="191"/>
      <c r="R70" s="191"/>
      <c r="S70" s="191"/>
      <c r="T70" s="191"/>
      <c r="U70" s="191"/>
      <c r="V70" s="191"/>
      <c r="W70" s="191"/>
      <c r="X70" s="191"/>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c r="BE70" s="191"/>
      <c r="BF70" s="191"/>
      <c r="BG70" s="191"/>
      <c r="BH70" s="191"/>
      <c r="BI70" s="191"/>
      <c r="BJ70" s="191"/>
      <c r="BK70" s="191"/>
      <c r="BL70" s="191"/>
      <c r="BM70" s="191"/>
      <c r="BN70" s="191"/>
      <c r="BO70" s="191"/>
      <c r="BP70" s="191"/>
      <c r="BQ70" s="191"/>
      <c r="BR70" s="191"/>
      <c r="BS70" s="191"/>
      <c r="BT70" s="191"/>
      <c r="BU70" s="191"/>
      <c r="BV70" s="191"/>
      <c r="BW70" s="191"/>
      <c r="BX70" s="191"/>
      <c r="BY70" s="191"/>
      <c r="BZ70" s="191"/>
      <c r="CA70" s="191"/>
      <c r="CB70" s="191"/>
      <c r="CC70" s="191"/>
      <c r="CD70" s="191"/>
      <c r="CE70" s="191"/>
      <c r="CF70" s="191"/>
      <c r="CG70" s="191"/>
      <c r="CH70" s="191"/>
      <c r="CI70" s="191"/>
      <c r="CJ70" s="191"/>
      <c r="CK70" s="191"/>
      <c r="CL70" s="191"/>
      <c r="CM70" s="191"/>
      <c r="CN70" s="191"/>
      <c r="CO70" s="191"/>
      <c r="CP70" s="191"/>
    </row>
    <row r="71" ht="12.75" hidden="1" customHeight="1">
      <c r="A71" s="190" t="s">
        <v>362</v>
      </c>
      <c r="B71" s="191">
        <v>1500.0</v>
      </c>
      <c r="C71" s="191">
        <v>1500.0</v>
      </c>
      <c r="D71" s="191">
        <v>1500.0</v>
      </c>
      <c r="E71" s="191">
        <v>1500.0</v>
      </c>
      <c r="F71" s="191">
        <v>1500.0</v>
      </c>
      <c r="G71" s="191">
        <v>1500.0</v>
      </c>
      <c r="H71" s="191">
        <v>1500.0</v>
      </c>
      <c r="I71" s="191">
        <v>1500.0</v>
      </c>
      <c r="J71" s="191">
        <v>1500.0</v>
      </c>
      <c r="K71" s="191">
        <v>1500.0</v>
      </c>
      <c r="L71" s="191">
        <v>1500.0</v>
      </c>
      <c r="M71" s="191">
        <v>1500.0</v>
      </c>
      <c r="N71" s="191">
        <v>1500.0</v>
      </c>
      <c r="O71" s="191">
        <v>1500.0</v>
      </c>
      <c r="P71" s="191">
        <v>1500.0</v>
      </c>
      <c r="Q71" s="191">
        <v>1500.0</v>
      </c>
      <c r="R71" s="191">
        <v>1500.0</v>
      </c>
      <c r="S71" s="191">
        <v>1500.0</v>
      </c>
      <c r="T71" s="191">
        <v>1500.0</v>
      </c>
      <c r="U71" s="191">
        <v>1500.0</v>
      </c>
      <c r="V71" s="191">
        <v>1500.0</v>
      </c>
      <c r="W71" s="191">
        <v>1500.0</v>
      </c>
      <c r="X71" s="191">
        <v>1500.0</v>
      </c>
      <c r="Y71" s="191">
        <v>1500.0</v>
      </c>
      <c r="Z71" s="191">
        <v>1500.0</v>
      </c>
      <c r="AA71" s="191">
        <v>1500.0</v>
      </c>
      <c r="AB71" s="191">
        <v>1500.0</v>
      </c>
      <c r="AC71" s="191">
        <v>1500.0</v>
      </c>
      <c r="AD71" s="191">
        <v>1500.0</v>
      </c>
      <c r="AE71" s="191">
        <v>1500.0</v>
      </c>
      <c r="AF71" s="191">
        <v>1500.0</v>
      </c>
      <c r="AG71" s="191">
        <v>1500.0</v>
      </c>
    </row>
    <row r="72" ht="12.75" hidden="1" customHeight="1">
      <c r="A72" s="190" t="s">
        <v>363</v>
      </c>
      <c r="B72" s="191">
        <v>0.0</v>
      </c>
      <c r="C72" s="191">
        <v>0.0</v>
      </c>
      <c r="D72" s="191">
        <v>0.0</v>
      </c>
      <c r="E72" s="191">
        <v>0.0</v>
      </c>
      <c r="F72" s="191">
        <v>0.0</v>
      </c>
      <c r="G72" s="191">
        <v>0.0</v>
      </c>
      <c r="H72" s="191">
        <v>0.0</v>
      </c>
      <c r="I72" s="191">
        <v>0.0</v>
      </c>
      <c r="J72" s="191">
        <v>0.0</v>
      </c>
      <c r="K72" s="191">
        <v>0.0</v>
      </c>
      <c r="L72" s="191">
        <v>0.0</v>
      </c>
      <c r="M72" s="191">
        <v>0.0</v>
      </c>
      <c r="N72" s="191">
        <v>0.0</v>
      </c>
      <c r="O72" s="191">
        <v>0.0</v>
      </c>
      <c r="P72" s="191">
        <v>0.0</v>
      </c>
      <c r="Q72" s="191">
        <v>0.0</v>
      </c>
      <c r="R72" s="191">
        <v>0.0</v>
      </c>
      <c r="S72" s="191">
        <v>0.0</v>
      </c>
      <c r="T72" s="191">
        <v>0.0</v>
      </c>
      <c r="U72" s="191">
        <v>0.0</v>
      </c>
      <c r="V72" s="191">
        <v>0.0</v>
      </c>
      <c r="W72" s="191">
        <v>0.0</v>
      </c>
      <c r="X72" s="191">
        <v>0.0</v>
      </c>
      <c r="Y72" s="191">
        <v>0.0</v>
      </c>
      <c r="Z72" s="191">
        <v>0.0</v>
      </c>
      <c r="AA72" s="191">
        <v>0.0</v>
      </c>
      <c r="AB72" s="191">
        <v>0.0</v>
      </c>
      <c r="AC72" s="191">
        <v>0.0</v>
      </c>
      <c r="AD72" s="191">
        <v>0.0</v>
      </c>
      <c r="AE72" s="191">
        <v>0.0</v>
      </c>
      <c r="AF72" s="191">
        <v>0.0</v>
      </c>
      <c r="AG72" s="191">
        <v>0.0</v>
      </c>
      <c r="AH72" s="191"/>
      <c r="AI72" s="191"/>
      <c r="AJ72" s="191"/>
      <c r="AK72" s="191"/>
      <c r="AL72" s="191"/>
      <c r="AM72" s="191"/>
      <c r="AN72" s="191"/>
      <c r="AO72" s="191"/>
      <c r="AP72" s="191"/>
      <c r="AQ72" s="191"/>
      <c r="AR72" s="191"/>
      <c r="AS72" s="191"/>
      <c r="AT72" s="191"/>
      <c r="AU72" s="191"/>
      <c r="AV72" s="191"/>
      <c r="AW72" s="191"/>
      <c r="AX72" s="191"/>
      <c r="AY72" s="191"/>
      <c r="AZ72" s="191"/>
      <c r="BA72" s="191"/>
      <c r="BB72" s="191"/>
      <c r="BC72" s="191"/>
      <c r="BD72" s="191"/>
      <c r="BE72" s="191"/>
      <c r="BF72" s="191"/>
      <c r="BG72" s="191"/>
      <c r="BH72" s="191"/>
      <c r="BI72" s="191"/>
      <c r="BJ72" s="191"/>
      <c r="BK72" s="191"/>
      <c r="BL72" s="191"/>
      <c r="BM72" s="191"/>
      <c r="BN72" s="191"/>
      <c r="BO72" s="191"/>
      <c r="BP72" s="191"/>
      <c r="BQ72" s="191"/>
      <c r="BR72" s="191"/>
      <c r="BS72" s="191"/>
      <c r="BT72" s="191"/>
      <c r="BU72" s="191"/>
      <c r="BV72" s="191"/>
      <c r="BW72" s="191"/>
      <c r="BX72" s="191"/>
      <c r="BY72" s="191"/>
      <c r="BZ72" s="191"/>
      <c r="CA72" s="191"/>
      <c r="CB72" s="191"/>
      <c r="CC72" s="191"/>
      <c r="CD72" s="191"/>
      <c r="CE72" s="191"/>
      <c r="CF72" s="191"/>
      <c r="CG72" s="191"/>
      <c r="CH72" s="191"/>
      <c r="CI72" s="191"/>
      <c r="CJ72" s="191"/>
      <c r="CK72" s="191"/>
      <c r="CL72" s="191"/>
      <c r="CM72" s="191"/>
      <c r="CN72" s="191"/>
      <c r="CO72" s="191"/>
      <c r="CP72" s="191"/>
    </row>
    <row r="73" ht="12.75" hidden="1" customHeight="1">
      <c r="A73" s="190" t="s">
        <v>364</v>
      </c>
      <c r="B73" s="191">
        <v>1275.0</v>
      </c>
      <c r="C73" s="191">
        <v>1275.0</v>
      </c>
      <c r="D73" s="191">
        <v>1275.0</v>
      </c>
      <c r="E73" s="191">
        <v>1275.0</v>
      </c>
      <c r="F73" s="191">
        <v>1275.0</v>
      </c>
      <c r="G73" s="191">
        <v>1275.0</v>
      </c>
      <c r="H73" s="191">
        <v>1275.0</v>
      </c>
      <c r="I73" s="191">
        <v>1275.0</v>
      </c>
      <c r="J73" s="191">
        <v>1275.0</v>
      </c>
      <c r="K73" s="191">
        <v>1275.0</v>
      </c>
      <c r="L73" s="191">
        <v>1275.0</v>
      </c>
      <c r="M73" s="191">
        <v>1275.0</v>
      </c>
      <c r="N73" s="191">
        <v>1275.0</v>
      </c>
      <c r="O73" s="191">
        <v>1275.0</v>
      </c>
      <c r="P73" s="191">
        <v>1275.0</v>
      </c>
      <c r="Q73" s="191">
        <v>1275.0</v>
      </c>
      <c r="R73" s="191">
        <v>1275.0</v>
      </c>
      <c r="S73" s="191">
        <v>1275.0</v>
      </c>
      <c r="T73" s="191">
        <v>1275.0</v>
      </c>
      <c r="U73" s="191">
        <v>1275.0</v>
      </c>
      <c r="V73" s="191">
        <v>1275.0</v>
      </c>
      <c r="W73" s="191">
        <v>1275.0</v>
      </c>
      <c r="X73" s="191">
        <v>1275.0</v>
      </c>
      <c r="Y73" s="191">
        <v>1275.0</v>
      </c>
      <c r="Z73" s="191">
        <v>1275.0</v>
      </c>
      <c r="AA73" s="191">
        <v>0.0</v>
      </c>
      <c r="AB73" s="191">
        <v>0.0</v>
      </c>
      <c r="AC73" s="191">
        <v>0.0</v>
      </c>
      <c r="AD73" s="191">
        <v>0.0</v>
      </c>
      <c r="AE73" s="191">
        <v>0.0</v>
      </c>
      <c r="AF73" s="191">
        <v>0.0</v>
      </c>
      <c r="AG73" s="191">
        <v>0.0</v>
      </c>
    </row>
    <row r="74" ht="12.0" hidden="1" customHeight="1">
      <c r="A74" s="190" t="s">
        <v>365</v>
      </c>
      <c r="B74" s="191">
        <v>0.0</v>
      </c>
      <c r="C74" s="191">
        <v>0.0</v>
      </c>
      <c r="D74" s="191">
        <v>0.0</v>
      </c>
      <c r="E74" s="191">
        <v>0.0</v>
      </c>
      <c r="F74" s="191">
        <v>0.0</v>
      </c>
      <c r="G74" s="191">
        <v>0.0</v>
      </c>
      <c r="H74" s="191">
        <v>0.0</v>
      </c>
      <c r="I74" s="191">
        <v>0.0</v>
      </c>
      <c r="J74" s="191"/>
      <c r="K74" s="191"/>
      <c r="L74" s="191"/>
      <c r="M74" s="191"/>
      <c r="N74" s="191"/>
      <c r="O74" s="191"/>
      <c r="P74" s="191"/>
      <c r="Q74" s="191"/>
      <c r="R74" s="191"/>
      <c r="S74" s="191"/>
      <c r="T74" s="191"/>
      <c r="U74" s="191"/>
      <c r="V74" s="191"/>
      <c r="W74" s="191"/>
      <c r="X74" s="191"/>
      <c r="Y74" s="191"/>
      <c r="Z74" s="191"/>
      <c r="AA74" s="191"/>
      <c r="AB74" s="191"/>
      <c r="AC74" s="191"/>
      <c r="AD74" s="191"/>
      <c r="AE74" s="191"/>
      <c r="AF74" s="191"/>
      <c r="AG74" s="191"/>
    </row>
    <row r="75" ht="12.75" hidden="1" customHeight="1">
      <c r="A75" s="190" t="s">
        <v>366</v>
      </c>
      <c r="B75" s="191"/>
      <c r="C75" s="191"/>
      <c r="D75" s="191"/>
      <c r="E75" s="191"/>
      <c r="F75" s="191"/>
      <c r="G75" s="191"/>
      <c r="H75" s="191">
        <v>3000.0</v>
      </c>
      <c r="I75" s="191">
        <v>3000.0</v>
      </c>
      <c r="J75" s="191">
        <v>3000.0</v>
      </c>
      <c r="K75" s="191">
        <v>3000.0</v>
      </c>
      <c r="L75" s="191">
        <v>3000.0</v>
      </c>
      <c r="M75" s="191">
        <v>3000.0</v>
      </c>
      <c r="N75" s="191">
        <v>3000.0</v>
      </c>
      <c r="O75" s="191">
        <v>3000.0</v>
      </c>
      <c r="P75" s="191">
        <v>3000.0</v>
      </c>
      <c r="Q75" s="191">
        <v>3000.0</v>
      </c>
      <c r="R75" s="191">
        <v>3000.0</v>
      </c>
      <c r="S75" s="191">
        <v>3000.0</v>
      </c>
      <c r="T75" s="191">
        <v>3000.0</v>
      </c>
      <c r="U75" s="191">
        <v>3000.0</v>
      </c>
      <c r="V75" s="191">
        <v>3000.0</v>
      </c>
      <c r="W75" s="191">
        <v>3000.0</v>
      </c>
      <c r="X75" s="191">
        <v>3000.0</v>
      </c>
      <c r="Y75" s="191">
        <v>0.0</v>
      </c>
      <c r="Z75" s="191">
        <v>0.0</v>
      </c>
      <c r="AA75" s="191">
        <v>0.0</v>
      </c>
      <c r="AB75" s="191">
        <v>0.0</v>
      </c>
      <c r="AC75" s="191">
        <v>0.0</v>
      </c>
      <c r="AD75" s="191">
        <v>0.0</v>
      </c>
      <c r="AE75" s="191">
        <v>0.0</v>
      </c>
      <c r="AF75" s="191">
        <v>0.0</v>
      </c>
      <c r="AG75" s="191">
        <v>1500.0</v>
      </c>
    </row>
    <row r="76" ht="12.75" hidden="1" customHeight="1">
      <c r="A76" s="190" t="s">
        <v>367</v>
      </c>
      <c r="B76" s="191">
        <v>1000.0</v>
      </c>
      <c r="C76" s="191">
        <v>1000.0</v>
      </c>
      <c r="D76" s="191">
        <v>1000.0</v>
      </c>
      <c r="E76" s="191">
        <v>1000.0</v>
      </c>
      <c r="F76" s="191">
        <v>1000.0</v>
      </c>
      <c r="G76" s="191">
        <v>1000.0</v>
      </c>
      <c r="H76" s="191">
        <v>1000.0</v>
      </c>
      <c r="I76" s="191"/>
      <c r="J76" s="191"/>
      <c r="K76" s="191">
        <v>0.0</v>
      </c>
      <c r="L76" s="191">
        <v>0.0</v>
      </c>
      <c r="M76" s="191">
        <v>0.0</v>
      </c>
      <c r="N76" s="191">
        <v>0.0</v>
      </c>
      <c r="O76" s="191">
        <v>0.0</v>
      </c>
      <c r="P76" s="191">
        <v>0.0</v>
      </c>
      <c r="Q76" s="191">
        <v>0.0</v>
      </c>
      <c r="R76" s="191">
        <v>0.0</v>
      </c>
      <c r="S76" s="191">
        <v>0.0</v>
      </c>
      <c r="T76" s="191">
        <v>0.0</v>
      </c>
      <c r="U76" s="191">
        <v>0.0</v>
      </c>
      <c r="V76" s="191">
        <v>0.0</v>
      </c>
      <c r="W76" s="191">
        <v>0.0</v>
      </c>
      <c r="X76" s="191">
        <v>0.0</v>
      </c>
      <c r="Y76" s="191">
        <v>0.0</v>
      </c>
      <c r="Z76" s="191">
        <v>0.0</v>
      </c>
      <c r="AA76" s="191">
        <v>0.0</v>
      </c>
      <c r="AB76" s="191">
        <v>0.0</v>
      </c>
      <c r="AC76" s="191">
        <v>0.0</v>
      </c>
      <c r="AD76" s="191">
        <v>0.0</v>
      </c>
      <c r="AE76" s="191">
        <v>0.0</v>
      </c>
      <c r="AF76" s="191">
        <v>0.0</v>
      </c>
      <c r="AG76" s="191">
        <v>0.0</v>
      </c>
    </row>
    <row r="77" ht="12.75" hidden="1" customHeight="1">
      <c r="A77" s="190" t="s">
        <v>348</v>
      </c>
      <c r="B77" s="191">
        <v>1300.0</v>
      </c>
      <c r="C77" s="191">
        <v>1300.0</v>
      </c>
      <c r="D77" s="191">
        <v>1300.0</v>
      </c>
      <c r="E77" s="191">
        <v>1300.0</v>
      </c>
      <c r="F77" s="191">
        <v>1300.0</v>
      </c>
      <c r="G77" s="191">
        <v>1300.0</v>
      </c>
      <c r="H77" s="191">
        <v>1300.0</v>
      </c>
      <c r="I77" s="191">
        <v>1300.0</v>
      </c>
      <c r="J77" s="191">
        <v>1300.0</v>
      </c>
      <c r="K77" s="191">
        <v>1300.0</v>
      </c>
      <c r="L77" s="191">
        <v>1300.0</v>
      </c>
      <c r="M77" s="191">
        <v>1300.0</v>
      </c>
      <c r="N77" s="191">
        <v>1300.0</v>
      </c>
      <c r="O77" s="191">
        <v>1300.0</v>
      </c>
      <c r="P77" s="191">
        <v>1300.0</v>
      </c>
      <c r="Q77" s="191">
        <v>1300.0</v>
      </c>
      <c r="R77" s="191">
        <v>1300.0</v>
      </c>
      <c r="S77" s="191">
        <v>1300.0</v>
      </c>
      <c r="T77" s="191">
        <v>1300.0</v>
      </c>
      <c r="U77" s="191">
        <v>1300.0</v>
      </c>
      <c r="V77" s="191">
        <v>1300.0</v>
      </c>
      <c r="W77" s="191">
        <v>1300.0</v>
      </c>
      <c r="X77" s="191">
        <v>1300.0</v>
      </c>
      <c r="Y77" s="191">
        <v>1300.0</v>
      </c>
      <c r="Z77" s="191">
        <v>1300.0</v>
      </c>
      <c r="AA77" s="191">
        <v>1300.0</v>
      </c>
      <c r="AB77" s="191">
        <v>1300.0</v>
      </c>
      <c r="AC77" s="191">
        <v>1300.0</v>
      </c>
      <c r="AD77" s="191">
        <v>1300.0</v>
      </c>
      <c r="AE77" s="191">
        <v>1300.0</v>
      </c>
      <c r="AF77" s="191">
        <v>1300.0</v>
      </c>
      <c r="AG77" s="191">
        <v>1300.0</v>
      </c>
    </row>
    <row r="78" ht="12.75" hidden="1" customHeight="1">
      <c r="A78" s="190" t="s">
        <v>349</v>
      </c>
      <c r="B78" s="191">
        <v>200.0</v>
      </c>
      <c r="C78" s="191">
        <v>200.0</v>
      </c>
      <c r="D78" s="191">
        <v>200.0</v>
      </c>
      <c r="E78" s="191">
        <v>200.0</v>
      </c>
      <c r="F78" s="191">
        <v>200.0</v>
      </c>
      <c r="G78" s="191">
        <v>200.0</v>
      </c>
      <c r="H78" s="191">
        <v>200.0</v>
      </c>
      <c r="I78" s="191">
        <v>200.0</v>
      </c>
      <c r="J78" s="191">
        <v>200.0</v>
      </c>
      <c r="K78" s="191">
        <v>200.0</v>
      </c>
      <c r="L78" s="191">
        <v>200.0</v>
      </c>
      <c r="M78" s="191">
        <v>200.0</v>
      </c>
      <c r="N78" s="191">
        <v>200.0</v>
      </c>
      <c r="O78" s="191">
        <v>200.0</v>
      </c>
      <c r="P78" s="191">
        <v>200.0</v>
      </c>
      <c r="Q78" s="191">
        <v>200.0</v>
      </c>
      <c r="R78" s="191">
        <v>200.0</v>
      </c>
      <c r="S78" s="191">
        <v>200.0</v>
      </c>
      <c r="T78" s="191">
        <v>200.0</v>
      </c>
      <c r="U78" s="191">
        <v>200.0</v>
      </c>
      <c r="V78" s="191">
        <v>200.0</v>
      </c>
      <c r="W78" s="191">
        <v>200.0</v>
      </c>
      <c r="X78" s="191">
        <v>200.0</v>
      </c>
      <c r="Y78" s="191">
        <v>200.0</v>
      </c>
      <c r="Z78" s="191">
        <v>200.0</v>
      </c>
      <c r="AA78" s="191">
        <v>200.0</v>
      </c>
      <c r="AB78" s="191">
        <v>200.0</v>
      </c>
      <c r="AC78" s="191">
        <v>200.0</v>
      </c>
      <c r="AD78" s="191">
        <v>200.0</v>
      </c>
      <c r="AE78" s="191">
        <v>200.0</v>
      </c>
      <c r="AF78" s="191">
        <v>200.0</v>
      </c>
      <c r="AG78" s="191">
        <v>200.0</v>
      </c>
    </row>
    <row r="79" ht="12.75" hidden="1" customHeight="1">
      <c r="A79" s="190" t="s">
        <v>368</v>
      </c>
      <c r="B79" s="191">
        <v>400.0</v>
      </c>
      <c r="C79" s="191">
        <v>400.0</v>
      </c>
      <c r="D79" s="191">
        <v>400.0</v>
      </c>
      <c r="E79" s="191">
        <v>400.0</v>
      </c>
      <c r="F79" s="191">
        <v>400.0</v>
      </c>
      <c r="G79" s="191">
        <v>400.0</v>
      </c>
      <c r="H79" s="191">
        <v>400.0</v>
      </c>
      <c r="I79" s="191">
        <v>400.0</v>
      </c>
      <c r="J79" s="191">
        <v>400.0</v>
      </c>
      <c r="K79" s="191">
        <v>400.0</v>
      </c>
      <c r="L79" s="191">
        <v>400.0</v>
      </c>
      <c r="M79" s="191">
        <v>400.0</v>
      </c>
      <c r="N79" s="191">
        <v>400.0</v>
      </c>
      <c r="O79" s="191">
        <v>400.0</v>
      </c>
      <c r="P79" s="191">
        <v>400.0</v>
      </c>
      <c r="Q79" s="191">
        <v>400.0</v>
      </c>
      <c r="R79" s="191">
        <v>400.0</v>
      </c>
      <c r="S79" s="191">
        <v>400.0</v>
      </c>
      <c r="T79" s="191">
        <v>400.0</v>
      </c>
      <c r="U79" s="191">
        <v>400.0</v>
      </c>
      <c r="V79" s="191">
        <v>400.0</v>
      </c>
      <c r="W79" s="191">
        <v>400.0</v>
      </c>
      <c r="X79" s="191">
        <v>400.0</v>
      </c>
      <c r="Y79" s="191">
        <v>400.0</v>
      </c>
      <c r="Z79" s="191">
        <v>400.0</v>
      </c>
      <c r="AA79" s="191">
        <v>400.0</v>
      </c>
      <c r="AB79" s="191">
        <v>400.0</v>
      </c>
      <c r="AC79" s="191">
        <v>400.0</v>
      </c>
      <c r="AD79" s="191">
        <v>400.0</v>
      </c>
      <c r="AE79" s="191">
        <v>400.0</v>
      </c>
      <c r="AF79" s="191">
        <v>400.0</v>
      </c>
      <c r="AG79" s="191">
        <v>400.0</v>
      </c>
    </row>
    <row r="80" ht="12.75" hidden="1" customHeight="1">
      <c r="A80" s="190" t="s">
        <v>346</v>
      </c>
      <c r="B80" s="191">
        <v>200.0</v>
      </c>
      <c r="C80" s="191">
        <v>200.0</v>
      </c>
      <c r="D80" s="191">
        <v>200.0</v>
      </c>
      <c r="E80" s="191">
        <v>200.0</v>
      </c>
      <c r="F80" s="191">
        <v>200.0</v>
      </c>
      <c r="G80" s="191">
        <v>200.0</v>
      </c>
      <c r="H80" s="191">
        <v>200.0</v>
      </c>
      <c r="I80" s="191">
        <v>200.0</v>
      </c>
      <c r="J80" s="191">
        <v>200.0</v>
      </c>
      <c r="K80" s="191">
        <v>200.0</v>
      </c>
      <c r="L80" s="191">
        <v>200.0</v>
      </c>
      <c r="M80" s="191">
        <v>200.0</v>
      </c>
      <c r="N80" s="191">
        <v>200.0</v>
      </c>
      <c r="O80" s="191">
        <v>200.0</v>
      </c>
      <c r="P80" s="191">
        <v>200.0</v>
      </c>
      <c r="Q80" s="191">
        <v>200.0</v>
      </c>
      <c r="R80" s="191">
        <v>200.0</v>
      </c>
      <c r="S80" s="191">
        <v>200.0</v>
      </c>
      <c r="T80" s="191">
        <v>200.0</v>
      </c>
      <c r="U80" s="191">
        <v>200.0</v>
      </c>
      <c r="V80" s="191">
        <v>200.0</v>
      </c>
      <c r="W80" s="191">
        <v>200.0</v>
      </c>
      <c r="X80" s="191">
        <v>200.0</v>
      </c>
      <c r="Y80" s="191">
        <v>200.0</v>
      </c>
      <c r="Z80" s="191">
        <v>200.0</v>
      </c>
      <c r="AA80" s="191">
        <v>200.0</v>
      </c>
      <c r="AB80" s="191">
        <v>200.0</v>
      </c>
      <c r="AC80" s="191">
        <v>200.0</v>
      </c>
      <c r="AD80" s="191">
        <v>200.0</v>
      </c>
      <c r="AE80" s="191">
        <v>200.0</v>
      </c>
      <c r="AF80" s="191">
        <v>200.0</v>
      </c>
      <c r="AG80" s="191">
        <v>200.0</v>
      </c>
    </row>
    <row r="81" ht="12.75" hidden="1" customHeight="1">
      <c r="A81" s="190" t="s">
        <v>352</v>
      </c>
      <c r="B81" s="191">
        <f>'P&amp;L Cash Flow Monthly'!B15*0.00285</f>
        <v>7.8950985</v>
      </c>
      <c r="C81" s="191">
        <f>'P&amp;L Cash Flow Monthly'!C15*0.00285</f>
        <v>9.660830212</v>
      </c>
      <c r="D81" s="191">
        <f>'P&amp;L Cash Flow Monthly'!D15*0.00285</f>
        <v>17.31382396</v>
      </c>
      <c r="E81" s="191">
        <f>'P&amp;L Cash Flow Monthly'!E15*0.00285</f>
        <v>34.73827767</v>
      </c>
      <c r="F81" s="191">
        <f>'P&amp;L Cash Flow Monthly'!F15*0.00285</f>
        <v>55.23870472</v>
      </c>
      <c r="G81" s="191">
        <f>'P&amp;L Cash Flow Monthly'!G15*0.00285</f>
        <v>62.1180616</v>
      </c>
      <c r="H81" s="191">
        <f>'P&amp;L Cash Flow Monthly'!H15*0.00285</f>
        <v>65.70233842</v>
      </c>
      <c r="I81" s="191">
        <f>'P&amp;L Cash Flow Monthly'!I15*0.00285</f>
        <v>110.7748117</v>
      </c>
      <c r="J81" s="191">
        <f>'P&amp;L Cash Flow Monthly'!J15*0.00285</f>
        <v>75.93574801</v>
      </c>
      <c r="K81" s="191">
        <f>'P&amp;L Cash Flow Monthly'!K15*0.00285</f>
        <v>91.75158412</v>
      </c>
      <c r="L81" s="191">
        <f>'P&amp;L Cash Flow Monthly'!L15*0.00285</f>
        <v>192.1845503</v>
      </c>
      <c r="M81" s="191">
        <f>'P&amp;L Cash Flow Monthly'!M15*0.00285</f>
        <v>273.2849211</v>
      </c>
      <c r="N81" s="191">
        <f>'P&amp;L Cash Flow Monthly'!N15*0.00285</f>
        <v>273.3432639</v>
      </c>
      <c r="O81" s="191">
        <f>'P&amp;L Cash Flow Monthly'!O15*0.00285</f>
        <v>240.6863257</v>
      </c>
      <c r="P81" s="191">
        <f>'P&amp;L Cash Flow Monthly'!P15*0.00285</f>
        <v>208.0293876</v>
      </c>
      <c r="Q81" s="191">
        <f>'P&amp;L Cash Flow Monthly'!Q15*0.00285</f>
        <v>192.4988383</v>
      </c>
      <c r="R81" s="191">
        <f>'P&amp;L Cash Flow Monthly'!R15*0.00285</f>
        <v>221.1011626</v>
      </c>
      <c r="S81" s="191">
        <f>'P&amp;L Cash Flow Monthly'!S15*0.00285</f>
        <v>273.0771011</v>
      </c>
      <c r="T81" s="191">
        <f>'P&amp;L Cash Flow Monthly'!T15*0.00285</f>
        <v>371.8002682</v>
      </c>
      <c r="U81" s="191">
        <f>'P&amp;L Cash Flow Monthly'!U15*0.00285</f>
        <v>343.0794994</v>
      </c>
      <c r="V81" s="191">
        <f>'P&amp;L Cash Flow Monthly'!V15*0.00285</f>
        <v>292.578294</v>
      </c>
      <c r="W81" s="191">
        <f>'P&amp;L Cash Flow Monthly'!W15*0.00285</f>
        <v>214.1287254</v>
      </c>
      <c r="X81" s="191">
        <f>'P&amp;L Cash Flow Monthly'!X15*0.00285</f>
        <v>230.3413789</v>
      </c>
      <c r="Y81" s="191">
        <f>'P&amp;L Cash Flow Monthly'!Y15*0.00285</f>
        <v>246.2334117</v>
      </c>
      <c r="Z81" s="191">
        <f>'P&amp;L Cash Flow Monthly'!Z15*0.00285</f>
        <v>249.8590176</v>
      </c>
      <c r="AA81" s="191">
        <f>'P&amp;L Cash Flow Monthly'!AA15*0.00285</f>
        <v>251.2402779</v>
      </c>
      <c r="AB81" s="191">
        <f>'P&amp;L Cash Flow Monthly'!AB15*0.00285</f>
        <v>232.454132</v>
      </c>
      <c r="AC81" s="191">
        <f>'P&amp;L Cash Flow Monthly'!AC15*0.00285</f>
        <v>208.8987516</v>
      </c>
      <c r="AD81" s="191">
        <f>'P&amp;L Cash Flow Monthly'!AD15*0.00285</f>
        <v>198.6461428</v>
      </c>
      <c r="AE81" s="191">
        <f>'P&amp;L Cash Flow Monthly'!AE15*0.00285</f>
        <v>241.8758534</v>
      </c>
      <c r="AF81" s="191">
        <f>'P&amp;L Cash Flow Monthly'!AF15*0.00285</f>
        <v>286.4281247</v>
      </c>
      <c r="AG81" s="191">
        <f>'P&amp;L Cash Flow Monthly'!AG15*0.00285</f>
        <v>286.0215912</v>
      </c>
    </row>
    <row r="82" ht="12.75" hidden="1" customHeight="1">
      <c r="A82" s="190" t="s">
        <v>369</v>
      </c>
      <c r="B82" s="191">
        <v>1200.0</v>
      </c>
      <c r="C82" s="191">
        <v>1200.0</v>
      </c>
      <c r="D82" s="191">
        <v>1200.0</v>
      </c>
      <c r="E82" s="191">
        <v>1200.0</v>
      </c>
      <c r="F82" s="191">
        <v>1200.0</v>
      </c>
      <c r="G82" s="191">
        <v>1200.0</v>
      </c>
      <c r="H82" s="191">
        <v>1200.0</v>
      </c>
      <c r="I82" s="191">
        <v>1200.0</v>
      </c>
      <c r="J82" s="191">
        <v>1200.0</v>
      </c>
      <c r="K82" s="191">
        <v>1200.0</v>
      </c>
      <c r="L82" s="191">
        <v>1200.0</v>
      </c>
      <c r="M82" s="191">
        <v>1200.0</v>
      </c>
      <c r="N82" s="191">
        <v>1200.0</v>
      </c>
      <c r="O82" s="191">
        <v>1200.0</v>
      </c>
      <c r="P82" s="191">
        <v>1200.0</v>
      </c>
      <c r="Q82" s="191">
        <v>1200.0</v>
      </c>
      <c r="R82" s="191">
        <v>1200.0</v>
      </c>
      <c r="S82" s="191">
        <v>1200.0</v>
      </c>
      <c r="T82" s="191">
        <v>1200.0</v>
      </c>
      <c r="U82" s="191">
        <v>1200.0</v>
      </c>
      <c r="V82" s="191">
        <v>1200.0</v>
      </c>
      <c r="W82" s="191">
        <v>1200.0</v>
      </c>
      <c r="X82" s="191">
        <v>1200.0</v>
      </c>
      <c r="Y82" s="191">
        <v>1200.0</v>
      </c>
      <c r="Z82" s="191">
        <v>1200.0</v>
      </c>
      <c r="AA82" s="191">
        <v>1200.0</v>
      </c>
      <c r="AB82" s="191">
        <v>1200.0</v>
      </c>
      <c r="AC82" s="191">
        <v>1200.0</v>
      </c>
      <c r="AD82" s="191">
        <v>1200.0</v>
      </c>
      <c r="AE82" s="191">
        <v>1200.0</v>
      </c>
      <c r="AF82" s="191">
        <v>1200.0</v>
      </c>
      <c r="AG82" s="191">
        <v>1200.0</v>
      </c>
    </row>
    <row r="83" ht="12.75" hidden="1" customHeight="1">
      <c r="A83" s="190" t="s">
        <v>357</v>
      </c>
      <c r="B83" s="191">
        <v>3500.0</v>
      </c>
      <c r="C83" s="191">
        <v>3500.0</v>
      </c>
      <c r="D83" s="191">
        <v>3500.0</v>
      </c>
      <c r="E83" s="191">
        <v>3500.0</v>
      </c>
      <c r="F83" s="191">
        <v>3500.0</v>
      </c>
      <c r="G83" s="191">
        <v>3500.0</v>
      </c>
      <c r="H83" s="191">
        <v>3500.0</v>
      </c>
      <c r="I83" s="191">
        <v>3500.0</v>
      </c>
      <c r="J83" s="191">
        <v>3500.0</v>
      </c>
      <c r="K83" s="191">
        <v>3500.0</v>
      </c>
      <c r="L83" s="191">
        <v>3500.0</v>
      </c>
      <c r="M83" s="191">
        <v>3500.0</v>
      </c>
      <c r="N83" s="191">
        <v>3500.0</v>
      </c>
      <c r="O83" s="191">
        <v>3500.0</v>
      </c>
      <c r="P83" s="191">
        <v>3500.0</v>
      </c>
      <c r="Q83" s="191">
        <v>3500.0</v>
      </c>
      <c r="R83" s="191">
        <v>3500.0</v>
      </c>
      <c r="S83" s="191">
        <v>3500.0</v>
      </c>
      <c r="T83" s="191">
        <v>3500.0</v>
      </c>
      <c r="U83" s="191">
        <v>3500.0</v>
      </c>
      <c r="V83" s="191">
        <v>3500.0</v>
      </c>
      <c r="W83" s="191">
        <v>3500.0</v>
      </c>
      <c r="X83" s="191">
        <v>3500.0</v>
      </c>
      <c r="Y83" s="191">
        <v>3500.0</v>
      </c>
      <c r="Z83" s="191">
        <v>3500.0</v>
      </c>
      <c r="AA83" s="191">
        <v>3500.0</v>
      </c>
      <c r="AB83" s="191">
        <v>3500.0</v>
      </c>
      <c r="AC83" s="191">
        <v>3500.0</v>
      </c>
      <c r="AD83" s="191">
        <v>3500.0</v>
      </c>
      <c r="AE83" s="191">
        <v>3500.0</v>
      </c>
      <c r="AF83" s="191">
        <v>3500.0</v>
      </c>
      <c r="AG83" s="191">
        <v>3500.0</v>
      </c>
    </row>
    <row r="84" ht="12.75" hidden="1" customHeight="1">
      <c r="A84" s="190" t="s">
        <v>370</v>
      </c>
      <c r="B84" s="191">
        <v>2500.0</v>
      </c>
      <c r="C84" s="191">
        <v>2500.0</v>
      </c>
      <c r="D84" s="191">
        <v>2500.0</v>
      </c>
      <c r="E84" s="191">
        <v>2500.0</v>
      </c>
      <c r="F84" s="191">
        <v>2500.0</v>
      </c>
      <c r="G84" s="191">
        <v>2500.0</v>
      </c>
      <c r="H84" s="191">
        <v>2500.0</v>
      </c>
      <c r="I84" s="191">
        <v>2500.0</v>
      </c>
      <c r="J84" s="191">
        <v>2500.0</v>
      </c>
      <c r="K84" s="191">
        <v>2500.0</v>
      </c>
      <c r="L84" s="191">
        <v>2500.0</v>
      </c>
      <c r="M84" s="191">
        <v>2500.0</v>
      </c>
      <c r="N84" s="191">
        <v>2500.0</v>
      </c>
      <c r="O84" s="191">
        <v>2500.0</v>
      </c>
      <c r="P84" s="191">
        <v>2500.0</v>
      </c>
      <c r="Q84" s="191">
        <v>2500.0</v>
      </c>
      <c r="R84" s="191">
        <v>2500.0</v>
      </c>
      <c r="S84" s="191">
        <v>2500.0</v>
      </c>
      <c r="T84" s="191">
        <v>2500.0</v>
      </c>
      <c r="U84" s="191">
        <v>2500.0</v>
      </c>
      <c r="V84" s="191">
        <v>2500.0</v>
      </c>
      <c r="W84" s="191">
        <v>2500.0</v>
      </c>
      <c r="X84" s="191">
        <v>2500.0</v>
      </c>
      <c r="Y84" s="191">
        <v>2500.0</v>
      </c>
      <c r="Z84" s="191">
        <v>2500.0</v>
      </c>
      <c r="AA84" s="191">
        <v>2500.0</v>
      </c>
      <c r="AB84" s="191">
        <v>2500.0</v>
      </c>
      <c r="AC84" s="191">
        <v>2500.0</v>
      </c>
      <c r="AD84" s="191">
        <v>2500.0</v>
      </c>
      <c r="AE84" s="191">
        <v>2500.0</v>
      </c>
      <c r="AF84" s="191">
        <v>2500.0</v>
      </c>
      <c r="AG84" s="191">
        <v>2500.0</v>
      </c>
    </row>
    <row r="85" ht="12.75" hidden="1" customHeight="1">
      <c r="A85" s="190" t="s">
        <v>371</v>
      </c>
      <c r="B85" s="191"/>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c r="BE85" s="191"/>
      <c r="BF85" s="191"/>
      <c r="BG85" s="191"/>
      <c r="BH85" s="191"/>
      <c r="BI85" s="191"/>
      <c r="BJ85" s="191"/>
      <c r="BK85" s="191"/>
      <c r="BL85" s="191"/>
      <c r="BM85" s="191"/>
      <c r="BN85" s="191"/>
      <c r="BO85" s="191"/>
      <c r="BP85" s="191"/>
      <c r="BQ85" s="191"/>
      <c r="BR85" s="191"/>
      <c r="BS85" s="191"/>
      <c r="BT85" s="191"/>
      <c r="BU85" s="191"/>
      <c r="BV85" s="191"/>
      <c r="BW85" s="191"/>
      <c r="BX85" s="191"/>
      <c r="BY85" s="191"/>
      <c r="BZ85" s="191"/>
      <c r="CA85" s="191"/>
      <c r="CB85" s="191"/>
      <c r="CC85" s="191"/>
      <c r="CD85" s="191"/>
      <c r="CE85" s="191"/>
      <c r="CF85" s="191"/>
      <c r="CG85" s="191"/>
      <c r="CH85" s="191"/>
      <c r="CI85" s="191"/>
      <c r="CJ85" s="191"/>
      <c r="CK85" s="191"/>
      <c r="CL85" s="191"/>
      <c r="CM85" s="191"/>
      <c r="CN85" s="191"/>
      <c r="CO85" s="191"/>
      <c r="CP85" s="191"/>
    </row>
    <row r="86" ht="12.0" hidden="1" customHeight="1">
      <c r="A86" s="190" t="s">
        <v>372</v>
      </c>
      <c r="B86" s="191">
        <f t="shared" ref="B86:AN86" si="1">+B113</f>
        <v>0</v>
      </c>
      <c r="C86" s="191">
        <f t="shared" si="1"/>
        <v>0</v>
      </c>
      <c r="D86" s="191">
        <f t="shared" si="1"/>
        <v>0</v>
      </c>
      <c r="E86" s="191">
        <f t="shared" si="1"/>
        <v>0</v>
      </c>
      <c r="F86" s="191">
        <f t="shared" si="1"/>
        <v>0</v>
      </c>
      <c r="G86" s="191">
        <f t="shared" si="1"/>
        <v>0</v>
      </c>
      <c r="H86" s="191">
        <f t="shared" si="1"/>
        <v>0</v>
      </c>
      <c r="I86" s="191">
        <f t="shared" si="1"/>
        <v>0</v>
      </c>
      <c r="J86" s="191">
        <f t="shared" si="1"/>
        <v>0</v>
      </c>
      <c r="K86" s="191">
        <f t="shared" si="1"/>
        <v>0</v>
      </c>
      <c r="L86" s="191">
        <f t="shared" si="1"/>
        <v>0</v>
      </c>
      <c r="M86" s="191">
        <f t="shared" si="1"/>
        <v>0</v>
      </c>
      <c r="N86" s="191">
        <f t="shared" si="1"/>
        <v>0</v>
      </c>
      <c r="O86" s="191">
        <f t="shared" si="1"/>
        <v>0</v>
      </c>
      <c r="P86" s="191">
        <f t="shared" si="1"/>
        <v>0</v>
      </c>
      <c r="Q86" s="191">
        <f t="shared" si="1"/>
        <v>0</v>
      </c>
      <c r="R86" s="191">
        <f t="shared" si="1"/>
        <v>0</v>
      </c>
      <c r="S86" s="191">
        <f t="shared" si="1"/>
        <v>0</v>
      </c>
      <c r="T86" s="191">
        <f t="shared" si="1"/>
        <v>0</v>
      </c>
      <c r="U86" s="191">
        <f t="shared" si="1"/>
        <v>0</v>
      </c>
      <c r="V86" s="191">
        <f t="shared" si="1"/>
        <v>0</v>
      </c>
      <c r="W86" s="191">
        <f t="shared" si="1"/>
        <v>0</v>
      </c>
      <c r="X86" s="191">
        <f t="shared" si="1"/>
        <v>0</v>
      </c>
      <c r="Y86" s="191">
        <f t="shared" si="1"/>
        <v>0</v>
      </c>
      <c r="Z86" s="191">
        <f t="shared" si="1"/>
        <v>0</v>
      </c>
      <c r="AA86" s="191">
        <f t="shared" si="1"/>
        <v>0</v>
      </c>
      <c r="AB86" s="191">
        <f t="shared" si="1"/>
        <v>0</v>
      </c>
      <c r="AC86" s="191">
        <f t="shared" si="1"/>
        <v>0</v>
      </c>
      <c r="AD86" s="191">
        <f t="shared" si="1"/>
        <v>0</v>
      </c>
      <c r="AE86" s="191">
        <f t="shared" si="1"/>
        <v>0</v>
      </c>
      <c r="AF86" s="191">
        <f t="shared" si="1"/>
        <v>0</v>
      </c>
      <c r="AG86" s="191">
        <f t="shared" si="1"/>
        <v>0</v>
      </c>
      <c r="AH86" s="191">
        <f t="shared" si="1"/>
        <v>0</v>
      </c>
      <c r="AI86" s="191">
        <f t="shared" si="1"/>
        <v>0</v>
      </c>
      <c r="AJ86" s="191">
        <f t="shared" si="1"/>
        <v>0</v>
      </c>
      <c r="AK86" s="191">
        <f t="shared" si="1"/>
        <v>0</v>
      </c>
      <c r="AL86" s="191">
        <f t="shared" si="1"/>
        <v>0</v>
      </c>
      <c r="AM86" s="191">
        <f t="shared" si="1"/>
        <v>0</v>
      </c>
      <c r="AN86" s="191">
        <f t="shared" si="1"/>
        <v>0</v>
      </c>
      <c r="AO86" s="191">
        <f>+AN113</f>
        <v>0</v>
      </c>
      <c r="AP86" s="191">
        <f>+AN113</f>
        <v>0</v>
      </c>
      <c r="AQ86" s="191">
        <f>+AN113</f>
        <v>0</v>
      </c>
      <c r="AR86" s="191">
        <f>+AN113</f>
        <v>0</v>
      </c>
      <c r="AS86" s="191">
        <f>+AN113</f>
        <v>0</v>
      </c>
      <c r="AT86" s="191">
        <f>+AN113</f>
        <v>0</v>
      </c>
      <c r="AU86" s="191">
        <f>+AN113</f>
        <v>0</v>
      </c>
      <c r="AV86" s="191">
        <f>+AN113</f>
        <v>0</v>
      </c>
      <c r="AW86" s="191">
        <f>+AN113</f>
        <v>0</v>
      </c>
      <c r="AX86" s="191">
        <f>+AN113</f>
        <v>0</v>
      </c>
      <c r="AY86" s="191">
        <f>+AN113</f>
        <v>0</v>
      </c>
      <c r="AZ86" s="191">
        <f>+AN113</f>
        <v>0</v>
      </c>
      <c r="BA86" s="191">
        <f t="shared" ref="BA86:CP86" si="2">+AN113</f>
        <v>0</v>
      </c>
      <c r="BB86" s="191">
        <f t="shared" si="2"/>
        <v>0</v>
      </c>
      <c r="BC86" s="191">
        <f t="shared" si="2"/>
        <v>0</v>
      </c>
      <c r="BD86" s="191">
        <f t="shared" si="2"/>
        <v>0</v>
      </c>
      <c r="BE86" s="191">
        <f t="shared" si="2"/>
        <v>0</v>
      </c>
      <c r="BF86" s="191">
        <f t="shared" si="2"/>
        <v>0</v>
      </c>
      <c r="BG86" s="191">
        <f t="shared" si="2"/>
        <v>0</v>
      </c>
      <c r="BH86" s="191">
        <f t="shared" si="2"/>
        <v>0</v>
      </c>
      <c r="BI86" s="191">
        <f t="shared" si="2"/>
        <v>0</v>
      </c>
      <c r="BJ86" s="191">
        <f t="shared" si="2"/>
        <v>0</v>
      </c>
      <c r="BK86" s="191">
        <f t="shared" si="2"/>
        <v>0</v>
      </c>
      <c r="BL86" s="191">
        <f t="shared" si="2"/>
        <v>0</v>
      </c>
      <c r="BM86" s="191">
        <f t="shared" si="2"/>
        <v>0</v>
      </c>
      <c r="BN86" s="191">
        <f t="shared" si="2"/>
        <v>0</v>
      </c>
      <c r="BO86" s="191">
        <f t="shared" si="2"/>
        <v>0</v>
      </c>
      <c r="BP86" s="191">
        <f t="shared" si="2"/>
        <v>0</v>
      </c>
      <c r="BQ86" s="191">
        <f t="shared" si="2"/>
        <v>0</v>
      </c>
      <c r="BR86" s="191">
        <f t="shared" si="2"/>
        <v>0</v>
      </c>
      <c r="BS86" s="191">
        <f t="shared" si="2"/>
        <v>0</v>
      </c>
      <c r="BT86" s="191">
        <f t="shared" si="2"/>
        <v>0</v>
      </c>
      <c r="BU86" s="191">
        <f t="shared" si="2"/>
        <v>0</v>
      </c>
      <c r="BV86" s="191">
        <f t="shared" si="2"/>
        <v>0</v>
      </c>
      <c r="BW86" s="191">
        <f t="shared" si="2"/>
        <v>0</v>
      </c>
      <c r="BX86" s="191">
        <f t="shared" si="2"/>
        <v>0</v>
      </c>
      <c r="BY86" s="191">
        <f t="shared" si="2"/>
        <v>0</v>
      </c>
      <c r="BZ86" s="191">
        <f t="shared" si="2"/>
        <v>0</v>
      </c>
      <c r="CA86" s="191">
        <f t="shared" si="2"/>
        <v>0</v>
      </c>
      <c r="CB86" s="191">
        <f t="shared" si="2"/>
        <v>0</v>
      </c>
      <c r="CC86" s="191">
        <f t="shared" si="2"/>
        <v>0</v>
      </c>
      <c r="CD86" s="191">
        <f t="shared" si="2"/>
        <v>0</v>
      </c>
      <c r="CE86" s="191">
        <f t="shared" si="2"/>
        <v>0</v>
      </c>
      <c r="CF86" s="191">
        <f t="shared" si="2"/>
        <v>0</v>
      </c>
      <c r="CG86" s="191">
        <f t="shared" si="2"/>
        <v>0</v>
      </c>
      <c r="CH86" s="191">
        <f t="shared" si="2"/>
        <v>0</v>
      </c>
      <c r="CI86" s="191">
        <f t="shared" si="2"/>
        <v>0</v>
      </c>
      <c r="CJ86" s="191">
        <f t="shared" si="2"/>
        <v>0</v>
      </c>
      <c r="CK86" s="191">
        <f t="shared" si="2"/>
        <v>0</v>
      </c>
      <c r="CL86" s="191">
        <f t="shared" si="2"/>
        <v>0</v>
      </c>
      <c r="CM86" s="191">
        <f t="shared" si="2"/>
        <v>0</v>
      </c>
      <c r="CN86" s="191">
        <f t="shared" si="2"/>
        <v>0</v>
      </c>
      <c r="CO86" s="191">
        <f t="shared" si="2"/>
        <v>0</v>
      </c>
      <c r="CP86" s="191">
        <f t="shared" si="2"/>
        <v>0</v>
      </c>
    </row>
    <row r="87" ht="12.75" hidden="1" customHeight="1">
      <c r="A87" s="115" t="s">
        <v>373</v>
      </c>
      <c r="B87" s="194">
        <v>1000.0</v>
      </c>
      <c r="C87" s="194">
        <v>1000.0</v>
      </c>
      <c r="D87" s="194">
        <v>1000.0</v>
      </c>
      <c r="E87" s="194">
        <v>1000.0</v>
      </c>
      <c r="F87" s="194">
        <v>1000.0</v>
      </c>
      <c r="G87" s="194">
        <v>1000.0</v>
      </c>
      <c r="H87" s="194">
        <v>1000.0</v>
      </c>
      <c r="I87" s="194">
        <v>1000.0</v>
      </c>
      <c r="J87" s="194">
        <v>1000.0</v>
      </c>
      <c r="K87" s="194">
        <v>1000.0</v>
      </c>
      <c r="L87" s="194">
        <v>1000.0</v>
      </c>
      <c r="M87" s="194">
        <v>1000.0</v>
      </c>
      <c r="N87" s="194">
        <v>1000.0</v>
      </c>
      <c r="O87" s="194">
        <v>1000.0</v>
      </c>
      <c r="P87" s="194">
        <v>1000.0</v>
      </c>
      <c r="Q87" s="194">
        <v>1000.0</v>
      </c>
      <c r="R87" s="194">
        <v>1000.0</v>
      </c>
      <c r="S87" s="194">
        <v>1000.0</v>
      </c>
      <c r="T87" s="194">
        <v>1000.0</v>
      </c>
      <c r="U87" s="194">
        <v>1000.0</v>
      </c>
      <c r="V87" s="194">
        <v>1000.0</v>
      </c>
      <c r="W87" s="194">
        <v>1000.0</v>
      </c>
      <c r="X87" s="194">
        <v>1000.0</v>
      </c>
      <c r="Y87" s="194">
        <v>1000.0</v>
      </c>
      <c r="Z87" s="194"/>
      <c r="AA87" s="194">
        <v>0.0</v>
      </c>
      <c r="AB87" s="194">
        <v>0.0</v>
      </c>
      <c r="AC87" s="194">
        <v>0.0</v>
      </c>
      <c r="AD87" s="194">
        <v>0.0</v>
      </c>
      <c r="AE87" s="194">
        <v>0.0</v>
      </c>
      <c r="AF87" s="194">
        <v>0.0</v>
      </c>
      <c r="AG87" s="194">
        <v>0.0</v>
      </c>
    </row>
    <row r="88" ht="12.75" hidden="1" customHeight="1">
      <c r="A88" s="195" t="s">
        <v>374</v>
      </c>
      <c r="B88" s="105">
        <v>5000.0</v>
      </c>
      <c r="C88" s="105">
        <v>5000.0</v>
      </c>
      <c r="D88" s="105">
        <v>5000.0</v>
      </c>
      <c r="E88" s="105">
        <v>5000.0</v>
      </c>
      <c r="F88" s="105">
        <v>5000.0</v>
      </c>
      <c r="G88" s="105">
        <v>5000.0</v>
      </c>
      <c r="H88" s="105">
        <v>5000.0</v>
      </c>
      <c r="I88" s="105">
        <v>5000.0</v>
      </c>
      <c r="J88" s="105">
        <v>5000.0</v>
      </c>
      <c r="K88" s="105">
        <v>5000.0</v>
      </c>
      <c r="L88" s="105">
        <v>5000.0</v>
      </c>
      <c r="M88" s="105">
        <v>5000.0</v>
      </c>
      <c r="N88" s="105">
        <v>5000.0</v>
      </c>
      <c r="O88" s="105">
        <v>5000.0</v>
      </c>
      <c r="P88" s="105">
        <v>8000.0</v>
      </c>
      <c r="Q88" s="105">
        <v>8000.0</v>
      </c>
      <c r="R88" s="105">
        <v>8000.0</v>
      </c>
      <c r="S88" s="105">
        <v>8000.0</v>
      </c>
      <c r="T88" s="105">
        <v>8000.0</v>
      </c>
      <c r="U88" s="105">
        <v>8000.0</v>
      </c>
      <c r="V88" s="105">
        <v>8000.0</v>
      </c>
      <c r="W88" s="105">
        <v>8000.0</v>
      </c>
      <c r="X88" s="105">
        <v>8000.0</v>
      </c>
      <c r="Y88" s="105">
        <v>0.0</v>
      </c>
      <c r="Z88" s="105">
        <v>0.0</v>
      </c>
      <c r="AA88" s="105">
        <v>0.0</v>
      </c>
      <c r="AB88" s="105">
        <v>0.0</v>
      </c>
      <c r="AC88" s="105">
        <v>0.0</v>
      </c>
      <c r="AD88" s="105">
        <v>0.0</v>
      </c>
      <c r="AE88" s="105">
        <v>0.0</v>
      </c>
      <c r="AF88" s="105">
        <v>0.0</v>
      </c>
      <c r="AG88" s="105">
        <v>0.0</v>
      </c>
    </row>
    <row r="89" ht="12.75" hidden="1" customHeight="1">
      <c r="A89" s="196" t="s">
        <v>375</v>
      </c>
      <c r="B89" s="192">
        <v>1500.0</v>
      </c>
      <c r="C89" s="192">
        <v>3500.0</v>
      </c>
      <c r="D89" s="192">
        <v>3500.0</v>
      </c>
      <c r="E89" s="192">
        <v>2000.0</v>
      </c>
      <c r="F89" s="192">
        <v>2000.0</v>
      </c>
      <c r="G89" s="192">
        <v>3000.0</v>
      </c>
      <c r="H89" s="192">
        <v>5000.0</v>
      </c>
      <c r="I89" s="192">
        <v>12000.0</v>
      </c>
      <c r="J89" s="192">
        <v>2000.0</v>
      </c>
      <c r="K89" s="192">
        <v>15000.0</v>
      </c>
      <c r="L89" s="192">
        <v>17000.0</v>
      </c>
      <c r="M89" s="192">
        <v>17000.0</v>
      </c>
      <c r="N89" s="192">
        <v>15000.0</v>
      </c>
      <c r="O89" s="192">
        <v>10000.0</v>
      </c>
      <c r="P89" s="192">
        <v>10000.0</v>
      </c>
      <c r="Q89" s="192">
        <v>10000.0</v>
      </c>
      <c r="R89" s="192">
        <v>15000.0</v>
      </c>
      <c r="S89" s="192">
        <v>20000.0</v>
      </c>
      <c r="T89" s="192">
        <v>30000.0</v>
      </c>
      <c r="U89" s="192">
        <v>8000.0</v>
      </c>
      <c r="V89" s="192">
        <v>8000.0</v>
      </c>
      <c r="W89" s="192">
        <v>10000.0</v>
      </c>
      <c r="X89" s="192">
        <v>10000.0</v>
      </c>
      <c r="Y89" s="192">
        <v>10000.0</v>
      </c>
      <c r="Z89" s="192">
        <v>10000.0</v>
      </c>
      <c r="AA89" s="192">
        <v>10000.0</v>
      </c>
      <c r="AB89" s="192">
        <v>5000.0</v>
      </c>
      <c r="AC89" s="192">
        <v>5000.0</v>
      </c>
      <c r="AD89" s="192">
        <v>8000.0</v>
      </c>
      <c r="AE89" s="192">
        <v>15000.0</v>
      </c>
      <c r="AF89" s="192">
        <v>15000.0</v>
      </c>
      <c r="AG89" s="192">
        <v>10000.0</v>
      </c>
    </row>
    <row r="90" ht="12.75" hidden="1" customHeight="1">
      <c r="A90" s="115" t="s">
        <v>376</v>
      </c>
      <c r="B90" s="105"/>
      <c r="C90" s="105"/>
      <c r="D90" s="105"/>
      <c r="E90" s="105"/>
      <c r="F90" s="105"/>
      <c r="G90" s="105"/>
      <c r="H90" s="105"/>
      <c r="I90" s="105"/>
      <c r="J90" s="105"/>
      <c r="K90" s="105"/>
      <c r="L90" s="105"/>
      <c r="M90" s="105">
        <v>500.0</v>
      </c>
      <c r="N90" s="105">
        <v>500.0</v>
      </c>
      <c r="O90" s="105">
        <v>500.0</v>
      </c>
      <c r="P90" s="105">
        <v>500.0</v>
      </c>
      <c r="Q90" s="105">
        <v>500.0</v>
      </c>
      <c r="R90" s="105">
        <v>500.0</v>
      </c>
      <c r="S90" s="105">
        <v>500.0</v>
      </c>
      <c r="T90" s="105">
        <v>500.0</v>
      </c>
      <c r="U90" s="105">
        <v>500.0</v>
      </c>
      <c r="V90" s="105">
        <v>500.0</v>
      </c>
      <c r="W90" s="105">
        <v>500.0</v>
      </c>
      <c r="X90" s="105">
        <v>500.0</v>
      </c>
      <c r="Y90" s="105">
        <v>500.0</v>
      </c>
      <c r="Z90" s="105">
        <v>500.0</v>
      </c>
      <c r="AA90" s="105">
        <v>500.0</v>
      </c>
      <c r="AB90" s="105">
        <v>500.0</v>
      </c>
      <c r="AC90" s="105">
        <v>500.0</v>
      </c>
      <c r="AD90" s="105">
        <v>500.0</v>
      </c>
      <c r="AE90" s="105">
        <v>500.0</v>
      </c>
      <c r="AF90" s="105">
        <v>500.0</v>
      </c>
      <c r="AG90" s="105">
        <v>500.0</v>
      </c>
    </row>
    <row r="91" ht="12.75" hidden="1" customHeight="1">
      <c r="A91" s="115" t="s">
        <v>354</v>
      </c>
      <c r="B91" s="105"/>
      <c r="C91" s="105"/>
      <c r="D91" s="105"/>
      <c r="E91" s="105"/>
      <c r="F91" s="105"/>
      <c r="G91" s="105"/>
      <c r="H91" s="105"/>
      <c r="I91" s="105"/>
      <c r="J91" s="105"/>
      <c r="K91" s="105"/>
      <c r="L91" s="105"/>
      <c r="M91" s="105"/>
      <c r="N91" s="105"/>
      <c r="O91" s="105"/>
      <c r="P91" s="105"/>
      <c r="Q91" s="105"/>
      <c r="R91" s="105"/>
      <c r="S91" s="105"/>
      <c r="T91" s="105"/>
      <c r="U91" s="105"/>
      <c r="V91" s="105"/>
      <c r="W91" s="105">
        <v>500.0</v>
      </c>
      <c r="X91" s="105">
        <v>500.0</v>
      </c>
      <c r="Y91" s="105">
        <v>500.0</v>
      </c>
      <c r="Z91" s="105">
        <v>500.0</v>
      </c>
      <c r="AA91" s="105">
        <v>500.0</v>
      </c>
      <c r="AB91" s="105">
        <v>500.0</v>
      </c>
      <c r="AC91" s="105">
        <v>500.0</v>
      </c>
      <c r="AD91" s="105">
        <v>500.0</v>
      </c>
      <c r="AE91" s="105">
        <v>500.0</v>
      </c>
      <c r="AF91" s="105">
        <v>500.0</v>
      </c>
      <c r="AG91" s="105">
        <v>500.0</v>
      </c>
    </row>
    <row r="92" ht="12.75" hidden="1" customHeight="1">
      <c r="A92" s="115" t="s">
        <v>377</v>
      </c>
      <c r="B92" s="105">
        <f>+'P&amp;L Cash Flow Monthly'!B15*0.04</f>
        <v>110.8084</v>
      </c>
      <c r="C92" s="105">
        <f>+'P&amp;L Cash Flow Monthly'!C15*0.04</f>
        <v>135.5905995</v>
      </c>
      <c r="D92" s="105">
        <f>+'P&amp;L Cash Flow Monthly'!D15*0.04</f>
        <v>243.001038</v>
      </c>
      <c r="E92" s="105">
        <f>+'P&amp;L Cash Flow Monthly'!E15*0.04</f>
        <v>487.5547744</v>
      </c>
      <c r="F92" s="105">
        <f>+'P&amp;L Cash Flow Monthly'!F15*0.04</f>
        <v>775.2800662</v>
      </c>
      <c r="G92" s="105">
        <f>+'P&amp;L Cash Flow Monthly'!G15*0.04</f>
        <v>871.8324436</v>
      </c>
      <c r="H92" s="105">
        <f>+'P&amp;L Cash Flow Monthly'!H15*0.04</f>
        <v>922.1380831</v>
      </c>
      <c r="I92" s="105">
        <f>+'P&amp;L Cash Flow Monthly'!I15*0.04</f>
        <v>1554.7342</v>
      </c>
      <c r="J92" s="105">
        <f>+'P&amp;L Cash Flow Monthly'!J15*0.04</f>
        <v>1065.764884</v>
      </c>
      <c r="K92" s="105">
        <f>+'P&amp;L Cash Flow Monthly'!K15*0.04</f>
        <v>1287.741531</v>
      </c>
      <c r="L92" s="105">
        <f>+'P&amp;L Cash Flow Monthly'!L15*0.04</f>
        <v>2697.327021</v>
      </c>
      <c r="M92" s="105">
        <f>+'P&amp;L Cash Flow Monthly'!M15*0.04</f>
        <v>3835.57784</v>
      </c>
      <c r="N92" s="105">
        <f>+'P&amp;L Cash Flow Monthly'!N15*0.04</f>
        <v>3836.396686</v>
      </c>
      <c r="O92" s="105">
        <f>+'P&amp;L Cash Flow Monthly'!O15*0.04</f>
        <v>3378.053694</v>
      </c>
      <c r="P92" s="105">
        <f>+'P&amp;L Cash Flow Monthly'!P15*0.04</f>
        <v>2919.710703</v>
      </c>
      <c r="Q92" s="105">
        <f>+'P&amp;L Cash Flow Monthly'!Q15*0.17</f>
        <v>11482.38685</v>
      </c>
      <c r="R92" s="105">
        <f>+'P&amp;L Cash Flow Monthly'!R15*0.17</f>
        <v>13188.4904</v>
      </c>
      <c r="S92" s="105">
        <f>+'P&amp;L Cash Flow Monthly'!S15*0.17</f>
        <v>16288.80954</v>
      </c>
      <c r="T92" s="105">
        <f>+'P&amp;L Cash Flow Monthly'!T15*0.17</f>
        <v>22177.55986</v>
      </c>
      <c r="U92" s="105">
        <f>+'P&amp;L Cash Flow Monthly'!U15*0.17</f>
        <v>20464.39119</v>
      </c>
      <c r="V92" s="105">
        <f>+'P&amp;L Cash Flow Monthly'!V15*0.17</f>
        <v>17452.03859</v>
      </c>
      <c r="W92" s="105">
        <f>+'P&amp;L Cash Flow Monthly'!W15*0.17</f>
        <v>12772.59064</v>
      </c>
      <c r="X92" s="105">
        <f>+'P&amp;L Cash Flow Monthly'!X15*0.17</f>
        <v>13739.6612</v>
      </c>
      <c r="Y92" s="105">
        <f>+'P&amp;L Cash Flow Monthly'!Y15*0.17</f>
        <v>14687.60701</v>
      </c>
      <c r="Z92" s="105">
        <f>+'P&amp;L Cash Flow Monthly'!Z15*0.17</f>
        <v>14903.87123</v>
      </c>
      <c r="AA92" s="105">
        <f>+'P&amp;L Cash Flow Monthly'!AA15*0.17</f>
        <v>14986.26219</v>
      </c>
      <c r="AB92" s="105">
        <f>+'P&amp;L Cash Flow Monthly'!AB15*0.17</f>
        <v>13865.68507</v>
      </c>
      <c r="AC92" s="105">
        <f>+'P&amp;L Cash Flow Monthly'!AC15*0.17</f>
        <v>12460.62729</v>
      </c>
      <c r="AD92" s="105">
        <f>+'P&amp;L Cash Flow Monthly'!AD15*0.17</f>
        <v>11849.06817</v>
      </c>
      <c r="AE92" s="105">
        <f>+'P&amp;L Cash Flow Monthly'!AE15*0.17</f>
        <v>14427.68248</v>
      </c>
      <c r="AF92" s="105">
        <f>+'P&amp;L Cash Flow Monthly'!AF15*0.17</f>
        <v>17085.18639</v>
      </c>
      <c r="AG92" s="105">
        <f>+'P&amp;L Cash Flow Monthly'!AG15*0.04</f>
        <v>4014.338122</v>
      </c>
    </row>
    <row r="93" ht="12.75" hidden="1" customHeight="1">
      <c r="A93" s="195" t="s">
        <v>355</v>
      </c>
      <c r="B93" s="105"/>
      <c r="C93" s="105"/>
      <c r="D93" s="105"/>
      <c r="E93" s="105"/>
      <c r="F93" s="105"/>
      <c r="G93" s="105"/>
      <c r="H93" s="105"/>
      <c r="I93" s="105"/>
      <c r="J93" s="105"/>
      <c r="K93" s="105"/>
      <c r="L93" s="105"/>
      <c r="M93" s="105"/>
      <c r="N93" s="105"/>
      <c r="O93" s="105"/>
      <c r="P93" s="105"/>
      <c r="Q93" s="105"/>
      <c r="R93" s="105">
        <v>30000.0</v>
      </c>
      <c r="S93" s="105"/>
      <c r="T93" s="105"/>
      <c r="U93" s="105"/>
      <c r="V93" s="105"/>
      <c r="W93" s="105"/>
      <c r="X93" s="105"/>
      <c r="Y93" s="105"/>
      <c r="Z93" s="105"/>
      <c r="AA93" s="105"/>
      <c r="AB93" s="105"/>
      <c r="AC93" s="105"/>
      <c r="AD93" s="105"/>
      <c r="AE93" s="105"/>
      <c r="AF93" s="105"/>
      <c r="AG93" s="105"/>
    </row>
    <row r="94" ht="12.75" hidden="1" customHeight="1">
      <c r="A94" s="115" t="s">
        <v>378</v>
      </c>
      <c r="B94" s="103"/>
      <c r="C94" s="103"/>
      <c r="D94" s="103">
        <v>0.0</v>
      </c>
      <c r="E94" s="103">
        <v>0.0</v>
      </c>
      <c r="F94" s="103">
        <v>0.0</v>
      </c>
      <c r="G94" s="103">
        <v>0.0</v>
      </c>
      <c r="H94" s="103">
        <v>0.0</v>
      </c>
      <c r="I94" s="103">
        <v>0.0</v>
      </c>
      <c r="J94" s="103">
        <v>0.0</v>
      </c>
      <c r="K94" s="103">
        <f>+IF('P&amp;L Cash Flow Monthly'!J39&gt;2000000,'P&amp;L Cash Flow Monthly'!J23*0.05,0)</f>
        <v>0</v>
      </c>
      <c r="L94" s="103">
        <f>+IF('P&amp;L Cash Flow Monthly'!K39&gt;2000000,'P&amp;L Cash Flow Monthly'!K23*0.05,0)</f>
        <v>0</v>
      </c>
      <c r="M94" s="103">
        <f>+IF('P&amp;L Cash Flow Monthly'!L39&gt;2000000,'P&amp;L Cash Flow Monthly'!L23*0.05,0)</f>
        <v>0</v>
      </c>
      <c r="N94" s="103">
        <f>+IF('P&amp;L Cash Flow Monthly'!M39&gt;2000000,'P&amp;L Cash Flow Monthly'!M23*0.05,0)</f>
        <v>0</v>
      </c>
      <c r="O94" s="103">
        <f>+IF('P&amp;L Cash Flow Monthly'!N39&gt;2000000,'P&amp;L Cash Flow Monthly'!N23*0.05,0)</f>
        <v>0</v>
      </c>
      <c r="P94" s="103">
        <f>+IF('P&amp;L Cash Flow Monthly'!O39&gt;2000000,'P&amp;L Cash Flow Monthly'!O23*0.05,0)</f>
        <v>0</v>
      </c>
      <c r="Q94" s="103">
        <f>+IF('P&amp;L Cash Flow Monthly'!P39&gt;2000000,'P&amp;L Cash Flow Monthly'!P23*0.05,0)</f>
        <v>0</v>
      </c>
      <c r="R94" s="103">
        <f>+IF('P&amp;L Cash Flow Monthly'!Q39&gt;2000000,'P&amp;L Cash Flow Monthly'!Q23*0.05,0)</f>
        <v>0</v>
      </c>
      <c r="S94" s="103">
        <f>+IF('P&amp;L Cash Flow Monthly'!R39&gt;2000000,'P&amp;L Cash Flow Monthly'!R23*0.05,0)</f>
        <v>0</v>
      </c>
      <c r="T94" s="103">
        <f>+IF('P&amp;L Cash Flow Monthly'!S39&gt;2000000,'P&amp;L Cash Flow Monthly'!S23*0.05,0)</f>
        <v>0</v>
      </c>
      <c r="U94" s="103">
        <f>+IF('P&amp;L Cash Flow Monthly'!T39&gt;2000000,'P&amp;L Cash Flow Monthly'!T23*0.05,0)</f>
        <v>0</v>
      </c>
      <c r="V94" s="103">
        <f>+IF('P&amp;L Cash Flow Monthly'!U39&gt;2000000,'P&amp;L Cash Flow Monthly'!U23*0.05,0)</f>
        <v>0</v>
      </c>
      <c r="W94" s="103">
        <f>+IF('P&amp;L Cash Flow Monthly'!V39&gt;2000000,'P&amp;L Cash Flow Monthly'!V23*0.05,0)</f>
        <v>0</v>
      </c>
      <c r="X94" s="103">
        <f>+IF('P&amp;L Cash Flow Monthly'!W39&gt;2000000,'P&amp;L Cash Flow Monthly'!W23*0.05,0)</f>
        <v>0</v>
      </c>
      <c r="Y94" s="103">
        <f>+IF('P&amp;L Cash Flow Monthly'!X39&gt;2000000,'P&amp;L Cash Flow Monthly'!X23*0.05,0)</f>
        <v>0</v>
      </c>
      <c r="Z94" s="103">
        <f>+IF('P&amp;L Cash Flow Monthly'!Y39&gt;2000000,'P&amp;L Cash Flow Monthly'!Y23*0.05,0)</f>
        <v>0</v>
      </c>
      <c r="AA94" s="103">
        <f>+IF('P&amp;L Cash Flow Monthly'!Z39&gt;2000000,'P&amp;L Cash Flow Monthly'!Z23*0.05,0)</f>
        <v>0</v>
      </c>
      <c r="AB94" s="103">
        <f>+IF('P&amp;L Cash Flow Monthly'!AA39&gt;2000000,'P&amp;L Cash Flow Monthly'!AA23*0.05,0)</f>
        <v>0</v>
      </c>
      <c r="AC94" s="103">
        <f>+IF('P&amp;L Cash Flow Monthly'!AB39&gt;2000000,'P&amp;L Cash Flow Monthly'!AB23*0.05,0)</f>
        <v>0</v>
      </c>
      <c r="AD94" s="103">
        <f>+IF('P&amp;L Cash Flow Monthly'!AC39&gt;2000000,'P&amp;L Cash Flow Monthly'!AC23*0.05,0)</f>
        <v>0</v>
      </c>
      <c r="AE94" s="103">
        <f>+IF('P&amp;L Cash Flow Monthly'!AD39&gt;2000000,'P&amp;L Cash Flow Monthly'!AD23*0.05,0)</f>
        <v>0</v>
      </c>
      <c r="AF94" s="103">
        <f>+IF('P&amp;L Cash Flow Monthly'!AE39&gt;2000000,'P&amp;L Cash Flow Monthly'!AE23*0.05,0)</f>
        <v>0</v>
      </c>
      <c r="AG94" s="103">
        <f>+IF('P&amp;L Cash Flow Monthly'!AF39&gt;2000000,'P&amp;L Cash Flow Monthly'!AF23*0.05,0)</f>
        <v>0</v>
      </c>
    </row>
    <row r="95" ht="12.75" hidden="1" customHeight="1">
      <c r="A95" s="115" t="s">
        <v>353</v>
      </c>
      <c r="B95" s="105">
        <v>1000.0</v>
      </c>
      <c r="C95" s="105">
        <v>1000.0</v>
      </c>
      <c r="D95" s="105">
        <v>1000.0</v>
      </c>
      <c r="E95" s="105">
        <v>1000.0</v>
      </c>
      <c r="F95" s="105">
        <v>1000.0</v>
      </c>
      <c r="G95" s="105">
        <v>1000.0</v>
      </c>
      <c r="H95" s="105">
        <v>1000.0</v>
      </c>
      <c r="I95" s="105">
        <v>1000.0</v>
      </c>
      <c r="J95" s="105">
        <v>1000.0</v>
      </c>
      <c r="K95" s="105">
        <v>1000.0</v>
      </c>
      <c r="L95" s="105">
        <v>1000.0</v>
      </c>
      <c r="M95" s="105">
        <v>1000.0</v>
      </c>
      <c r="N95" s="105">
        <v>1000.0</v>
      </c>
      <c r="O95" s="105">
        <v>1000.0</v>
      </c>
      <c r="P95" s="105">
        <v>1000.0</v>
      </c>
      <c r="Q95" s="105">
        <v>1000.0</v>
      </c>
      <c r="R95" s="105">
        <v>1000.0</v>
      </c>
      <c r="S95" s="105">
        <v>1000.0</v>
      </c>
      <c r="T95" s="105">
        <v>1000.0</v>
      </c>
      <c r="U95" s="105">
        <v>1000.0</v>
      </c>
      <c r="V95" s="105">
        <v>2000.0</v>
      </c>
      <c r="W95" s="105">
        <v>2000.0</v>
      </c>
      <c r="X95" s="105">
        <v>2000.0</v>
      </c>
      <c r="Y95" s="105">
        <v>2000.0</v>
      </c>
      <c r="Z95" s="105">
        <v>2000.0</v>
      </c>
      <c r="AA95" s="105">
        <v>2000.0</v>
      </c>
      <c r="AB95" s="105">
        <v>2000.0</v>
      </c>
      <c r="AC95" s="105">
        <v>2000.0</v>
      </c>
      <c r="AD95" s="105">
        <v>2000.0</v>
      </c>
      <c r="AE95" s="105">
        <v>2000.0</v>
      </c>
      <c r="AF95" s="105">
        <v>2000.0</v>
      </c>
      <c r="AG95" s="105">
        <v>2000.0</v>
      </c>
    </row>
    <row r="96" ht="12.75" hidden="1" customHeight="1">
      <c r="A96" s="195" t="s">
        <v>379</v>
      </c>
      <c r="B96" s="105"/>
      <c r="C96" s="105"/>
      <c r="D96" s="105"/>
      <c r="E96" s="105"/>
      <c r="F96" s="105"/>
      <c r="G96" s="105"/>
      <c r="H96" s="105"/>
      <c r="I96" s="105"/>
      <c r="J96" s="105"/>
      <c r="K96" s="105"/>
      <c r="L96" s="105"/>
      <c r="M96" s="105"/>
      <c r="N96" s="105"/>
      <c r="O96" s="105"/>
      <c r="P96" s="105"/>
      <c r="Q96" s="105"/>
      <c r="R96" s="105"/>
      <c r="S96" s="105"/>
      <c r="T96" s="105"/>
      <c r="U96" s="105"/>
      <c r="V96" s="105"/>
      <c r="W96" s="105">
        <v>5500.0</v>
      </c>
      <c r="X96" s="105">
        <v>5500.0</v>
      </c>
      <c r="Y96" s="105">
        <v>5500.0</v>
      </c>
      <c r="Z96" s="105"/>
      <c r="AA96" s="105"/>
      <c r="AB96" s="105"/>
      <c r="AC96" s="105"/>
      <c r="AD96" s="105"/>
      <c r="AE96" s="105"/>
      <c r="AF96" s="105"/>
      <c r="AG96" s="105"/>
    </row>
    <row r="97" ht="12.75" hidden="1" customHeight="1">
      <c r="A97" s="115" t="s">
        <v>380</v>
      </c>
      <c r="B97" s="105">
        <v>5000.0</v>
      </c>
      <c r="C97" s="105"/>
      <c r="D97" s="105"/>
      <c r="E97" s="105"/>
      <c r="F97" s="105"/>
      <c r="G97" s="105"/>
      <c r="H97" s="105"/>
      <c r="I97" s="105">
        <v>2000.0</v>
      </c>
      <c r="J97" s="105"/>
      <c r="K97" s="105"/>
      <c r="L97" s="105"/>
      <c r="M97" s="105"/>
      <c r="N97" s="105"/>
      <c r="O97" s="105"/>
      <c r="P97" s="105"/>
      <c r="Q97" s="105"/>
      <c r="R97" s="105"/>
      <c r="S97" s="105"/>
      <c r="T97" s="105"/>
      <c r="U97" s="105"/>
      <c r="V97" s="105"/>
      <c r="W97" s="105">
        <v>30000.0</v>
      </c>
      <c r="X97" s="105"/>
      <c r="Y97" s="105"/>
      <c r="Z97" s="105"/>
      <c r="AA97" s="105"/>
      <c r="AB97" s="105"/>
      <c r="AC97" s="105"/>
      <c r="AD97" s="105"/>
      <c r="AE97" s="105"/>
      <c r="AF97" s="105"/>
      <c r="AG97" s="105"/>
    </row>
    <row r="98" ht="12.75" hidden="1" customHeight="1">
      <c r="A98" s="11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c r="BI98" s="105"/>
      <c r="BJ98" s="105"/>
      <c r="BK98" s="105"/>
      <c r="BL98" s="105"/>
      <c r="BM98" s="105"/>
      <c r="BN98" s="105"/>
      <c r="BO98" s="105"/>
      <c r="BP98" s="105"/>
      <c r="BQ98" s="105"/>
      <c r="BR98" s="105"/>
      <c r="BS98" s="105"/>
      <c r="BT98" s="105"/>
      <c r="BU98" s="105"/>
      <c r="BV98" s="105"/>
      <c r="BW98" s="105"/>
      <c r="BX98" s="105"/>
      <c r="BY98" s="105"/>
      <c r="BZ98" s="105"/>
      <c r="CA98" s="105"/>
      <c r="CB98" s="105"/>
      <c r="CC98" s="105"/>
      <c r="CD98" s="105"/>
      <c r="CE98" s="105"/>
      <c r="CF98" s="105"/>
      <c r="CG98" s="105"/>
      <c r="CH98" s="105"/>
      <c r="CI98" s="105"/>
      <c r="CJ98" s="105"/>
      <c r="CK98" s="105"/>
      <c r="CL98" s="105"/>
      <c r="CM98" s="105"/>
      <c r="CN98" s="105"/>
      <c r="CO98" s="105"/>
      <c r="CP98" s="105"/>
    </row>
    <row r="99" ht="12.75" hidden="1" customHeight="1">
      <c r="A99" s="11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c r="BI99" s="105"/>
      <c r="BJ99" s="105"/>
      <c r="BK99" s="105"/>
      <c r="BL99" s="105"/>
      <c r="BM99" s="105"/>
      <c r="BN99" s="105"/>
      <c r="BO99" s="105"/>
      <c r="BP99" s="105"/>
      <c r="BQ99" s="105"/>
      <c r="BR99" s="105"/>
      <c r="BS99" s="105"/>
      <c r="BT99" s="105"/>
      <c r="BU99" s="105"/>
      <c r="BV99" s="105"/>
      <c r="BW99" s="105"/>
      <c r="BX99" s="105"/>
      <c r="BY99" s="105"/>
      <c r="BZ99" s="105"/>
      <c r="CA99" s="105"/>
      <c r="CB99" s="105"/>
      <c r="CC99" s="105"/>
      <c r="CD99" s="105"/>
      <c r="CE99" s="105"/>
      <c r="CF99" s="105"/>
      <c r="CG99" s="105"/>
      <c r="CH99" s="105"/>
      <c r="CI99" s="105"/>
      <c r="CJ99" s="105"/>
      <c r="CK99" s="105"/>
      <c r="CL99" s="105"/>
      <c r="CM99" s="105"/>
      <c r="CN99" s="105"/>
      <c r="CO99" s="105"/>
      <c r="CP99" s="105"/>
    </row>
    <row r="100" ht="12.75" customHeight="1">
      <c r="A100" s="115"/>
      <c r="B100" s="102"/>
      <c r="C100" s="102"/>
      <c r="D100" s="102"/>
      <c r="E100" s="102"/>
      <c r="F100" s="102"/>
      <c r="G100" s="102"/>
      <c r="H100" s="102"/>
      <c r="I100" s="102"/>
      <c r="J100" s="173"/>
      <c r="K100" s="173"/>
      <c r="L100" s="173"/>
      <c r="M100" s="173"/>
      <c r="N100" s="173"/>
      <c r="O100" s="173"/>
      <c r="P100" s="173"/>
      <c r="Q100" s="173"/>
      <c r="R100" s="173"/>
      <c r="S100" s="173"/>
      <c r="T100" s="173"/>
      <c r="U100" s="173"/>
      <c r="V100" s="173"/>
      <c r="W100" s="173"/>
      <c r="X100" s="173"/>
      <c r="Y100" s="173"/>
      <c r="Z100" s="173"/>
      <c r="AA100" s="173"/>
      <c r="AB100" s="173"/>
      <c r="AC100" s="173"/>
      <c r="AD100" s="173"/>
      <c r="AE100" s="173"/>
      <c r="AF100" s="173"/>
      <c r="AG100" s="173"/>
      <c r="AH100" s="173"/>
      <c r="AI100" s="173"/>
      <c r="AJ100" s="173"/>
      <c r="AK100" s="173"/>
      <c r="AL100" s="173"/>
      <c r="AM100" s="173"/>
      <c r="AN100" s="173"/>
      <c r="AO100" s="173"/>
      <c r="AP100" s="173"/>
      <c r="AQ100" s="173"/>
      <c r="AR100" s="173"/>
      <c r="AS100" s="173"/>
      <c r="AT100" s="173"/>
      <c r="AU100" s="173"/>
      <c r="AV100" s="173"/>
      <c r="AW100" s="173"/>
      <c r="AX100" s="173"/>
      <c r="AY100" s="173"/>
      <c r="AZ100" s="173"/>
      <c r="BA100" s="173"/>
      <c r="BB100" s="173"/>
      <c r="BC100" s="173"/>
      <c r="BD100" s="173"/>
      <c r="BE100" s="173"/>
      <c r="BF100" s="173"/>
      <c r="BG100" s="173"/>
      <c r="BH100" s="173"/>
      <c r="BI100" s="173"/>
      <c r="BJ100" s="173"/>
      <c r="BK100" s="173"/>
      <c r="BL100" s="173"/>
      <c r="BM100" s="173"/>
      <c r="BN100" s="173"/>
      <c r="BO100" s="173"/>
      <c r="BP100" s="173"/>
      <c r="BQ100" s="173"/>
      <c r="BR100" s="173"/>
      <c r="BS100" s="173"/>
      <c r="BT100" s="173"/>
      <c r="BU100" s="173"/>
      <c r="BV100" s="173"/>
      <c r="BW100" s="173"/>
      <c r="BX100" s="173"/>
      <c r="BY100" s="173"/>
      <c r="BZ100" s="173"/>
      <c r="CA100" s="173"/>
      <c r="CB100" s="173"/>
      <c r="CC100" s="173"/>
      <c r="CD100" s="173"/>
      <c r="CE100" s="173"/>
      <c r="CF100" s="173"/>
      <c r="CG100" s="173"/>
      <c r="CH100" s="173"/>
      <c r="CI100" s="173"/>
      <c r="CJ100" s="173"/>
      <c r="CK100" s="173"/>
      <c r="CL100" s="173"/>
      <c r="CM100" s="173"/>
      <c r="CN100" s="173"/>
      <c r="CO100" s="173"/>
      <c r="CP100" s="173"/>
    </row>
    <row r="101" ht="12.75" customHeight="1">
      <c r="A101" s="115"/>
      <c r="B101" s="98"/>
      <c r="C101" s="98"/>
      <c r="D101" s="98"/>
      <c r="E101" s="98"/>
      <c r="F101" s="98"/>
      <c r="G101" s="98"/>
      <c r="H101" s="98"/>
      <c r="I101" s="98"/>
      <c r="J101" s="91"/>
      <c r="K101" s="91"/>
      <c r="L101" s="91"/>
      <c r="M101" s="91"/>
      <c r="AW101" s="113"/>
    </row>
    <row r="102" ht="12.75" customHeight="1">
      <c r="A102" s="115" t="s">
        <v>381</v>
      </c>
      <c r="B102" s="111">
        <f t="shared" ref="B102:CP102" si="3">SUM(B13:B100)</f>
        <v>29693.7035</v>
      </c>
      <c r="C102" s="111">
        <f t="shared" si="3"/>
        <v>26720.25143</v>
      </c>
      <c r="D102" s="111">
        <f t="shared" si="3"/>
        <v>26835.31486</v>
      </c>
      <c r="E102" s="111">
        <f t="shared" si="3"/>
        <v>25597.29305</v>
      </c>
      <c r="F102" s="111">
        <f t="shared" si="3"/>
        <v>25905.51877</v>
      </c>
      <c r="G102" s="111">
        <f t="shared" si="3"/>
        <v>27008.95051</v>
      </c>
      <c r="H102" s="111">
        <f t="shared" si="3"/>
        <v>32062.84042</v>
      </c>
      <c r="I102" s="111">
        <f t="shared" si="3"/>
        <v>40740.50901</v>
      </c>
      <c r="J102" s="111">
        <f t="shared" si="3"/>
        <v>28216.70063</v>
      </c>
      <c r="K102" s="111">
        <f t="shared" si="3"/>
        <v>41454.49312</v>
      </c>
      <c r="L102" s="111">
        <f t="shared" si="3"/>
        <v>44964.51157</v>
      </c>
      <c r="M102" s="111">
        <f t="shared" si="3"/>
        <v>46683.86276</v>
      </c>
      <c r="N102" s="111">
        <f t="shared" si="3"/>
        <v>44684.73995</v>
      </c>
      <c r="O102" s="111">
        <f t="shared" si="3"/>
        <v>39193.74002</v>
      </c>
      <c r="P102" s="111">
        <f t="shared" si="3"/>
        <v>41702.74009</v>
      </c>
      <c r="Q102" s="111">
        <f t="shared" si="3"/>
        <v>50249.88569</v>
      </c>
      <c r="R102" s="111">
        <f t="shared" si="3"/>
        <v>86984.59156</v>
      </c>
      <c r="S102" s="111">
        <f t="shared" si="3"/>
        <v>65136.88664</v>
      </c>
      <c r="T102" s="111">
        <f t="shared" si="3"/>
        <v>81124.36012</v>
      </c>
      <c r="U102" s="111">
        <f t="shared" si="3"/>
        <v>57382.47069</v>
      </c>
      <c r="V102" s="111">
        <f t="shared" si="3"/>
        <v>55319.61688</v>
      </c>
      <c r="W102" s="111">
        <f t="shared" si="3"/>
        <v>88561.71936</v>
      </c>
      <c r="X102" s="111">
        <f t="shared" si="3"/>
        <v>59545.00258</v>
      </c>
      <c r="Y102" s="111">
        <f t="shared" si="3"/>
        <v>49508.84042</v>
      </c>
      <c r="Z102" s="111">
        <f t="shared" si="3"/>
        <v>43228.73024</v>
      </c>
      <c r="AA102" s="111">
        <f t="shared" si="3"/>
        <v>42037.50247</v>
      </c>
      <c r="AB102" s="111">
        <f t="shared" si="3"/>
        <v>35898.1392</v>
      </c>
      <c r="AC102" s="111">
        <f t="shared" si="3"/>
        <v>34469.52604</v>
      </c>
      <c r="AD102" s="111">
        <f t="shared" si="3"/>
        <v>36847.71431</v>
      </c>
      <c r="AE102" s="111">
        <f t="shared" si="3"/>
        <v>53469.55833</v>
      </c>
      <c r="AF102" s="111">
        <f t="shared" si="3"/>
        <v>119171.6145</v>
      </c>
      <c r="AG102" s="111">
        <f t="shared" si="3"/>
        <v>57600.35971</v>
      </c>
      <c r="AH102" s="111">
        <f t="shared" si="3"/>
        <v>28150.03816</v>
      </c>
      <c r="AI102" s="111">
        <f t="shared" si="3"/>
        <v>32135.35404</v>
      </c>
      <c r="AJ102" s="111">
        <f t="shared" si="3"/>
        <v>26814.15515</v>
      </c>
      <c r="AK102" s="111">
        <f t="shared" si="3"/>
        <v>26466.5787</v>
      </c>
      <c r="AL102" s="111">
        <f t="shared" si="3"/>
        <v>26126.44117</v>
      </c>
      <c r="AM102" s="111">
        <f t="shared" si="3"/>
        <v>29885.85292</v>
      </c>
      <c r="AN102" s="111">
        <f t="shared" si="3"/>
        <v>29968.01221</v>
      </c>
      <c r="AO102" s="111">
        <f t="shared" si="3"/>
        <v>30050.27925</v>
      </c>
      <c r="AP102" s="111">
        <f t="shared" si="3"/>
        <v>40043.15643</v>
      </c>
      <c r="AQ102" s="111">
        <f t="shared" si="3"/>
        <v>31036.03361</v>
      </c>
      <c r="AR102" s="111">
        <f t="shared" si="3"/>
        <v>31996.15832</v>
      </c>
      <c r="AS102" s="111">
        <f t="shared" si="3"/>
        <v>30919.97318</v>
      </c>
      <c r="AT102" s="111">
        <f t="shared" si="3"/>
        <v>29770.56627</v>
      </c>
      <c r="AU102" s="111">
        <f t="shared" si="3"/>
        <v>35764.63536</v>
      </c>
      <c r="AV102" s="111">
        <f t="shared" si="3"/>
        <v>44964.77397</v>
      </c>
      <c r="AW102" s="111">
        <f t="shared" si="3"/>
        <v>55582.83874</v>
      </c>
      <c r="AX102" s="111">
        <f t="shared" si="3"/>
        <v>56050.21629</v>
      </c>
      <c r="AY102" s="111">
        <f t="shared" si="3"/>
        <v>56536.10074</v>
      </c>
      <c r="AZ102" s="111">
        <f t="shared" si="3"/>
        <v>56692.55949</v>
      </c>
      <c r="BA102" s="111">
        <f t="shared" si="3"/>
        <v>56967.68578</v>
      </c>
      <c r="BB102" s="111">
        <f t="shared" si="3"/>
        <v>60333.15929</v>
      </c>
      <c r="BC102" s="111">
        <f t="shared" si="3"/>
        <v>50156.43525</v>
      </c>
      <c r="BD102" s="111">
        <f t="shared" si="3"/>
        <v>49865.82738</v>
      </c>
      <c r="BE102" s="111">
        <f t="shared" si="3"/>
        <v>49320.39507</v>
      </c>
      <c r="BF102" s="111">
        <f t="shared" si="3"/>
        <v>49267.8889</v>
      </c>
      <c r="BG102" s="111">
        <f t="shared" si="3"/>
        <v>64455.98845</v>
      </c>
      <c r="BH102" s="111">
        <f t="shared" si="3"/>
        <v>47310.42801</v>
      </c>
      <c r="BI102" s="111">
        <f t="shared" si="3"/>
        <v>49145.1138</v>
      </c>
      <c r="BJ102" s="111">
        <f t="shared" si="3"/>
        <v>44400.29519</v>
      </c>
      <c r="BK102" s="111">
        <f t="shared" si="3"/>
        <v>46415.09922</v>
      </c>
      <c r="BL102" s="111">
        <f t="shared" si="3"/>
        <v>44436.411</v>
      </c>
      <c r="BM102" s="111">
        <f t="shared" si="3"/>
        <v>46448.0096</v>
      </c>
      <c r="BN102" s="111">
        <f t="shared" si="3"/>
        <v>44454.26996</v>
      </c>
      <c r="BO102" s="111">
        <f t="shared" si="3"/>
        <v>46434.4993</v>
      </c>
      <c r="BP102" s="111">
        <f t="shared" si="3"/>
        <v>51685.8274</v>
      </c>
      <c r="BQ102" s="111">
        <f t="shared" si="3"/>
        <v>59326.85375</v>
      </c>
      <c r="BR102" s="111">
        <f t="shared" si="3"/>
        <v>59571.71058</v>
      </c>
      <c r="BS102" s="111">
        <f t="shared" si="3"/>
        <v>62665.21721</v>
      </c>
      <c r="BT102" s="111">
        <f t="shared" si="3"/>
        <v>62644.80455</v>
      </c>
      <c r="BU102" s="111">
        <f t="shared" si="3"/>
        <v>67927.31519</v>
      </c>
      <c r="BV102" s="111">
        <f t="shared" si="3"/>
        <v>73480.92461</v>
      </c>
      <c r="BW102" s="111">
        <f t="shared" si="3"/>
        <v>74048.62364</v>
      </c>
      <c r="BX102" s="111">
        <f t="shared" si="3"/>
        <v>75378.61739</v>
      </c>
      <c r="BY102" s="111">
        <f t="shared" si="3"/>
        <v>80690.9063</v>
      </c>
      <c r="BZ102" s="111">
        <f t="shared" si="3"/>
        <v>81055.41975</v>
      </c>
      <c r="CA102" s="111">
        <f t="shared" si="3"/>
        <v>80407.64952</v>
      </c>
      <c r="CB102" s="111">
        <f t="shared" si="3"/>
        <v>80519.10311</v>
      </c>
      <c r="CC102" s="111">
        <f t="shared" si="3"/>
        <v>81626.11034</v>
      </c>
      <c r="CD102" s="111">
        <f t="shared" si="3"/>
        <v>81733.11756</v>
      </c>
      <c r="CE102" s="111">
        <f t="shared" si="3"/>
        <v>89869.22986</v>
      </c>
      <c r="CF102" s="111">
        <f t="shared" si="3"/>
        <v>90999.85837</v>
      </c>
      <c r="CG102" s="111">
        <f t="shared" si="3"/>
        <v>96385.24642</v>
      </c>
      <c r="CH102" s="111">
        <f t="shared" si="3"/>
        <v>102721.9438</v>
      </c>
      <c r="CI102" s="111">
        <f t="shared" si="3"/>
        <v>104062.4486</v>
      </c>
      <c r="CJ102" s="111">
        <f t="shared" si="3"/>
        <v>111430.5199</v>
      </c>
      <c r="CK102" s="111">
        <f t="shared" si="3"/>
        <v>111776.2015</v>
      </c>
      <c r="CL102" s="111">
        <f t="shared" si="3"/>
        <v>117383.3482</v>
      </c>
      <c r="CM102" s="111">
        <f t="shared" si="3"/>
        <v>117757.0853</v>
      </c>
      <c r="CN102" s="111">
        <f t="shared" si="3"/>
        <v>118112.2287</v>
      </c>
      <c r="CO102" s="111">
        <f t="shared" si="3"/>
        <v>118255.5438</v>
      </c>
      <c r="CP102" s="111">
        <f t="shared" si="3"/>
        <v>118398.8589</v>
      </c>
    </row>
    <row r="103" ht="12.75" customHeight="1">
      <c r="A103" s="115"/>
      <c r="B103" s="91"/>
      <c r="C103" s="91"/>
      <c r="D103" s="91"/>
      <c r="E103" s="91"/>
      <c r="F103" s="91"/>
      <c r="G103" s="91"/>
      <c r="H103" s="91"/>
      <c r="I103" s="91"/>
      <c r="J103" s="91"/>
      <c r="K103" s="91"/>
      <c r="L103" s="91"/>
      <c r="M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c r="CM103" s="91"/>
      <c r="CN103" s="91"/>
      <c r="CO103" s="91"/>
      <c r="CP103" s="91"/>
    </row>
    <row r="104" ht="12.75" customHeight="1">
      <c r="A104" s="197" t="s">
        <v>382</v>
      </c>
      <c r="B104" s="198" t="str">
        <f t="shared" ref="B104:AG104" si="4">SUM(B86,B85,B84,B83,B82,B81,B80,B79,B78,B77,B76,B75,B74,B73,B72,B71,#REF!)</f>
        <v>#REF!</v>
      </c>
      <c r="C104" s="198" t="str">
        <f t="shared" si="4"/>
        <v>#REF!</v>
      </c>
      <c r="D104" s="198" t="str">
        <f t="shared" si="4"/>
        <v>#REF!</v>
      </c>
      <c r="E104" s="198" t="str">
        <f t="shared" si="4"/>
        <v>#REF!</v>
      </c>
      <c r="F104" s="198" t="str">
        <f t="shared" si="4"/>
        <v>#REF!</v>
      </c>
      <c r="G104" s="198" t="str">
        <f t="shared" si="4"/>
        <v>#REF!</v>
      </c>
      <c r="H104" s="198" t="str">
        <f t="shared" si="4"/>
        <v>#REF!</v>
      </c>
      <c r="I104" s="198" t="str">
        <f t="shared" si="4"/>
        <v>#REF!</v>
      </c>
      <c r="J104" s="198" t="str">
        <f t="shared" si="4"/>
        <v>#REF!</v>
      </c>
      <c r="K104" s="198" t="str">
        <f t="shared" si="4"/>
        <v>#REF!</v>
      </c>
      <c r="L104" s="198" t="str">
        <f t="shared" si="4"/>
        <v>#REF!</v>
      </c>
      <c r="M104" s="198" t="str">
        <f t="shared" si="4"/>
        <v>#REF!</v>
      </c>
      <c r="N104" s="198" t="str">
        <f t="shared" si="4"/>
        <v>#REF!</v>
      </c>
      <c r="O104" s="198" t="str">
        <f t="shared" si="4"/>
        <v>#REF!</v>
      </c>
      <c r="P104" s="198" t="str">
        <f t="shared" si="4"/>
        <v>#REF!</v>
      </c>
      <c r="Q104" s="198" t="str">
        <f t="shared" si="4"/>
        <v>#REF!</v>
      </c>
      <c r="R104" s="198" t="str">
        <f t="shared" si="4"/>
        <v>#REF!</v>
      </c>
      <c r="S104" s="198" t="str">
        <f t="shared" si="4"/>
        <v>#REF!</v>
      </c>
      <c r="T104" s="198" t="str">
        <f t="shared" si="4"/>
        <v>#REF!</v>
      </c>
      <c r="U104" s="198" t="str">
        <f t="shared" si="4"/>
        <v>#REF!</v>
      </c>
      <c r="V104" s="198" t="str">
        <f t="shared" si="4"/>
        <v>#REF!</v>
      </c>
      <c r="W104" s="198" t="str">
        <f t="shared" si="4"/>
        <v>#REF!</v>
      </c>
      <c r="X104" s="198" t="str">
        <f t="shared" si="4"/>
        <v>#REF!</v>
      </c>
      <c r="Y104" s="198" t="str">
        <f t="shared" si="4"/>
        <v>#REF!</v>
      </c>
      <c r="Z104" s="198" t="str">
        <f t="shared" si="4"/>
        <v>#REF!</v>
      </c>
      <c r="AA104" s="198" t="str">
        <f t="shared" si="4"/>
        <v>#REF!</v>
      </c>
      <c r="AB104" s="198" t="str">
        <f t="shared" si="4"/>
        <v>#REF!</v>
      </c>
      <c r="AC104" s="198" t="str">
        <f t="shared" si="4"/>
        <v>#REF!</v>
      </c>
      <c r="AD104" s="198" t="str">
        <f t="shared" si="4"/>
        <v>#REF!</v>
      </c>
      <c r="AE104" s="198" t="str">
        <f t="shared" si="4"/>
        <v>#REF!</v>
      </c>
      <c r="AF104" s="198" t="str">
        <f t="shared" si="4"/>
        <v>#REF!</v>
      </c>
      <c r="AG104" s="198" t="str">
        <f t="shared" si="4"/>
        <v>#REF!</v>
      </c>
      <c r="AH104" s="198">
        <f>+AH27+AH34+AH21+AH22+AH15+AH23+AH58+AH46+AH47+AH48+AH50+AH45+AH55+AH42+AH20</f>
        <v>11356.07022</v>
      </c>
      <c r="AI104" s="198">
        <f t="shared" ref="AI104:CP104" si="5">+AI27+AI34+AI21+AI22+AI15+AI23+AI58+AI46+AI47+AI48+AI50+AI45+AI55+AI42</f>
        <v>15321.83802</v>
      </c>
      <c r="AJ104" s="198">
        <f t="shared" si="5"/>
        <v>15300.47473</v>
      </c>
      <c r="AK104" s="198">
        <f t="shared" si="5"/>
        <v>15277.35704</v>
      </c>
      <c r="AL104" s="198">
        <f t="shared" si="5"/>
        <v>15254.73413</v>
      </c>
      <c r="AM104" s="198">
        <f t="shared" si="5"/>
        <v>16958.68567</v>
      </c>
      <c r="AN104" s="198">
        <f t="shared" si="5"/>
        <v>16964.15017</v>
      </c>
      <c r="AO104" s="198">
        <f t="shared" si="5"/>
        <v>16969.62184</v>
      </c>
      <c r="AP104" s="198">
        <f t="shared" si="5"/>
        <v>26969.14809</v>
      </c>
      <c r="AQ104" s="198">
        <f t="shared" si="5"/>
        <v>17968.67435</v>
      </c>
      <c r="AR104" s="198">
        <f t="shared" si="5"/>
        <v>18966.0222</v>
      </c>
      <c r="AS104" s="198">
        <f t="shared" si="5"/>
        <v>17960.95504</v>
      </c>
      <c r="AT104" s="198">
        <f t="shared" si="5"/>
        <v>18951.01783</v>
      </c>
      <c r="AU104" s="198">
        <f t="shared" si="5"/>
        <v>20950.62336</v>
      </c>
      <c r="AV104" s="198">
        <f t="shared" si="5"/>
        <v>20963.93479</v>
      </c>
      <c r="AW104" s="198">
        <f t="shared" si="5"/>
        <v>21005.04295</v>
      </c>
      <c r="AX104" s="198">
        <f t="shared" si="5"/>
        <v>21036.12874</v>
      </c>
      <c r="AY104" s="198">
        <f t="shared" si="5"/>
        <v>21068.44544</v>
      </c>
      <c r="AZ104" s="198">
        <f t="shared" si="5"/>
        <v>21078.85168</v>
      </c>
      <c r="BA104" s="198">
        <f t="shared" si="5"/>
        <v>21097.15063</v>
      </c>
      <c r="BB104" s="198">
        <f t="shared" si="5"/>
        <v>24121.45867</v>
      </c>
      <c r="BC104" s="198">
        <f t="shared" si="5"/>
        <v>24109.70456</v>
      </c>
      <c r="BD104" s="198">
        <f t="shared" si="5"/>
        <v>24090.37592</v>
      </c>
      <c r="BE104" s="198">
        <f t="shared" si="5"/>
        <v>24054.09862</v>
      </c>
      <c r="BF104" s="198">
        <f t="shared" si="5"/>
        <v>24050.60638</v>
      </c>
      <c r="BG104" s="198">
        <f t="shared" si="5"/>
        <v>28689.72152</v>
      </c>
      <c r="BH104" s="198">
        <f t="shared" si="5"/>
        <v>26680.04014</v>
      </c>
      <c r="BI104" s="198">
        <f t="shared" si="5"/>
        <v>28669.04491</v>
      </c>
      <c r="BJ104" s="198">
        <f t="shared" si="5"/>
        <v>24619.50621</v>
      </c>
      <c r="BK104" s="198">
        <f t="shared" si="5"/>
        <v>26620.49085</v>
      </c>
      <c r="BL104" s="198">
        <f t="shared" si="5"/>
        <v>24621.90832</v>
      </c>
      <c r="BM104" s="198">
        <f t="shared" si="5"/>
        <v>26622.67975</v>
      </c>
      <c r="BN104" s="198">
        <f t="shared" si="5"/>
        <v>25623.09614</v>
      </c>
      <c r="BO104" s="198">
        <f t="shared" si="5"/>
        <v>27621.78117</v>
      </c>
      <c r="BP104" s="198">
        <f t="shared" si="5"/>
        <v>27638.49727</v>
      </c>
      <c r="BQ104" s="198">
        <f t="shared" si="5"/>
        <v>32854.5282</v>
      </c>
      <c r="BR104" s="198">
        <f t="shared" si="5"/>
        <v>32870.81389</v>
      </c>
      <c r="BS104" s="198">
        <f t="shared" si="5"/>
        <v>32870.38201</v>
      </c>
      <c r="BT104" s="198">
        <f t="shared" si="5"/>
        <v>32869.02434</v>
      </c>
      <c r="BU104" s="198">
        <f t="shared" si="5"/>
        <v>32887.81443</v>
      </c>
      <c r="BV104" s="198">
        <f t="shared" si="5"/>
        <v>32924.63559</v>
      </c>
      <c r="BW104" s="198">
        <f t="shared" si="5"/>
        <v>32962.39387</v>
      </c>
      <c r="BX104" s="198">
        <f t="shared" si="5"/>
        <v>32984.34211</v>
      </c>
      <c r="BY104" s="198">
        <f t="shared" si="5"/>
        <v>33005.11279</v>
      </c>
      <c r="BZ104" s="198">
        <f t="shared" si="5"/>
        <v>33029.35697</v>
      </c>
      <c r="CA104" s="198">
        <f t="shared" si="5"/>
        <v>33052.78416</v>
      </c>
      <c r="CB104" s="198">
        <f t="shared" si="5"/>
        <v>33060.19706</v>
      </c>
      <c r="CC104" s="198">
        <f t="shared" si="5"/>
        <v>33067.31422</v>
      </c>
      <c r="CD104" s="198">
        <f t="shared" si="5"/>
        <v>33074.43139</v>
      </c>
      <c r="CE104" s="198">
        <f t="shared" si="5"/>
        <v>36083.48437</v>
      </c>
      <c r="CF104" s="198">
        <f t="shared" si="5"/>
        <v>36092.17261</v>
      </c>
      <c r="CG104" s="198">
        <f t="shared" si="5"/>
        <v>36117.80519</v>
      </c>
      <c r="CH104" s="198">
        <f t="shared" si="5"/>
        <v>43140.1993</v>
      </c>
      <c r="CI104" s="198">
        <f t="shared" si="5"/>
        <v>43162.84664</v>
      </c>
      <c r="CJ104" s="198">
        <f t="shared" si="5"/>
        <v>45187.32746</v>
      </c>
      <c r="CK104" s="198">
        <f t="shared" si="5"/>
        <v>45210.31912</v>
      </c>
      <c r="CL104" s="198">
        <f t="shared" si="5"/>
        <v>45250.70111</v>
      </c>
      <c r="CM104" s="198">
        <f t="shared" si="5"/>
        <v>45275.55876</v>
      </c>
      <c r="CN104" s="198">
        <f t="shared" si="5"/>
        <v>45299.17974</v>
      </c>
      <c r="CO104" s="198">
        <f t="shared" si="5"/>
        <v>45308.71178</v>
      </c>
      <c r="CP104" s="198">
        <f t="shared" si="5"/>
        <v>45318.24382</v>
      </c>
    </row>
    <row r="105" ht="12.75" customHeight="1">
      <c r="A105" s="91"/>
      <c r="B105" s="91"/>
      <c r="C105" s="91"/>
      <c r="D105" s="91"/>
      <c r="E105" s="91"/>
      <c r="F105" s="91"/>
      <c r="G105" s="91"/>
      <c r="H105" s="91"/>
      <c r="I105" s="91"/>
      <c r="J105" s="91"/>
      <c r="K105" s="91"/>
      <c r="L105" s="91"/>
      <c r="M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c r="CM105" s="91"/>
      <c r="CN105" s="91"/>
      <c r="CO105" s="91"/>
      <c r="CP105" s="91"/>
    </row>
    <row r="106" ht="12.75" customHeight="1">
      <c r="A106" s="91" t="s">
        <v>383</v>
      </c>
      <c r="AO106" s="91"/>
      <c r="AP106" s="91"/>
      <c r="AQ106" s="91"/>
      <c r="AR106" s="91"/>
      <c r="AS106" s="91"/>
      <c r="AT106" s="94"/>
      <c r="AU106" s="91"/>
      <c r="AV106" s="91"/>
      <c r="AW106" s="91"/>
      <c r="AX106" s="91"/>
      <c r="AY106" s="94"/>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c r="CM106" s="91"/>
      <c r="CN106" s="91"/>
      <c r="CO106" s="91"/>
      <c r="CP106" s="91"/>
    </row>
    <row r="107" ht="12.75" customHeight="1">
      <c r="A107" s="91" t="s">
        <v>384</v>
      </c>
      <c r="B107" s="199"/>
      <c r="C107" s="199"/>
      <c r="D107" s="199"/>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c r="AA107" s="199"/>
      <c r="AB107" s="199"/>
      <c r="AC107" s="199"/>
      <c r="AD107" s="199"/>
      <c r="AE107" s="199"/>
      <c r="AF107" s="199"/>
      <c r="AG107" s="199"/>
      <c r="AH107" s="199"/>
      <c r="AI107" s="199"/>
      <c r="AJ107" s="199"/>
      <c r="AK107" s="199"/>
      <c r="AL107" s="199"/>
      <c r="AM107" s="199"/>
      <c r="AN107" s="199"/>
      <c r="AO107" s="199"/>
      <c r="AP107" s="199"/>
      <c r="AQ107" s="199"/>
      <c r="AR107" s="199"/>
      <c r="AS107" s="199"/>
      <c r="AT107" s="199"/>
      <c r="AU107" s="199"/>
      <c r="AV107" s="199"/>
      <c r="AW107" s="199"/>
      <c r="AX107" s="199"/>
      <c r="AY107" s="199"/>
      <c r="AZ107" s="199"/>
      <c r="BA107" s="199"/>
      <c r="BB107" s="199"/>
      <c r="BC107" s="199"/>
      <c r="BD107" s="199"/>
      <c r="BE107" s="199"/>
      <c r="BF107" s="199"/>
      <c r="BG107" s="199"/>
      <c r="BH107" s="199"/>
      <c r="BI107" s="199"/>
      <c r="BJ107" s="199"/>
      <c r="BK107" s="199"/>
      <c r="BL107" s="199"/>
      <c r="BM107" s="199"/>
      <c r="BN107" s="199"/>
      <c r="BO107" s="199"/>
      <c r="BP107" s="199"/>
      <c r="BQ107" s="199"/>
      <c r="BR107" s="199"/>
      <c r="BS107" s="199"/>
      <c r="BT107" s="199"/>
      <c r="BU107" s="199"/>
      <c r="BV107" s="199"/>
      <c r="BW107" s="199"/>
      <c r="BX107" s="199"/>
      <c r="BY107" s="199"/>
      <c r="BZ107" s="199"/>
      <c r="CA107" s="199"/>
      <c r="CB107" s="199"/>
      <c r="CC107" s="199"/>
      <c r="CD107" s="199"/>
      <c r="CE107" s="199"/>
      <c r="CF107" s="199"/>
      <c r="CG107" s="199"/>
      <c r="CH107" s="199"/>
      <c r="CI107" s="199"/>
      <c r="CJ107" s="199"/>
      <c r="CK107" s="199"/>
      <c r="CL107" s="199"/>
      <c r="CM107" s="199"/>
      <c r="CN107" s="199"/>
      <c r="CO107" s="199"/>
      <c r="CP107" s="199"/>
    </row>
    <row r="108" ht="12.75" customHeight="1">
      <c r="A108" s="91" t="s">
        <v>385</v>
      </c>
      <c r="B108" s="104">
        <v>3500.0</v>
      </c>
      <c r="C108" s="104">
        <v>3500.0</v>
      </c>
      <c r="D108" s="104">
        <v>3500.0</v>
      </c>
      <c r="E108" s="104">
        <v>3500.0</v>
      </c>
      <c r="F108" s="104">
        <v>3500.0</v>
      </c>
      <c r="G108" s="104">
        <v>3500.0</v>
      </c>
      <c r="H108" s="104">
        <v>3500.0</v>
      </c>
      <c r="I108" s="104">
        <v>3500.0</v>
      </c>
      <c r="J108" s="104">
        <v>3500.0</v>
      </c>
      <c r="K108" s="104">
        <v>3500.0</v>
      </c>
      <c r="L108" s="104">
        <v>3500.0</v>
      </c>
      <c r="M108" s="104">
        <v>3500.0</v>
      </c>
      <c r="N108" s="104">
        <v>3500.0</v>
      </c>
      <c r="O108" s="104">
        <v>3500.0</v>
      </c>
      <c r="P108" s="104">
        <v>3500.0</v>
      </c>
      <c r="Q108" s="104">
        <v>3500.0</v>
      </c>
      <c r="R108" s="104">
        <v>3500.0</v>
      </c>
      <c r="S108" s="104">
        <v>3500.0</v>
      </c>
      <c r="T108" s="104">
        <v>3500.0</v>
      </c>
      <c r="U108" s="104">
        <v>3500.0</v>
      </c>
      <c r="V108" s="104">
        <v>3500.0</v>
      </c>
      <c r="W108" s="104">
        <v>3500.0</v>
      </c>
      <c r="X108" s="104">
        <v>3500.0</v>
      </c>
      <c r="Y108" s="104">
        <v>3500.0</v>
      </c>
      <c r="Z108" s="104">
        <v>3500.0</v>
      </c>
      <c r="AA108" s="104">
        <v>3500.0</v>
      </c>
      <c r="AB108" s="104">
        <v>3500.0</v>
      </c>
      <c r="AC108" s="104">
        <v>3500.0</v>
      </c>
      <c r="AD108" s="104">
        <v>3500.0</v>
      </c>
      <c r="AE108" s="104">
        <v>3500.0</v>
      </c>
      <c r="AF108" s="104">
        <v>3500.0</v>
      </c>
      <c r="AG108" s="104">
        <v>3500.0</v>
      </c>
      <c r="AH108" s="104">
        <v>3500.0</v>
      </c>
      <c r="AI108" s="104">
        <v>3500.0</v>
      </c>
      <c r="AJ108" s="104">
        <v>3500.0</v>
      </c>
      <c r="AK108" s="104">
        <v>3500.0</v>
      </c>
      <c r="AL108" s="104">
        <v>3500.0</v>
      </c>
      <c r="AM108" s="104">
        <v>3500.0</v>
      </c>
      <c r="AN108" s="104">
        <v>3500.0</v>
      </c>
      <c r="AO108" s="104">
        <v>3500.0</v>
      </c>
      <c r="AP108" s="104">
        <v>3500.0</v>
      </c>
      <c r="AQ108" s="104">
        <v>3500.0</v>
      </c>
      <c r="AR108" s="104">
        <v>3500.0</v>
      </c>
      <c r="AS108" s="104">
        <v>3500.0</v>
      </c>
      <c r="AT108" s="104">
        <v>3500.0</v>
      </c>
      <c r="AU108" s="104">
        <v>3500.0</v>
      </c>
      <c r="AV108" s="104">
        <v>3500.0</v>
      </c>
      <c r="AW108" s="104">
        <v>3500.0</v>
      </c>
      <c r="AX108" s="104">
        <v>3500.0</v>
      </c>
      <c r="AY108" s="104">
        <v>3500.0</v>
      </c>
      <c r="AZ108" s="104">
        <v>3500.0</v>
      </c>
      <c r="BA108" s="104">
        <v>3500.0</v>
      </c>
      <c r="BB108" s="104">
        <v>3500.0</v>
      </c>
      <c r="BC108" s="104">
        <v>3500.0</v>
      </c>
      <c r="BD108" s="104">
        <v>3500.0</v>
      </c>
      <c r="BE108" s="104">
        <v>3500.0</v>
      </c>
      <c r="BF108" s="104">
        <v>3500.0</v>
      </c>
      <c r="BG108" s="104">
        <v>3500.0</v>
      </c>
      <c r="BH108" s="104">
        <v>3500.0</v>
      </c>
      <c r="BI108" s="104">
        <v>3500.0</v>
      </c>
      <c r="BJ108" s="104">
        <v>3500.0</v>
      </c>
      <c r="BK108" s="104">
        <v>3500.0</v>
      </c>
      <c r="BL108" s="104">
        <v>3500.0</v>
      </c>
      <c r="BM108" s="104">
        <v>3500.0</v>
      </c>
      <c r="BN108" s="104">
        <v>3500.0</v>
      </c>
      <c r="BO108" s="104">
        <v>3500.0</v>
      </c>
      <c r="BP108" s="104">
        <v>3500.0</v>
      </c>
      <c r="BQ108" s="104">
        <v>3500.0</v>
      </c>
      <c r="BR108" s="104">
        <v>3500.0</v>
      </c>
      <c r="BS108" s="104">
        <v>3500.0</v>
      </c>
      <c r="BT108" s="104">
        <v>3500.0</v>
      </c>
      <c r="BU108" s="104">
        <v>3500.0</v>
      </c>
      <c r="BV108" s="104">
        <v>3500.0</v>
      </c>
      <c r="BW108" s="104">
        <v>3500.0</v>
      </c>
      <c r="BX108" s="104">
        <v>3500.0</v>
      </c>
      <c r="BY108" s="104">
        <v>3500.0</v>
      </c>
      <c r="BZ108" s="104">
        <v>3500.0</v>
      </c>
      <c r="CA108" s="104">
        <v>3500.0</v>
      </c>
      <c r="CB108" s="104">
        <v>3500.0</v>
      </c>
      <c r="CC108" s="104">
        <v>3500.0</v>
      </c>
      <c r="CD108" s="104">
        <v>3500.0</v>
      </c>
      <c r="CE108" s="104">
        <v>3500.0</v>
      </c>
      <c r="CF108" s="104">
        <v>3500.0</v>
      </c>
      <c r="CG108" s="104">
        <v>3500.0</v>
      </c>
      <c r="CH108" s="104">
        <v>3500.0</v>
      </c>
      <c r="CI108" s="104">
        <v>3500.0</v>
      </c>
      <c r="CJ108" s="104">
        <v>3500.0</v>
      </c>
      <c r="CK108" s="104">
        <v>3500.0</v>
      </c>
      <c r="CL108" s="104">
        <v>3500.0</v>
      </c>
      <c r="CM108" s="104">
        <v>3500.0</v>
      </c>
      <c r="CN108" s="104">
        <v>3500.0</v>
      </c>
      <c r="CO108" s="104">
        <v>3500.0</v>
      </c>
      <c r="CP108" s="104">
        <v>3500.0</v>
      </c>
    </row>
    <row r="109" ht="12.75" customHeight="1">
      <c r="A109" s="91" t="s">
        <v>386</v>
      </c>
      <c r="B109" s="200">
        <v>0.05</v>
      </c>
      <c r="C109" s="200">
        <v>0.05</v>
      </c>
      <c r="D109" s="200">
        <v>0.05</v>
      </c>
      <c r="E109" s="200">
        <v>0.05</v>
      </c>
      <c r="F109" s="200">
        <v>0.05</v>
      </c>
      <c r="G109" s="200">
        <v>0.05</v>
      </c>
      <c r="H109" s="200">
        <v>0.05</v>
      </c>
      <c r="I109" s="200">
        <v>0.05</v>
      </c>
      <c r="J109" s="200">
        <v>0.05</v>
      </c>
      <c r="K109" s="200">
        <v>0.05</v>
      </c>
      <c r="L109" s="200">
        <v>0.05</v>
      </c>
      <c r="M109" s="200">
        <v>0.05</v>
      </c>
      <c r="N109" s="200">
        <v>0.05</v>
      </c>
      <c r="O109" s="200">
        <v>0.05</v>
      </c>
      <c r="P109" s="200">
        <v>0.05</v>
      </c>
      <c r="Q109" s="200">
        <v>0.05</v>
      </c>
      <c r="R109" s="200">
        <v>0.05</v>
      </c>
      <c r="S109" s="200">
        <v>0.05</v>
      </c>
      <c r="T109" s="200">
        <v>0.05</v>
      </c>
      <c r="U109" s="200">
        <v>0.05</v>
      </c>
      <c r="V109" s="200">
        <v>0.05</v>
      </c>
      <c r="W109" s="200">
        <v>0.05</v>
      </c>
      <c r="X109" s="200">
        <v>0.05</v>
      </c>
      <c r="Y109" s="200">
        <v>0.05</v>
      </c>
      <c r="Z109" s="200">
        <v>0.05</v>
      </c>
      <c r="AA109" s="200">
        <v>0.05</v>
      </c>
      <c r="AB109" s="200">
        <v>0.05</v>
      </c>
      <c r="AC109" s="200">
        <v>0.05</v>
      </c>
      <c r="AD109" s="200">
        <v>0.05</v>
      </c>
      <c r="AE109" s="200">
        <v>0.05</v>
      </c>
      <c r="AF109" s="200">
        <v>0.05</v>
      </c>
      <c r="AG109" s="200">
        <v>0.05</v>
      </c>
      <c r="AH109" s="200">
        <v>0.05</v>
      </c>
      <c r="AI109" s="200">
        <v>0.05</v>
      </c>
      <c r="AJ109" s="200">
        <v>0.05</v>
      </c>
      <c r="AK109" s="200">
        <v>0.05</v>
      </c>
      <c r="AL109" s="200">
        <v>0.05</v>
      </c>
      <c r="AM109" s="200">
        <v>0.05</v>
      </c>
      <c r="AN109" s="200">
        <v>0.05</v>
      </c>
      <c r="AO109" s="200">
        <v>0.05</v>
      </c>
      <c r="AP109" s="200">
        <v>0.05</v>
      </c>
      <c r="AQ109" s="200">
        <v>0.05</v>
      </c>
      <c r="AR109" s="200">
        <v>0.05</v>
      </c>
      <c r="AS109" s="200">
        <v>0.05</v>
      </c>
      <c r="AT109" s="200">
        <v>0.05</v>
      </c>
      <c r="AU109" s="200">
        <v>0.05</v>
      </c>
      <c r="AV109" s="200">
        <v>0.05</v>
      </c>
      <c r="AW109" s="200">
        <v>0.05</v>
      </c>
      <c r="AX109" s="200">
        <v>0.05</v>
      </c>
      <c r="AY109" s="200">
        <v>0.05</v>
      </c>
      <c r="AZ109" s="200">
        <v>0.05</v>
      </c>
      <c r="BA109" s="200">
        <v>0.05</v>
      </c>
      <c r="BB109" s="200">
        <v>0.05</v>
      </c>
      <c r="BC109" s="200">
        <v>0.05</v>
      </c>
      <c r="BD109" s="200">
        <v>0.05</v>
      </c>
      <c r="BE109" s="200">
        <v>0.05</v>
      </c>
      <c r="BF109" s="200">
        <v>0.05</v>
      </c>
      <c r="BG109" s="200">
        <v>0.05</v>
      </c>
      <c r="BH109" s="200">
        <v>0.05</v>
      </c>
      <c r="BI109" s="200">
        <v>0.05</v>
      </c>
      <c r="BJ109" s="200">
        <v>0.05</v>
      </c>
      <c r="BK109" s="200">
        <v>0.05</v>
      </c>
      <c r="BL109" s="200">
        <v>0.05</v>
      </c>
      <c r="BM109" s="200">
        <v>0.05</v>
      </c>
      <c r="BN109" s="200">
        <v>0.05</v>
      </c>
      <c r="BO109" s="200">
        <v>0.05</v>
      </c>
      <c r="BP109" s="200">
        <v>0.05</v>
      </c>
      <c r="BQ109" s="200">
        <v>0.05</v>
      </c>
      <c r="BR109" s="200">
        <v>0.05</v>
      </c>
      <c r="BS109" s="200">
        <v>0.05</v>
      </c>
      <c r="BT109" s="200">
        <v>0.05</v>
      </c>
      <c r="BU109" s="200">
        <v>0.05</v>
      </c>
      <c r="BV109" s="200">
        <v>0.05</v>
      </c>
      <c r="BW109" s="200">
        <v>0.05</v>
      </c>
      <c r="BX109" s="200">
        <v>0.05</v>
      </c>
      <c r="BY109" s="200">
        <v>0.05</v>
      </c>
      <c r="BZ109" s="200">
        <v>0.05</v>
      </c>
      <c r="CA109" s="200">
        <v>0.05</v>
      </c>
      <c r="CB109" s="200">
        <v>0.05</v>
      </c>
      <c r="CC109" s="200">
        <v>0.05</v>
      </c>
      <c r="CD109" s="200">
        <v>0.05</v>
      </c>
      <c r="CE109" s="200">
        <v>0.05</v>
      </c>
      <c r="CF109" s="200">
        <v>0.05</v>
      </c>
      <c r="CG109" s="200">
        <v>0.05</v>
      </c>
      <c r="CH109" s="200">
        <v>0.05</v>
      </c>
      <c r="CI109" s="200">
        <v>0.05</v>
      </c>
      <c r="CJ109" s="200">
        <v>0.05</v>
      </c>
      <c r="CK109" s="200">
        <v>0.05</v>
      </c>
      <c r="CL109" s="200">
        <v>0.05</v>
      </c>
      <c r="CM109" s="200">
        <v>0.05</v>
      </c>
      <c r="CN109" s="200">
        <v>0.05</v>
      </c>
      <c r="CO109" s="200">
        <v>0.05</v>
      </c>
      <c r="CP109" s="200">
        <v>0.05</v>
      </c>
    </row>
    <row r="110" ht="12.75" customHeight="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c r="CM110" s="91"/>
      <c r="CN110" s="91"/>
      <c r="CO110" s="91"/>
      <c r="CP110" s="91"/>
    </row>
    <row r="111" ht="12.75" customHeight="1">
      <c r="A111" s="91" t="s">
        <v>387</v>
      </c>
      <c r="B111" s="98" t="str">
        <f>+'Rev 2'!U13</f>
        <v/>
      </c>
      <c r="C111" s="98">
        <f>+'Rev 2'!V13</f>
        <v>65.08498677</v>
      </c>
      <c r="D111" s="98">
        <f>+'Rev 2'!W13</f>
        <v>782.6959509</v>
      </c>
      <c r="E111" s="98">
        <f>+'Rev 2'!X13</f>
        <v>1192.759359</v>
      </c>
      <c r="F111" s="98">
        <f>+'Rev 2'!Y13</f>
        <v>1545.461656</v>
      </c>
      <c r="G111" s="98">
        <f>+'Rev 2'!Z13</f>
        <v>1523.211089</v>
      </c>
      <c r="H111" s="98">
        <f>+'Rev 2'!AA13</f>
        <v>2184.172078</v>
      </c>
      <c r="I111" s="98">
        <f>+'Rev 2'!AB13</f>
        <v>4280.354996</v>
      </c>
      <c r="J111" s="98">
        <f>+'Rev 2'!AC13</f>
        <v>4144.122108</v>
      </c>
      <c r="K111" s="98">
        <f>+'Rev 2'!AD13</f>
        <v>6693.538286</v>
      </c>
      <c r="L111" s="98">
        <f>+'Rev 2'!AE13</f>
        <v>8429.584441</v>
      </c>
      <c r="M111" s="98">
        <f>+'Rev 2'!AF13</f>
        <v>11986.61825</v>
      </c>
      <c r="N111" s="98">
        <f>+'Rev 2'!AG13</f>
        <v>11989.17714</v>
      </c>
      <c r="O111" s="98">
        <f>+'Rev 2'!AH13</f>
        <v>10556.8553</v>
      </c>
      <c r="P111" s="98">
        <f>+'Rev 2'!AI13</f>
        <v>9124.533447</v>
      </c>
      <c r="Q111" s="98">
        <f>+'Rev 2'!AJ13</f>
        <v>8443.369006</v>
      </c>
      <c r="R111" s="98">
        <f>+'Rev 2'!AK13</f>
        <v>9697.856912</v>
      </c>
      <c r="S111" s="98">
        <f>+'Rev 2'!AL13</f>
        <v>11977.50334</v>
      </c>
      <c r="T111" s="98">
        <f>+'Rev 2'!AM13</f>
        <v>16307.46681</v>
      </c>
      <c r="U111" s="98">
        <f>+'Rev 2'!AN13</f>
        <v>15047.78396</v>
      </c>
      <c r="V111" s="98">
        <f>+'Rev 2'!AO13</f>
        <v>12832.81882</v>
      </c>
      <c r="W111" s="98">
        <f>+'Rev 2'!AP13</f>
        <v>9392.048262</v>
      </c>
      <c r="X111" s="98">
        <f>+'Rev 2'!AQ13</f>
        <v>10103.12956</v>
      </c>
      <c r="Y111" s="98">
        <f>+'Rev 2'!AR13</f>
        <v>10800.14854</v>
      </c>
      <c r="Z111" s="98">
        <f>+'Rev 2'!AS13</f>
        <v>10959.16634</v>
      </c>
      <c r="AA111" s="98">
        <f>+'Rev 2'!AT13</f>
        <v>11019.74793</v>
      </c>
      <c r="AB111" s="98">
        <f>+'Rev 2'!AU13</f>
        <v>10195.79417</v>
      </c>
      <c r="AC111" s="98">
        <f>+'Rev 2'!AV13</f>
        <v>9162.663446</v>
      </c>
      <c r="AD111" s="98">
        <f>+'Rev 2'!AW13</f>
        <v>8712.987625</v>
      </c>
      <c r="AE111" s="98">
        <f>+'Rev 2'!AX13</f>
        <v>10609.02756</v>
      </c>
      <c r="AF111" s="98">
        <f>+'Rev 2'!AY13</f>
        <v>12563.07455</v>
      </c>
      <c r="AG111" s="98">
        <f>+'Rev 2'!AZ13</f>
        <v>12545.24413</v>
      </c>
      <c r="AH111" s="98">
        <f>+'Rev 2'!BA13</f>
        <v>11231.58732</v>
      </c>
      <c r="AI111" s="98">
        <f>+'Rev 2'!BB13</f>
        <v>9730.175075</v>
      </c>
      <c r="AJ111" s="98">
        <f>+'Rev 2'!BC13</f>
        <v>8793.188823</v>
      </c>
      <c r="AK111" s="98">
        <f>+'Rev 2'!BD13</f>
        <v>7779.255186</v>
      </c>
      <c r="AL111" s="98">
        <f>+'Rev 2'!BE13</f>
        <v>6787.022019</v>
      </c>
      <c r="AM111" s="98">
        <f>+'Rev 2'!BF13</f>
        <v>6960.335181</v>
      </c>
      <c r="AN111" s="98">
        <f>+'Rev 2'!BG13</f>
        <v>7200.006367</v>
      </c>
      <c r="AO111" s="98">
        <f>+'Rev 2'!BH13</f>
        <v>7439.991906</v>
      </c>
      <c r="AP111" s="98">
        <f>+'Rev 2'!BI13</f>
        <v>7419.213556</v>
      </c>
      <c r="AQ111" s="98">
        <f>+'Rev 2'!BJ13</f>
        <v>7398.435206</v>
      </c>
      <c r="AR111" s="98">
        <f>+'Rev 2'!BK13</f>
        <v>7282.112875</v>
      </c>
      <c r="AS111" s="98">
        <f>+'Rev 2'!BL13</f>
        <v>7059.869187</v>
      </c>
      <c r="AT111" s="98">
        <f>+'Rev 2'!BM13</f>
        <v>6624.026379</v>
      </c>
      <c r="AU111" s="98">
        <f>+'Rev 2'!BN13</f>
        <v>6606.725002</v>
      </c>
      <c r="AV111" s="98">
        <f>+'Rev 2'!BO13</f>
        <v>7190.559931</v>
      </c>
      <c r="AW111" s="98">
        <f>+'Rev 2'!BP13</f>
        <v>8993.549349</v>
      </c>
      <c r="AX111" s="98">
        <f>+'Rev 2'!BQ13</f>
        <v>10356.9611</v>
      </c>
      <c r="AY111" s="98">
        <f>+'Rev 2'!BR13</f>
        <v>11774.36032</v>
      </c>
      <c r="AZ111" s="98">
        <f>+'Rev 2'!BS13</f>
        <v>12230.77441</v>
      </c>
      <c r="BA111" s="98">
        <f>+'Rev 2'!BT13</f>
        <v>13033.35983</v>
      </c>
      <c r="BB111" s="98">
        <f>+'Rev 2'!BU13</f>
        <v>14099.50194</v>
      </c>
      <c r="BC111" s="98">
        <f>+'Rev 2'!BV13</f>
        <v>13583.97091</v>
      </c>
      <c r="BD111" s="98">
        <f>+'Rev 2'!BW13</f>
        <v>12736.22332</v>
      </c>
      <c r="BE111" s="98">
        <f>+'Rev 2'!BX13</f>
        <v>11145.11389</v>
      </c>
      <c r="BF111" s="98">
        <f>+'Rev 2'!BY13</f>
        <v>10991.94538</v>
      </c>
      <c r="BG111" s="98">
        <f>+'Rev 2'!BZ13</f>
        <v>12707.52167</v>
      </c>
      <c r="BH111" s="98">
        <f>+'Rev 2'!CA13</f>
        <v>12282.89959</v>
      </c>
      <c r="BI111" s="98">
        <f>+'Rev 2'!CB13</f>
        <v>11800.6528</v>
      </c>
      <c r="BJ111" s="98">
        <f>+'Rev 2'!CC13</f>
        <v>9627.903039</v>
      </c>
      <c r="BK111" s="98">
        <f>+'Rev 2'!CD13</f>
        <v>9671.088656</v>
      </c>
      <c r="BL111" s="98">
        <f>+'Rev 2'!CE13</f>
        <v>9733.2584</v>
      </c>
      <c r="BM111" s="98">
        <f>+'Rev 2'!CF13</f>
        <v>9767.093267</v>
      </c>
      <c r="BN111" s="98">
        <f>+'Rev 2'!CG13</f>
        <v>9785.355714</v>
      </c>
      <c r="BO111" s="98">
        <f>+'Rev 2'!CH13</f>
        <v>9727.681653</v>
      </c>
      <c r="BP111" s="98">
        <f>+'Rev 2'!CI13</f>
        <v>10460.84417</v>
      </c>
      <c r="BQ111" s="98">
        <f>+'Rev 2'!CJ13</f>
        <v>11163.95487</v>
      </c>
      <c r="BR111" s="98">
        <f>+'Rev 2'!CK13</f>
        <v>11878.23967</v>
      </c>
      <c r="BS111" s="98">
        <f>+'Rev 2'!CL13</f>
        <v>11859.29751</v>
      </c>
      <c r="BT111" s="98">
        <f>+'Rev 2'!CM13</f>
        <v>11799.75067</v>
      </c>
      <c r="BU111" s="98">
        <f>+'Rev 2'!CN13</f>
        <v>12623.87738</v>
      </c>
      <c r="BV111" s="98">
        <f>+'Rev 2'!CO13</f>
        <v>14238.84067</v>
      </c>
      <c r="BW111" s="98">
        <f>+'Rev 2'!CP13</f>
        <v>15894.90552</v>
      </c>
      <c r="BX111" s="98">
        <f>+'Rev 2'!CQ13</f>
        <v>16857.54775</v>
      </c>
      <c r="BY111" s="98">
        <f>+'Rev 2'!CR13</f>
        <v>17768.54224</v>
      </c>
      <c r="BZ111" s="98">
        <f>+'Rev 2'!CS13</f>
        <v>18831.88367</v>
      </c>
      <c r="CA111" s="98">
        <f>+'Rev 2'!CT13</f>
        <v>19859.39177</v>
      </c>
      <c r="CB111" s="98">
        <f>+'Rev 2'!CU13</f>
        <v>20184.51892</v>
      </c>
      <c r="CC111" s="98">
        <f>+'Rev 2'!CV13</f>
        <v>20496.67535</v>
      </c>
      <c r="CD111" s="98">
        <f>+'Rev 2'!CW13</f>
        <v>20808.83179</v>
      </c>
      <c r="CE111" s="98">
        <f>+'Rev 2'!CX13</f>
        <v>21205.89216</v>
      </c>
      <c r="CF111" s="98">
        <f>+'Rev 2'!CY13</f>
        <v>21586.95551</v>
      </c>
      <c r="CG111" s="98">
        <f>+'Rev 2'!CZ13</f>
        <v>22711.19134</v>
      </c>
      <c r="CH111" s="98">
        <f>+'Rev 2'!DA13</f>
        <v>23693.38919</v>
      </c>
      <c r="CI111" s="98">
        <f>+'Rev 2'!DB13</f>
        <v>24686.69375</v>
      </c>
      <c r="CJ111" s="98">
        <f>+'Rev 2'!DC13</f>
        <v>25760.41399</v>
      </c>
      <c r="CK111" s="98">
        <f>+'Rev 2'!DD13</f>
        <v>26768.82002</v>
      </c>
      <c r="CL111" s="98">
        <f>+'Rev 2'!DE13</f>
        <v>28539.95976</v>
      </c>
      <c r="CM111" s="98">
        <f>+'Rev 2'!DF13</f>
        <v>29630.20778</v>
      </c>
      <c r="CN111" s="98">
        <f>+'Rev 2'!DG13</f>
        <v>30666.21543</v>
      </c>
      <c r="CO111" s="98">
        <f>+'Rev 2'!DH13</f>
        <v>31084.28752</v>
      </c>
      <c r="CP111" s="98">
        <f>+'Rev 2'!DI13</f>
        <v>31502.35961</v>
      </c>
    </row>
    <row r="112" ht="12.75" customHeight="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c r="CM112" s="91"/>
      <c r="CN112" s="91"/>
      <c r="CO112" s="91"/>
      <c r="CP112" s="91"/>
    </row>
    <row r="113" ht="12.75" customHeight="1">
      <c r="A113" s="91" t="s">
        <v>388</v>
      </c>
      <c r="B113" s="98">
        <f t="shared" ref="B113:CP113" si="6">IF(B107=0,0,B107*B108+B111*B109)</f>
        <v>0</v>
      </c>
      <c r="C113" s="98">
        <f t="shared" si="6"/>
        <v>0</v>
      </c>
      <c r="D113" s="98">
        <f t="shared" si="6"/>
        <v>0</v>
      </c>
      <c r="E113" s="98">
        <f t="shared" si="6"/>
        <v>0</v>
      </c>
      <c r="F113" s="98">
        <f t="shared" si="6"/>
        <v>0</v>
      </c>
      <c r="G113" s="98">
        <f t="shared" si="6"/>
        <v>0</v>
      </c>
      <c r="H113" s="98">
        <f t="shared" si="6"/>
        <v>0</v>
      </c>
      <c r="I113" s="98">
        <f t="shared" si="6"/>
        <v>0</v>
      </c>
      <c r="J113" s="98">
        <f t="shared" si="6"/>
        <v>0</v>
      </c>
      <c r="K113" s="98">
        <f t="shared" si="6"/>
        <v>0</v>
      </c>
      <c r="L113" s="98">
        <f t="shared" si="6"/>
        <v>0</v>
      </c>
      <c r="M113" s="98">
        <f t="shared" si="6"/>
        <v>0</v>
      </c>
      <c r="N113" s="98">
        <f t="shared" si="6"/>
        <v>0</v>
      </c>
      <c r="O113" s="98">
        <f t="shared" si="6"/>
        <v>0</v>
      </c>
      <c r="P113" s="98">
        <f t="shared" si="6"/>
        <v>0</v>
      </c>
      <c r="Q113" s="98">
        <f t="shared" si="6"/>
        <v>0</v>
      </c>
      <c r="R113" s="98">
        <f t="shared" si="6"/>
        <v>0</v>
      </c>
      <c r="S113" s="98">
        <f t="shared" si="6"/>
        <v>0</v>
      </c>
      <c r="T113" s="98">
        <f t="shared" si="6"/>
        <v>0</v>
      </c>
      <c r="U113" s="98">
        <f t="shared" si="6"/>
        <v>0</v>
      </c>
      <c r="V113" s="98">
        <f t="shared" si="6"/>
        <v>0</v>
      </c>
      <c r="W113" s="98">
        <f t="shared" si="6"/>
        <v>0</v>
      </c>
      <c r="X113" s="98">
        <f t="shared" si="6"/>
        <v>0</v>
      </c>
      <c r="Y113" s="98">
        <f t="shared" si="6"/>
        <v>0</v>
      </c>
      <c r="Z113" s="98">
        <f t="shared" si="6"/>
        <v>0</v>
      </c>
      <c r="AA113" s="98">
        <f t="shared" si="6"/>
        <v>0</v>
      </c>
      <c r="AB113" s="98">
        <f t="shared" si="6"/>
        <v>0</v>
      </c>
      <c r="AC113" s="98">
        <f t="shared" si="6"/>
        <v>0</v>
      </c>
      <c r="AD113" s="98">
        <f t="shared" si="6"/>
        <v>0</v>
      </c>
      <c r="AE113" s="98">
        <f t="shared" si="6"/>
        <v>0</v>
      </c>
      <c r="AF113" s="98">
        <f t="shared" si="6"/>
        <v>0</v>
      </c>
      <c r="AG113" s="98">
        <f t="shared" si="6"/>
        <v>0</v>
      </c>
      <c r="AH113" s="98">
        <f t="shared" si="6"/>
        <v>0</v>
      </c>
      <c r="AI113" s="98">
        <f t="shared" si="6"/>
        <v>0</v>
      </c>
      <c r="AJ113" s="98">
        <f t="shared" si="6"/>
        <v>0</v>
      </c>
      <c r="AK113" s="98">
        <f t="shared" si="6"/>
        <v>0</v>
      </c>
      <c r="AL113" s="98">
        <f t="shared" si="6"/>
        <v>0</v>
      </c>
      <c r="AM113" s="98">
        <f t="shared" si="6"/>
        <v>0</v>
      </c>
      <c r="AN113" s="98">
        <f t="shared" si="6"/>
        <v>0</v>
      </c>
      <c r="AO113" s="98">
        <f t="shared" si="6"/>
        <v>0</v>
      </c>
      <c r="AP113" s="98">
        <f t="shared" si="6"/>
        <v>0</v>
      </c>
      <c r="AQ113" s="98">
        <f t="shared" si="6"/>
        <v>0</v>
      </c>
      <c r="AR113" s="98">
        <f t="shared" si="6"/>
        <v>0</v>
      </c>
      <c r="AS113" s="98">
        <f t="shared" si="6"/>
        <v>0</v>
      </c>
      <c r="AT113" s="98">
        <f t="shared" si="6"/>
        <v>0</v>
      </c>
      <c r="AU113" s="98">
        <f t="shared" si="6"/>
        <v>0</v>
      </c>
      <c r="AV113" s="98">
        <f t="shared" si="6"/>
        <v>0</v>
      </c>
      <c r="AW113" s="98">
        <f t="shared" si="6"/>
        <v>0</v>
      </c>
      <c r="AX113" s="98">
        <f t="shared" si="6"/>
        <v>0</v>
      </c>
      <c r="AY113" s="98">
        <f t="shared" si="6"/>
        <v>0</v>
      </c>
      <c r="AZ113" s="98">
        <f t="shared" si="6"/>
        <v>0</v>
      </c>
      <c r="BA113" s="98">
        <f t="shared" si="6"/>
        <v>0</v>
      </c>
      <c r="BB113" s="98">
        <f t="shared" si="6"/>
        <v>0</v>
      </c>
      <c r="BC113" s="98">
        <f t="shared" si="6"/>
        <v>0</v>
      </c>
      <c r="BD113" s="98">
        <f t="shared" si="6"/>
        <v>0</v>
      </c>
      <c r="BE113" s="98">
        <f t="shared" si="6"/>
        <v>0</v>
      </c>
      <c r="BF113" s="98">
        <f t="shared" si="6"/>
        <v>0</v>
      </c>
      <c r="BG113" s="98">
        <f t="shared" si="6"/>
        <v>0</v>
      </c>
      <c r="BH113" s="98">
        <f t="shared" si="6"/>
        <v>0</v>
      </c>
      <c r="BI113" s="98">
        <f t="shared" si="6"/>
        <v>0</v>
      </c>
      <c r="BJ113" s="98">
        <f t="shared" si="6"/>
        <v>0</v>
      </c>
      <c r="BK113" s="98">
        <f t="shared" si="6"/>
        <v>0</v>
      </c>
      <c r="BL113" s="98">
        <f t="shared" si="6"/>
        <v>0</v>
      </c>
      <c r="BM113" s="98">
        <f t="shared" si="6"/>
        <v>0</v>
      </c>
      <c r="BN113" s="98">
        <f t="shared" si="6"/>
        <v>0</v>
      </c>
      <c r="BO113" s="98">
        <f t="shared" si="6"/>
        <v>0</v>
      </c>
      <c r="BP113" s="98">
        <f t="shared" si="6"/>
        <v>0</v>
      </c>
      <c r="BQ113" s="98">
        <f t="shared" si="6"/>
        <v>0</v>
      </c>
      <c r="BR113" s="98">
        <f t="shared" si="6"/>
        <v>0</v>
      </c>
      <c r="BS113" s="98">
        <f t="shared" si="6"/>
        <v>0</v>
      </c>
      <c r="BT113" s="98">
        <f t="shared" si="6"/>
        <v>0</v>
      </c>
      <c r="BU113" s="98">
        <f t="shared" si="6"/>
        <v>0</v>
      </c>
      <c r="BV113" s="98">
        <f t="shared" si="6"/>
        <v>0</v>
      </c>
      <c r="BW113" s="98">
        <f t="shared" si="6"/>
        <v>0</v>
      </c>
      <c r="BX113" s="98">
        <f t="shared" si="6"/>
        <v>0</v>
      </c>
      <c r="BY113" s="98">
        <f t="shared" si="6"/>
        <v>0</v>
      </c>
      <c r="BZ113" s="98">
        <f t="shared" si="6"/>
        <v>0</v>
      </c>
      <c r="CA113" s="98">
        <f t="shared" si="6"/>
        <v>0</v>
      </c>
      <c r="CB113" s="98">
        <f t="shared" si="6"/>
        <v>0</v>
      </c>
      <c r="CC113" s="98">
        <f t="shared" si="6"/>
        <v>0</v>
      </c>
      <c r="CD113" s="98">
        <f t="shared" si="6"/>
        <v>0</v>
      </c>
      <c r="CE113" s="98">
        <f t="shared" si="6"/>
        <v>0</v>
      </c>
      <c r="CF113" s="98">
        <f t="shared" si="6"/>
        <v>0</v>
      </c>
      <c r="CG113" s="98">
        <f t="shared" si="6"/>
        <v>0</v>
      </c>
      <c r="CH113" s="98">
        <f t="shared" si="6"/>
        <v>0</v>
      </c>
      <c r="CI113" s="98">
        <f t="shared" si="6"/>
        <v>0</v>
      </c>
      <c r="CJ113" s="98">
        <f t="shared" si="6"/>
        <v>0</v>
      </c>
      <c r="CK113" s="98">
        <f t="shared" si="6"/>
        <v>0</v>
      </c>
      <c r="CL113" s="98">
        <f t="shared" si="6"/>
        <v>0</v>
      </c>
      <c r="CM113" s="98">
        <f t="shared" si="6"/>
        <v>0</v>
      </c>
      <c r="CN113" s="98">
        <f t="shared" si="6"/>
        <v>0</v>
      </c>
      <c r="CO113" s="98">
        <f t="shared" si="6"/>
        <v>0</v>
      </c>
      <c r="CP113" s="98">
        <f t="shared" si="6"/>
        <v>0</v>
      </c>
    </row>
    <row r="114" ht="12.75" customHeight="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c r="CM114" s="91"/>
      <c r="CN114" s="91"/>
      <c r="CO114" s="91"/>
      <c r="CP114" s="91"/>
    </row>
    <row r="115" ht="12.75" customHeight="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c r="CM115" s="91"/>
      <c r="CN115" s="91"/>
      <c r="CO115" s="91"/>
      <c r="CP115" s="91"/>
    </row>
    <row r="116" ht="12.75" customHeight="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c r="CM116" s="91"/>
      <c r="CN116" s="91"/>
      <c r="CO116" s="91"/>
      <c r="CP116" s="91"/>
    </row>
    <row r="117" ht="12.75" customHeight="1">
      <c r="AO117" s="91"/>
      <c r="AP117" s="91"/>
      <c r="AQ117" s="91"/>
      <c r="AR117" s="91"/>
      <c r="AS117" s="91"/>
      <c r="AT117" s="91"/>
      <c r="AU117" s="91"/>
      <c r="AV117" s="91"/>
      <c r="AW117" s="91"/>
      <c r="AX117" s="91"/>
      <c r="AY117" s="91"/>
      <c r="AZ117" s="91"/>
      <c r="BA117" s="91"/>
      <c r="BB117" s="91"/>
      <c r="BC117" s="91"/>
      <c r="BD117" s="91"/>
      <c r="BE117" s="91"/>
      <c r="BF117" s="91"/>
      <c r="BG117" s="91"/>
      <c r="BH117" s="91"/>
      <c r="BI117" s="91"/>
    </row>
    <row r="118" ht="12.75" customHeight="1">
      <c r="AO118" s="91"/>
      <c r="AP118" s="91"/>
      <c r="AQ118" s="91"/>
      <c r="AR118" s="91"/>
      <c r="AS118" s="91"/>
      <c r="AT118" s="91"/>
      <c r="AU118" s="91"/>
      <c r="AV118" s="91"/>
      <c r="AW118" s="91"/>
      <c r="AX118" s="91"/>
      <c r="AY118" s="91"/>
      <c r="AZ118" s="91"/>
      <c r="BA118" s="91"/>
      <c r="BB118" s="91"/>
      <c r="BC118" s="91"/>
      <c r="BD118" s="91"/>
      <c r="BE118" s="91"/>
      <c r="BF118" s="91"/>
      <c r="BG118" s="91"/>
      <c r="BH118" s="91"/>
      <c r="BI118" s="91"/>
    </row>
    <row r="119" ht="12.75" customHeight="1">
      <c r="AO119" s="91"/>
      <c r="AP119" s="91"/>
      <c r="AQ119" s="91"/>
      <c r="AR119" s="91"/>
      <c r="AS119" s="91"/>
      <c r="AT119" s="91"/>
      <c r="AU119" s="91"/>
      <c r="AV119" s="91"/>
      <c r="AW119" s="91"/>
      <c r="AX119" s="91"/>
      <c r="AY119" s="91"/>
      <c r="AZ119" s="91"/>
      <c r="BA119" s="91"/>
      <c r="BB119" s="91"/>
      <c r="BC119" s="91"/>
      <c r="BD119" s="91"/>
      <c r="BE119" s="91"/>
      <c r="BF119" s="91"/>
      <c r="BG119" s="91"/>
      <c r="BH119" s="91"/>
      <c r="BI119" s="91"/>
    </row>
    <row r="120" ht="12.75" customHeight="1">
      <c r="AO120" s="91"/>
      <c r="AP120" s="91"/>
      <c r="AQ120" s="91"/>
      <c r="AR120" s="91"/>
      <c r="AS120" s="91"/>
      <c r="AT120" s="91"/>
      <c r="AU120" s="91"/>
      <c r="AV120" s="91"/>
      <c r="AW120" s="91"/>
      <c r="AX120" s="91"/>
      <c r="AY120" s="91"/>
      <c r="AZ120" s="91"/>
      <c r="BA120" s="91"/>
      <c r="BB120" s="91"/>
      <c r="BC120" s="91"/>
      <c r="BD120" s="91"/>
      <c r="BE120" s="91"/>
      <c r="BF120" s="91"/>
      <c r="BG120" s="91"/>
      <c r="BH120" s="91"/>
      <c r="BI120" s="91"/>
    </row>
    <row r="121" ht="12.75" customHeight="1">
      <c r="AO121" s="91"/>
      <c r="AP121" s="91"/>
      <c r="AQ121" s="91"/>
      <c r="AR121" s="91"/>
      <c r="AS121" s="91"/>
      <c r="AT121" s="91"/>
      <c r="AU121" s="91"/>
      <c r="AV121" s="91"/>
      <c r="AW121" s="91"/>
      <c r="AX121" s="91"/>
      <c r="AY121" s="91"/>
      <c r="AZ121" s="91"/>
      <c r="BA121" s="91"/>
      <c r="BB121" s="91"/>
      <c r="BC121" s="91"/>
      <c r="BD121" s="91"/>
      <c r="BE121" s="91"/>
      <c r="BF121" s="91"/>
      <c r="BG121" s="91"/>
      <c r="BH121" s="91"/>
      <c r="BI121" s="91"/>
    </row>
    <row r="122" ht="12.75" customHeight="1">
      <c r="AO122" s="91"/>
      <c r="AP122" s="91"/>
      <c r="AQ122" s="91"/>
      <c r="AR122" s="91"/>
      <c r="AS122" s="91"/>
      <c r="AT122" s="91"/>
      <c r="AU122" s="91"/>
      <c r="AV122" s="91"/>
      <c r="AW122" s="91"/>
      <c r="AX122" s="91"/>
      <c r="AY122" s="91"/>
      <c r="AZ122" s="91"/>
      <c r="BA122" s="91"/>
      <c r="BB122" s="91"/>
      <c r="BC122" s="91"/>
      <c r="BD122" s="91"/>
      <c r="BE122" s="91"/>
      <c r="BF122" s="91"/>
      <c r="BG122" s="91"/>
      <c r="BH122" s="91"/>
      <c r="BI122" s="91"/>
    </row>
    <row r="123" ht="12.75" customHeight="1">
      <c r="P123" s="135" t="str">
        <f>SUM(#REF!)</f>
        <v>#REF!</v>
      </c>
      <c r="Q123" s="135">
        <f>SUM(K13:V75)</f>
        <v>105300</v>
      </c>
      <c r="AO123" s="91"/>
      <c r="AP123" s="91"/>
      <c r="AQ123" s="91"/>
      <c r="AR123" s="91"/>
      <c r="AS123" s="91"/>
      <c r="AT123" s="91"/>
      <c r="AU123" s="91"/>
      <c r="AV123" s="91"/>
      <c r="AW123" s="91"/>
      <c r="AX123" s="91"/>
      <c r="AY123" s="91"/>
      <c r="AZ123" s="91"/>
      <c r="BA123" s="91"/>
      <c r="BB123" s="91"/>
      <c r="BC123" s="91"/>
      <c r="BD123" s="91"/>
      <c r="BE123" s="91"/>
      <c r="BF123" s="91"/>
      <c r="BG123" s="91"/>
      <c r="BH123" s="91"/>
      <c r="BI123" s="91"/>
    </row>
    <row r="124" ht="12.75" customHeight="1">
      <c r="AO124" s="91"/>
      <c r="AP124" s="91"/>
      <c r="AQ124" s="91"/>
      <c r="AR124" s="91"/>
      <c r="AS124" s="91"/>
      <c r="AT124" s="91"/>
      <c r="AU124" s="91"/>
      <c r="AV124" s="91"/>
      <c r="AW124" s="91"/>
      <c r="AX124" s="91"/>
      <c r="AY124" s="91"/>
      <c r="AZ124" s="91"/>
      <c r="BA124" s="91"/>
      <c r="BB124" s="91"/>
      <c r="BC124" s="91"/>
      <c r="BD124" s="91"/>
      <c r="BE124" s="91"/>
      <c r="BF124" s="91"/>
      <c r="BG124" s="91"/>
      <c r="BH124" s="91"/>
      <c r="BI124" s="91"/>
    </row>
    <row r="125" ht="12.75" customHeight="1">
      <c r="AO125" s="91"/>
      <c r="AP125" s="91"/>
      <c r="AQ125" s="91"/>
      <c r="AR125" s="91"/>
      <c r="AS125" s="91"/>
      <c r="AT125" s="91"/>
      <c r="AU125" s="91"/>
      <c r="AV125" s="91"/>
      <c r="AW125" s="91"/>
      <c r="AX125" s="91"/>
      <c r="AY125" s="91"/>
      <c r="AZ125" s="91"/>
      <c r="BA125" s="91"/>
      <c r="BB125" s="91"/>
      <c r="BC125" s="91"/>
      <c r="BD125" s="91"/>
      <c r="BE125" s="91"/>
      <c r="BF125" s="91"/>
      <c r="BG125" s="91"/>
      <c r="BH125" s="91"/>
      <c r="BI125" s="91"/>
    </row>
    <row r="126" ht="12.75" customHeight="1">
      <c r="AO126" s="91"/>
      <c r="AP126" s="91"/>
      <c r="AQ126" s="91"/>
      <c r="AR126" s="91"/>
      <c r="AS126" s="91"/>
      <c r="AT126" s="91"/>
      <c r="AU126" s="91"/>
      <c r="AV126" s="91"/>
      <c r="AW126" s="91"/>
      <c r="AX126" s="91"/>
      <c r="AY126" s="91"/>
      <c r="AZ126" s="91"/>
      <c r="BA126" s="91"/>
      <c r="BB126" s="91"/>
      <c r="BC126" s="91"/>
      <c r="BD126" s="91"/>
      <c r="BE126" s="91"/>
      <c r="BF126" s="91"/>
      <c r="BG126" s="91"/>
      <c r="BH126" s="91"/>
      <c r="BI126" s="91"/>
    </row>
    <row r="127" ht="12.75" customHeight="1">
      <c r="AO127" s="91"/>
      <c r="AP127" s="91"/>
      <c r="AQ127" s="91"/>
      <c r="AR127" s="91"/>
      <c r="AS127" s="91"/>
      <c r="AT127" s="91"/>
      <c r="AU127" s="91"/>
      <c r="AV127" s="91"/>
      <c r="AW127" s="91"/>
      <c r="AX127" s="91"/>
      <c r="AY127" s="91"/>
      <c r="AZ127" s="91"/>
      <c r="BA127" s="91"/>
      <c r="BB127" s="91"/>
      <c r="BC127" s="91"/>
      <c r="BD127" s="91"/>
      <c r="BE127" s="91"/>
      <c r="BF127" s="91"/>
      <c r="BG127" s="91"/>
      <c r="BH127" s="91"/>
      <c r="BI127" s="91"/>
    </row>
    <row r="128" ht="12.75" customHeight="1">
      <c r="AO128" s="91"/>
      <c r="AP128" s="91"/>
      <c r="AQ128" s="91"/>
      <c r="AR128" s="91"/>
      <c r="AS128" s="91"/>
      <c r="AT128" s="91"/>
      <c r="AU128" s="91"/>
      <c r="AV128" s="91"/>
      <c r="AW128" s="91"/>
      <c r="AX128" s="91"/>
      <c r="AY128" s="91"/>
      <c r="AZ128" s="91"/>
      <c r="BA128" s="91"/>
      <c r="BB128" s="91"/>
      <c r="BC128" s="91"/>
      <c r="BD128" s="91"/>
      <c r="BE128" s="91"/>
      <c r="BF128" s="91"/>
      <c r="BG128" s="91"/>
      <c r="BH128" s="91"/>
      <c r="BI128" s="91"/>
    </row>
    <row r="129" ht="12.75" customHeight="1">
      <c r="AO129" s="91"/>
      <c r="AP129" s="91"/>
      <c r="AQ129" s="91"/>
      <c r="AR129" s="91"/>
      <c r="AS129" s="91"/>
      <c r="AT129" s="91"/>
      <c r="AU129" s="91"/>
      <c r="AV129" s="91"/>
      <c r="AW129" s="91"/>
      <c r="AX129" s="91"/>
      <c r="AY129" s="91"/>
      <c r="AZ129" s="91"/>
      <c r="BA129" s="91"/>
      <c r="BB129" s="91"/>
      <c r="BC129" s="91"/>
      <c r="BD129" s="91"/>
      <c r="BE129" s="91"/>
      <c r="BF129" s="91"/>
      <c r="BG129" s="91"/>
      <c r="BH129" s="91"/>
      <c r="BI129" s="91"/>
    </row>
    <row r="130" ht="12.75" customHeight="1">
      <c r="AO130" s="91"/>
      <c r="AP130" s="91"/>
      <c r="AQ130" s="91"/>
      <c r="AR130" s="91"/>
      <c r="AS130" s="91"/>
      <c r="AT130" s="91"/>
      <c r="AU130" s="91"/>
      <c r="AV130" s="91"/>
      <c r="AW130" s="91"/>
      <c r="AX130" s="91"/>
      <c r="AY130" s="91"/>
      <c r="AZ130" s="91"/>
      <c r="BA130" s="91"/>
      <c r="BB130" s="91"/>
      <c r="BC130" s="91"/>
      <c r="BD130" s="91"/>
      <c r="BE130" s="91"/>
      <c r="BF130" s="91"/>
      <c r="BG130" s="91"/>
      <c r="BH130" s="91"/>
      <c r="BI130" s="91"/>
    </row>
    <row r="131" ht="12.75" customHeight="1">
      <c r="AO131" s="91"/>
      <c r="AP131" s="91"/>
      <c r="AQ131" s="91"/>
      <c r="AR131" s="91"/>
      <c r="AS131" s="91"/>
      <c r="AT131" s="91"/>
      <c r="AU131" s="91"/>
      <c r="AV131" s="91"/>
      <c r="AW131" s="91"/>
      <c r="AX131" s="91"/>
      <c r="AY131" s="91"/>
      <c r="AZ131" s="91"/>
      <c r="BA131" s="91"/>
      <c r="BB131" s="91"/>
      <c r="BC131" s="91"/>
      <c r="BD131" s="91"/>
      <c r="BE131" s="91"/>
      <c r="BF131" s="91"/>
      <c r="BG131" s="91"/>
      <c r="BH131" s="91"/>
      <c r="BI131" s="91"/>
    </row>
    <row r="132" ht="12.75" customHeight="1">
      <c r="AO132" s="91"/>
      <c r="AP132" s="91"/>
      <c r="AQ132" s="91"/>
      <c r="AR132" s="91"/>
      <c r="AS132" s="91"/>
      <c r="AT132" s="91"/>
      <c r="AU132" s="91"/>
      <c r="AV132" s="91"/>
      <c r="AW132" s="91"/>
      <c r="AX132" s="91"/>
      <c r="AY132" s="91"/>
      <c r="AZ132" s="91"/>
      <c r="BA132" s="91"/>
      <c r="BB132" s="91"/>
      <c r="BC132" s="91"/>
      <c r="BD132" s="91"/>
      <c r="BE132" s="91"/>
      <c r="BF132" s="91"/>
      <c r="BG132" s="91"/>
      <c r="BH132" s="91"/>
      <c r="BI132" s="91"/>
    </row>
    <row r="133" ht="12.75" customHeight="1">
      <c r="AO133" s="91"/>
      <c r="AP133" s="91"/>
      <c r="AQ133" s="91"/>
      <c r="AR133" s="91"/>
      <c r="AS133" s="91"/>
      <c r="AT133" s="91"/>
      <c r="AU133" s="91"/>
      <c r="AV133" s="91"/>
      <c r="AW133" s="91"/>
      <c r="AX133" s="91"/>
      <c r="AY133" s="91"/>
      <c r="AZ133" s="91"/>
      <c r="BA133" s="91"/>
      <c r="BB133" s="91"/>
      <c r="BC133" s="91"/>
      <c r="BD133" s="91"/>
      <c r="BE133" s="91"/>
      <c r="BF133" s="91"/>
      <c r="BG133" s="91"/>
      <c r="BH133" s="91"/>
      <c r="BI133" s="91"/>
    </row>
    <row r="134" ht="12.75" customHeight="1">
      <c r="AO134" s="91"/>
      <c r="AP134" s="91"/>
      <c r="AQ134" s="91"/>
      <c r="AR134" s="91"/>
      <c r="AS134" s="91"/>
      <c r="AT134" s="91"/>
      <c r="AU134" s="91"/>
      <c r="AV134" s="91"/>
      <c r="AW134" s="91"/>
      <c r="AX134" s="91"/>
      <c r="AY134" s="91"/>
      <c r="AZ134" s="91"/>
      <c r="BA134" s="91"/>
      <c r="BB134" s="91"/>
      <c r="BC134" s="91"/>
      <c r="BD134" s="91"/>
      <c r="BE134" s="91"/>
      <c r="BF134" s="91"/>
      <c r="BG134" s="91"/>
      <c r="BH134" s="91"/>
      <c r="BI134" s="91"/>
    </row>
    <row r="135" ht="12.75" customHeight="1">
      <c r="AO135" s="91"/>
      <c r="AP135" s="91"/>
      <c r="AQ135" s="91"/>
      <c r="AR135" s="91"/>
      <c r="AS135" s="91"/>
      <c r="AT135" s="91"/>
      <c r="AU135" s="91"/>
      <c r="AV135" s="91"/>
      <c r="AW135" s="91"/>
      <c r="AX135" s="91"/>
      <c r="AY135" s="91"/>
      <c r="AZ135" s="91"/>
      <c r="BA135" s="91"/>
      <c r="BB135" s="91"/>
      <c r="BC135" s="91"/>
      <c r="BD135" s="91"/>
      <c r="BE135" s="91"/>
      <c r="BF135" s="91"/>
      <c r="BG135" s="91"/>
      <c r="BH135" s="91"/>
      <c r="BI135" s="91"/>
    </row>
    <row r="136" ht="12.75" customHeight="1">
      <c r="AO136" s="91"/>
      <c r="AP136" s="91"/>
      <c r="AQ136" s="91"/>
      <c r="AR136" s="91"/>
      <c r="AS136" s="91"/>
      <c r="AT136" s="91"/>
      <c r="AU136" s="91"/>
      <c r="AV136" s="91"/>
      <c r="AW136" s="91"/>
      <c r="AX136" s="91"/>
      <c r="AY136" s="91"/>
      <c r="AZ136" s="91"/>
      <c r="BA136" s="91"/>
      <c r="BB136" s="91"/>
      <c r="BC136" s="91"/>
      <c r="BD136" s="91"/>
      <c r="BE136" s="91"/>
      <c r="BF136" s="91"/>
      <c r="BG136" s="91"/>
      <c r="BH136" s="91"/>
      <c r="BI136" s="91"/>
    </row>
    <row r="137" ht="12.75" customHeight="1">
      <c r="AO137" s="91"/>
      <c r="AP137" s="91"/>
      <c r="AQ137" s="91"/>
      <c r="AR137" s="91"/>
      <c r="AS137" s="91"/>
      <c r="AT137" s="91"/>
      <c r="AU137" s="91"/>
      <c r="AV137" s="91"/>
      <c r="AW137" s="91"/>
      <c r="AX137" s="91"/>
      <c r="AY137" s="91"/>
      <c r="AZ137" s="91"/>
      <c r="BA137" s="91"/>
      <c r="BB137" s="91"/>
      <c r="BC137" s="91"/>
      <c r="BD137" s="91"/>
      <c r="BE137" s="91"/>
      <c r="BF137" s="91"/>
      <c r="BG137" s="91"/>
      <c r="BH137" s="91"/>
      <c r="BI137" s="91"/>
    </row>
    <row r="138" ht="12.75" customHeight="1">
      <c r="AO138" s="91"/>
      <c r="AP138" s="91"/>
      <c r="AQ138" s="91"/>
      <c r="AR138" s="91"/>
      <c r="AS138" s="91"/>
      <c r="AT138" s="91"/>
      <c r="AU138" s="91"/>
      <c r="AV138" s="91"/>
      <c r="AW138" s="91"/>
      <c r="AX138" s="91"/>
      <c r="AY138" s="91"/>
      <c r="AZ138" s="91"/>
      <c r="BA138" s="91"/>
      <c r="BB138" s="91"/>
      <c r="BC138" s="91"/>
      <c r="BD138" s="91"/>
      <c r="BE138" s="91"/>
      <c r="BF138" s="91"/>
      <c r="BG138" s="91"/>
      <c r="BH138" s="91"/>
      <c r="BI138" s="91"/>
    </row>
    <row r="139" ht="12.75" customHeight="1">
      <c r="AO139" s="91"/>
      <c r="AP139" s="91"/>
      <c r="AQ139" s="91"/>
      <c r="AR139" s="91"/>
      <c r="AS139" s="91"/>
      <c r="AT139" s="91"/>
      <c r="AU139" s="91"/>
      <c r="AV139" s="91"/>
      <c r="AW139" s="91"/>
      <c r="AX139" s="91"/>
      <c r="AY139" s="91"/>
      <c r="AZ139" s="91"/>
      <c r="BA139" s="91"/>
      <c r="BB139" s="91"/>
      <c r="BC139" s="91"/>
      <c r="BD139" s="91"/>
      <c r="BE139" s="91"/>
      <c r="BF139" s="91"/>
      <c r="BG139" s="91"/>
      <c r="BH139" s="91"/>
      <c r="BI139" s="91"/>
    </row>
    <row r="140" ht="12.75" customHeight="1">
      <c r="AO140" s="91"/>
      <c r="AP140" s="91"/>
      <c r="AQ140" s="91"/>
      <c r="AR140" s="91"/>
      <c r="AS140" s="91"/>
      <c r="AT140" s="91"/>
      <c r="AU140" s="91"/>
      <c r="AV140" s="91"/>
      <c r="AW140" s="91"/>
      <c r="AX140" s="91"/>
      <c r="AY140" s="91"/>
      <c r="AZ140" s="91"/>
      <c r="BA140" s="91"/>
      <c r="BB140" s="91"/>
      <c r="BC140" s="91"/>
      <c r="BD140" s="91"/>
      <c r="BE140" s="91"/>
      <c r="BF140" s="91"/>
      <c r="BG140" s="91"/>
      <c r="BH140" s="91"/>
      <c r="BI140" s="91"/>
    </row>
    <row r="141" ht="12.75" customHeight="1">
      <c r="AO141" s="91"/>
      <c r="AP141" s="91"/>
      <c r="AQ141" s="91"/>
      <c r="AR141" s="91"/>
      <c r="AS141" s="91"/>
      <c r="AT141" s="91"/>
      <c r="AU141" s="91"/>
      <c r="AV141" s="91"/>
      <c r="AW141" s="91"/>
      <c r="AX141" s="91"/>
      <c r="AY141" s="91"/>
      <c r="AZ141" s="91"/>
      <c r="BA141" s="91"/>
      <c r="BB141" s="91"/>
      <c r="BC141" s="91"/>
      <c r="BD141" s="91"/>
      <c r="BE141" s="91"/>
      <c r="BF141" s="91"/>
      <c r="BG141" s="91"/>
      <c r="BH141" s="91"/>
      <c r="BI141" s="91"/>
    </row>
    <row r="142" ht="12.75" customHeight="1">
      <c r="AO142" s="91"/>
      <c r="AP142" s="91"/>
      <c r="AQ142" s="91"/>
      <c r="AR142" s="91"/>
      <c r="AS142" s="91"/>
      <c r="AT142" s="91"/>
      <c r="AU142" s="91"/>
      <c r="AV142" s="91"/>
      <c r="AW142" s="91"/>
      <c r="AX142" s="91"/>
      <c r="AY142" s="91"/>
      <c r="AZ142" s="91"/>
      <c r="BA142" s="91"/>
      <c r="BB142" s="91"/>
      <c r="BC142" s="91"/>
      <c r="BD142" s="91"/>
      <c r="BE142" s="91"/>
      <c r="BF142" s="91"/>
      <c r="BG142" s="91"/>
      <c r="BH142" s="91"/>
      <c r="BI142" s="91"/>
    </row>
    <row r="143" ht="12.75" customHeight="1">
      <c r="AO143" s="91"/>
      <c r="AP143" s="91"/>
      <c r="AQ143" s="91"/>
      <c r="AR143" s="91"/>
      <c r="AS143" s="91"/>
      <c r="AT143" s="91"/>
      <c r="AU143" s="91"/>
      <c r="AV143" s="91"/>
      <c r="AW143" s="91"/>
      <c r="AX143" s="91"/>
      <c r="AY143" s="91"/>
      <c r="AZ143" s="91"/>
      <c r="BA143" s="91"/>
      <c r="BB143" s="91"/>
      <c r="BC143" s="91"/>
      <c r="BD143" s="91"/>
      <c r="BE143" s="91"/>
      <c r="BF143" s="91"/>
      <c r="BG143" s="91"/>
      <c r="BH143" s="91"/>
      <c r="BI143" s="91"/>
    </row>
    <row r="144" ht="12.75" customHeight="1">
      <c r="AO144" s="91"/>
      <c r="AP144" s="91"/>
      <c r="AQ144" s="91"/>
      <c r="AR144" s="91"/>
      <c r="AS144" s="91"/>
      <c r="AT144" s="91"/>
      <c r="AU144" s="91"/>
      <c r="AV144" s="91"/>
      <c r="AW144" s="91"/>
      <c r="AX144" s="91"/>
      <c r="AY144" s="91"/>
      <c r="AZ144" s="91"/>
      <c r="BA144" s="91"/>
      <c r="BB144" s="91"/>
      <c r="BC144" s="91"/>
      <c r="BD144" s="91"/>
      <c r="BE144" s="91"/>
      <c r="BF144" s="91"/>
      <c r="BG144" s="91"/>
      <c r="BH144" s="91"/>
      <c r="BI144" s="91"/>
    </row>
    <row r="145" ht="12.75" customHeight="1">
      <c r="AO145" s="91"/>
      <c r="AP145" s="91"/>
      <c r="AQ145" s="91"/>
      <c r="AR145" s="91"/>
      <c r="AS145" s="91"/>
      <c r="AT145" s="91"/>
      <c r="AU145" s="91"/>
      <c r="AV145" s="91"/>
      <c r="AW145" s="91"/>
      <c r="AX145" s="91"/>
      <c r="AY145" s="91"/>
      <c r="AZ145" s="91"/>
      <c r="BA145" s="91"/>
      <c r="BB145" s="91"/>
      <c r="BC145" s="91"/>
      <c r="BD145" s="91"/>
      <c r="BE145" s="91"/>
      <c r="BF145" s="91"/>
      <c r="BG145" s="91"/>
      <c r="BH145" s="91"/>
      <c r="BI145" s="91"/>
    </row>
    <row r="146" ht="12.75" customHeight="1">
      <c r="AO146" s="91"/>
      <c r="AP146" s="91"/>
      <c r="AQ146" s="91"/>
      <c r="AR146" s="91"/>
      <c r="AS146" s="91"/>
      <c r="AT146" s="91"/>
      <c r="AU146" s="91"/>
      <c r="AV146" s="91"/>
      <c r="AW146" s="91"/>
      <c r="AX146" s="91"/>
      <c r="AY146" s="91"/>
      <c r="AZ146" s="91"/>
      <c r="BA146" s="91"/>
      <c r="BB146" s="91"/>
      <c r="BC146" s="91"/>
      <c r="BD146" s="91"/>
      <c r="BE146" s="91"/>
      <c r="BF146" s="91"/>
      <c r="BG146" s="91"/>
      <c r="BH146" s="91"/>
      <c r="BI146" s="91"/>
    </row>
    <row r="147" ht="12.75" customHeight="1">
      <c r="AO147" s="91"/>
      <c r="AP147" s="91"/>
      <c r="AQ147" s="91"/>
      <c r="AR147" s="91"/>
      <c r="AS147" s="91"/>
      <c r="AT147" s="91"/>
      <c r="AU147" s="91"/>
      <c r="AV147" s="91"/>
      <c r="AW147" s="91"/>
      <c r="AX147" s="91"/>
      <c r="AY147" s="91"/>
      <c r="AZ147" s="91"/>
      <c r="BA147" s="91"/>
      <c r="BB147" s="91"/>
      <c r="BC147" s="91"/>
      <c r="BD147" s="91"/>
      <c r="BE147" s="91"/>
      <c r="BF147" s="91"/>
      <c r="BG147" s="91"/>
      <c r="BH147" s="91"/>
      <c r="BI147" s="91"/>
    </row>
    <row r="148" ht="12.75" customHeight="1">
      <c r="AO148" s="91"/>
      <c r="AP148" s="91"/>
      <c r="AQ148" s="91"/>
      <c r="AR148" s="91"/>
      <c r="AS148" s="91"/>
      <c r="AT148" s="91"/>
      <c r="AU148" s="91"/>
      <c r="AV148" s="91"/>
      <c r="AW148" s="91"/>
      <c r="AX148" s="91"/>
      <c r="AY148" s="91"/>
      <c r="AZ148" s="91"/>
      <c r="BA148" s="91"/>
      <c r="BB148" s="91"/>
      <c r="BC148" s="91"/>
      <c r="BD148" s="91"/>
      <c r="BE148" s="91"/>
      <c r="BF148" s="91"/>
      <c r="BG148" s="91"/>
      <c r="BH148" s="91"/>
      <c r="BI148" s="91"/>
    </row>
    <row r="149" ht="12.75" customHeight="1">
      <c r="AO149" s="91"/>
      <c r="AP149" s="91"/>
      <c r="AQ149" s="91"/>
      <c r="AR149" s="91"/>
      <c r="AS149" s="91"/>
      <c r="AT149" s="91"/>
      <c r="AU149" s="91"/>
      <c r="AV149" s="91"/>
      <c r="AW149" s="91"/>
      <c r="AX149" s="91"/>
      <c r="AY149" s="91"/>
      <c r="AZ149" s="91"/>
      <c r="BA149" s="91"/>
      <c r="BB149" s="91"/>
      <c r="BC149" s="91"/>
      <c r="BD149" s="91"/>
      <c r="BE149" s="91"/>
      <c r="BF149" s="91"/>
      <c r="BG149" s="91"/>
      <c r="BH149" s="91"/>
      <c r="BI149" s="91"/>
    </row>
    <row r="150" ht="12.75" customHeight="1">
      <c r="AO150" s="91"/>
      <c r="AP150" s="91"/>
      <c r="AQ150" s="91"/>
      <c r="AR150" s="91"/>
      <c r="AS150" s="91"/>
      <c r="AT150" s="91"/>
      <c r="AU150" s="91"/>
      <c r="AV150" s="91"/>
      <c r="AW150" s="91"/>
      <c r="AX150" s="91"/>
      <c r="AY150" s="91"/>
      <c r="AZ150" s="91"/>
      <c r="BA150" s="91"/>
      <c r="BB150" s="91"/>
      <c r="BC150" s="91"/>
      <c r="BD150" s="91"/>
      <c r="BE150" s="91"/>
      <c r="BF150" s="91"/>
      <c r="BG150" s="91"/>
      <c r="BH150" s="91"/>
      <c r="BI150" s="91"/>
    </row>
    <row r="151" ht="12.75" customHeight="1">
      <c r="AO151" s="91"/>
      <c r="AP151" s="91"/>
      <c r="AQ151" s="91"/>
      <c r="AR151" s="91"/>
      <c r="AS151" s="91"/>
      <c r="AT151" s="91"/>
      <c r="AU151" s="91"/>
      <c r="AV151" s="91"/>
      <c r="AW151" s="91"/>
      <c r="AX151" s="91"/>
      <c r="AY151" s="91"/>
      <c r="AZ151" s="91"/>
      <c r="BA151" s="91"/>
      <c r="BB151" s="91"/>
      <c r="BC151" s="91"/>
      <c r="BD151" s="91"/>
      <c r="BE151" s="91"/>
      <c r="BF151" s="91"/>
      <c r="BG151" s="91"/>
      <c r="BH151" s="91"/>
      <c r="BI151" s="91"/>
    </row>
    <row r="152" ht="12.75" customHeight="1">
      <c r="AO152" s="91"/>
      <c r="AP152" s="91"/>
      <c r="AQ152" s="91"/>
      <c r="AR152" s="91"/>
      <c r="AS152" s="91"/>
      <c r="AT152" s="91"/>
      <c r="AU152" s="91"/>
      <c r="AV152" s="91"/>
      <c r="AW152" s="91"/>
      <c r="AX152" s="91"/>
      <c r="AY152" s="91"/>
      <c r="AZ152" s="91"/>
      <c r="BA152" s="91"/>
      <c r="BB152" s="91"/>
      <c r="BC152" s="91"/>
      <c r="BD152" s="91"/>
      <c r="BE152" s="91"/>
      <c r="BF152" s="91"/>
      <c r="BG152" s="91"/>
      <c r="BH152" s="91"/>
      <c r="BI152" s="91"/>
    </row>
    <row r="153" ht="12.75" customHeight="1">
      <c r="AO153" s="91"/>
      <c r="AP153" s="91"/>
      <c r="AQ153" s="91"/>
      <c r="AR153" s="91"/>
      <c r="AS153" s="91"/>
      <c r="AT153" s="91"/>
      <c r="AU153" s="91"/>
      <c r="AV153" s="91"/>
      <c r="AW153" s="91"/>
      <c r="AX153" s="91"/>
      <c r="AY153" s="91"/>
      <c r="AZ153" s="91"/>
      <c r="BA153" s="91"/>
      <c r="BB153" s="91"/>
      <c r="BC153" s="91"/>
      <c r="BD153" s="91"/>
      <c r="BE153" s="91"/>
      <c r="BF153" s="91"/>
      <c r="BG153" s="91"/>
      <c r="BH153" s="91"/>
      <c r="BI153" s="91"/>
    </row>
    <row r="154" ht="12.75" customHeight="1">
      <c r="AO154" s="91"/>
      <c r="AP154" s="91"/>
      <c r="AQ154" s="91"/>
      <c r="AR154" s="91"/>
      <c r="AS154" s="91"/>
      <c r="AT154" s="91"/>
      <c r="AU154" s="91"/>
      <c r="AV154" s="91"/>
      <c r="AW154" s="91"/>
      <c r="AX154" s="91"/>
      <c r="AY154" s="91"/>
      <c r="AZ154" s="91"/>
      <c r="BA154" s="91"/>
      <c r="BB154" s="91"/>
      <c r="BC154" s="91"/>
      <c r="BD154" s="91"/>
      <c r="BE154" s="91"/>
      <c r="BF154" s="91"/>
      <c r="BG154" s="91"/>
      <c r="BH154" s="91"/>
      <c r="BI154" s="91"/>
    </row>
    <row r="155" ht="12.75" customHeight="1">
      <c r="AO155" s="91"/>
      <c r="AP155" s="91"/>
      <c r="AQ155" s="91"/>
      <c r="AR155" s="91"/>
      <c r="AS155" s="91"/>
      <c r="AT155" s="91"/>
      <c r="AU155" s="91"/>
      <c r="AV155" s="91"/>
      <c r="AW155" s="91"/>
      <c r="AX155" s="91"/>
      <c r="AY155" s="91"/>
      <c r="AZ155" s="91"/>
      <c r="BA155" s="91"/>
      <c r="BB155" s="91"/>
      <c r="BC155" s="91"/>
      <c r="BD155" s="91"/>
      <c r="BE155" s="91"/>
      <c r="BF155" s="91"/>
      <c r="BG155" s="91"/>
      <c r="BH155" s="91"/>
      <c r="BI155" s="91"/>
    </row>
    <row r="156" ht="12.75" customHeight="1">
      <c r="AO156" s="91"/>
      <c r="AP156" s="91"/>
      <c r="AQ156" s="91"/>
      <c r="AR156" s="91"/>
      <c r="AS156" s="91"/>
      <c r="AT156" s="91"/>
      <c r="AU156" s="91"/>
      <c r="AV156" s="91"/>
      <c r="AW156" s="91"/>
      <c r="AX156" s="91"/>
      <c r="AY156" s="91"/>
      <c r="AZ156" s="91"/>
      <c r="BA156" s="91"/>
      <c r="BB156" s="91"/>
      <c r="BC156" s="91"/>
      <c r="BD156" s="91"/>
      <c r="BE156" s="91"/>
      <c r="BF156" s="91"/>
      <c r="BG156" s="91"/>
      <c r="BH156" s="91"/>
      <c r="BI156" s="91"/>
    </row>
    <row r="157" ht="12.75" customHeight="1">
      <c r="AO157" s="91"/>
      <c r="AP157" s="91"/>
      <c r="AQ157" s="91"/>
      <c r="AR157" s="91"/>
      <c r="AS157" s="91"/>
      <c r="AT157" s="91"/>
      <c r="AU157" s="91"/>
      <c r="AV157" s="91"/>
      <c r="AW157" s="91"/>
      <c r="AX157" s="91"/>
      <c r="AY157" s="91"/>
      <c r="AZ157" s="91"/>
      <c r="BA157" s="91"/>
      <c r="BB157" s="91"/>
      <c r="BC157" s="91"/>
      <c r="BD157" s="91"/>
      <c r="BE157" s="91"/>
      <c r="BF157" s="91"/>
      <c r="BG157" s="91"/>
      <c r="BH157" s="91"/>
      <c r="BI157" s="91"/>
    </row>
    <row r="158" ht="12.75" customHeight="1">
      <c r="AO158" s="91"/>
      <c r="AP158" s="91"/>
      <c r="AQ158" s="91"/>
      <c r="AR158" s="91"/>
      <c r="AS158" s="91"/>
      <c r="AT158" s="91"/>
      <c r="AU158" s="91"/>
      <c r="AV158" s="91"/>
      <c r="AW158" s="91"/>
      <c r="AX158" s="91"/>
      <c r="AY158" s="91"/>
      <c r="AZ158" s="91"/>
      <c r="BA158" s="91"/>
      <c r="BB158" s="91"/>
      <c r="BC158" s="91"/>
      <c r="BD158" s="91"/>
      <c r="BE158" s="91"/>
      <c r="BF158" s="91"/>
      <c r="BG158" s="91"/>
      <c r="BH158" s="91"/>
      <c r="BI158" s="91"/>
    </row>
    <row r="159" ht="12.75" customHeight="1">
      <c r="AO159" s="91"/>
      <c r="AP159" s="91"/>
      <c r="AQ159" s="91"/>
      <c r="AR159" s="91"/>
      <c r="AS159" s="91"/>
      <c r="AT159" s="91"/>
      <c r="AU159" s="91"/>
      <c r="AV159" s="91"/>
      <c r="AW159" s="91"/>
      <c r="AX159" s="91"/>
      <c r="AY159" s="91"/>
      <c r="AZ159" s="91"/>
      <c r="BA159" s="91"/>
      <c r="BB159" s="91"/>
      <c r="BC159" s="91"/>
      <c r="BD159" s="91"/>
      <c r="BE159" s="91"/>
      <c r="BF159" s="91"/>
      <c r="BG159" s="91"/>
      <c r="BH159" s="91"/>
      <c r="BI159" s="91"/>
    </row>
    <row r="160" ht="12.75" customHeight="1">
      <c r="AO160" s="91"/>
      <c r="AP160" s="91"/>
      <c r="AQ160" s="91"/>
      <c r="AR160" s="91"/>
      <c r="AS160" s="91"/>
      <c r="AT160" s="91"/>
      <c r="AU160" s="91"/>
      <c r="AV160" s="91"/>
      <c r="AW160" s="91"/>
      <c r="AX160" s="91"/>
      <c r="AY160" s="91"/>
      <c r="AZ160" s="91"/>
      <c r="BA160" s="91"/>
      <c r="BB160" s="91"/>
      <c r="BC160" s="91"/>
      <c r="BD160" s="91"/>
      <c r="BE160" s="91"/>
      <c r="BF160" s="91"/>
      <c r="BG160" s="91"/>
      <c r="BH160" s="91"/>
      <c r="BI160" s="91"/>
    </row>
    <row r="161" ht="12.75" customHeight="1">
      <c r="AO161" s="91"/>
      <c r="AP161" s="91"/>
      <c r="AQ161" s="91"/>
      <c r="AR161" s="91"/>
      <c r="AS161" s="91"/>
      <c r="AT161" s="91"/>
      <c r="AU161" s="91"/>
      <c r="AV161" s="91"/>
      <c r="AW161" s="91"/>
      <c r="AX161" s="91"/>
      <c r="AY161" s="91"/>
      <c r="AZ161" s="91"/>
      <c r="BA161" s="91"/>
      <c r="BB161" s="91"/>
      <c r="BC161" s="91"/>
      <c r="BD161" s="91"/>
      <c r="BE161" s="91"/>
      <c r="BF161" s="91"/>
      <c r="BG161" s="91"/>
      <c r="BH161" s="91"/>
      <c r="BI161" s="91"/>
    </row>
    <row r="162" ht="12.75" customHeight="1">
      <c r="AO162" s="91"/>
      <c r="AP162" s="91"/>
      <c r="AQ162" s="91"/>
      <c r="AR162" s="91"/>
      <c r="AS162" s="91"/>
      <c r="AT162" s="91"/>
      <c r="AU162" s="91"/>
      <c r="AV162" s="91"/>
      <c r="AW162" s="91"/>
      <c r="AX162" s="91"/>
      <c r="AY162" s="91"/>
      <c r="AZ162" s="91"/>
      <c r="BA162" s="91"/>
      <c r="BB162" s="91"/>
      <c r="BC162" s="91"/>
      <c r="BD162" s="91"/>
      <c r="BE162" s="91"/>
      <c r="BF162" s="91"/>
      <c r="BG162" s="91"/>
      <c r="BH162" s="91"/>
      <c r="BI162" s="91"/>
    </row>
    <row r="163" ht="12.75" customHeight="1">
      <c r="AO163" s="91"/>
      <c r="AP163" s="91"/>
      <c r="AQ163" s="91"/>
      <c r="AR163" s="91"/>
      <c r="AS163" s="91"/>
      <c r="AT163" s="91"/>
      <c r="AU163" s="91"/>
      <c r="AV163" s="91"/>
      <c r="AW163" s="91"/>
      <c r="AX163" s="91"/>
      <c r="AY163" s="91"/>
      <c r="AZ163" s="91"/>
      <c r="BA163" s="91"/>
      <c r="BB163" s="91"/>
      <c r="BC163" s="91"/>
      <c r="BD163" s="91"/>
      <c r="BE163" s="91"/>
      <c r="BF163" s="91"/>
      <c r="BG163" s="91"/>
      <c r="BH163" s="91"/>
      <c r="BI163" s="91"/>
    </row>
    <row r="164" ht="12.75" customHeight="1">
      <c r="AO164" s="91"/>
      <c r="AP164" s="91"/>
      <c r="AQ164" s="91"/>
      <c r="AR164" s="91"/>
      <c r="AS164" s="91"/>
      <c r="AT164" s="91"/>
      <c r="AU164" s="91"/>
      <c r="AV164" s="91"/>
      <c r="AW164" s="91"/>
      <c r="AX164" s="91"/>
      <c r="AY164" s="91"/>
      <c r="AZ164" s="91"/>
      <c r="BA164" s="91"/>
      <c r="BB164" s="91"/>
      <c r="BC164" s="91"/>
      <c r="BD164" s="91"/>
      <c r="BE164" s="91"/>
      <c r="BF164" s="91"/>
      <c r="BG164" s="91"/>
      <c r="BH164" s="91"/>
      <c r="BI164" s="91"/>
    </row>
    <row r="165" ht="12.75" customHeight="1">
      <c r="AO165" s="91"/>
      <c r="AP165" s="91"/>
      <c r="AQ165" s="91"/>
      <c r="AR165" s="91"/>
      <c r="AS165" s="91"/>
      <c r="AT165" s="91"/>
      <c r="AU165" s="91"/>
      <c r="AV165" s="91"/>
      <c r="AW165" s="91"/>
      <c r="AX165" s="91"/>
      <c r="AY165" s="91"/>
      <c r="AZ165" s="91"/>
      <c r="BA165" s="91"/>
      <c r="BB165" s="91"/>
      <c r="BC165" s="91"/>
      <c r="BD165" s="91"/>
      <c r="BE165" s="91"/>
      <c r="BF165" s="91"/>
      <c r="BG165" s="91"/>
      <c r="BH165" s="91"/>
      <c r="BI165" s="91"/>
    </row>
    <row r="166" ht="12.75" customHeight="1">
      <c r="AO166" s="91"/>
      <c r="AP166" s="91"/>
      <c r="AQ166" s="91"/>
      <c r="AR166" s="91"/>
      <c r="AS166" s="91"/>
      <c r="AT166" s="91"/>
      <c r="AU166" s="91"/>
      <c r="AV166" s="91"/>
      <c r="AW166" s="91"/>
      <c r="AX166" s="91"/>
      <c r="AY166" s="91"/>
      <c r="AZ166" s="91"/>
      <c r="BA166" s="91"/>
      <c r="BB166" s="91"/>
      <c r="BC166" s="91"/>
      <c r="BD166" s="91"/>
      <c r="BE166" s="91"/>
      <c r="BF166" s="91"/>
      <c r="BG166" s="91"/>
      <c r="BH166" s="91"/>
      <c r="BI166" s="91"/>
    </row>
    <row r="167" ht="12.75" customHeight="1">
      <c r="AO167" s="91"/>
      <c r="AP167" s="91"/>
      <c r="AQ167" s="91"/>
      <c r="AR167" s="91"/>
      <c r="AS167" s="91"/>
      <c r="AT167" s="91"/>
      <c r="AU167" s="91"/>
      <c r="AV167" s="91"/>
      <c r="AW167" s="91"/>
      <c r="AX167" s="91"/>
      <c r="AY167" s="91"/>
      <c r="AZ167" s="91"/>
      <c r="BA167" s="91"/>
      <c r="BB167" s="91"/>
      <c r="BC167" s="91"/>
      <c r="BD167" s="91"/>
      <c r="BE167" s="91"/>
      <c r="BF167" s="91"/>
      <c r="BG167" s="91"/>
      <c r="BH167" s="91"/>
      <c r="BI167" s="91"/>
    </row>
    <row r="168" ht="12.75" customHeight="1">
      <c r="AO168" s="91"/>
      <c r="AP168" s="91"/>
      <c r="AQ168" s="91"/>
      <c r="AR168" s="91"/>
      <c r="AS168" s="91"/>
      <c r="AT168" s="91"/>
      <c r="AU168" s="91"/>
      <c r="AV168" s="91"/>
      <c r="AW168" s="91"/>
      <c r="AX168" s="91"/>
      <c r="AY168" s="91"/>
      <c r="AZ168" s="91"/>
      <c r="BA168" s="91"/>
      <c r="BB168" s="91"/>
      <c r="BC168" s="91"/>
      <c r="BD168" s="91"/>
      <c r="BE168" s="91"/>
      <c r="BF168" s="91"/>
      <c r="BG168" s="91"/>
      <c r="BH168" s="91"/>
      <c r="BI168" s="91"/>
    </row>
    <row r="169" ht="12.75" customHeight="1">
      <c r="AO169" s="91"/>
      <c r="AP169" s="91"/>
      <c r="AQ169" s="91"/>
      <c r="AR169" s="91"/>
      <c r="AS169" s="91"/>
      <c r="AT169" s="91"/>
      <c r="AU169" s="91"/>
      <c r="AV169" s="91"/>
      <c r="AW169" s="91"/>
      <c r="AX169" s="91"/>
      <c r="AY169" s="91"/>
      <c r="AZ169" s="91"/>
      <c r="BA169" s="91"/>
      <c r="BB169" s="91"/>
      <c r="BC169" s="91"/>
      <c r="BD169" s="91"/>
      <c r="BE169" s="91"/>
      <c r="BF169" s="91"/>
      <c r="BG169" s="91"/>
      <c r="BH169" s="91"/>
      <c r="BI169" s="91"/>
    </row>
    <row r="170" ht="12.75" customHeight="1">
      <c r="AO170" s="91"/>
      <c r="AP170" s="91"/>
      <c r="AQ170" s="91"/>
      <c r="AR170" s="91"/>
      <c r="AS170" s="91"/>
      <c r="AT170" s="91"/>
      <c r="AU170" s="91"/>
      <c r="AV170" s="91"/>
      <c r="AW170" s="91"/>
      <c r="AX170" s="91"/>
      <c r="AY170" s="91"/>
      <c r="AZ170" s="91"/>
      <c r="BA170" s="91"/>
      <c r="BB170" s="91"/>
      <c r="BC170" s="91"/>
      <c r="BD170" s="91"/>
      <c r="BE170" s="91"/>
      <c r="BF170" s="91"/>
      <c r="BG170" s="91"/>
      <c r="BH170" s="91"/>
      <c r="BI170" s="91"/>
    </row>
    <row r="171" ht="12.75" customHeight="1">
      <c r="AO171" s="91"/>
      <c r="AP171" s="91"/>
      <c r="AQ171" s="91"/>
      <c r="AR171" s="91"/>
      <c r="AS171" s="91"/>
      <c r="AT171" s="91"/>
      <c r="AU171" s="91"/>
      <c r="AV171" s="91"/>
      <c r="AW171" s="91"/>
      <c r="AX171" s="91"/>
      <c r="AY171" s="91"/>
      <c r="AZ171" s="91"/>
      <c r="BA171" s="91"/>
      <c r="BB171" s="91"/>
      <c r="BC171" s="91"/>
      <c r="BD171" s="91"/>
      <c r="BE171" s="91"/>
      <c r="BF171" s="91"/>
      <c r="BG171" s="91"/>
      <c r="BH171" s="91"/>
      <c r="BI171" s="91"/>
    </row>
    <row r="172" ht="12.75" customHeight="1">
      <c r="AO172" s="91"/>
      <c r="AP172" s="91"/>
      <c r="AQ172" s="91"/>
      <c r="AR172" s="91"/>
      <c r="AS172" s="91"/>
      <c r="AT172" s="91"/>
      <c r="AU172" s="91"/>
      <c r="AV172" s="91"/>
      <c r="AW172" s="91"/>
      <c r="AX172" s="91"/>
      <c r="AY172" s="91"/>
      <c r="AZ172" s="91"/>
      <c r="BA172" s="91"/>
      <c r="BB172" s="91"/>
      <c r="BC172" s="91"/>
      <c r="BD172" s="91"/>
      <c r="BE172" s="91"/>
      <c r="BF172" s="91"/>
      <c r="BG172" s="91"/>
      <c r="BH172" s="91"/>
      <c r="BI172" s="91"/>
    </row>
    <row r="173" ht="12.75" customHeight="1">
      <c r="AO173" s="91"/>
      <c r="AP173" s="91"/>
      <c r="AQ173" s="91"/>
      <c r="AR173" s="91"/>
      <c r="AS173" s="91"/>
      <c r="AT173" s="91"/>
      <c r="AU173" s="91"/>
      <c r="AV173" s="91"/>
      <c r="AW173" s="91"/>
      <c r="AX173" s="91"/>
      <c r="AY173" s="91"/>
      <c r="AZ173" s="91"/>
      <c r="BA173" s="91"/>
      <c r="BB173" s="91"/>
      <c r="BC173" s="91"/>
      <c r="BD173" s="91"/>
      <c r="BE173" s="91"/>
      <c r="BF173" s="91"/>
      <c r="BG173" s="91"/>
      <c r="BH173" s="91"/>
      <c r="BI173" s="91"/>
    </row>
    <row r="174" ht="12.75" customHeight="1">
      <c r="AO174" s="91"/>
      <c r="AP174" s="91"/>
      <c r="AQ174" s="91"/>
      <c r="AR174" s="91"/>
      <c r="AS174" s="91"/>
      <c r="AT174" s="91"/>
      <c r="AU174" s="91"/>
      <c r="AV174" s="91"/>
      <c r="AW174" s="91"/>
      <c r="AX174" s="91"/>
      <c r="AY174" s="91"/>
      <c r="AZ174" s="91"/>
      <c r="BA174" s="91"/>
      <c r="BB174" s="91"/>
      <c r="BC174" s="91"/>
      <c r="BD174" s="91"/>
      <c r="BE174" s="91"/>
      <c r="BF174" s="91"/>
      <c r="BG174" s="91"/>
      <c r="BH174" s="91"/>
      <c r="BI174" s="91"/>
    </row>
    <row r="175" ht="12.75" customHeight="1">
      <c r="AO175" s="91"/>
      <c r="AP175" s="91"/>
      <c r="AQ175" s="91"/>
      <c r="AR175" s="91"/>
      <c r="AS175" s="91"/>
      <c r="AT175" s="91"/>
      <c r="AU175" s="91"/>
      <c r="AV175" s="91"/>
      <c r="AW175" s="91"/>
      <c r="AX175" s="91"/>
      <c r="AY175" s="91"/>
      <c r="AZ175" s="91"/>
      <c r="BA175" s="91"/>
      <c r="BB175" s="91"/>
      <c r="BC175" s="91"/>
      <c r="BD175" s="91"/>
      <c r="BE175" s="91"/>
      <c r="BF175" s="91"/>
      <c r="BG175" s="91"/>
      <c r="BH175" s="91"/>
      <c r="BI175" s="91"/>
    </row>
    <row r="176" ht="12.75" customHeight="1">
      <c r="AO176" s="91"/>
      <c r="AP176" s="91"/>
      <c r="AQ176" s="91"/>
      <c r="AR176" s="91"/>
      <c r="AS176" s="91"/>
      <c r="AT176" s="91"/>
      <c r="AU176" s="91"/>
      <c r="AV176" s="91"/>
      <c r="AW176" s="91"/>
      <c r="AX176" s="91"/>
      <c r="AY176" s="91"/>
      <c r="AZ176" s="91"/>
      <c r="BA176" s="91"/>
      <c r="BB176" s="91"/>
      <c r="BC176" s="91"/>
      <c r="BD176" s="91"/>
      <c r="BE176" s="91"/>
      <c r="BF176" s="91"/>
      <c r="BG176" s="91"/>
      <c r="BH176" s="91"/>
      <c r="BI176" s="91"/>
    </row>
    <row r="177" ht="12.75" customHeight="1">
      <c r="AO177" s="91"/>
      <c r="AP177" s="91"/>
      <c r="AQ177" s="91"/>
      <c r="AR177" s="91"/>
      <c r="AS177" s="91"/>
      <c r="AT177" s="91"/>
      <c r="AU177" s="91"/>
      <c r="AV177" s="91"/>
      <c r="AW177" s="91"/>
      <c r="AX177" s="91"/>
      <c r="AY177" s="91"/>
      <c r="AZ177" s="91"/>
      <c r="BA177" s="91"/>
      <c r="BB177" s="91"/>
      <c r="BC177" s="91"/>
      <c r="BD177" s="91"/>
      <c r="BE177" s="91"/>
      <c r="BF177" s="91"/>
      <c r="BG177" s="91"/>
      <c r="BH177" s="91"/>
      <c r="BI177" s="91"/>
    </row>
    <row r="178" ht="12.75" customHeight="1">
      <c r="AO178" s="91"/>
      <c r="AP178" s="91"/>
      <c r="AQ178" s="91"/>
      <c r="AR178" s="91"/>
      <c r="AS178" s="91"/>
      <c r="AT178" s="91"/>
      <c r="AU178" s="91"/>
      <c r="AV178" s="91"/>
      <c r="AW178" s="91"/>
      <c r="AX178" s="91"/>
      <c r="AY178" s="91"/>
      <c r="AZ178" s="91"/>
      <c r="BA178" s="91"/>
      <c r="BB178" s="91"/>
      <c r="BC178" s="91"/>
      <c r="BD178" s="91"/>
      <c r="BE178" s="91"/>
      <c r="BF178" s="91"/>
      <c r="BG178" s="91"/>
      <c r="BH178" s="91"/>
      <c r="BI178" s="91"/>
    </row>
    <row r="179" ht="12.75" customHeight="1">
      <c r="AO179" s="91"/>
      <c r="AP179" s="91"/>
      <c r="AQ179" s="91"/>
      <c r="AR179" s="91"/>
      <c r="AS179" s="91"/>
      <c r="AT179" s="91"/>
      <c r="AU179" s="91"/>
      <c r="AV179" s="91"/>
      <c r="AW179" s="91"/>
      <c r="AX179" s="91"/>
      <c r="AY179" s="91"/>
      <c r="AZ179" s="91"/>
      <c r="BA179" s="91"/>
      <c r="BB179" s="91"/>
      <c r="BC179" s="91"/>
      <c r="BD179" s="91"/>
      <c r="BE179" s="91"/>
      <c r="BF179" s="91"/>
      <c r="BG179" s="91"/>
      <c r="BH179" s="91"/>
      <c r="BI179" s="91"/>
    </row>
    <row r="180" ht="12.75" customHeight="1">
      <c r="AO180" s="91"/>
      <c r="AP180" s="91"/>
      <c r="AQ180" s="91"/>
      <c r="AR180" s="91"/>
      <c r="AS180" s="91"/>
      <c r="AT180" s="91"/>
      <c r="AU180" s="91"/>
      <c r="AV180" s="91"/>
      <c r="AW180" s="91"/>
      <c r="AX180" s="91"/>
      <c r="AY180" s="91"/>
      <c r="AZ180" s="91"/>
      <c r="BA180" s="91"/>
      <c r="BB180" s="91"/>
      <c r="BC180" s="91"/>
      <c r="BD180" s="91"/>
      <c r="BE180" s="91"/>
      <c r="BF180" s="91"/>
      <c r="BG180" s="91"/>
      <c r="BH180" s="91"/>
      <c r="BI180" s="91"/>
    </row>
    <row r="181" ht="12.75" customHeight="1">
      <c r="AO181" s="91"/>
      <c r="AP181" s="91"/>
      <c r="AQ181" s="91"/>
      <c r="AR181" s="91"/>
      <c r="AS181" s="91"/>
      <c r="AT181" s="91"/>
      <c r="AU181" s="91"/>
      <c r="AV181" s="91"/>
      <c r="AW181" s="91"/>
      <c r="AX181" s="91"/>
      <c r="AY181" s="91"/>
      <c r="AZ181" s="91"/>
      <c r="BA181" s="91"/>
      <c r="BB181" s="91"/>
      <c r="BC181" s="91"/>
      <c r="BD181" s="91"/>
      <c r="BE181" s="91"/>
      <c r="BF181" s="91"/>
      <c r="BG181" s="91"/>
      <c r="BH181" s="91"/>
      <c r="BI181" s="91"/>
    </row>
    <row r="182" ht="12.75" customHeight="1">
      <c r="AO182" s="91"/>
      <c r="AP182" s="91"/>
      <c r="AQ182" s="91"/>
      <c r="AR182" s="91"/>
      <c r="AS182" s="91"/>
      <c r="AT182" s="91"/>
      <c r="AU182" s="91"/>
      <c r="AV182" s="91"/>
      <c r="AW182" s="91"/>
      <c r="AX182" s="91"/>
      <c r="AY182" s="91"/>
      <c r="AZ182" s="91"/>
      <c r="BA182" s="91"/>
      <c r="BB182" s="91"/>
      <c r="BC182" s="91"/>
      <c r="BD182" s="91"/>
      <c r="BE182" s="91"/>
      <c r="BF182" s="91"/>
      <c r="BG182" s="91"/>
      <c r="BH182" s="91"/>
      <c r="BI182" s="91"/>
    </row>
    <row r="183" ht="12.75" customHeight="1">
      <c r="AO183" s="91"/>
      <c r="AP183" s="91"/>
      <c r="AQ183" s="91"/>
      <c r="AR183" s="91"/>
      <c r="AS183" s="91"/>
      <c r="AT183" s="91"/>
      <c r="AU183" s="91"/>
      <c r="AV183" s="91"/>
      <c r="AW183" s="91"/>
      <c r="AX183" s="91"/>
      <c r="AY183" s="91"/>
      <c r="AZ183" s="91"/>
      <c r="BA183" s="91"/>
      <c r="BB183" s="91"/>
      <c r="BC183" s="91"/>
      <c r="BD183" s="91"/>
      <c r="BE183" s="91"/>
      <c r="BF183" s="91"/>
      <c r="BG183" s="91"/>
      <c r="BH183" s="91"/>
      <c r="BI183" s="91"/>
    </row>
    <row r="184" ht="12.75" customHeight="1">
      <c r="AO184" s="91"/>
      <c r="AP184" s="91"/>
      <c r="AQ184" s="91"/>
      <c r="AR184" s="91"/>
      <c r="AS184" s="91"/>
      <c r="AT184" s="91"/>
      <c r="AU184" s="91"/>
      <c r="AV184" s="91"/>
      <c r="AW184" s="91"/>
      <c r="AX184" s="91"/>
      <c r="AY184" s="91"/>
      <c r="AZ184" s="91"/>
      <c r="BA184" s="91"/>
      <c r="BB184" s="91"/>
      <c r="BC184" s="91"/>
      <c r="BD184" s="91"/>
      <c r="BE184" s="91"/>
      <c r="BF184" s="91"/>
      <c r="BG184" s="91"/>
      <c r="BH184" s="91"/>
      <c r="BI184" s="91"/>
    </row>
    <row r="185" ht="12.75" customHeight="1">
      <c r="AO185" s="91"/>
      <c r="AP185" s="91"/>
      <c r="AQ185" s="91"/>
      <c r="AR185" s="91"/>
      <c r="AS185" s="91"/>
      <c r="AT185" s="91"/>
      <c r="AU185" s="91"/>
      <c r="AV185" s="91"/>
      <c r="AW185" s="91"/>
      <c r="AX185" s="91"/>
      <c r="AY185" s="91"/>
      <c r="AZ185" s="91"/>
      <c r="BA185" s="91"/>
      <c r="BB185" s="91"/>
      <c r="BC185" s="91"/>
      <c r="BD185" s="91"/>
      <c r="BE185" s="91"/>
      <c r="BF185" s="91"/>
      <c r="BG185" s="91"/>
      <c r="BH185" s="91"/>
      <c r="BI185" s="91"/>
    </row>
    <row r="186" ht="12.75" customHeight="1">
      <c r="AO186" s="91"/>
      <c r="AP186" s="91"/>
      <c r="AQ186" s="91"/>
      <c r="AR186" s="91"/>
      <c r="AS186" s="91"/>
      <c r="AT186" s="91"/>
      <c r="AU186" s="91"/>
      <c r="AV186" s="91"/>
      <c r="AW186" s="91"/>
      <c r="AX186" s="91"/>
      <c r="AY186" s="91"/>
      <c r="AZ186" s="91"/>
      <c r="BA186" s="91"/>
      <c r="BB186" s="91"/>
      <c r="BC186" s="91"/>
      <c r="BD186" s="91"/>
      <c r="BE186" s="91"/>
      <c r="BF186" s="91"/>
      <c r="BG186" s="91"/>
      <c r="BH186" s="91"/>
      <c r="BI186" s="91"/>
    </row>
    <row r="187" ht="12.75" customHeight="1">
      <c r="AO187" s="91"/>
      <c r="AP187" s="91"/>
      <c r="AQ187" s="91"/>
      <c r="AR187" s="91"/>
      <c r="AS187" s="91"/>
      <c r="AT187" s="91"/>
      <c r="AU187" s="91"/>
      <c r="AV187" s="91"/>
      <c r="AW187" s="91"/>
      <c r="AX187" s="91"/>
      <c r="AY187" s="91"/>
      <c r="AZ187" s="91"/>
      <c r="BA187" s="91"/>
      <c r="BB187" s="91"/>
      <c r="BC187" s="91"/>
      <c r="BD187" s="91"/>
      <c r="BE187" s="91"/>
      <c r="BF187" s="91"/>
      <c r="BG187" s="91"/>
      <c r="BH187" s="91"/>
      <c r="BI187" s="91"/>
    </row>
    <row r="188" ht="12.75" customHeight="1">
      <c r="AO188" s="91"/>
      <c r="AP188" s="91"/>
      <c r="AQ188" s="91"/>
      <c r="AR188" s="91"/>
      <c r="AS188" s="91"/>
      <c r="AT188" s="91"/>
      <c r="AU188" s="91"/>
      <c r="AV188" s="91"/>
      <c r="AW188" s="91"/>
      <c r="AX188" s="91"/>
      <c r="AY188" s="91"/>
      <c r="AZ188" s="91"/>
      <c r="BA188" s="91"/>
      <c r="BB188" s="91"/>
      <c r="BC188" s="91"/>
      <c r="BD188" s="91"/>
      <c r="BE188" s="91"/>
      <c r="BF188" s="91"/>
      <c r="BG188" s="91"/>
      <c r="BH188" s="91"/>
      <c r="BI188" s="91"/>
    </row>
    <row r="189" ht="12.75" customHeight="1">
      <c r="AO189" s="91"/>
      <c r="AP189" s="91"/>
      <c r="AQ189" s="91"/>
      <c r="AR189" s="91"/>
      <c r="AS189" s="91"/>
      <c r="AT189" s="91"/>
      <c r="AU189" s="91"/>
      <c r="AV189" s="91"/>
      <c r="AW189" s="91"/>
      <c r="AX189" s="91"/>
      <c r="AY189" s="91"/>
      <c r="AZ189" s="91"/>
      <c r="BA189" s="91"/>
      <c r="BB189" s="91"/>
      <c r="BC189" s="91"/>
      <c r="BD189" s="91"/>
      <c r="BE189" s="91"/>
      <c r="BF189" s="91"/>
      <c r="BG189" s="91"/>
      <c r="BH189" s="91"/>
      <c r="BI189" s="91"/>
    </row>
    <row r="190" ht="12.75" customHeight="1">
      <c r="AO190" s="91"/>
      <c r="AP190" s="91"/>
      <c r="AQ190" s="91"/>
      <c r="AR190" s="91"/>
      <c r="AS190" s="91"/>
      <c r="AT190" s="91"/>
      <c r="AU190" s="91"/>
      <c r="AV190" s="91"/>
      <c r="AW190" s="91"/>
      <c r="AX190" s="91"/>
      <c r="AY190" s="91"/>
      <c r="AZ190" s="91"/>
      <c r="BA190" s="91"/>
      <c r="BB190" s="91"/>
      <c r="BC190" s="91"/>
      <c r="BD190" s="91"/>
      <c r="BE190" s="91"/>
      <c r="BF190" s="91"/>
      <c r="BG190" s="91"/>
      <c r="BH190" s="91"/>
      <c r="BI190" s="91"/>
    </row>
    <row r="191" ht="12.75" customHeight="1">
      <c r="AO191" s="91"/>
      <c r="AP191" s="91"/>
      <c r="AQ191" s="91"/>
      <c r="AR191" s="91"/>
      <c r="AS191" s="91"/>
      <c r="AT191" s="91"/>
      <c r="AU191" s="91"/>
      <c r="AV191" s="91"/>
      <c r="AW191" s="91"/>
      <c r="AX191" s="91"/>
      <c r="AY191" s="91"/>
      <c r="AZ191" s="91"/>
      <c r="BA191" s="91"/>
      <c r="BB191" s="91"/>
      <c r="BC191" s="91"/>
      <c r="BD191" s="91"/>
      <c r="BE191" s="91"/>
      <c r="BF191" s="91"/>
      <c r="BG191" s="91"/>
      <c r="BH191" s="91"/>
      <c r="BI191" s="91"/>
    </row>
    <row r="192" ht="12.75" customHeight="1">
      <c r="AO192" s="91"/>
      <c r="AP192" s="91"/>
      <c r="AQ192" s="91"/>
      <c r="AR192" s="91"/>
      <c r="AS192" s="91"/>
      <c r="AT192" s="91"/>
      <c r="AU192" s="91"/>
      <c r="AV192" s="91"/>
      <c r="AW192" s="91"/>
      <c r="AX192" s="91"/>
      <c r="AY192" s="91"/>
      <c r="AZ192" s="91"/>
      <c r="BA192" s="91"/>
      <c r="BB192" s="91"/>
      <c r="BC192" s="91"/>
      <c r="BD192" s="91"/>
      <c r="BE192" s="91"/>
      <c r="BF192" s="91"/>
      <c r="BG192" s="91"/>
      <c r="BH192" s="91"/>
      <c r="BI192" s="91"/>
    </row>
    <row r="193" ht="12.75" customHeight="1">
      <c r="AO193" s="91"/>
      <c r="AP193" s="91"/>
      <c r="AQ193" s="91"/>
      <c r="AR193" s="91"/>
      <c r="AS193" s="91"/>
      <c r="AT193" s="91"/>
      <c r="AU193" s="91"/>
      <c r="AV193" s="91"/>
      <c r="AW193" s="91"/>
      <c r="AX193" s="91"/>
      <c r="AY193" s="91"/>
      <c r="AZ193" s="91"/>
      <c r="BA193" s="91"/>
      <c r="BB193" s="91"/>
      <c r="BC193" s="91"/>
      <c r="BD193" s="91"/>
      <c r="BE193" s="91"/>
      <c r="BF193" s="91"/>
      <c r="BG193" s="91"/>
      <c r="BH193" s="91"/>
      <c r="BI193" s="91"/>
    </row>
    <row r="194" ht="12.75" customHeight="1">
      <c r="AO194" s="91"/>
      <c r="AP194" s="91"/>
      <c r="AQ194" s="91"/>
      <c r="AR194" s="91"/>
      <c r="AS194" s="91"/>
      <c r="AT194" s="91"/>
      <c r="AU194" s="91"/>
      <c r="AV194" s="91"/>
      <c r="AW194" s="91"/>
      <c r="AX194" s="91"/>
      <c r="AY194" s="91"/>
      <c r="AZ194" s="91"/>
      <c r="BA194" s="91"/>
      <c r="BB194" s="91"/>
      <c r="BC194" s="91"/>
      <c r="BD194" s="91"/>
      <c r="BE194" s="91"/>
      <c r="BF194" s="91"/>
      <c r="BG194" s="91"/>
      <c r="BH194" s="91"/>
      <c r="BI194" s="91"/>
    </row>
    <row r="195" ht="12.75" customHeight="1">
      <c r="AO195" s="91"/>
      <c r="AP195" s="91"/>
      <c r="AQ195" s="91"/>
      <c r="AR195" s="91"/>
      <c r="AS195" s="91"/>
      <c r="AT195" s="91"/>
      <c r="AU195" s="91"/>
      <c r="AV195" s="91"/>
      <c r="AW195" s="91"/>
      <c r="AX195" s="91"/>
      <c r="AY195" s="91"/>
      <c r="AZ195" s="91"/>
      <c r="BA195" s="91"/>
      <c r="BB195" s="91"/>
      <c r="BC195" s="91"/>
      <c r="BD195" s="91"/>
      <c r="BE195" s="91"/>
      <c r="BF195" s="91"/>
      <c r="BG195" s="91"/>
      <c r="BH195" s="91"/>
      <c r="BI195" s="91"/>
    </row>
    <row r="196" ht="12.75" customHeight="1">
      <c r="AO196" s="91"/>
      <c r="AP196" s="91"/>
      <c r="AQ196" s="91"/>
      <c r="AR196" s="91"/>
      <c r="AS196" s="91"/>
      <c r="AT196" s="91"/>
      <c r="AU196" s="91"/>
      <c r="AV196" s="91"/>
      <c r="AW196" s="91"/>
      <c r="AX196" s="91"/>
      <c r="AY196" s="91"/>
      <c r="AZ196" s="91"/>
      <c r="BA196" s="91"/>
      <c r="BB196" s="91"/>
      <c r="BC196" s="91"/>
      <c r="BD196" s="91"/>
      <c r="BE196" s="91"/>
      <c r="BF196" s="91"/>
      <c r="BG196" s="91"/>
      <c r="BH196" s="91"/>
      <c r="BI196" s="91"/>
    </row>
    <row r="197" ht="12.75" customHeight="1">
      <c r="AO197" s="91"/>
      <c r="AP197" s="91"/>
      <c r="AQ197" s="91"/>
      <c r="AR197" s="91"/>
      <c r="AS197" s="91"/>
      <c r="AT197" s="91"/>
      <c r="AU197" s="91"/>
      <c r="AV197" s="91"/>
      <c r="AW197" s="91"/>
      <c r="AX197" s="91"/>
      <c r="AY197" s="91"/>
      <c r="AZ197" s="91"/>
      <c r="BA197" s="91"/>
      <c r="BB197" s="91"/>
      <c r="BC197" s="91"/>
      <c r="BD197" s="91"/>
      <c r="BE197" s="91"/>
      <c r="BF197" s="91"/>
      <c r="BG197" s="91"/>
      <c r="BH197" s="91"/>
      <c r="BI197" s="91"/>
    </row>
    <row r="198" ht="12.75" customHeight="1">
      <c r="AO198" s="91"/>
      <c r="AP198" s="91"/>
      <c r="AQ198" s="91"/>
      <c r="AR198" s="91"/>
      <c r="AS198" s="91"/>
      <c r="AT198" s="91"/>
      <c r="AU198" s="91"/>
      <c r="AV198" s="91"/>
      <c r="AW198" s="91"/>
      <c r="AX198" s="91"/>
      <c r="AY198" s="91"/>
      <c r="AZ198" s="91"/>
      <c r="BA198" s="91"/>
      <c r="BB198" s="91"/>
      <c r="BC198" s="91"/>
      <c r="BD198" s="91"/>
      <c r="BE198" s="91"/>
      <c r="BF198" s="91"/>
      <c r="BG198" s="91"/>
      <c r="BH198" s="91"/>
      <c r="BI198" s="91"/>
    </row>
    <row r="199" ht="12.75" customHeight="1">
      <c r="AO199" s="91"/>
      <c r="AP199" s="91"/>
      <c r="AQ199" s="91"/>
      <c r="AR199" s="91"/>
      <c r="AS199" s="91"/>
      <c r="AT199" s="91"/>
      <c r="AU199" s="91"/>
      <c r="AV199" s="91"/>
      <c r="AW199" s="91"/>
      <c r="AX199" s="91"/>
      <c r="AY199" s="91"/>
      <c r="AZ199" s="91"/>
      <c r="BA199" s="91"/>
      <c r="BB199" s="91"/>
      <c r="BC199" s="91"/>
      <c r="BD199" s="91"/>
      <c r="BE199" s="91"/>
      <c r="BF199" s="91"/>
      <c r="BG199" s="91"/>
      <c r="BH199" s="91"/>
      <c r="BI199" s="91"/>
    </row>
    <row r="200" ht="12.75" customHeight="1">
      <c r="AO200" s="91"/>
      <c r="AP200" s="91"/>
      <c r="AQ200" s="91"/>
      <c r="AR200" s="91"/>
      <c r="AS200" s="91"/>
      <c r="AT200" s="91"/>
      <c r="AU200" s="91"/>
      <c r="AV200" s="91"/>
      <c r="AW200" s="91"/>
      <c r="AX200" s="91"/>
      <c r="AY200" s="91"/>
      <c r="AZ200" s="91"/>
      <c r="BA200" s="91"/>
      <c r="BB200" s="91"/>
      <c r="BC200" s="91"/>
      <c r="BD200" s="91"/>
      <c r="BE200" s="91"/>
      <c r="BF200" s="91"/>
      <c r="BG200" s="91"/>
      <c r="BH200" s="91"/>
      <c r="BI200" s="91"/>
    </row>
    <row r="201" ht="12.75" customHeight="1">
      <c r="AO201" s="91"/>
      <c r="AP201" s="91"/>
      <c r="AQ201" s="91"/>
      <c r="AR201" s="91"/>
      <c r="AS201" s="91"/>
      <c r="AT201" s="91"/>
      <c r="AU201" s="91"/>
      <c r="AV201" s="91"/>
      <c r="AW201" s="91"/>
      <c r="AX201" s="91"/>
      <c r="AY201" s="91"/>
      <c r="AZ201" s="91"/>
      <c r="BA201" s="91"/>
      <c r="BB201" s="91"/>
      <c r="BC201" s="91"/>
      <c r="BD201" s="91"/>
      <c r="BE201" s="91"/>
      <c r="BF201" s="91"/>
      <c r="BG201" s="91"/>
      <c r="BH201" s="91"/>
      <c r="BI201" s="91"/>
    </row>
    <row r="202" ht="12.75" customHeight="1">
      <c r="AO202" s="91"/>
      <c r="AP202" s="91"/>
      <c r="AQ202" s="91"/>
      <c r="AR202" s="91"/>
      <c r="AS202" s="91"/>
      <c r="AT202" s="91"/>
      <c r="AU202" s="91"/>
      <c r="AV202" s="91"/>
      <c r="AW202" s="91"/>
      <c r="AX202" s="91"/>
      <c r="AY202" s="91"/>
      <c r="AZ202" s="91"/>
      <c r="BA202" s="91"/>
      <c r="BB202" s="91"/>
      <c r="BC202" s="91"/>
      <c r="BD202" s="91"/>
      <c r="BE202" s="91"/>
      <c r="BF202" s="91"/>
      <c r="BG202" s="91"/>
      <c r="BH202" s="91"/>
      <c r="BI202" s="91"/>
    </row>
    <row r="203" ht="12.75" customHeight="1">
      <c r="AO203" s="91"/>
      <c r="AP203" s="91"/>
      <c r="AQ203" s="91"/>
      <c r="AR203" s="91"/>
      <c r="AS203" s="91"/>
      <c r="AT203" s="91"/>
      <c r="AU203" s="91"/>
      <c r="AV203" s="91"/>
      <c r="AW203" s="91"/>
      <c r="AX203" s="91"/>
      <c r="AY203" s="91"/>
      <c r="AZ203" s="91"/>
      <c r="BA203" s="91"/>
      <c r="BB203" s="91"/>
      <c r="BC203" s="91"/>
      <c r="BD203" s="91"/>
      <c r="BE203" s="91"/>
      <c r="BF203" s="91"/>
      <c r="BG203" s="91"/>
      <c r="BH203" s="91"/>
      <c r="BI203" s="91"/>
    </row>
    <row r="204" ht="12.75" customHeight="1">
      <c r="AO204" s="91"/>
      <c r="AP204" s="91"/>
      <c r="AQ204" s="91"/>
      <c r="AR204" s="91"/>
      <c r="AS204" s="91"/>
      <c r="AT204" s="91"/>
      <c r="AU204" s="91"/>
      <c r="AV204" s="91"/>
      <c r="AW204" s="91"/>
      <c r="AX204" s="91"/>
      <c r="AY204" s="91"/>
      <c r="AZ204" s="91"/>
      <c r="BA204" s="91"/>
      <c r="BB204" s="91"/>
      <c r="BC204" s="91"/>
      <c r="BD204" s="91"/>
      <c r="BE204" s="91"/>
      <c r="BF204" s="91"/>
      <c r="BG204" s="91"/>
      <c r="BH204" s="91"/>
      <c r="BI204" s="91"/>
    </row>
    <row r="205" ht="12.75" customHeight="1">
      <c r="AO205" s="91"/>
      <c r="AP205" s="91"/>
      <c r="AQ205" s="91"/>
      <c r="AR205" s="91"/>
      <c r="AS205" s="91"/>
      <c r="AT205" s="91"/>
      <c r="AU205" s="91"/>
      <c r="AV205" s="91"/>
      <c r="AW205" s="91"/>
      <c r="AX205" s="91"/>
      <c r="AY205" s="91"/>
      <c r="AZ205" s="91"/>
      <c r="BA205" s="91"/>
      <c r="BB205" s="91"/>
      <c r="BC205" s="91"/>
      <c r="BD205" s="91"/>
      <c r="BE205" s="91"/>
      <c r="BF205" s="91"/>
      <c r="BG205" s="91"/>
      <c r="BH205" s="91"/>
      <c r="BI205" s="91"/>
    </row>
    <row r="206" ht="12.75" customHeight="1">
      <c r="AO206" s="91"/>
      <c r="AP206" s="91"/>
      <c r="AQ206" s="91"/>
      <c r="AR206" s="91"/>
      <c r="AS206" s="91"/>
      <c r="AT206" s="91"/>
      <c r="AU206" s="91"/>
      <c r="AV206" s="91"/>
      <c r="AW206" s="91"/>
      <c r="AX206" s="91"/>
      <c r="AY206" s="91"/>
      <c r="AZ206" s="91"/>
      <c r="BA206" s="91"/>
      <c r="BB206" s="91"/>
      <c r="BC206" s="91"/>
      <c r="BD206" s="91"/>
      <c r="BE206" s="91"/>
      <c r="BF206" s="91"/>
      <c r="BG206" s="91"/>
      <c r="BH206" s="91"/>
      <c r="BI206" s="91"/>
    </row>
    <row r="207" ht="12.75" customHeight="1">
      <c r="AO207" s="91"/>
      <c r="AP207" s="91"/>
      <c r="AQ207" s="91"/>
      <c r="AR207" s="91"/>
      <c r="AS207" s="91"/>
      <c r="AT207" s="91"/>
      <c r="AU207" s="91"/>
      <c r="AV207" s="91"/>
      <c r="AW207" s="91"/>
      <c r="AX207" s="91"/>
      <c r="AY207" s="91"/>
      <c r="AZ207" s="91"/>
      <c r="BA207" s="91"/>
      <c r="BB207" s="91"/>
      <c r="BC207" s="91"/>
      <c r="BD207" s="91"/>
      <c r="BE207" s="91"/>
      <c r="BF207" s="91"/>
      <c r="BG207" s="91"/>
      <c r="BH207" s="91"/>
      <c r="BI207" s="91"/>
    </row>
    <row r="208" ht="12.75" customHeight="1">
      <c r="AO208" s="91"/>
      <c r="AP208" s="91"/>
      <c r="AQ208" s="91"/>
      <c r="AR208" s="91"/>
      <c r="AS208" s="91"/>
      <c r="AT208" s="91"/>
      <c r="AU208" s="91"/>
      <c r="AV208" s="91"/>
      <c r="AW208" s="91"/>
      <c r="AX208" s="91"/>
      <c r="AY208" s="91"/>
      <c r="AZ208" s="91"/>
      <c r="BA208" s="91"/>
      <c r="BB208" s="91"/>
      <c r="BC208" s="91"/>
      <c r="BD208" s="91"/>
      <c r="BE208" s="91"/>
      <c r="BF208" s="91"/>
      <c r="BG208" s="91"/>
      <c r="BH208" s="91"/>
      <c r="BI208" s="91"/>
    </row>
    <row r="209" ht="12.75" customHeight="1">
      <c r="AO209" s="91"/>
      <c r="AP209" s="91"/>
      <c r="AQ209" s="91"/>
      <c r="AR209" s="91"/>
      <c r="AS209" s="91"/>
      <c r="AT209" s="91"/>
      <c r="AU209" s="91"/>
      <c r="AV209" s="91"/>
      <c r="AW209" s="91"/>
      <c r="AX209" s="91"/>
      <c r="AY209" s="91"/>
      <c r="AZ209" s="91"/>
      <c r="BA209" s="91"/>
      <c r="BB209" s="91"/>
      <c r="BC209" s="91"/>
      <c r="BD209" s="91"/>
      <c r="BE209" s="91"/>
      <c r="BF209" s="91"/>
      <c r="BG209" s="91"/>
      <c r="BH209" s="91"/>
      <c r="BI209" s="91"/>
    </row>
    <row r="210" ht="12.75" customHeight="1">
      <c r="AO210" s="91"/>
      <c r="AP210" s="91"/>
      <c r="AQ210" s="91"/>
      <c r="AR210" s="91"/>
      <c r="AS210" s="91"/>
      <c r="AT210" s="91"/>
      <c r="AU210" s="91"/>
      <c r="AV210" s="91"/>
      <c r="AW210" s="91"/>
      <c r="AX210" s="91"/>
      <c r="AY210" s="91"/>
      <c r="AZ210" s="91"/>
      <c r="BA210" s="91"/>
      <c r="BB210" s="91"/>
      <c r="BC210" s="91"/>
      <c r="BD210" s="91"/>
      <c r="BE210" s="91"/>
      <c r="BF210" s="91"/>
      <c r="BG210" s="91"/>
      <c r="BH210" s="91"/>
      <c r="BI210" s="91"/>
    </row>
    <row r="211" ht="12.75" customHeight="1">
      <c r="AO211" s="91"/>
      <c r="AP211" s="91"/>
      <c r="AQ211" s="91"/>
      <c r="AR211" s="91"/>
      <c r="AS211" s="91"/>
      <c r="AT211" s="91"/>
      <c r="AU211" s="91"/>
      <c r="AV211" s="91"/>
      <c r="AW211" s="91"/>
      <c r="AX211" s="91"/>
      <c r="AY211" s="91"/>
      <c r="AZ211" s="91"/>
      <c r="BA211" s="91"/>
      <c r="BB211" s="91"/>
      <c r="BC211" s="91"/>
      <c r="BD211" s="91"/>
      <c r="BE211" s="91"/>
      <c r="BF211" s="91"/>
      <c r="BG211" s="91"/>
      <c r="BH211" s="91"/>
      <c r="BI211" s="91"/>
    </row>
    <row r="212" ht="12.75" customHeight="1">
      <c r="AO212" s="91"/>
      <c r="AP212" s="91"/>
      <c r="AQ212" s="91"/>
      <c r="AR212" s="91"/>
      <c r="AS212" s="91"/>
      <c r="AT212" s="91"/>
      <c r="AU212" s="91"/>
      <c r="AV212" s="91"/>
      <c r="AW212" s="91"/>
      <c r="AX212" s="91"/>
      <c r="AY212" s="91"/>
      <c r="AZ212" s="91"/>
      <c r="BA212" s="91"/>
      <c r="BB212" s="91"/>
      <c r="BC212" s="91"/>
      <c r="BD212" s="91"/>
      <c r="BE212" s="91"/>
      <c r="BF212" s="91"/>
      <c r="BG212" s="91"/>
      <c r="BH212" s="91"/>
      <c r="BI212" s="91"/>
    </row>
    <row r="213" ht="12.75" customHeight="1">
      <c r="AO213" s="91"/>
      <c r="AP213" s="91"/>
      <c r="AQ213" s="91"/>
      <c r="AR213" s="91"/>
      <c r="AS213" s="91"/>
      <c r="AT213" s="91"/>
      <c r="AU213" s="91"/>
      <c r="AV213" s="91"/>
      <c r="AW213" s="91"/>
      <c r="AX213" s="91"/>
      <c r="AY213" s="91"/>
      <c r="AZ213" s="91"/>
      <c r="BA213" s="91"/>
      <c r="BB213" s="91"/>
      <c r="BC213" s="91"/>
      <c r="BD213" s="91"/>
      <c r="BE213" s="91"/>
      <c r="BF213" s="91"/>
      <c r="BG213" s="91"/>
      <c r="BH213" s="91"/>
      <c r="BI213" s="91"/>
    </row>
    <row r="214" ht="12.75" customHeight="1">
      <c r="AO214" s="91"/>
      <c r="AP214" s="91"/>
      <c r="AQ214" s="91"/>
      <c r="AR214" s="91"/>
      <c r="AS214" s="91"/>
      <c r="AT214" s="91"/>
      <c r="AU214" s="91"/>
      <c r="AV214" s="91"/>
      <c r="AW214" s="91"/>
      <c r="AX214" s="91"/>
      <c r="AY214" s="91"/>
      <c r="AZ214" s="91"/>
      <c r="BA214" s="91"/>
      <c r="BB214" s="91"/>
      <c r="BC214" s="91"/>
      <c r="BD214" s="91"/>
      <c r="BE214" s="91"/>
      <c r="BF214" s="91"/>
      <c r="BG214" s="91"/>
      <c r="BH214" s="91"/>
      <c r="BI214" s="91"/>
    </row>
    <row r="215" ht="12.75" customHeight="1">
      <c r="AO215" s="91"/>
      <c r="AP215" s="91"/>
      <c r="AQ215" s="91"/>
      <c r="AR215" s="91"/>
      <c r="AS215" s="91"/>
      <c r="AT215" s="91"/>
      <c r="AU215" s="91"/>
      <c r="AV215" s="91"/>
      <c r="AW215" s="91"/>
      <c r="AX215" s="91"/>
      <c r="AY215" s="91"/>
      <c r="AZ215" s="91"/>
      <c r="BA215" s="91"/>
      <c r="BB215" s="91"/>
      <c r="BC215" s="91"/>
      <c r="BD215" s="91"/>
      <c r="BE215" s="91"/>
      <c r="BF215" s="91"/>
      <c r="BG215" s="91"/>
      <c r="BH215" s="91"/>
      <c r="BI215" s="91"/>
    </row>
    <row r="216" ht="12.75" customHeight="1">
      <c r="AO216" s="91"/>
      <c r="AP216" s="91"/>
      <c r="AQ216" s="91"/>
      <c r="AR216" s="91"/>
      <c r="AS216" s="91"/>
      <c r="AT216" s="91"/>
      <c r="AU216" s="91"/>
      <c r="AV216" s="91"/>
      <c r="AW216" s="91"/>
      <c r="AX216" s="91"/>
      <c r="AY216" s="91"/>
      <c r="AZ216" s="91"/>
      <c r="BA216" s="91"/>
      <c r="BB216" s="91"/>
      <c r="BC216" s="91"/>
      <c r="BD216" s="91"/>
      <c r="BE216" s="91"/>
      <c r="BF216" s="91"/>
      <c r="BG216" s="91"/>
      <c r="BH216" s="91"/>
      <c r="BI216" s="91"/>
    </row>
    <row r="217" ht="12.75" customHeight="1">
      <c r="AO217" s="91"/>
      <c r="AP217" s="91"/>
      <c r="AQ217" s="91"/>
      <c r="AR217" s="91"/>
      <c r="AS217" s="91"/>
      <c r="AT217" s="91"/>
      <c r="AU217" s="91"/>
      <c r="AV217" s="91"/>
      <c r="AW217" s="91"/>
      <c r="AX217" s="91"/>
      <c r="AY217" s="91"/>
      <c r="AZ217" s="91"/>
      <c r="BA217" s="91"/>
      <c r="BB217" s="91"/>
      <c r="BC217" s="91"/>
      <c r="BD217" s="91"/>
      <c r="BE217" s="91"/>
      <c r="BF217" s="91"/>
      <c r="BG217" s="91"/>
      <c r="BH217" s="91"/>
      <c r="BI217" s="91"/>
    </row>
    <row r="218" ht="12.75" customHeight="1">
      <c r="AO218" s="91"/>
      <c r="AP218" s="91"/>
      <c r="AQ218" s="91"/>
      <c r="AR218" s="91"/>
      <c r="AS218" s="91"/>
      <c r="AT218" s="91"/>
      <c r="AU218" s="91"/>
      <c r="AV218" s="91"/>
      <c r="AW218" s="91"/>
      <c r="AX218" s="91"/>
      <c r="AY218" s="91"/>
      <c r="AZ218" s="91"/>
      <c r="BA218" s="91"/>
      <c r="BB218" s="91"/>
      <c r="BC218" s="91"/>
      <c r="BD218" s="91"/>
      <c r="BE218" s="91"/>
      <c r="BF218" s="91"/>
      <c r="BG218" s="91"/>
      <c r="BH218" s="91"/>
      <c r="BI218" s="91"/>
    </row>
    <row r="219" ht="12.75" customHeight="1">
      <c r="AO219" s="91"/>
      <c r="AP219" s="91"/>
      <c r="AQ219" s="91"/>
      <c r="AR219" s="91"/>
      <c r="AS219" s="91"/>
      <c r="AT219" s="91"/>
      <c r="AU219" s="91"/>
      <c r="AV219" s="91"/>
      <c r="AW219" s="91"/>
      <c r="AX219" s="91"/>
      <c r="AY219" s="91"/>
      <c r="AZ219" s="91"/>
      <c r="BA219" s="91"/>
      <c r="BB219" s="91"/>
      <c r="BC219" s="91"/>
      <c r="BD219" s="91"/>
      <c r="BE219" s="91"/>
      <c r="BF219" s="91"/>
      <c r="BG219" s="91"/>
      <c r="BH219" s="91"/>
      <c r="BI219" s="91"/>
    </row>
    <row r="220" ht="12.75" customHeight="1">
      <c r="AO220" s="91"/>
      <c r="AP220" s="91"/>
      <c r="AQ220" s="91"/>
      <c r="AR220" s="91"/>
      <c r="AS220" s="91"/>
      <c r="AT220" s="91"/>
      <c r="AU220" s="91"/>
      <c r="AV220" s="91"/>
      <c r="AW220" s="91"/>
      <c r="AX220" s="91"/>
      <c r="AY220" s="91"/>
      <c r="AZ220" s="91"/>
      <c r="BA220" s="91"/>
      <c r="BB220" s="91"/>
      <c r="BC220" s="91"/>
      <c r="BD220" s="91"/>
      <c r="BE220" s="91"/>
      <c r="BF220" s="91"/>
      <c r="BG220" s="91"/>
      <c r="BH220" s="91"/>
      <c r="BI220" s="91"/>
    </row>
    <row r="221" ht="12.75" customHeight="1">
      <c r="AO221" s="91"/>
      <c r="AP221" s="91"/>
      <c r="AQ221" s="91"/>
      <c r="AR221" s="91"/>
      <c r="AS221" s="91"/>
      <c r="AT221" s="91"/>
      <c r="AU221" s="91"/>
      <c r="AV221" s="91"/>
      <c r="AW221" s="91"/>
      <c r="AX221" s="91"/>
      <c r="AY221" s="91"/>
      <c r="AZ221" s="91"/>
      <c r="BA221" s="91"/>
      <c r="BB221" s="91"/>
      <c r="BC221" s="91"/>
      <c r="BD221" s="91"/>
      <c r="BE221" s="91"/>
      <c r="BF221" s="91"/>
      <c r="BG221" s="91"/>
      <c r="BH221" s="91"/>
      <c r="BI221" s="91"/>
    </row>
    <row r="222" ht="12.75" customHeight="1">
      <c r="AO222" s="91"/>
      <c r="AP222" s="91"/>
      <c r="AQ222" s="91"/>
      <c r="AR222" s="91"/>
      <c r="AS222" s="91"/>
      <c r="AT222" s="91"/>
      <c r="AU222" s="91"/>
      <c r="AV222" s="91"/>
      <c r="AW222" s="91"/>
      <c r="AX222" s="91"/>
      <c r="AY222" s="91"/>
      <c r="AZ222" s="91"/>
      <c r="BA222" s="91"/>
      <c r="BB222" s="91"/>
      <c r="BC222" s="91"/>
      <c r="BD222" s="91"/>
      <c r="BE222" s="91"/>
      <c r="BF222" s="91"/>
      <c r="BG222" s="91"/>
      <c r="BH222" s="91"/>
      <c r="BI222" s="91"/>
    </row>
    <row r="223" ht="12.75" customHeight="1">
      <c r="AO223" s="91"/>
      <c r="AP223" s="91"/>
      <c r="AQ223" s="91"/>
      <c r="AR223" s="91"/>
      <c r="AS223" s="91"/>
      <c r="AT223" s="91"/>
      <c r="AU223" s="91"/>
      <c r="AV223" s="91"/>
      <c r="AW223" s="91"/>
      <c r="AX223" s="91"/>
      <c r="AY223" s="91"/>
      <c r="AZ223" s="91"/>
      <c r="BA223" s="91"/>
      <c r="BB223" s="91"/>
      <c r="BC223" s="91"/>
      <c r="BD223" s="91"/>
      <c r="BE223" s="91"/>
      <c r="BF223" s="91"/>
      <c r="BG223" s="91"/>
      <c r="BH223" s="91"/>
      <c r="BI223" s="91"/>
    </row>
    <row r="224" ht="12.75" customHeight="1">
      <c r="AO224" s="91"/>
      <c r="AP224" s="91"/>
      <c r="AQ224" s="91"/>
      <c r="AR224" s="91"/>
      <c r="AS224" s="91"/>
      <c r="AT224" s="91"/>
      <c r="AU224" s="91"/>
      <c r="AV224" s="91"/>
      <c r="AW224" s="91"/>
      <c r="AX224" s="91"/>
      <c r="AY224" s="91"/>
      <c r="AZ224" s="91"/>
      <c r="BA224" s="91"/>
      <c r="BB224" s="91"/>
      <c r="BC224" s="91"/>
      <c r="BD224" s="91"/>
      <c r="BE224" s="91"/>
      <c r="BF224" s="91"/>
      <c r="BG224" s="91"/>
      <c r="BH224" s="91"/>
      <c r="BI224" s="91"/>
    </row>
    <row r="225" ht="12.75" customHeight="1">
      <c r="AO225" s="91"/>
      <c r="AP225" s="91"/>
      <c r="AQ225" s="91"/>
      <c r="AR225" s="91"/>
      <c r="AS225" s="91"/>
      <c r="AT225" s="91"/>
      <c r="AU225" s="91"/>
      <c r="AV225" s="91"/>
      <c r="AW225" s="91"/>
      <c r="AX225" s="91"/>
      <c r="AY225" s="91"/>
      <c r="AZ225" s="91"/>
      <c r="BA225" s="91"/>
      <c r="BB225" s="91"/>
      <c r="BC225" s="91"/>
      <c r="BD225" s="91"/>
      <c r="BE225" s="91"/>
      <c r="BF225" s="91"/>
      <c r="BG225" s="91"/>
      <c r="BH225" s="91"/>
      <c r="BI225" s="91"/>
    </row>
    <row r="226" ht="12.75" customHeight="1">
      <c r="AO226" s="91"/>
      <c r="AP226" s="91"/>
      <c r="AQ226" s="91"/>
      <c r="AR226" s="91"/>
      <c r="AS226" s="91"/>
      <c r="AT226" s="91"/>
      <c r="AU226" s="91"/>
      <c r="AV226" s="91"/>
      <c r="AW226" s="91"/>
      <c r="AX226" s="91"/>
      <c r="AY226" s="91"/>
      <c r="AZ226" s="91"/>
      <c r="BA226" s="91"/>
      <c r="BB226" s="91"/>
      <c r="BC226" s="91"/>
      <c r="BD226" s="91"/>
      <c r="BE226" s="91"/>
      <c r="BF226" s="91"/>
      <c r="BG226" s="91"/>
      <c r="BH226" s="91"/>
      <c r="BI226" s="91"/>
    </row>
    <row r="227" ht="12.75" customHeight="1">
      <c r="AO227" s="91"/>
      <c r="AP227" s="91"/>
      <c r="AQ227" s="91"/>
      <c r="AR227" s="91"/>
      <c r="AS227" s="91"/>
      <c r="AT227" s="91"/>
      <c r="AU227" s="91"/>
      <c r="AV227" s="91"/>
      <c r="AW227" s="91"/>
      <c r="AX227" s="91"/>
      <c r="AY227" s="91"/>
      <c r="AZ227" s="91"/>
      <c r="BA227" s="91"/>
      <c r="BB227" s="91"/>
      <c r="BC227" s="91"/>
      <c r="BD227" s="91"/>
      <c r="BE227" s="91"/>
      <c r="BF227" s="91"/>
      <c r="BG227" s="91"/>
      <c r="BH227" s="91"/>
      <c r="BI227" s="91"/>
    </row>
    <row r="228" ht="12.75" customHeight="1">
      <c r="AO228" s="91"/>
      <c r="AP228" s="91"/>
      <c r="AQ228" s="91"/>
      <c r="AR228" s="91"/>
      <c r="AS228" s="91"/>
      <c r="AT228" s="91"/>
      <c r="AU228" s="91"/>
      <c r="AV228" s="91"/>
      <c r="AW228" s="91"/>
      <c r="AX228" s="91"/>
      <c r="AY228" s="91"/>
      <c r="AZ228" s="91"/>
      <c r="BA228" s="91"/>
      <c r="BB228" s="91"/>
      <c r="BC228" s="91"/>
      <c r="BD228" s="91"/>
      <c r="BE228" s="91"/>
      <c r="BF228" s="91"/>
      <c r="BG228" s="91"/>
      <c r="BH228" s="91"/>
      <c r="BI228" s="91"/>
    </row>
    <row r="229" ht="12.75" customHeight="1">
      <c r="AO229" s="91"/>
      <c r="AP229" s="91"/>
      <c r="AQ229" s="91"/>
      <c r="AR229" s="91"/>
      <c r="AS229" s="91"/>
      <c r="AT229" s="91"/>
      <c r="AU229" s="91"/>
      <c r="AV229" s="91"/>
      <c r="AW229" s="91"/>
      <c r="AX229" s="91"/>
      <c r="AY229" s="91"/>
      <c r="AZ229" s="91"/>
      <c r="BA229" s="91"/>
      <c r="BB229" s="91"/>
      <c r="BC229" s="91"/>
      <c r="BD229" s="91"/>
      <c r="BE229" s="91"/>
      <c r="BF229" s="91"/>
      <c r="BG229" s="91"/>
      <c r="BH229" s="91"/>
      <c r="BI229" s="91"/>
    </row>
    <row r="230" ht="12.75" customHeight="1">
      <c r="AO230" s="91"/>
      <c r="AP230" s="91"/>
      <c r="AQ230" s="91"/>
      <c r="AR230" s="91"/>
      <c r="AS230" s="91"/>
      <c r="AT230" s="91"/>
      <c r="AU230" s="91"/>
      <c r="AV230" s="91"/>
      <c r="AW230" s="91"/>
      <c r="AX230" s="91"/>
      <c r="AY230" s="91"/>
      <c r="AZ230" s="91"/>
      <c r="BA230" s="91"/>
      <c r="BB230" s="91"/>
      <c r="BC230" s="91"/>
      <c r="BD230" s="91"/>
      <c r="BE230" s="91"/>
      <c r="BF230" s="91"/>
      <c r="BG230" s="91"/>
      <c r="BH230" s="91"/>
      <c r="BI230" s="91"/>
    </row>
    <row r="231" ht="12.75" customHeight="1">
      <c r="AO231" s="91"/>
      <c r="AP231" s="91"/>
      <c r="AQ231" s="91"/>
      <c r="AR231" s="91"/>
      <c r="AS231" s="91"/>
      <c r="AT231" s="91"/>
      <c r="AU231" s="91"/>
      <c r="AV231" s="91"/>
      <c r="AW231" s="91"/>
      <c r="AX231" s="91"/>
      <c r="AY231" s="91"/>
      <c r="AZ231" s="91"/>
      <c r="BA231" s="91"/>
      <c r="BB231" s="91"/>
      <c r="BC231" s="91"/>
      <c r="BD231" s="91"/>
      <c r="BE231" s="91"/>
      <c r="BF231" s="91"/>
      <c r="BG231" s="91"/>
      <c r="BH231" s="91"/>
      <c r="BI231" s="91"/>
    </row>
    <row r="232" ht="12.75" customHeight="1">
      <c r="AO232" s="91"/>
      <c r="AP232" s="91"/>
      <c r="AQ232" s="91"/>
      <c r="AR232" s="91"/>
      <c r="AS232" s="91"/>
      <c r="AT232" s="91"/>
      <c r="AU232" s="91"/>
      <c r="AV232" s="91"/>
      <c r="AW232" s="91"/>
      <c r="AX232" s="91"/>
      <c r="AY232" s="91"/>
      <c r="AZ232" s="91"/>
      <c r="BA232" s="91"/>
      <c r="BB232" s="91"/>
      <c r="BC232" s="91"/>
      <c r="BD232" s="91"/>
      <c r="BE232" s="91"/>
      <c r="BF232" s="91"/>
      <c r="BG232" s="91"/>
      <c r="BH232" s="91"/>
      <c r="BI232" s="91"/>
    </row>
    <row r="233" ht="12.75" customHeight="1">
      <c r="AO233" s="91"/>
      <c r="AP233" s="91"/>
      <c r="AQ233" s="91"/>
      <c r="AR233" s="91"/>
      <c r="AS233" s="91"/>
      <c r="AT233" s="91"/>
      <c r="AU233" s="91"/>
      <c r="AV233" s="91"/>
      <c r="AW233" s="91"/>
      <c r="AX233" s="91"/>
      <c r="AY233" s="91"/>
      <c r="AZ233" s="91"/>
      <c r="BA233" s="91"/>
      <c r="BB233" s="91"/>
      <c r="BC233" s="91"/>
      <c r="BD233" s="91"/>
      <c r="BE233" s="91"/>
      <c r="BF233" s="91"/>
      <c r="BG233" s="91"/>
      <c r="BH233" s="91"/>
      <c r="BI233" s="91"/>
    </row>
    <row r="234" ht="12.75" customHeight="1">
      <c r="AO234" s="91"/>
      <c r="AP234" s="91"/>
      <c r="AQ234" s="91"/>
      <c r="AR234" s="91"/>
      <c r="AS234" s="91"/>
      <c r="AT234" s="91"/>
      <c r="AU234" s="91"/>
      <c r="AV234" s="91"/>
      <c r="AW234" s="91"/>
      <c r="AX234" s="91"/>
      <c r="AY234" s="91"/>
      <c r="AZ234" s="91"/>
      <c r="BA234" s="91"/>
      <c r="BB234" s="91"/>
      <c r="BC234" s="91"/>
      <c r="BD234" s="91"/>
      <c r="BE234" s="91"/>
      <c r="BF234" s="91"/>
      <c r="BG234" s="91"/>
      <c r="BH234" s="91"/>
      <c r="BI234" s="91"/>
    </row>
    <row r="235" ht="12.75" customHeight="1">
      <c r="AO235" s="91"/>
      <c r="AP235" s="91"/>
      <c r="AQ235" s="91"/>
      <c r="AR235" s="91"/>
      <c r="AS235" s="91"/>
      <c r="AT235" s="91"/>
      <c r="AU235" s="91"/>
      <c r="AV235" s="91"/>
      <c r="AW235" s="91"/>
      <c r="AX235" s="91"/>
      <c r="AY235" s="91"/>
      <c r="AZ235" s="91"/>
      <c r="BA235" s="91"/>
      <c r="BB235" s="91"/>
      <c r="BC235" s="91"/>
      <c r="BD235" s="91"/>
      <c r="BE235" s="91"/>
      <c r="BF235" s="91"/>
      <c r="BG235" s="91"/>
      <c r="BH235" s="91"/>
      <c r="BI235" s="91"/>
    </row>
    <row r="236" ht="12.75" customHeight="1">
      <c r="AO236" s="91"/>
      <c r="AP236" s="91"/>
      <c r="AQ236" s="91"/>
      <c r="AR236" s="91"/>
      <c r="AS236" s="91"/>
      <c r="AT236" s="91"/>
      <c r="AU236" s="91"/>
      <c r="AV236" s="91"/>
      <c r="AW236" s="91"/>
      <c r="AX236" s="91"/>
      <c r="AY236" s="91"/>
      <c r="AZ236" s="91"/>
      <c r="BA236" s="91"/>
      <c r="BB236" s="91"/>
      <c r="BC236" s="91"/>
      <c r="BD236" s="91"/>
      <c r="BE236" s="91"/>
      <c r="BF236" s="91"/>
      <c r="BG236" s="91"/>
      <c r="BH236" s="91"/>
      <c r="BI236" s="91"/>
    </row>
    <row r="237" ht="12.75" customHeight="1">
      <c r="AO237" s="91"/>
      <c r="AP237" s="91"/>
      <c r="AQ237" s="91"/>
      <c r="AR237" s="91"/>
      <c r="AS237" s="91"/>
      <c r="AT237" s="91"/>
      <c r="AU237" s="91"/>
      <c r="AV237" s="91"/>
      <c r="AW237" s="91"/>
      <c r="AX237" s="91"/>
      <c r="AY237" s="91"/>
      <c r="AZ237" s="91"/>
      <c r="BA237" s="91"/>
      <c r="BB237" s="91"/>
      <c r="BC237" s="91"/>
      <c r="BD237" s="91"/>
      <c r="BE237" s="91"/>
      <c r="BF237" s="91"/>
      <c r="BG237" s="91"/>
      <c r="BH237" s="91"/>
      <c r="BI237" s="91"/>
    </row>
    <row r="238" ht="12.75" customHeight="1">
      <c r="AO238" s="91"/>
      <c r="AP238" s="91"/>
      <c r="AQ238" s="91"/>
      <c r="AR238" s="91"/>
      <c r="AS238" s="91"/>
      <c r="AT238" s="91"/>
      <c r="AU238" s="91"/>
      <c r="AV238" s="91"/>
      <c r="AW238" s="91"/>
      <c r="AX238" s="91"/>
      <c r="AY238" s="91"/>
      <c r="AZ238" s="91"/>
      <c r="BA238" s="91"/>
      <c r="BB238" s="91"/>
      <c r="BC238" s="91"/>
      <c r="BD238" s="91"/>
      <c r="BE238" s="91"/>
      <c r="BF238" s="91"/>
      <c r="BG238" s="91"/>
      <c r="BH238" s="91"/>
      <c r="BI238" s="91"/>
    </row>
    <row r="239" ht="12.75" customHeight="1">
      <c r="AO239" s="91"/>
      <c r="AP239" s="91"/>
      <c r="AQ239" s="91"/>
      <c r="AR239" s="91"/>
      <c r="AS239" s="91"/>
      <c r="AT239" s="91"/>
      <c r="AU239" s="91"/>
      <c r="AV239" s="91"/>
      <c r="AW239" s="91"/>
      <c r="AX239" s="91"/>
      <c r="AY239" s="91"/>
      <c r="AZ239" s="91"/>
      <c r="BA239" s="91"/>
      <c r="BB239" s="91"/>
      <c r="BC239" s="91"/>
      <c r="BD239" s="91"/>
      <c r="BE239" s="91"/>
      <c r="BF239" s="91"/>
      <c r="BG239" s="91"/>
      <c r="BH239" s="91"/>
      <c r="BI239" s="91"/>
    </row>
    <row r="240" ht="12.75" customHeight="1">
      <c r="AO240" s="91"/>
      <c r="AP240" s="91"/>
      <c r="AQ240" s="91"/>
      <c r="AR240" s="91"/>
      <c r="AS240" s="91"/>
      <c r="AT240" s="91"/>
      <c r="AU240" s="91"/>
      <c r="AV240" s="91"/>
      <c r="AW240" s="91"/>
      <c r="AX240" s="91"/>
      <c r="AY240" s="91"/>
      <c r="AZ240" s="91"/>
      <c r="BA240" s="91"/>
      <c r="BB240" s="91"/>
      <c r="BC240" s="91"/>
      <c r="BD240" s="91"/>
      <c r="BE240" s="91"/>
      <c r="BF240" s="91"/>
      <c r="BG240" s="91"/>
      <c r="BH240" s="91"/>
      <c r="BI240" s="91"/>
    </row>
    <row r="241" ht="12.75" customHeight="1">
      <c r="AO241" s="91"/>
      <c r="AP241" s="91"/>
      <c r="AQ241" s="91"/>
      <c r="AR241" s="91"/>
      <c r="AS241" s="91"/>
      <c r="AT241" s="91"/>
      <c r="AU241" s="91"/>
      <c r="AV241" s="91"/>
      <c r="AW241" s="91"/>
      <c r="AX241" s="91"/>
      <c r="AY241" s="91"/>
      <c r="AZ241" s="91"/>
      <c r="BA241" s="91"/>
      <c r="BB241" s="91"/>
      <c r="BC241" s="91"/>
      <c r="BD241" s="91"/>
      <c r="BE241" s="91"/>
      <c r="BF241" s="91"/>
      <c r="BG241" s="91"/>
      <c r="BH241" s="91"/>
      <c r="BI241" s="91"/>
    </row>
    <row r="242" ht="12.75" customHeight="1">
      <c r="AO242" s="91"/>
      <c r="AP242" s="91"/>
      <c r="AQ242" s="91"/>
      <c r="AR242" s="91"/>
      <c r="AS242" s="91"/>
      <c r="AT242" s="91"/>
      <c r="AU242" s="91"/>
      <c r="AV242" s="91"/>
      <c r="AW242" s="91"/>
      <c r="AX242" s="91"/>
      <c r="AY242" s="91"/>
      <c r="AZ242" s="91"/>
      <c r="BA242" s="91"/>
      <c r="BB242" s="91"/>
      <c r="BC242" s="91"/>
      <c r="BD242" s="91"/>
      <c r="BE242" s="91"/>
      <c r="BF242" s="91"/>
      <c r="BG242" s="91"/>
      <c r="BH242" s="91"/>
      <c r="BI242" s="91"/>
    </row>
    <row r="243" ht="12.75" customHeight="1">
      <c r="AO243" s="91"/>
      <c r="AP243" s="91"/>
      <c r="AQ243" s="91"/>
      <c r="AR243" s="91"/>
      <c r="AS243" s="91"/>
      <c r="AT243" s="91"/>
      <c r="AU243" s="91"/>
      <c r="AV243" s="91"/>
      <c r="AW243" s="91"/>
      <c r="AX243" s="91"/>
      <c r="AY243" s="91"/>
      <c r="AZ243" s="91"/>
      <c r="BA243" s="91"/>
      <c r="BB243" s="91"/>
      <c r="BC243" s="91"/>
      <c r="BD243" s="91"/>
      <c r="BE243" s="91"/>
      <c r="BF243" s="91"/>
      <c r="BG243" s="91"/>
      <c r="BH243" s="91"/>
      <c r="BI243" s="91"/>
    </row>
    <row r="244" ht="12.75" customHeight="1">
      <c r="AO244" s="91"/>
      <c r="AP244" s="91"/>
      <c r="AQ244" s="91"/>
      <c r="AR244" s="91"/>
      <c r="AS244" s="91"/>
      <c r="AT244" s="91"/>
      <c r="AU244" s="91"/>
      <c r="AV244" s="91"/>
      <c r="AW244" s="91"/>
      <c r="AX244" s="91"/>
      <c r="AY244" s="91"/>
      <c r="AZ244" s="91"/>
      <c r="BA244" s="91"/>
      <c r="BB244" s="91"/>
      <c r="BC244" s="91"/>
      <c r="BD244" s="91"/>
      <c r="BE244" s="91"/>
      <c r="BF244" s="91"/>
      <c r="BG244" s="91"/>
      <c r="BH244" s="91"/>
      <c r="BI244" s="91"/>
    </row>
    <row r="245" ht="12.75" customHeight="1">
      <c r="AO245" s="91"/>
      <c r="AP245" s="91"/>
      <c r="AQ245" s="91"/>
      <c r="AR245" s="91"/>
      <c r="AS245" s="91"/>
      <c r="AT245" s="91"/>
      <c r="AU245" s="91"/>
      <c r="AV245" s="91"/>
      <c r="AW245" s="91"/>
      <c r="AX245" s="91"/>
      <c r="AY245" s="91"/>
      <c r="AZ245" s="91"/>
      <c r="BA245" s="91"/>
      <c r="BB245" s="91"/>
      <c r="BC245" s="91"/>
      <c r="BD245" s="91"/>
      <c r="BE245" s="91"/>
      <c r="BF245" s="91"/>
      <c r="BG245" s="91"/>
      <c r="BH245" s="91"/>
      <c r="BI245" s="91"/>
    </row>
    <row r="246" ht="12.75" customHeight="1">
      <c r="AO246" s="91"/>
      <c r="AP246" s="91"/>
      <c r="AQ246" s="91"/>
      <c r="AR246" s="91"/>
      <c r="AS246" s="91"/>
      <c r="AT246" s="91"/>
      <c r="AU246" s="91"/>
      <c r="AV246" s="91"/>
      <c r="AW246" s="91"/>
      <c r="AX246" s="91"/>
      <c r="AY246" s="91"/>
      <c r="AZ246" s="91"/>
      <c r="BA246" s="91"/>
      <c r="BB246" s="91"/>
      <c r="BC246" s="91"/>
      <c r="BD246" s="91"/>
      <c r="BE246" s="91"/>
      <c r="BF246" s="91"/>
      <c r="BG246" s="91"/>
      <c r="BH246" s="91"/>
      <c r="BI246" s="91"/>
    </row>
    <row r="247" ht="12.75" customHeight="1">
      <c r="AO247" s="91"/>
      <c r="AP247" s="91"/>
      <c r="AQ247" s="91"/>
      <c r="AR247" s="91"/>
      <c r="AS247" s="91"/>
      <c r="AT247" s="91"/>
      <c r="AU247" s="91"/>
      <c r="AV247" s="91"/>
      <c r="AW247" s="91"/>
      <c r="AX247" s="91"/>
      <c r="AY247" s="91"/>
      <c r="AZ247" s="91"/>
      <c r="BA247" s="91"/>
      <c r="BB247" s="91"/>
      <c r="BC247" s="91"/>
      <c r="BD247" s="91"/>
      <c r="BE247" s="91"/>
      <c r="BF247" s="91"/>
      <c r="BG247" s="91"/>
      <c r="BH247" s="91"/>
      <c r="BI247" s="91"/>
    </row>
    <row r="248" ht="12.75" customHeight="1">
      <c r="AO248" s="91"/>
      <c r="AP248" s="91"/>
      <c r="AQ248" s="91"/>
      <c r="AR248" s="91"/>
      <c r="AS248" s="91"/>
      <c r="AT248" s="91"/>
      <c r="AU248" s="91"/>
      <c r="AV248" s="91"/>
      <c r="AW248" s="91"/>
      <c r="AX248" s="91"/>
      <c r="AY248" s="91"/>
      <c r="AZ248" s="91"/>
      <c r="BA248" s="91"/>
      <c r="BB248" s="91"/>
      <c r="BC248" s="91"/>
      <c r="BD248" s="91"/>
      <c r="BE248" s="91"/>
      <c r="BF248" s="91"/>
      <c r="BG248" s="91"/>
      <c r="BH248" s="91"/>
      <c r="BI248" s="91"/>
    </row>
    <row r="249" ht="12.75" customHeight="1">
      <c r="AO249" s="91"/>
      <c r="AP249" s="91"/>
      <c r="AQ249" s="91"/>
      <c r="AR249" s="91"/>
      <c r="AS249" s="91"/>
      <c r="AT249" s="91"/>
      <c r="AU249" s="91"/>
      <c r="AV249" s="91"/>
      <c r="AW249" s="91"/>
      <c r="AX249" s="91"/>
      <c r="AY249" s="91"/>
      <c r="AZ249" s="91"/>
      <c r="BA249" s="91"/>
      <c r="BB249" s="91"/>
      <c r="BC249" s="91"/>
      <c r="BD249" s="91"/>
      <c r="BE249" s="91"/>
      <c r="BF249" s="91"/>
      <c r="BG249" s="91"/>
      <c r="BH249" s="91"/>
      <c r="BI249" s="91"/>
    </row>
    <row r="250" ht="12.75" customHeight="1">
      <c r="AO250" s="91"/>
      <c r="AP250" s="91"/>
      <c r="AQ250" s="91"/>
      <c r="AR250" s="91"/>
      <c r="AS250" s="91"/>
      <c r="AT250" s="91"/>
      <c r="AU250" s="91"/>
      <c r="AV250" s="91"/>
      <c r="AW250" s="91"/>
      <c r="AX250" s="91"/>
      <c r="AY250" s="91"/>
      <c r="AZ250" s="91"/>
      <c r="BA250" s="91"/>
      <c r="BB250" s="91"/>
      <c r="BC250" s="91"/>
      <c r="BD250" s="91"/>
      <c r="BE250" s="91"/>
      <c r="BF250" s="91"/>
      <c r="BG250" s="91"/>
      <c r="BH250" s="91"/>
      <c r="BI250" s="91"/>
    </row>
    <row r="251" ht="12.75" customHeight="1">
      <c r="AO251" s="91"/>
      <c r="AP251" s="91"/>
      <c r="AQ251" s="91"/>
      <c r="AR251" s="91"/>
      <c r="AS251" s="91"/>
      <c r="AT251" s="91"/>
      <c r="AU251" s="91"/>
      <c r="AV251" s="91"/>
      <c r="AW251" s="91"/>
      <c r="AX251" s="91"/>
      <c r="AY251" s="91"/>
      <c r="AZ251" s="91"/>
      <c r="BA251" s="91"/>
      <c r="BB251" s="91"/>
      <c r="BC251" s="91"/>
      <c r="BD251" s="91"/>
      <c r="BE251" s="91"/>
      <c r="BF251" s="91"/>
      <c r="BG251" s="91"/>
      <c r="BH251" s="91"/>
      <c r="BI251" s="91"/>
    </row>
    <row r="252" ht="12.75" customHeight="1">
      <c r="AO252" s="91"/>
      <c r="AP252" s="91"/>
      <c r="AQ252" s="91"/>
      <c r="AR252" s="91"/>
      <c r="AS252" s="91"/>
      <c r="AT252" s="91"/>
      <c r="AU252" s="91"/>
      <c r="AV252" s="91"/>
      <c r="AW252" s="91"/>
      <c r="AX252" s="91"/>
      <c r="AY252" s="91"/>
      <c r="AZ252" s="91"/>
      <c r="BA252" s="91"/>
      <c r="BB252" s="91"/>
      <c r="BC252" s="91"/>
      <c r="BD252" s="91"/>
      <c r="BE252" s="91"/>
      <c r="BF252" s="91"/>
      <c r="BG252" s="91"/>
      <c r="BH252" s="91"/>
      <c r="BI252" s="91"/>
    </row>
    <row r="253" ht="12.75" customHeight="1">
      <c r="AO253" s="91"/>
      <c r="AP253" s="91"/>
      <c r="AQ253" s="91"/>
      <c r="AR253" s="91"/>
      <c r="AS253" s="91"/>
      <c r="AT253" s="91"/>
      <c r="AU253" s="91"/>
      <c r="AV253" s="91"/>
      <c r="AW253" s="91"/>
      <c r="AX253" s="91"/>
      <c r="AY253" s="91"/>
      <c r="AZ253" s="91"/>
      <c r="BA253" s="91"/>
      <c r="BB253" s="91"/>
      <c r="BC253" s="91"/>
      <c r="BD253" s="91"/>
      <c r="BE253" s="91"/>
      <c r="BF253" s="91"/>
      <c r="BG253" s="91"/>
      <c r="BH253" s="91"/>
      <c r="BI253" s="91"/>
    </row>
    <row r="254" ht="12.75" customHeight="1">
      <c r="AO254" s="91"/>
      <c r="AP254" s="91"/>
      <c r="AQ254" s="91"/>
      <c r="AR254" s="91"/>
      <c r="AS254" s="91"/>
      <c r="AT254" s="91"/>
      <c r="AU254" s="91"/>
      <c r="AV254" s="91"/>
      <c r="AW254" s="91"/>
      <c r="AX254" s="91"/>
      <c r="AY254" s="91"/>
      <c r="AZ254" s="91"/>
      <c r="BA254" s="91"/>
      <c r="BB254" s="91"/>
      <c r="BC254" s="91"/>
      <c r="BD254" s="91"/>
      <c r="BE254" s="91"/>
      <c r="BF254" s="91"/>
      <c r="BG254" s="91"/>
      <c r="BH254" s="91"/>
      <c r="BI254" s="91"/>
    </row>
    <row r="255" ht="12.75" customHeight="1">
      <c r="AO255" s="91"/>
      <c r="AP255" s="91"/>
      <c r="AQ255" s="91"/>
      <c r="AR255" s="91"/>
      <c r="AS255" s="91"/>
      <c r="AT255" s="91"/>
      <c r="AU255" s="91"/>
      <c r="AV255" s="91"/>
      <c r="AW255" s="91"/>
      <c r="AX255" s="91"/>
      <c r="AY255" s="91"/>
      <c r="AZ255" s="91"/>
      <c r="BA255" s="91"/>
      <c r="BB255" s="91"/>
      <c r="BC255" s="91"/>
      <c r="BD255" s="91"/>
      <c r="BE255" s="91"/>
      <c r="BF255" s="91"/>
      <c r="BG255" s="91"/>
      <c r="BH255" s="91"/>
      <c r="BI255" s="91"/>
    </row>
    <row r="256" ht="12.75" customHeight="1">
      <c r="AO256" s="91"/>
      <c r="AP256" s="91"/>
      <c r="AQ256" s="91"/>
      <c r="AR256" s="91"/>
      <c r="AS256" s="91"/>
      <c r="AT256" s="91"/>
      <c r="AU256" s="91"/>
      <c r="AV256" s="91"/>
      <c r="AW256" s="91"/>
      <c r="AX256" s="91"/>
      <c r="AY256" s="91"/>
      <c r="AZ256" s="91"/>
      <c r="BA256" s="91"/>
      <c r="BB256" s="91"/>
      <c r="BC256" s="91"/>
      <c r="BD256" s="91"/>
      <c r="BE256" s="91"/>
      <c r="BF256" s="91"/>
      <c r="BG256" s="91"/>
      <c r="BH256" s="91"/>
      <c r="BI256" s="91"/>
    </row>
    <row r="257" ht="12.75" customHeight="1">
      <c r="AO257" s="91"/>
      <c r="AP257" s="91"/>
      <c r="AQ257" s="91"/>
      <c r="AR257" s="91"/>
      <c r="AS257" s="91"/>
      <c r="AT257" s="91"/>
      <c r="AU257" s="91"/>
      <c r="AV257" s="91"/>
      <c r="AW257" s="91"/>
      <c r="AX257" s="91"/>
      <c r="AY257" s="91"/>
      <c r="AZ257" s="91"/>
      <c r="BA257" s="91"/>
      <c r="BB257" s="91"/>
      <c r="BC257" s="91"/>
      <c r="BD257" s="91"/>
      <c r="BE257" s="91"/>
      <c r="BF257" s="91"/>
      <c r="BG257" s="91"/>
      <c r="BH257" s="91"/>
      <c r="BI257" s="91"/>
    </row>
    <row r="258" ht="12.75" customHeight="1">
      <c r="AO258" s="91"/>
      <c r="AP258" s="91"/>
      <c r="AQ258" s="91"/>
      <c r="AR258" s="91"/>
      <c r="AS258" s="91"/>
      <c r="AT258" s="91"/>
      <c r="AU258" s="91"/>
      <c r="AV258" s="91"/>
      <c r="AW258" s="91"/>
      <c r="AX258" s="91"/>
      <c r="AY258" s="91"/>
      <c r="AZ258" s="91"/>
      <c r="BA258" s="91"/>
      <c r="BB258" s="91"/>
      <c r="BC258" s="91"/>
      <c r="BD258" s="91"/>
      <c r="BE258" s="91"/>
      <c r="BF258" s="91"/>
      <c r="BG258" s="91"/>
      <c r="BH258" s="91"/>
      <c r="BI258" s="91"/>
    </row>
    <row r="259" ht="12.75" customHeight="1">
      <c r="AO259" s="91"/>
      <c r="AP259" s="91"/>
      <c r="AQ259" s="91"/>
      <c r="AR259" s="91"/>
      <c r="AS259" s="91"/>
      <c r="AT259" s="91"/>
      <c r="AU259" s="91"/>
      <c r="AV259" s="91"/>
      <c r="AW259" s="91"/>
      <c r="AX259" s="91"/>
      <c r="AY259" s="91"/>
      <c r="AZ259" s="91"/>
      <c r="BA259" s="91"/>
      <c r="BB259" s="91"/>
      <c r="BC259" s="91"/>
      <c r="BD259" s="91"/>
      <c r="BE259" s="91"/>
      <c r="BF259" s="91"/>
      <c r="BG259" s="91"/>
      <c r="BH259" s="91"/>
      <c r="BI259" s="91"/>
    </row>
    <row r="260" ht="12.75" customHeight="1">
      <c r="AO260" s="91"/>
      <c r="AP260" s="91"/>
      <c r="AQ260" s="91"/>
      <c r="AR260" s="91"/>
      <c r="AS260" s="91"/>
      <c r="AT260" s="91"/>
      <c r="AU260" s="91"/>
      <c r="AV260" s="91"/>
      <c r="AW260" s="91"/>
      <c r="AX260" s="91"/>
      <c r="AY260" s="91"/>
      <c r="AZ260" s="91"/>
      <c r="BA260" s="91"/>
      <c r="BB260" s="91"/>
      <c r="BC260" s="91"/>
      <c r="BD260" s="91"/>
      <c r="BE260" s="91"/>
      <c r="BF260" s="91"/>
      <c r="BG260" s="91"/>
      <c r="BH260" s="91"/>
      <c r="BI260" s="91"/>
    </row>
    <row r="261" ht="12.75" customHeight="1">
      <c r="AO261" s="91"/>
      <c r="AP261" s="91"/>
      <c r="AQ261" s="91"/>
      <c r="AR261" s="91"/>
      <c r="AS261" s="91"/>
      <c r="AT261" s="91"/>
      <c r="AU261" s="91"/>
      <c r="AV261" s="91"/>
      <c r="AW261" s="91"/>
      <c r="AX261" s="91"/>
      <c r="AY261" s="91"/>
      <c r="AZ261" s="91"/>
      <c r="BA261" s="91"/>
      <c r="BB261" s="91"/>
      <c r="BC261" s="91"/>
      <c r="BD261" s="91"/>
      <c r="BE261" s="91"/>
      <c r="BF261" s="91"/>
      <c r="BG261" s="91"/>
      <c r="BH261" s="91"/>
      <c r="BI261" s="91"/>
    </row>
    <row r="262" ht="12.75" customHeight="1">
      <c r="AO262" s="91"/>
      <c r="AP262" s="91"/>
      <c r="AQ262" s="91"/>
      <c r="AR262" s="91"/>
      <c r="AS262" s="91"/>
      <c r="AT262" s="91"/>
      <c r="AU262" s="91"/>
      <c r="AV262" s="91"/>
      <c r="AW262" s="91"/>
      <c r="AX262" s="91"/>
      <c r="AY262" s="91"/>
      <c r="AZ262" s="91"/>
      <c r="BA262" s="91"/>
      <c r="BB262" s="91"/>
      <c r="BC262" s="91"/>
      <c r="BD262" s="91"/>
      <c r="BE262" s="91"/>
      <c r="BF262" s="91"/>
      <c r="BG262" s="91"/>
      <c r="BH262" s="91"/>
      <c r="BI262" s="91"/>
    </row>
    <row r="263" ht="12.75" customHeight="1">
      <c r="AO263" s="91"/>
      <c r="AP263" s="91"/>
      <c r="AQ263" s="91"/>
      <c r="AR263" s="91"/>
      <c r="AS263" s="91"/>
      <c r="AT263" s="91"/>
      <c r="AU263" s="91"/>
      <c r="AV263" s="91"/>
      <c r="AW263" s="91"/>
      <c r="AX263" s="91"/>
      <c r="AY263" s="91"/>
      <c r="AZ263" s="91"/>
      <c r="BA263" s="91"/>
      <c r="BB263" s="91"/>
      <c r="BC263" s="91"/>
      <c r="BD263" s="91"/>
      <c r="BE263" s="91"/>
      <c r="BF263" s="91"/>
      <c r="BG263" s="91"/>
      <c r="BH263" s="91"/>
      <c r="BI263" s="91"/>
    </row>
    <row r="264" ht="12.75" customHeight="1">
      <c r="AO264" s="91"/>
      <c r="AP264" s="91"/>
      <c r="AQ264" s="91"/>
      <c r="AR264" s="91"/>
      <c r="AS264" s="91"/>
      <c r="AT264" s="91"/>
      <c r="AU264" s="91"/>
      <c r="AV264" s="91"/>
      <c r="AW264" s="91"/>
      <c r="AX264" s="91"/>
      <c r="AY264" s="91"/>
      <c r="AZ264" s="91"/>
      <c r="BA264" s="91"/>
      <c r="BB264" s="91"/>
      <c r="BC264" s="91"/>
      <c r="BD264" s="91"/>
      <c r="BE264" s="91"/>
      <c r="BF264" s="91"/>
      <c r="BG264" s="91"/>
      <c r="BH264" s="91"/>
      <c r="BI264" s="91"/>
    </row>
    <row r="265" ht="12.75" customHeight="1">
      <c r="AO265" s="91"/>
      <c r="AP265" s="91"/>
      <c r="AQ265" s="91"/>
      <c r="AR265" s="91"/>
      <c r="AS265" s="91"/>
      <c r="AT265" s="91"/>
      <c r="AU265" s="91"/>
      <c r="AV265" s="91"/>
      <c r="AW265" s="91"/>
      <c r="AX265" s="91"/>
      <c r="AY265" s="91"/>
      <c r="AZ265" s="91"/>
      <c r="BA265" s="91"/>
      <c r="BB265" s="91"/>
      <c r="BC265" s="91"/>
      <c r="BD265" s="91"/>
      <c r="BE265" s="91"/>
      <c r="BF265" s="91"/>
      <c r="BG265" s="91"/>
      <c r="BH265" s="91"/>
      <c r="BI265" s="91"/>
    </row>
    <row r="266" ht="12.75" customHeight="1">
      <c r="AO266" s="91"/>
      <c r="AP266" s="91"/>
      <c r="AQ266" s="91"/>
      <c r="AR266" s="91"/>
      <c r="AS266" s="91"/>
      <c r="AT266" s="91"/>
      <c r="AU266" s="91"/>
      <c r="AV266" s="91"/>
      <c r="AW266" s="91"/>
      <c r="AX266" s="91"/>
      <c r="AY266" s="91"/>
      <c r="AZ266" s="91"/>
      <c r="BA266" s="91"/>
      <c r="BB266" s="91"/>
      <c r="BC266" s="91"/>
      <c r="BD266" s="91"/>
      <c r="BE266" s="91"/>
      <c r="BF266" s="91"/>
      <c r="BG266" s="91"/>
      <c r="BH266" s="91"/>
      <c r="BI266" s="91"/>
    </row>
    <row r="267" ht="12.75" customHeight="1">
      <c r="AO267" s="91"/>
      <c r="AP267" s="91"/>
      <c r="AQ267" s="91"/>
      <c r="AR267" s="91"/>
      <c r="AS267" s="91"/>
      <c r="AT267" s="91"/>
      <c r="AU267" s="91"/>
      <c r="AV267" s="91"/>
      <c r="AW267" s="91"/>
      <c r="AX267" s="91"/>
      <c r="AY267" s="91"/>
      <c r="AZ267" s="91"/>
      <c r="BA267" s="91"/>
      <c r="BB267" s="91"/>
      <c r="BC267" s="91"/>
      <c r="BD267" s="91"/>
      <c r="BE267" s="91"/>
      <c r="BF267" s="91"/>
      <c r="BG267" s="91"/>
      <c r="BH267" s="91"/>
      <c r="BI267" s="91"/>
    </row>
    <row r="268" ht="12.75" customHeight="1">
      <c r="AO268" s="91"/>
      <c r="AP268" s="91"/>
      <c r="AQ268" s="91"/>
      <c r="AR268" s="91"/>
      <c r="AS268" s="91"/>
      <c r="AT268" s="91"/>
      <c r="AU268" s="91"/>
      <c r="AV268" s="91"/>
      <c r="AW268" s="91"/>
      <c r="AX268" s="91"/>
      <c r="AY268" s="91"/>
      <c r="AZ268" s="91"/>
      <c r="BA268" s="91"/>
      <c r="BB268" s="91"/>
      <c r="BC268" s="91"/>
      <c r="BD268" s="91"/>
      <c r="BE268" s="91"/>
      <c r="BF268" s="91"/>
      <c r="BG268" s="91"/>
      <c r="BH268" s="91"/>
      <c r="BI268" s="91"/>
    </row>
    <row r="269" ht="12.75" customHeight="1">
      <c r="AO269" s="91"/>
      <c r="AP269" s="91"/>
      <c r="AQ269" s="91"/>
      <c r="AR269" s="91"/>
      <c r="AS269" s="91"/>
      <c r="AT269" s="91"/>
      <c r="AU269" s="91"/>
      <c r="AV269" s="91"/>
      <c r="AW269" s="91"/>
      <c r="AX269" s="91"/>
      <c r="AY269" s="91"/>
      <c r="AZ269" s="91"/>
      <c r="BA269" s="91"/>
      <c r="BB269" s="91"/>
      <c r="BC269" s="91"/>
      <c r="BD269" s="91"/>
      <c r="BE269" s="91"/>
      <c r="BF269" s="91"/>
      <c r="BG269" s="91"/>
      <c r="BH269" s="91"/>
      <c r="BI269" s="91"/>
    </row>
    <row r="270" ht="12.75" customHeight="1">
      <c r="AO270" s="91"/>
      <c r="AP270" s="91"/>
      <c r="AQ270" s="91"/>
      <c r="AR270" s="91"/>
      <c r="AS270" s="91"/>
      <c r="AT270" s="91"/>
      <c r="AU270" s="91"/>
      <c r="AV270" s="91"/>
      <c r="AW270" s="91"/>
      <c r="AX270" s="91"/>
      <c r="AY270" s="91"/>
      <c r="AZ270" s="91"/>
      <c r="BA270" s="91"/>
      <c r="BB270" s="91"/>
      <c r="BC270" s="91"/>
      <c r="BD270" s="91"/>
      <c r="BE270" s="91"/>
      <c r="BF270" s="91"/>
      <c r="BG270" s="91"/>
      <c r="BH270" s="91"/>
      <c r="BI270" s="91"/>
    </row>
    <row r="271" ht="12.75" customHeight="1">
      <c r="AO271" s="91"/>
      <c r="AP271" s="91"/>
      <c r="AQ271" s="91"/>
      <c r="AR271" s="91"/>
      <c r="AS271" s="91"/>
      <c r="AT271" s="91"/>
      <c r="AU271" s="91"/>
      <c r="AV271" s="91"/>
      <c r="AW271" s="91"/>
      <c r="AX271" s="91"/>
      <c r="AY271" s="91"/>
      <c r="AZ271" s="91"/>
      <c r="BA271" s="91"/>
      <c r="BB271" s="91"/>
      <c r="BC271" s="91"/>
      <c r="BD271" s="91"/>
      <c r="BE271" s="91"/>
      <c r="BF271" s="91"/>
      <c r="BG271" s="91"/>
      <c r="BH271" s="91"/>
      <c r="BI271" s="91"/>
    </row>
    <row r="272" ht="12.75" customHeight="1">
      <c r="AO272" s="91"/>
      <c r="AP272" s="91"/>
      <c r="AQ272" s="91"/>
      <c r="AR272" s="91"/>
      <c r="AS272" s="91"/>
      <c r="AT272" s="91"/>
      <c r="AU272" s="91"/>
      <c r="AV272" s="91"/>
      <c r="AW272" s="91"/>
      <c r="AX272" s="91"/>
      <c r="AY272" s="91"/>
      <c r="AZ272" s="91"/>
      <c r="BA272" s="91"/>
      <c r="BB272" s="91"/>
      <c r="BC272" s="91"/>
      <c r="BD272" s="91"/>
      <c r="BE272" s="91"/>
      <c r="BF272" s="91"/>
      <c r="BG272" s="91"/>
      <c r="BH272" s="91"/>
      <c r="BI272" s="91"/>
    </row>
    <row r="273" ht="12.75" customHeight="1">
      <c r="AO273" s="91"/>
      <c r="AP273" s="91"/>
      <c r="AQ273" s="91"/>
      <c r="AR273" s="91"/>
      <c r="AS273" s="91"/>
      <c r="AT273" s="91"/>
      <c r="AU273" s="91"/>
      <c r="AV273" s="91"/>
      <c r="AW273" s="91"/>
      <c r="AX273" s="91"/>
      <c r="AY273" s="91"/>
      <c r="AZ273" s="91"/>
      <c r="BA273" s="91"/>
      <c r="BB273" s="91"/>
      <c r="BC273" s="91"/>
      <c r="BD273" s="91"/>
      <c r="BE273" s="91"/>
      <c r="BF273" s="91"/>
      <c r="BG273" s="91"/>
      <c r="BH273" s="91"/>
      <c r="BI273" s="91"/>
    </row>
    <row r="274" ht="12.75" customHeight="1">
      <c r="AO274" s="91"/>
      <c r="AP274" s="91"/>
      <c r="AQ274" s="91"/>
      <c r="AR274" s="91"/>
      <c r="AS274" s="91"/>
      <c r="AT274" s="91"/>
      <c r="AU274" s="91"/>
      <c r="AV274" s="91"/>
      <c r="AW274" s="91"/>
      <c r="AX274" s="91"/>
      <c r="AY274" s="91"/>
      <c r="AZ274" s="91"/>
      <c r="BA274" s="91"/>
      <c r="BB274" s="91"/>
      <c r="BC274" s="91"/>
      <c r="BD274" s="91"/>
      <c r="BE274" s="91"/>
      <c r="BF274" s="91"/>
      <c r="BG274" s="91"/>
      <c r="BH274" s="91"/>
      <c r="BI274" s="91"/>
    </row>
    <row r="275" ht="12.75" customHeight="1">
      <c r="AO275" s="91"/>
      <c r="AP275" s="91"/>
      <c r="AQ275" s="91"/>
      <c r="AR275" s="91"/>
      <c r="AS275" s="91"/>
      <c r="AT275" s="91"/>
      <c r="AU275" s="91"/>
      <c r="AV275" s="91"/>
      <c r="AW275" s="91"/>
      <c r="AX275" s="91"/>
      <c r="AY275" s="91"/>
      <c r="AZ275" s="91"/>
      <c r="BA275" s="91"/>
      <c r="BB275" s="91"/>
      <c r="BC275" s="91"/>
      <c r="BD275" s="91"/>
      <c r="BE275" s="91"/>
      <c r="BF275" s="91"/>
      <c r="BG275" s="91"/>
      <c r="BH275" s="91"/>
      <c r="BI275" s="91"/>
    </row>
    <row r="276" ht="12.75" customHeight="1">
      <c r="AO276" s="91"/>
      <c r="AP276" s="91"/>
      <c r="AQ276" s="91"/>
      <c r="AR276" s="91"/>
      <c r="AS276" s="91"/>
      <c r="AT276" s="91"/>
      <c r="AU276" s="91"/>
      <c r="AV276" s="91"/>
      <c r="AW276" s="91"/>
      <c r="AX276" s="91"/>
      <c r="AY276" s="91"/>
      <c r="AZ276" s="91"/>
      <c r="BA276" s="91"/>
      <c r="BB276" s="91"/>
      <c r="BC276" s="91"/>
      <c r="BD276" s="91"/>
      <c r="BE276" s="91"/>
      <c r="BF276" s="91"/>
      <c r="BG276" s="91"/>
      <c r="BH276" s="91"/>
      <c r="BI276" s="91"/>
    </row>
    <row r="277" ht="12.75" customHeight="1">
      <c r="AO277" s="91"/>
      <c r="AP277" s="91"/>
      <c r="AQ277" s="91"/>
      <c r="AR277" s="91"/>
      <c r="AS277" s="91"/>
      <c r="AT277" s="91"/>
      <c r="AU277" s="91"/>
      <c r="AV277" s="91"/>
      <c r="AW277" s="91"/>
      <c r="AX277" s="91"/>
      <c r="AY277" s="91"/>
      <c r="AZ277" s="91"/>
      <c r="BA277" s="91"/>
      <c r="BB277" s="91"/>
      <c r="BC277" s="91"/>
      <c r="BD277" s="91"/>
      <c r="BE277" s="91"/>
      <c r="BF277" s="91"/>
      <c r="BG277" s="91"/>
      <c r="BH277" s="91"/>
      <c r="BI277" s="91"/>
    </row>
    <row r="278" ht="12.75" customHeight="1">
      <c r="AO278" s="91"/>
      <c r="AP278" s="91"/>
      <c r="AQ278" s="91"/>
      <c r="AR278" s="91"/>
      <c r="AS278" s="91"/>
      <c r="AT278" s="91"/>
      <c r="AU278" s="91"/>
      <c r="AV278" s="91"/>
      <c r="AW278" s="91"/>
      <c r="AX278" s="91"/>
      <c r="AY278" s="91"/>
      <c r="AZ278" s="91"/>
      <c r="BA278" s="91"/>
      <c r="BB278" s="91"/>
      <c r="BC278" s="91"/>
      <c r="BD278" s="91"/>
      <c r="BE278" s="91"/>
      <c r="BF278" s="91"/>
      <c r="BG278" s="91"/>
      <c r="BH278" s="91"/>
      <c r="BI278" s="91"/>
    </row>
    <row r="279" ht="12.75" customHeight="1">
      <c r="AO279" s="91"/>
      <c r="AP279" s="91"/>
      <c r="AQ279" s="91"/>
      <c r="AR279" s="91"/>
      <c r="AS279" s="91"/>
      <c r="AT279" s="91"/>
      <c r="AU279" s="91"/>
      <c r="AV279" s="91"/>
      <c r="AW279" s="91"/>
      <c r="AX279" s="91"/>
      <c r="AY279" s="91"/>
      <c r="AZ279" s="91"/>
      <c r="BA279" s="91"/>
      <c r="BB279" s="91"/>
      <c r="BC279" s="91"/>
      <c r="BD279" s="91"/>
      <c r="BE279" s="91"/>
      <c r="BF279" s="91"/>
      <c r="BG279" s="91"/>
      <c r="BH279" s="91"/>
      <c r="BI279" s="91"/>
    </row>
    <row r="280" ht="12.75" customHeight="1">
      <c r="AO280" s="91"/>
      <c r="AP280" s="91"/>
      <c r="AQ280" s="91"/>
      <c r="AR280" s="91"/>
      <c r="AS280" s="91"/>
      <c r="AT280" s="91"/>
      <c r="AU280" s="91"/>
      <c r="AV280" s="91"/>
      <c r="AW280" s="91"/>
      <c r="AX280" s="91"/>
      <c r="AY280" s="91"/>
      <c r="AZ280" s="91"/>
      <c r="BA280" s="91"/>
      <c r="BB280" s="91"/>
      <c r="BC280" s="91"/>
      <c r="BD280" s="91"/>
      <c r="BE280" s="91"/>
      <c r="BF280" s="91"/>
      <c r="BG280" s="91"/>
      <c r="BH280" s="91"/>
      <c r="BI280" s="91"/>
    </row>
    <row r="281" ht="12.75" customHeight="1">
      <c r="AO281" s="91"/>
      <c r="AP281" s="91"/>
      <c r="AQ281" s="91"/>
      <c r="AR281" s="91"/>
      <c r="AS281" s="91"/>
      <c r="AT281" s="91"/>
      <c r="AU281" s="91"/>
      <c r="AV281" s="91"/>
      <c r="AW281" s="91"/>
      <c r="AX281" s="91"/>
      <c r="AY281" s="91"/>
      <c r="AZ281" s="91"/>
      <c r="BA281" s="91"/>
      <c r="BB281" s="91"/>
      <c r="BC281" s="91"/>
      <c r="BD281" s="91"/>
      <c r="BE281" s="91"/>
      <c r="BF281" s="91"/>
      <c r="BG281" s="91"/>
      <c r="BH281" s="91"/>
      <c r="BI281" s="91"/>
    </row>
    <row r="282" ht="12.75" customHeight="1">
      <c r="AO282" s="91"/>
      <c r="AP282" s="91"/>
      <c r="AQ282" s="91"/>
      <c r="AR282" s="91"/>
      <c r="AS282" s="91"/>
      <c r="AT282" s="91"/>
      <c r="AU282" s="91"/>
      <c r="AV282" s="91"/>
      <c r="AW282" s="91"/>
      <c r="AX282" s="91"/>
      <c r="AY282" s="91"/>
      <c r="AZ282" s="91"/>
      <c r="BA282" s="91"/>
      <c r="BB282" s="91"/>
      <c r="BC282" s="91"/>
      <c r="BD282" s="91"/>
      <c r="BE282" s="91"/>
      <c r="BF282" s="91"/>
      <c r="BG282" s="91"/>
      <c r="BH282" s="91"/>
      <c r="BI282" s="91"/>
    </row>
    <row r="283" ht="12.75" customHeight="1">
      <c r="AO283" s="91"/>
      <c r="AP283" s="91"/>
      <c r="AQ283" s="91"/>
      <c r="AR283" s="91"/>
      <c r="AS283" s="91"/>
      <c r="AT283" s="91"/>
      <c r="AU283" s="91"/>
      <c r="AV283" s="91"/>
      <c r="AW283" s="91"/>
      <c r="AX283" s="91"/>
      <c r="AY283" s="91"/>
      <c r="AZ283" s="91"/>
      <c r="BA283" s="91"/>
      <c r="BB283" s="91"/>
      <c r="BC283" s="91"/>
      <c r="BD283" s="91"/>
      <c r="BE283" s="91"/>
      <c r="BF283" s="91"/>
      <c r="BG283" s="91"/>
      <c r="BH283" s="91"/>
      <c r="BI283" s="91"/>
    </row>
    <row r="284" ht="12.75" customHeight="1">
      <c r="AO284" s="91"/>
      <c r="AP284" s="91"/>
      <c r="AQ284" s="91"/>
      <c r="AR284" s="91"/>
      <c r="AS284" s="91"/>
      <c r="AT284" s="91"/>
      <c r="AU284" s="91"/>
      <c r="AV284" s="91"/>
      <c r="AW284" s="91"/>
      <c r="AX284" s="91"/>
      <c r="AY284" s="91"/>
      <c r="AZ284" s="91"/>
      <c r="BA284" s="91"/>
      <c r="BB284" s="91"/>
      <c r="BC284" s="91"/>
      <c r="BD284" s="91"/>
      <c r="BE284" s="91"/>
      <c r="BF284" s="91"/>
      <c r="BG284" s="91"/>
      <c r="BH284" s="91"/>
      <c r="BI284" s="91"/>
    </row>
    <row r="285" ht="12.75" customHeight="1">
      <c r="AO285" s="91"/>
      <c r="AP285" s="91"/>
      <c r="AQ285" s="91"/>
      <c r="AR285" s="91"/>
      <c r="AS285" s="91"/>
      <c r="AT285" s="91"/>
      <c r="AU285" s="91"/>
      <c r="AV285" s="91"/>
      <c r="AW285" s="91"/>
      <c r="AX285" s="91"/>
      <c r="AY285" s="91"/>
      <c r="AZ285" s="91"/>
      <c r="BA285" s="91"/>
      <c r="BB285" s="91"/>
      <c r="BC285" s="91"/>
      <c r="BD285" s="91"/>
      <c r="BE285" s="91"/>
      <c r="BF285" s="91"/>
      <c r="BG285" s="91"/>
      <c r="BH285" s="91"/>
      <c r="BI285" s="91"/>
    </row>
    <row r="286" ht="12.75" customHeight="1">
      <c r="AO286" s="91"/>
      <c r="AP286" s="91"/>
      <c r="AQ286" s="91"/>
      <c r="AR286" s="91"/>
      <c r="AS286" s="91"/>
      <c r="AT286" s="91"/>
      <c r="AU286" s="91"/>
      <c r="AV286" s="91"/>
      <c r="AW286" s="91"/>
      <c r="AX286" s="91"/>
      <c r="AY286" s="91"/>
      <c r="AZ286" s="91"/>
      <c r="BA286" s="91"/>
      <c r="BB286" s="91"/>
      <c r="BC286" s="91"/>
      <c r="BD286" s="91"/>
      <c r="BE286" s="91"/>
      <c r="BF286" s="91"/>
      <c r="BG286" s="91"/>
      <c r="BH286" s="91"/>
      <c r="BI286" s="91"/>
    </row>
    <row r="287" ht="12.75" customHeight="1">
      <c r="AO287" s="91"/>
      <c r="AP287" s="91"/>
      <c r="AQ287" s="91"/>
      <c r="AR287" s="91"/>
      <c r="AS287" s="91"/>
      <c r="AT287" s="91"/>
      <c r="AU287" s="91"/>
      <c r="AV287" s="91"/>
      <c r="AW287" s="91"/>
      <c r="AX287" s="91"/>
      <c r="AY287" s="91"/>
      <c r="AZ287" s="91"/>
      <c r="BA287" s="91"/>
      <c r="BB287" s="91"/>
      <c r="BC287" s="91"/>
      <c r="BD287" s="91"/>
      <c r="BE287" s="91"/>
      <c r="BF287" s="91"/>
      <c r="BG287" s="91"/>
      <c r="BH287" s="91"/>
      <c r="BI287" s="91"/>
    </row>
    <row r="288" ht="12.75" customHeight="1">
      <c r="AO288" s="91"/>
      <c r="AP288" s="91"/>
      <c r="AQ288" s="91"/>
      <c r="AR288" s="91"/>
      <c r="AS288" s="91"/>
      <c r="AT288" s="91"/>
      <c r="AU288" s="91"/>
      <c r="AV288" s="91"/>
      <c r="AW288" s="91"/>
      <c r="AX288" s="91"/>
      <c r="AY288" s="91"/>
      <c r="AZ288" s="91"/>
      <c r="BA288" s="91"/>
      <c r="BB288" s="91"/>
      <c r="BC288" s="91"/>
      <c r="BD288" s="91"/>
      <c r="BE288" s="91"/>
      <c r="BF288" s="91"/>
      <c r="BG288" s="91"/>
      <c r="BH288" s="91"/>
      <c r="BI288" s="91"/>
    </row>
    <row r="289" ht="12.75" customHeight="1">
      <c r="AO289" s="91"/>
      <c r="AP289" s="91"/>
      <c r="AQ289" s="91"/>
      <c r="AR289" s="91"/>
      <c r="AS289" s="91"/>
      <c r="AT289" s="91"/>
      <c r="AU289" s="91"/>
      <c r="AV289" s="91"/>
      <c r="AW289" s="91"/>
      <c r="AX289" s="91"/>
      <c r="AY289" s="91"/>
      <c r="AZ289" s="91"/>
      <c r="BA289" s="91"/>
      <c r="BB289" s="91"/>
      <c r="BC289" s="91"/>
      <c r="BD289" s="91"/>
      <c r="BE289" s="91"/>
      <c r="BF289" s="91"/>
      <c r="BG289" s="91"/>
      <c r="BH289" s="91"/>
      <c r="BI289" s="91"/>
    </row>
    <row r="290" ht="12.75" customHeight="1">
      <c r="AO290" s="91"/>
      <c r="AP290" s="91"/>
      <c r="AQ290" s="91"/>
      <c r="AR290" s="91"/>
      <c r="AS290" s="91"/>
      <c r="AT290" s="91"/>
      <c r="AU290" s="91"/>
      <c r="AV290" s="91"/>
      <c r="AW290" s="91"/>
      <c r="AX290" s="91"/>
      <c r="AY290" s="91"/>
      <c r="AZ290" s="91"/>
      <c r="BA290" s="91"/>
      <c r="BB290" s="91"/>
      <c r="BC290" s="91"/>
      <c r="BD290" s="91"/>
      <c r="BE290" s="91"/>
      <c r="BF290" s="91"/>
      <c r="BG290" s="91"/>
      <c r="BH290" s="91"/>
      <c r="BI290" s="91"/>
    </row>
    <row r="291" ht="12.75" customHeight="1">
      <c r="AO291" s="91"/>
      <c r="AP291" s="91"/>
      <c r="AQ291" s="91"/>
      <c r="AR291" s="91"/>
      <c r="AS291" s="91"/>
      <c r="AT291" s="91"/>
      <c r="AU291" s="91"/>
      <c r="AV291" s="91"/>
      <c r="AW291" s="91"/>
      <c r="AX291" s="91"/>
      <c r="AY291" s="91"/>
      <c r="AZ291" s="91"/>
      <c r="BA291" s="91"/>
      <c r="BB291" s="91"/>
      <c r="BC291" s="91"/>
      <c r="BD291" s="91"/>
      <c r="BE291" s="91"/>
      <c r="BF291" s="91"/>
      <c r="BG291" s="91"/>
      <c r="BH291" s="91"/>
      <c r="BI291" s="91"/>
    </row>
    <row r="292" ht="12.75" customHeight="1">
      <c r="AO292" s="91"/>
      <c r="AP292" s="91"/>
      <c r="AQ292" s="91"/>
      <c r="AR292" s="91"/>
      <c r="AS292" s="91"/>
      <c r="AT292" s="91"/>
      <c r="AU292" s="91"/>
      <c r="AV292" s="91"/>
      <c r="AW292" s="91"/>
      <c r="AX292" s="91"/>
      <c r="AY292" s="91"/>
      <c r="AZ292" s="91"/>
      <c r="BA292" s="91"/>
      <c r="BB292" s="91"/>
      <c r="BC292" s="91"/>
      <c r="BD292" s="91"/>
      <c r="BE292" s="91"/>
      <c r="BF292" s="91"/>
      <c r="BG292" s="91"/>
      <c r="BH292" s="91"/>
      <c r="BI292" s="91"/>
    </row>
    <row r="293" ht="12.75" customHeight="1">
      <c r="AO293" s="91"/>
      <c r="AP293" s="91"/>
      <c r="AQ293" s="91"/>
      <c r="AR293" s="91"/>
      <c r="AS293" s="91"/>
      <c r="AT293" s="91"/>
      <c r="AU293" s="91"/>
      <c r="AV293" s="91"/>
      <c r="AW293" s="91"/>
      <c r="AX293" s="91"/>
      <c r="AY293" s="91"/>
      <c r="AZ293" s="91"/>
      <c r="BA293" s="91"/>
      <c r="BB293" s="91"/>
      <c r="BC293" s="91"/>
      <c r="BD293" s="91"/>
      <c r="BE293" s="91"/>
      <c r="BF293" s="91"/>
      <c r="BG293" s="91"/>
      <c r="BH293" s="91"/>
      <c r="BI293" s="91"/>
    </row>
    <row r="294" ht="12.75" customHeight="1">
      <c r="AO294" s="91"/>
      <c r="AP294" s="91"/>
      <c r="AQ294" s="91"/>
      <c r="AR294" s="91"/>
      <c r="AS294" s="91"/>
      <c r="AT294" s="91"/>
      <c r="AU294" s="91"/>
      <c r="AV294" s="91"/>
      <c r="AW294" s="91"/>
      <c r="AX294" s="91"/>
      <c r="AY294" s="91"/>
      <c r="AZ294" s="91"/>
      <c r="BA294" s="91"/>
      <c r="BB294" s="91"/>
      <c r="BC294" s="91"/>
      <c r="BD294" s="91"/>
      <c r="BE294" s="91"/>
      <c r="BF294" s="91"/>
      <c r="BG294" s="91"/>
      <c r="BH294" s="91"/>
      <c r="BI294" s="91"/>
    </row>
    <row r="295" ht="12.75" customHeight="1">
      <c r="AO295" s="91"/>
      <c r="AP295" s="91"/>
      <c r="AQ295" s="91"/>
      <c r="AR295" s="91"/>
      <c r="AS295" s="91"/>
      <c r="AT295" s="91"/>
      <c r="AU295" s="91"/>
      <c r="AV295" s="91"/>
      <c r="AW295" s="91"/>
      <c r="AX295" s="91"/>
      <c r="AY295" s="91"/>
      <c r="AZ295" s="91"/>
      <c r="BA295" s="91"/>
      <c r="BB295" s="91"/>
      <c r="BC295" s="91"/>
      <c r="BD295" s="91"/>
      <c r="BE295" s="91"/>
      <c r="BF295" s="91"/>
      <c r="BG295" s="91"/>
      <c r="BH295" s="91"/>
      <c r="BI295" s="91"/>
    </row>
    <row r="296" ht="12.75" customHeight="1">
      <c r="AO296" s="91"/>
      <c r="AP296" s="91"/>
      <c r="AQ296" s="91"/>
      <c r="AR296" s="91"/>
      <c r="AS296" s="91"/>
      <c r="AT296" s="91"/>
      <c r="AU296" s="91"/>
      <c r="AV296" s="91"/>
      <c r="AW296" s="91"/>
      <c r="AX296" s="91"/>
      <c r="AY296" s="91"/>
      <c r="AZ296" s="91"/>
      <c r="BA296" s="91"/>
      <c r="BB296" s="91"/>
      <c r="BC296" s="91"/>
      <c r="BD296" s="91"/>
      <c r="BE296" s="91"/>
      <c r="BF296" s="91"/>
      <c r="BG296" s="91"/>
      <c r="BH296" s="91"/>
      <c r="BI296" s="91"/>
    </row>
    <row r="297" ht="12.75" customHeight="1">
      <c r="AO297" s="91"/>
      <c r="AP297" s="91"/>
      <c r="AQ297" s="91"/>
      <c r="AR297" s="91"/>
      <c r="AS297" s="91"/>
      <c r="AT297" s="91"/>
      <c r="AU297" s="91"/>
      <c r="AV297" s="91"/>
      <c r="AW297" s="91"/>
      <c r="AX297" s="91"/>
      <c r="AY297" s="91"/>
      <c r="AZ297" s="91"/>
      <c r="BA297" s="91"/>
      <c r="BB297" s="91"/>
      <c r="BC297" s="91"/>
      <c r="BD297" s="91"/>
      <c r="BE297" s="91"/>
      <c r="BF297" s="91"/>
      <c r="BG297" s="91"/>
      <c r="BH297" s="91"/>
      <c r="BI297" s="91"/>
    </row>
    <row r="298" ht="12.75" customHeight="1">
      <c r="AO298" s="91"/>
      <c r="AP298" s="91"/>
      <c r="AQ298" s="91"/>
      <c r="AR298" s="91"/>
      <c r="AS298" s="91"/>
      <c r="AT298" s="91"/>
      <c r="AU298" s="91"/>
      <c r="AV298" s="91"/>
      <c r="AW298" s="91"/>
      <c r="AX298" s="91"/>
      <c r="AY298" s="91"/>
      <c r="AZ298" s="91"/>
      <c r="BA298" s="91"/>
      <c r="BB298" s="91"/>
      <c r="BC298" s="91"/>
      <c r="BD298" s="91"/>
      <c r="BE298" s="91"/>
      <c r="BF298" s="91"/>
      <c r="BG298" s="91"/>
      <c r="BH298" s="91"/>
      <c r="BI298" s="91"/>
    </row>
    <row r="299" ht="12.75" customHeight="1">
      <c r="AO299" s="91"/>
      <c r="AP299" s="91"/>
      <c r="AQ299" s="91"/>
      <c r="AR299" s="91"/>
      <c r="AS299" s="91"/>
      <c r="AT299" s="91"/>
      <c r="AU299" s="91"/>
      <c r="AV299" s="91"/>
      <c r="AW299" s="91"/>
      <c r="AX299" s="91"/>
      <c r="AY299" s="91"/>
      <c r="AZ299" s="91"/>
      <c r="BA299" s="91"/>
      <c r="BB299" s="91"/>
      <c r="BC299" s="91"/>
      <c r="BD299" s="91"/>
      <c r="BE299" s="91"/>
      <c r="BF299" s="91"/>
      <c r="BG299" s="91"/>
      <c r="BH299" s="91"/>
      <c r="BI299" s="91"/>
    </row>
    <row r="300" ht="12.75" customHeight="1">
      <c r="AO300" s="91"/>
      <c r="AP300" s="91"/>
      <c r="AQ300" s="91"/>
      <c r="AR300" s="91"/>
      <c r="AS300" s="91"/>
      <c r="AT300" s="91"/>
      <c r="AU300" s="91"/>
      <c r="AV300" s="91"/>
      <c r="AW300" s="91"/>
      <c r="AX300" s="91"/>
      <c r="AY300" s="91"/>
      <c r="AZ300" s="91"/>
      <c r="BA300" s="91"/>
      <c r="BB300" s="91"/>
      <c r="BC300" s="91"/>
      <c r="BD300" s="91"/>
      <c r="BE300" s="91"/>
      <c r="BF300" s="91"/>
      <c r="BG300" s="91"/>
      <c r="BH300" s="91"/>
      <c r="BI300" s="91"/>
    </row>
    <row r="301" ht="12.75" customHeight="1">
      <c r="AO301" s="91"/>
      <c r="AP301" s="91"/>
      <c r="AQ301" s="91"/>
      <c r="AR301" s="91"/>
      <c r="AS301" s="91"/>
      <c r="AT301" s="91"/>
      <c r="AU301" s="91"/>
      <c r="AV301" s="91"/>
      <c r="AW301" s="91"/>
      <c r="AX301" s="91"/>
      <c r="AY301" s="91"/>
      <c r="AZ301" s="91"/>
      <c r="BA301" s="91"/>
      <c r="BB301" s="91"/>
      <c r="BC301" s="91"/>
      <c r="BD301" s="91"/>
      <c r="BE301" s="91"/>
      <c r="BF301" s="91"/>
      <c r="BG301" s="91"/>
      <c r="BH301" s="91"/>
      <c r="BI301" s="91"/>
    </row>
    <row r="302" ht="12.75" customHeight="1">
      <c r="AO302" s="91"/>
      <c r="AP302" s="91"/>
      <c r="AQ302" s="91"/>
      <c r="AR302" s="91"/>
      <c r="AS302" s="91"/>
      <c r="AT302" s="91"/>
      <c r="AU302" s="91"/>
      <c r="AV302" s="91"/>
      <c r="AW302" s="91"/>
      <c r="AX302" s="91"/>
      <c r="AY302" s="91"/>
      <c r="AZ302" s="91"/>
      <c r="BA302" s="91"/>
      <c r="BB302" s="91"/>
      <c r="BC302" s="91"/>
      <c r="BD302" s="91"/>
      <c r="BE302" s="91"/>
      <c r="BF302" s="91"/>
      <c r="BG302" s="91"/>
      <c r="BH302" s="91"/>
      <c r="BI302" s="91"/>
    </row>
    <row r="303" ht="12.75" customHeight="1">
      <c r="AO303" s="91"/>
      <c r="AP303" s="91"/>
      <c r="AQ303" s="91"/>
      <c r="AR303" s="91"/>
      <c r="AS303" s="91"/>
      <c r="AT303" s="91"/>
      <c r="AU303" s="91"/>
      <c r="AV303" s="91"/>
      <c r="AW303" s="91"/>
      <c r="AX303" s="91"/>
      <c r="AY303" s="91"/>
      <c r="AZ303" s="91"/>
      <c r="BA303" s="91"/>
      <c r="BB303" s="91"/>
      <c r="BC303" s="91"/>
      <c r="BD303" s="91"/>
      <c r="BE303" s="91"/>
      <c r="BF303" s="91"/>
      <c r="BG303" s="91"/>
      <c r="BH303" s="91"/>
      <c r="BI303" s="91"/>
    </row>
    <row r="304" ht="12.75" customHeight="1">
      <c r="AO304" s="91"/>
      <c r="AP304" s="91"/>
      <c r="AQ304" s="91"/>
      <c r="AR304" s="91"/>
      <c r="AS304" s="91"/>
      <c r="AT304" s="91"/>
      <c r="AU304" s="91"/>
      <c r="AV304" s="91"/>
      <c r="AW304" s="91"/>
      <c r="AX304" s="91"/>
      <c r="AY304" s="91"/>
      <c r="AZ304" s="91"/>
      <c r="BA304" s="91"/>
      <c r="BB304" s="91"/>
      <c r="BC304" s="91"/>
      <c r="BD304" s="91"/>
      <c r="BE304" s="91"/>
      <c r="BF304" s="91"/>
      <c r="BG304" s="91"/>
      <c r="BH304" s="91"/>
      <c r="BI304" s="91"/>
    </row>
    <row r="305" ht="12.75" customHeight="1">
      <c r="AO305" s="91"/>
      <c r="AP305" s="91"/>
      <c r="AQ305" s="91"/>
      <c r="AR305" s="91"/>
      <c r="AS305" s="91"/>
      <c r="AT305" s="91"/>
      <c r="AU305" s="91"/>
      <c r="AV305" s="91"/>
      <c r="AW305" s="91"/>
      <c r="AX305" s="91"/>
      <c r="AY305" s="91"/>
      <c r="AZ305" s="91"/>
      <c r="BA305" s="91"/>
      <c r="BB305" s="91"/>
      <c r="BC305" s="91"/>
      <c r="BD305" s="91"/>
      <c r="BE305" s="91"/>
      <c r="BF305" s="91"/>
      <c r="BG305" s="91"/>
      <c r="BH305" s="91"/>
      <c r="BI305" s="91"/>
    </row>
    <row r="306" ht="12.75" customHeight="1">
      <c r="AO306" s="91"/>
      <c r="AP306" s="91"/>
      <c r="AQ306" s="91"/>
      <c r="AR306" s="91"/>
      <c r="AS306" s="91"/>
      <c r="AT306" s="91"/>
      <c r="AU306" s="91"/>
      <c r="AV306" s="91"/>
      <c r="AW306" s="91"/>
      <c r="AX306" s="91"/>
      <c r="AY306" s="91"/>
      <c r="AZ306" s="91"/>
      <c r="BA306" s="91"/>
      <c r="BB306" s="91"/>
      <c r="BC306" s="91"/>
      <c r="BD306" s="91"/>
      <c r="BE306" s="91"/>
      <c r="BF306" s="91"/>
      <c r="BG306" s="91"/>
      <c r="BH306" s="91"/>
      <c r="BI306" s="91"/>
    </row>
    <row r="307" ht="12.75" customHeight="1">
      <c r="AO307" s="91"/>
      <c r="AP307" s="91"/>
      <c r="AQ307" s="91"/>
      <c r="AR307" s="91"/>
      <c r="AS307" s="91"/>
      <c r="AT307" s="91"/>
      <c r="AU307" s="91"/>
      <c r="AV307" s="91"/>
      <c r="AW307" s="91"/>
      <c r="AX307" s="91"/>
      <c r="AY307" s="91"/>
      <c r="AZ307" s="91"/>
      <c r="BA307" s="91"/>
      <c r="BB307" s="91"/>
      <c r="BC307" s="91"/>
      <c r="BD307" s="91"/>
      <c r="BE307" s="91"/>
      <c r="BF307" s="91"/>
      <c r="BG307" s="91"/>
      <c r="BH307" s="91"/>
      <c r="BI307" s="91"/>
    </row>
    <row r="308" ht="12.75" customHeight="1">
      <c r="AO308" s="91"/>
      <c r="AP308" s="91"/>
      <c r="AQ308" s="91"/>
      <c r="AR308" s="91"/>
      <c r="AS308" s="91"/>
      <c r="AT308" s="91"/>
      <c r="AU308" s="91"/>
      <c r="AV308" s="91"/>
      <c r="AW308" s="91"/>
      <c r="AX308" s="91"/>
      <c r="AY308" s="91"/>
      <c r="AZ308" s="91"/>
      <c r="BA308" s="91"/>
      <c r="BB308" s="91"/>
      <c r="BC308" s="91"/>
      <c r="BD308" s="91"/>
      <c r="BE308" s="91"/>
      <c r="BF308" s="91"/>
      <c r="BG308" s="91"/>
      <c r="BH308" s="91"/>
      <c r="BI308" s="91"/>
    </row>
    <row r="309" ht="12.75" customHeight="1">
      <c r="AO309" s="91"/>
      <c r="AP309" s="91"/>
      <c r="AQ309" s="91"/>
      <c r="AR309" s="91"/>
      <c r="AS309" s="91"/>
      <c r="AT309" s="91"/>
      <c r="AU309" s="91"/>
      <c r="AV309" s="91"/>
      <c r="AW309" s="91"/>
      <c r="AX309" s="91"/>
      <c r="AY309" s="91"/>
      <c r="AZ309" s="91"/>
      <c r="BA309" s="91"/>
      <c r="BB309" s="91"/>
      <c r="BC309" s="91"/>
      <c r="BD309" s="91"/>
      <c r="BE309" s="91"/>
      <c r="BF309" s="91"/>
      <c r="BG309" s="91"/>
      <c r="BH309" s="91"/>
      <c r="BI309" s="91"/>
    </row>
    <row r="310" ht="12.75" customHeight="1">
      <c r="AO310" s="91"/>
      <c r="AP310" s="91"/>
      <c r="AQ310" s="91"/>
      <c r="AR310" s="91"/>
      <c r="AS310" s="91"/>
      <c r="AT310" s="91"/>
      <c r="AU310" s="91"/>
      <c r="AV310" s="91"/>
      <c r="AW310" s="91"/>
      <c r="AX310" s="91"/>
      <c r="AY310" s="91"/>
      <c r="AZ310" s="91"/>
      <c r="BA310" s="91"/>
      <c r="BB310" s="91"/>
      <c r="BC310" s="91"/>
      <c r="BD310" s="91"/>
      <c r="BE310" s="91"/>
      <c r="BF310" s="91"/>
      <c r="BG310" s="91"/>
      <c r="BH310" s="91"/>
      <c r="BI310" s="91"/>
    </row>
    <row r="311" ht="12.75" customHeight="1">
      <c r="AO311" s="91"/>
      <c r="AP311" s="91"/>
      <c r="AQ311" s="91"/>
      <c r="AR311" s="91"/>
      <c r="AS311" s="91"/>
      <c r="AT311" s="91"/>
      <c r="AU311" s="91"/>
      <c r="AV311" s="91"/>
      <c r="AW311" s="91"/>
      <c r="AX311" s="91"/>
      <c r="AY311" s="91"/>
      <c r="AZ311" s="91"/>
      <c r="BA311" s="91"/>
      <c r="BB311" s="91"/>
      <c r="BC311" s="91"/>
      <c r="BD311" s="91"/>
      <c r="BE311" s="91"/>
      <c r="BF311" s="91"/>
      <c r="BG311" s="91"/>
      <c r="BH311" s="91"/>
      <c r="BI311" s="91"/>
    </row>
    <row r="312" ht="12.75" customHeight="1">
      <c r="AO312" s="91"/>
      <c r="AP312" s="91"/>
      <c r="AQ312" s="91"/>
      <c r="AR312" s="91"/>
      <c r="AS312" s="91"/>
      <c r="AT312" s="91"/>
      <c r="AU312" s="91"/>
      <c r="AV312" s="91"/>
      <c r="AW312" s="91"/>
      <c r="AX312" s="91"/>
      <c r="AY312" s="91"/>
      <c r="AZ312" s="91"/>
      <c r="BA312" s="91"/>
      <c r="BB312" s="91"/>
      <c r="BC312" s="91"/>
      <c r="BD312" s="91"/>
      <c r="BE312" s="91"/>
      <c r="BF312" s="91"/>
      <c r="BG312" s="91"/>
      <c r="BH312" s="91"/>
      <c r="BI312" s="91"/>
    </row>
    <row r="313" ht="12.75" customHeight="1">
      <c r="AO313" s="91"/>
      <c r="AP313" s="91"/>
      <c r="AQ313" s="91"/>
      <c r="AR313" s="91"/>
      <c r="AS313" s="91"/>
      <c r="AT313" s="91"/>
      <c r="AU313" s="91"/>
      <c r="AV313" s="91"/>
      <c r="AW313" s="91"/>
      <c r="AX313" s="91"/>
      <c r="AY313" s="91"/>
      <c r="AZ313" s="91"/>
      <c r="BA313" s="91"/>
      <c r="BB313" s="91"/>
      <c r="BC313" s="91"/>
      <c r="BD313" s="91"/>
      <c r="BE313" s="91"/>
      <c r="BF313" s="91"/>
      <c r="BG313" s="91"/>
      <c r="BH313" s="91"/>
      <c r="BI313" s="91"/>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sheetData>
  <mergeCells count="2">
    <mergeCell ref="A3:M3"/>
    <mergeCell ref="A4:M4"/>
  </mergeCells>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4" max="6" width="8.71"/>
  </cols>
  <sheetData>
    <row r="1" ht="12.75" customHeight="1"/>
    <row r="2" ht="12.75" customHeight="1"/>
    <row r="3" ht="30.0" customHeight="1">
      <c r="A3" s="92"/>
      <c r="B3" s="34"/>
      <c r="C3" s="35"/>
      <c r="D3" s="91"/>
      <c r="E3" s="91"/>
      <c r="F3" s="91"/>
      <c r="G3" s="91"/>
      <c r="H3" s="91"/>
      <c r="I3" s="91"/>
      <c r="J3" s="91"/>
      <c r="K3" s="91"/>
      <c r="L3" s="91"/>
      <c r="M3" s="91"/>
      <c r="N3" s="91"/>
      <c r="O3" s="91"/>
      <c r="P3" s="91"/>
      <c r="Q3" s="91"/>
      <c r="R3" s="91"/>
      <c r="S3" s="91"/>
      <c r="T3" s="91"/>
      <c r="U3" s="91"/>
      <c r="V3" s="91"/>
    </row>
    <row r="4" ht="30.0" customHeight="1">
      <c r="A4" s="92" t="s">
        <v>389</v>
      </c>
      <c r="B4" s="34"/>
      <c r="C4" s="35"/>
      <c r="D4" s="91"/>
      <c r="E4" s="91"/>
      <c r="F4" s="91"/>
      <c r="G4" s="91"/>
      <c r="H4" s="91"/>
      <c r="I4" s="91"/>
      <c r="J4" s="91"/>
      <c r="K4" s="91"/>
      <c r="L4" s="91"/>
      <c r="M4" s="91"/>
      <c r="N4" s="91"/>
      <c r="O4" s="91"/>
      <c r="P4" s="91"/>
      <c r="Q4" s="91"/>
      <c r="R4" s="91"/>
      <c r="S4" s="91"/>
      <c r="T4" s="91"/>
      <c r="U4" s="91"/>
      <c r="V4" s="91"/>
    </row>
    <row r="5" ht="12.75" customHeight="1"/>
    <row r="6" ht="12.75" customHeight="1"/>
    <row r="7" ht="12.75" customHeight="1"/>
    <row r="8" ht="12.75" customHeight="1"/>
    <row r="9" ht="12.75" customHeight="1"/>
    <row r="10" ht="12.75" customHeight="1">
      <c r="A10" s="115" t="s">
        <v>390</v>
      </c>
    </row>
    <row r="11" ht="12.75" customHeight="1">
      <c r="A11" s="115"/>
    </row>
    <row r="12" ht="12.75" customHeight="1">
      <c r="A12" s="115" t="s">
        <v>391</v>
      </c>
      <c r="B12" s="111">
        <v>400.0</v>
      </c>
      <c r="C12" s="97" t="s">
        <v>392</v>
      </c>
    </row>
    <row r="13" ht="12.75" customHeight="1">
      <c r="A13" s="115" t="s">
        <v>162</v>
      </c>
      <c r="B13" s="103">
        <v>250.0</v>
      </c>
      <c r="C13" s="91" t="s">
        <v>392</v>
      </c>
      <c r="D13" s="91"/>
      <c r="E13" s="91"/>
      <c r="F13" s="91"/>
      <c r="G13" s="91"/>
      <c r="H13" s="91"/>
      <c r="I13" s="91"/>
      <c r="J13" s="91"/>
      <c r="K13" s="91"/>
      <c r="L13" s="91"/>
      <c r="M13" s="91"/>
      <c r="N13" s="91"/>
      <c r="O13" s="91"/>
      <c r="P13" s="91"/>
      <c r="Q13" s="91"/>
      <c r="R13" s="91"/>
      <c r="S13" s="91"/>
      <c r="T13" s="91"/>
      <c r="U13" s="91"/>
      <c r="V13" s="91"/>
    </row>
    <row r="14" ht="12.75" customHeight="1">
      <c r="A14" s="115" t="s">
        <v>393</v>
      </c>
      <c r="B14" s="103">
        <v>200.0</v>
      </c>
      <c r="C14" s="91" t="s">
        <v>392</v>
      </c>
      <c r="D14" s="91"/>
      <c r="E14" s="91"/>
      <c r="F14" s="91"/>
      <c r="G14" s="91"/>
      <c r="H14" s="91"/>
      <c r="I14" s="91"/>
      <c r="J14" s="91"/>
      <c r="K14" s="91"/>
      <c r="L14" s="91"/>
      <c r="M14" s="91"/>
      <c r="N14" s="91"/>
      <c r="O14" s="91"/>
      <c r="P14" s="91"/>
      <c r="Q14" s="91"/>
      <c r="R14" s="91"/>
      <c r="S14" s="91"/>
      <c r="T14" s="91"/>
      <c r="U14" s="91"/>
      <c r="V14" s="91"/>
    </row>
    <row r="15" ht="12.75" customHeight="1">
      <c r="A15" s="115" t="s">
        <v>394</v>
      </c>
      <c r="B15" s="103">
        <v>1200.0</v>
      </c>
    </row>
    <row r="16" ht="12.75" customHeight="1">
      <c r="A16" s="115" t="s">
        <v>395</v>
      </c>
      <c r="B16" s="103">
        <v>100.0</v>
      </c>
    </row>
    <row r="17" ht="12.75" customHeight="1">
      <c r="A17" s="115" t="s">
        <v>396</v>
      </c>
      <c r="B17" s="103">
        <v>40.0</v>
      </c>
    </row>
    <row r="18" ht="12.75" customHeight="1">
      <c r="A18" s="115" t="s">
        <v>397</v>
      </c>
      <c r="B18" s="103">
        <v>50.0</v>
      </c>
    </row>
    <row r="19" ht="12.75" customHeight="1">
      <c r="A19" s="115" t="s">
        <v>398</v>
      </c>
      <c r="B19" s="103">
        <v>25.0</v>
      </c>
    </row>
    <row r="20" ht="12.75" customHeight="1">
      <c r="A20" s="115" t="s">
        <v>399</v>
      </c>
      <c r="B20" s="103">
        <v>1300.0</v>
      </c>
      <c r="C20" s="97" t="s">
        <v>392</v>
      </c>
    </row>
    <row r="21" ht="12.75" customHeight="1">
      <c r="A21" s="115" t="s">
        <v>400</v>
      </c>
      <c r="B21" s="103">
        <v>500.0</v>
      </c>
    </row>
    <row r="22" ht="12.75" customHeight="1">
      <c r="A22" s="115" t="s">
        <v>401</v>
      </c>
      <c r="B22" s="103">
        <v>45.0</v>
      </c>
    </row>
    <row r="23" ht="12.75" customHeight="1">
      <c r="A23" s="115" t="s">
        <v>402</v>
      </c>
      <c r="B23" s="103">
        <v>55.0</v>
      </c>
    </row>
    <row r="24" ht="12.75" customHeight="1">
      <c r="A24" s="115" t="s">
        <v>403</v>
      </c>
      <c r="B24" s="103">
        <v>589.0</v>
      </c>
      <c r="C24" s="97" t="s">
        <v>392</v>
      </c>
    </row>
    <row r="25" ht="12.75" customHeight="1">
      <c r="A25" s="115" t="s">
        <v>404</v>
      </c>
      <c r="B25" s="103">
        <v>40.0</v>
      </c>
    </row>
    <row r="26" ht="12.75" customHeight="1">
      <c r="A26" s="115" t="s">
        <v>405</v>
      </c>
      <c r="B26" s="103">
        <v>100.0</v>
      </c>
    </row>
    <row r="27" ht="12.75" customHeight="1">
      <c r="A27" s="115" t="s">
        <v>406</v>
      </c>
      <c r="B27" s="103">
        <v>400.0</v>
      </c>
    </row>
    <row r="28" ht="12.75" customHeight="1">
      <c r="A28" s="115" t="s">
        <v>407</v>
      </c>
      <c r="B28" s="103">
        <v>400.0</v>
      </c>
    </row>
    <row r="29" ht="12.75" customHeight="1">
      <c r="A29" s="115" t="s">
        <v>408</v>
      </c>
      <c r="B29" s="103">
        <v>40.0</v>
      </c>
    </row>
    <row r="30" ht="12.75" customHeight="1">
      <c r="A30" s="115" t="s">
        <v>409</v>
      </c>
      <c r="B30" s="103">
        <v>20.0</v>
      </c>
    </row>
    <row r="31" ht="12.75" customHeight="1">
      <c r="A31" s="115" t="s">
        <v>410</v>
      </c>
      <c r="B31" s="103">
        <v>200.0</v>
      </c>
      <c r="C31" s="97" t="s">
        <v>392</v>
      </c>
    </row>
    <row r="32" ht="12.75" customHeight="1">
      <c r="A32" s="115" t="s">
        <v>411</v>
      </c>
      <c r="B32" s="103">
        <v>60.0</v>
      </c>
    </row>
    <row r="33" ht="12.75" customHeight="1">
      <c r="A33" s="115" t="s">
        <v>412</v>
      </c>
      <c r="B33" s="201">
        <v>29.0</v>
      </c>
    </row>
    <row r="34" ht="12.75" customHeight="1">
      <c r="B34" s="111">
        <f>SUM(B12:B33)</f>
        <v>6043</v>
      </c>
    </row>
    <row r="35" ht="12.75" customHeight="1"/>
    <row r="36" ht="12.75" customHeight="1">
      <c r="A36" s="115" t="s">
        <v>413</v>
      </c>
      <c r="B36" s="111">
        <v>7000.0</v>
      </c>
      <c r="D36" s="113">
        <f>B15+B16+B17+B18+B19+B21+B22+B23+B25+B26+B27+B28+B29+B30+B32+B33</f>
        <v>3104</v>
      </c>
    </row>
    <row r="37" ht="12.75" customHeight="1"/>
    <row r="38" ht="12.75" customHeight="1"/>
    <row r="39" ht="12.75" customHeight="1">
      <c r="A39" s="115" t="s">
        <v>414</v>
      </c>
    </row>
    <row r="40" ht="12.75" customHeight="1">
      <c r="A40" s="115" t="s">
        <v>415</v>
      </c>
    </row>
    <row r="41" ht="12.75" customHeight="1">
      <c r="A41" s="115" t="s">
        <v>416</v>
      </c>
    </row>
    <row r="42" ht="12.75" customHeight="1">
      <c r="A42" s="115" t="s">
        <v>154</v>
      </c>
    </row>
    <row r="43" ht="12.75" customHeight="1">
      <c r="A43" s="115" t="s">
        <v>417</v>
      </c>
    </row>
    <row r="44" ht="12.75" customHeight="1">
      <c r="A44" s="115" t="s">
        <v>418</v>
      </c>
    </row>
    <row r="45" ht="12.75" customHeight="1">
      <c r="A45" s="115" t="s">
        <v>419</v>
      </c>
    </row>
    <row r="46" ht="12.75" customHeight="1">
      <c r="A46" s="115" t="s">
        <v>420</v>
      </c>
    </row>
    <row r="47" ht="12.75" customHeight="1">
      <c r="A47" s="115" t="s">
        <v>421</v>
      </c>
    </row>
    <row r="48" ht="12.75" customHeight="1">
      <c r="A48" s="115" t="s">
        <v>422</v>
      </c>
    </row>
    <row r="49" ht="12.75" customHeight="1">
      <c r="A49" s="115" t="s">
        <v>423</v>
      </c>
    </row>
    <row r="50" ht="12.75" customHeight="1">
      <c r="A50" s="115" t="s">
        <v>424</v>
      </c>
    </row>
    <row r="51" ht="12.75" customHeight="1">
      <c r="A51" s="115" t="s">
        <v>425</v>
      </c>
    </row>
    <row r="52" ht="12.75" customHeight="1">
      <c r="A52" s="115"/>
    </row>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C3"/>
    <mergeCell ref="A4:C4"/>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2.0" topLeftCell="C13" activePane="bottomRight" state="frozen"/>
      <selection activeCell="C1" sqref="C1" pane="topRight"/>
      <selection activeCell="A13" sqref="A13" pane="bottomLeft"/>
      <selection activeCell="C13" sqref="C13" pane="bottomRight"/>
    </sheetView>
  </sheetViews>
  <sheetFormatPr customHeight="1" defaultColWidth="14.43" defaultRowHeight="15.0"/>
  <cols>
    <col customWidth="1" min="1" max="1" width="36.14"/>
    <col customWidth="1" min="2" max="58" width="12.71"/>
    <col customWidth="1" min="59" max="87" width="15.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c r="C11" s="96">
        <v>44196.0</v>
      </c>
      <c r="D11" s="96">
        <v>44227.0</v>
      </c>
      <c r="E11" s="96">
        <v>44255.0</v>
      </c>
      <c r="F11" s="96">
        <v>44286.0</v>
      </c>
      <c r="G11" s="96">
        <v>44316.0</v>
      </c>
      <c r="H11" s="96">
        <v>44347.0</v>
      </c>
      <c r="I11" s="96">
        <v>44377.0</v>
      </c>
      <c r="J11" s="96">
        <v>44408.0</v>
      </c>
      <c r="K11" s="96">
        <v>44439.0</v>
      </c>
      <c r="L11" s="96">
        <v>44469.0</v>
      </c>
      <c r="M11" s="96">
        <v>44500.0</v>
      </c>
      <c r="N11" s="96">
        <v>44530.0</v>
      </c>
      <c r="O11" s="96">
        <v>44561.0</v>
      </c>
      <c r="P11" s="96">
        <v>44592.0</v>
      </c>
      <c r="Q11" s="96">
        <v>44620.0</v>
      </c>
      <c r="R11" s="96">
        <v>44651.0</v>
      </c>
      <c r="S11" s="96">
        <v>44681.0</v>
      </c>
      <c r="T11" s="96">
        <v>44712.0</v>
      </c>
      <c r="U11" s="96">
        <v>44742.0</v>
      </c>
      <c r="V11" s="96">
        <v>44773.0</v>
      </c>
      <c r="W11" s="96">
        <v>44804.0</v>
      </c>
      <c r="X11" s="96">
        <v>44834.0</v>
      </c>
      <c r="Y11" s="96">
        <v>44865.0</v>
      </c>
      <c r="Z11" s="96">
        <v>44895.0</v>
      </c>
      <c r="AA11" s="96">
        <v>44926.0</v>
      </c>
      <c r="AB11" s="96">
        <v>44957.0</v>
      </c>
      <c r="AC11" s="96">
        <v>44985.0</v>
      </c>
      <c r="AD11" s="96">
        <v>45016.0</v>
      </c>
      <c r="AE11" s="96">
        <v>45046.0</v>
      </c>
      <c r="AF11" s="96">
        <v>45077.0</v>
      </c>
      <c r="AG11" s="96">
        <v>45107.0</v>
      </c>
      <c r="AH11" s="96">
        <v>45138.0</v>
      </c>
      <c r="AI11" s="96">
        <v>45169.0</v>
      </c>
      <c r="AJ11" s="96">
        <v>45199.0</v>
      </c>
      <c r="AK11" s="96">
        <v>45230.0</v>
      </c>
      <c r="AL11" s="96">
        <v>45260.0</v>
      </c>
      <c r="AM11" s="96">
        <v>45291.0</v>
      </c>
      <c r="AN11" s="96">
        <v>45322.0</v>
      </c>
      <c r="AO11" s="96">
        <v>45351.0</v>
      </c>
      <c r="AP11" s="96">
        <v>45382.0</v>
      </c>
      <c r="AQ11" s="96">
        <v>45412.0</v>
      </c>
      <c r="AR11" s="96">
        <v>45443.0</v>
      </c>
      <c r="AS11" s="96">
        <v>45473.0</v>
      </c>
      <c r="AT11" s="96">
        <v>45504.0</v>
      </c>
      <c r="AU11" s="96">
        <v>45535.0</v>
      </c>
      <c r="AV11" s="96">
        <v>45565.0</v>
      </c>
      <c r="AW11" s="96">
        <v>45596.0</v>
      </c>
      <c r="AX11" s="96">
        <v>45626.0</v>
      </c>
      <c r="AY11" s="96">
        <v>45657.0</v>
      </c>
      <c r="AZ11" s="96">
        <v>45688.0</v>
      </c>
      <c r="BA11" s="96">
        <v>45716.0</v>
      </c>
      <c r="BB11" s="96">
        <v>45747.0</v>
      </c>
      <c r="BC11" s="96">
        <v>45777.0</v>
      </c>
      <c r="BD11" s="96">
        <v>45808.0</v>
      </c>
      <c r="BE11" s="96">
        <v>45838.0</v>
      </c>
      <c r="BF11" s="96">
        <v>45869.0</v>
      </c>
      <c r="BG11" s="96">
        <v>45900.0</v>
      </c>
      <c r="BH11" s="96">
        <v>45930.0</v>
      </c>
      <c r="BI11" s="96">
        <v>45961.0</v>
      </c>
      <c r="BJ11" s="96">
        <v>45991.0</v>
      </c>
      <c r="BK11" s="96">
        <v>46022.0</v>
      </c>
      <c r="BL11" s="96">
        <v>46053.0</v>
      </c>
      <c r="BM11" s="96">
        <v>46081.0</v>
      </c>
      <c r="BN11" s="96">
        <v>46112.0</v>
      </c>
      <c r="BO11" s="96">
        <v>46142.0</v>
      </c>
      <c r="BP11" s="96">
        <v>46173.0</v>
      </c>
      <c r="BQ11" s="96">
        <v>46203.0</v>
      </c>
      <c r="BR11" s="96">
        <v>46234.0</v>
      </c>
      <c r="BS11" s="96">
        <v>46265.0</v>
      </c>
      <c r="BT11" s="96">
        <v>46295.0</v>
      </c>
      <c r="BU11" s="96">
        <v>46326.0</v>
      </c>
      <c r="BV11" s="96">
        <v>46356.0</v>
      </c>
      <c r="BW11" s="96">
        <v>46387.0</v>
      </c>
      <c r="BX11" s="96">
        <v>46418.0</v>
      </c>
      <c r="BY11" s="96">
        <v>46446.0</v>
      </c>
      <c r="BZ11" s="96">
        <v>46477.0</v>
      </c>
      <c r="CA11" s="96">
        <v>46507.0</v>
      </c>
      <c r="CB11" s="96">
        <v>46538.0</v>
      </c>
      <c r="CC11" s="96">
        <v>46568.0</v>
      </c>
      <c r="CD11" s="96">
        <v>46599.0</v>
      </c>
      <c r="CE11" s="96">
        <v>46630.0</v>
      </c>
      <c r="CF11" s="96">
        <v>46660.0</v>
      </c>
      <c r="CG11" s="96">
        <v>46691.0</v>
      </c>
      <c r="CH11" s="96">
        <v>46721.0</v>
      </c>
      <c r="CI11" s="96">
        <v>46752.0</v>
      </c>
      <c r="CJ11" s="96"/>
    </row>
    <row r="12" ht="12.75" customHeight="1"/>
    <row r="13" ht="12.75" customHeight="1">
      <c r="A13" s="97" t="s">
        <v>426</v>
      </c>
      <c r="D13" s="103">
        <f>+'P&amp;L Cash Flow Monthly'!K23</f>
        <v>-46920.45025</v>
      </c>
      <c r="E13" s="103">
        <f>+'P&amp;L Cash Flow Monthly'!L23</f>
        <v>-24958.9845</v>
      </c>
      <c r="F13" s="103">
        <f>+'P&amp;L Cash Flow Monthly'!M23</f>
        <v>-18236.30878</v>
      </c>
      <c r="G13" s="103">
        <f>+'P&amp;L Cash Flow Monthly'!N23</f>
        <v>-16231.11286</v>
      </c>
      <c r="H13" s="103">
        <f>+'P&amp;L Cash Flow Monthly'!O23</f>
        <v>-14139.49012</v>
      </c>
      <c r="I13" s="103">
        <f>+'P&amp;L Cash Flow Monthly'!P23</f>
        <v>-20047.86738</v>
      </c>
      <c r="J13" s="103">
        <f>+'P&amp;L Cash Flow Monthly'!Q23</f>
        <v>-30211.64325</v>
      </c>
      <c r="K13" s="103">
        <f>+'P&amp;L Cash Flow Monthly'!R23</f>
        <v>-63969.03116</v>
      </c>
      <c r="L13" s="103">
        <f>+'P&amp;L Cash Flow Monthly'!S23</f>
        <v>-36710.96538</v>
      </c>
      <c r="M13" s="103">
        <f>+'P&amp;L Cash Flow Monthly'!T23</f>
        <v>-42421.99224</v>
      </c>
      <c r="N13" s="103">
        <f>+'P&amp;L Cash Flow Monthly'!U23</f>
        <v>-21669.75008</v>
      </c>
      <c r="O13" s="103">
        <f>+'P&amp;L Cash Flow Monthly'!V23</f>
        <v>-24863.74689</v>
      </c>
      <c r="P13" s="103">
        <f>+'P&amp;L Cash Flow Monthly'!W23</f>
        <v>-66271.94482</v>
      </c>
      <c r="Q13" s="103">
        <f>+'P&amp;L Cash Flow Monthly'!X23</f>
        <v>-35567.59509</v>
      </c>
      <c r="R13" s="103">
        <f>+'P&amp;L Cash Flow Monthly'!Y23</f>
        <v>-23877.17456</v>
      </c>
      <c r="S13" s="103">
        <f>+'P&amp;L Cash Flow Monthly'!Z23</f>
        <v>-17219.66212</v>
      </c>
      <c r="T13" s="103">
        <f>+'P&amp;L Cash Flow Monthly'!AA23</f>
        <v>-15884.65404</v>
      </c>
      <c r="U13" s="103">
        <f>+'P&amp;L Cash Flow Monthly'!AB23</f>
        <v>-11700.80771</v>
      </c>
      <c r="V13" s="103">
        <f>+'P&amp;L Cash Flow Monthly'!AC23</f>
        <v>-12724.15813</v>
      </c>
      <c r="W13" s="103">
        <f>+'P&amp;L Cash Flow Monthly'!AD23</f>
        <v>-16169.57702</v>
      </c>
      <c r="X13" s="103">
        <f>+'P&amp;L Cash Flow Monthly'!AE23</f>
        <v>-28291.48626</v>
      </c>
      <c r="Y13" s="103">
        <f>+'P&amp;L Cash Flow Monthly'!AF23</f>
        <v>-89355.93758</v>
      </c>
      <c r="Z13" s="103">
        <f>+'P&amp;L Cash Flow Monthly'!AG23</f>
        <v>-27827.00031</v>
      </c>
      <c r="AA13" s="103">
        <f>+'P&amp;L Cash Flow Monthly'!AH23</f>
        <v>-1494.424247</v>
      </c>
      <c r="AB13" s="103">
        <f>+'P&amp;L Cash Flow Monthly'!AI23</f>
        <v>-1259.351801</v>
      </c>
      <c r="AC13" s="103">
        <f>+'P&amp;L Cash Flow Monthly'!AJ23</f>
        <v>1088.477377</v>
      </c>
      <c r="AD13" s="103">
        <f>+'P&amp;L Cash Flow Monthly'!AK23</f>
        <v>-1781.49558</v>
      </c>
      <c r="AE13" s="103">
        <f>+'P&amp;L Cash Flow Monthly'!AL23</f>
        <v>-4590.044632</v>
      </c>
      <c r="AF13" s="103">
        <f>+'P&amp;L Cash Flow Monthly'!AM23</f>
        <v>-7799.475951</v>
      </c>
      <c r="AG13" s="103">
        <f>+'P&amp;L Cash Flow Monthly'!AN23</f>
        <v>-7121.07867</v>
      </c>
      <c r="AH13" s="103">
        <f>+'P&amp;L Cash Flow Monthly'!AO23</f>
        <v>-6441.791602</v>
      </c>
      <c r="AI13" s="103">
        <f>+'P&amp;L Cash Flow Monthly'!AP23</f>
        <v>-16500.60541</v>
      </c>
      <c r="AJ13" s="103">
        <f>+'P&amp;L Cash Flow Monthly'!AQ23</f>
        <v>-7559.419226</v>
      </c>
      <c r="AK13" s="103">
        <f>+'P&amp;L Cash Flow Monthly'!AR23</f>
        <v>-8888.673463</v>
      </c>
      <c r="AL13" s="103">
        <f>+'P&amp;L Cash Flow Monthly'!AS23</f>
        <v>-8517.741629</v>
      </c>
      <c r="AM13" s="103">
        <f>+'P&amp;L Cash Flow Monthly'!AT23</f>
        <v>-8751.409224</v>
      </c>
      <c r="AN13" s="103">
        <f>+'P&amp;L Cash Flow Monthly'!AU23</f>
        <v>-14800.38135</v>
      </c>
      <c r="AO13" s="103">
        <f>+'P&amp;L Cash Flow Monthly'!AV23</f>
        <v>-22147.81712</v>
      </c>
      <c r="AP13" s="103">
        <f>+'P&amp;L Cash Flow Monthly'!AW23</f>
        <v>-27044.39547</v>
      </c>
      <c r="AQ13" s="103">
        <f>+'P&amp;L Cash Flow Monthly'!AX23</f>
        <v>-23185.21306</v>
      </c>
      <c r="AR13" s="103">
        <f>+'P&amp;L Cash Flow Monthly'!AY23</f>
        <v>-19173.21732</v>
      </c>
      <c r="AS13" s="103">
        <f>+'P&amp;L Cash Flow Monthly'!AZ23</f>
        <v>-17881.32204</v>
      </c>
      <c r="AT13" s="103">
        <f>+'P&amp;L Cash Flow Monthly'!BA23</f>
        <v>-15609.57724</v>
      </c>
      <c r="AU13" s="103">
        <f>+'P&amp;L Cash Flow Monthly'!BB23</f>
        <v>-15591.82646</v>
      </c>
      <c r="AV13" s="103">
        <f>+'P&amp;L Cash Flow Monthly'!BC23</f>
        <v>-7051.054236</v>
      </c>
      <c r="AW13" s="103">
        <f>+'P&amp;L Cash Flow Monthly'!BD23</f>
        <v>-9450.632044</v>
      </c>
      <c r="AX13" s="103">
        <f>+'P&amp;L Cash Flow Monthly'!BE23</f>
        <v>-13954.32031</v>
      </c>
      <c r="AY13" s="103">
        <f>+'P&amp;L Cash Flow Monthly'!BF23</f>
        <v>-14387.86888</v>
      </c>
      <c r="AZ13" s="103">
        <f>+'P&amp;L Cash Flow Monthly'!BG23</f>
        <v>-24131.87301</v>
      </c>
      <c r="BA13" s="103">
        <f>+'P&amp;L Cash Flow Monthly'!BH23</f>
        <v>-8333.779965</v>
      </c>
      <c r="BB13" s="103">
        <f>+'P&amp;L Cash Flow Monthly'!BI23</f>
        <v>-4382.700865</v>
      </c>
      <c r="BC13" s="103">
        <f>+'P&amp;L Cash Flow Monthly'!BJ23</f>
        <v>-7879.846326</v>
      </c>
      <c r="BD13" s="103">
        <f>+'P&amp;L Cash Flow Monthly'!BK23</f>
        <v>-9730.832915</v>
      </c>
      <c r="BE13" s="103">
        <f>+'P&amp;L Cash Flow Monthly'!BL23</f>
        <v>-7516.314141</v>
      </c>
      <c r="BF13" s="103">
        <f>+'P&amp;L Cash Flow Monthly'!BM23</f>
        <v>-9399.565803</v>
      </c>
      <c r="BG13" s="103">
        <f>+'P&amp;L Cash Flow Monthly'!BN23</f>
        <v>-7336.550621</v>
      </c>
      <c r="BH13" s="103">
        <f>+'P&amp;L Cash Flow Monthly'!BO23</f>
        <v>-2791.377611</v>
      </c>
      <c r="BI13" s="103">
        <f>+'P&amp;L Cash Flow Monthly'!BP23</f>
        <v>-4753.249918</v>
      </c>
      <c r="BJ13" s="103">
        <f>+'P&amp;L Cash Flow Monthly'!BQ23</f>
        <v>-9239.652909</v>
      </c>
      <c r="BK13" s="103">
        <f>+'P&amp;L Cash Flow Monthly'!BR23</f>
        <v>-6279.751922</v>
      </c>
      <c r="BL13" s="103">
        <f>+'P&amp;L Cash Flow Monthly'!BS23</f>
        <v>-9458.245703</v>
      </c>
      <c r="BM13" s="103">
        <f>+'P&amp;L Cash Flow Monthly'!BT23</f>
        <v>-9704.99989</v>
      </c>
      <c r="BN13" s="103">
        <f>+'P&amp;L Cash Flow Monthly'!BU23</f>
        <v>-11289.92867</v>
      </c>
      <c r="BO13" s="103">
        <f>+'P&amp;L Cash Flow Monthly'!BV23</f>
        <v>-9597.736137</v>
      </c>
      <c r="BP13" s="103">
        <f>+'P&amp;L Cash Flow Monthly'!BW23</f>
        <v>-2735.224213</v>
      </c>
      <c r="BQ13" s="103">
        <f>+'P&amp;L Cash Flow Monthly'!BX23</f>
        <v>253.8368333</v>
      </c>
      <c r="BR13" s="103">
        <f>+'P&amp;L Cash Flow Monthly'!BY23</f>
        <v>-971.1234535</v>
      </c>
      <c r="BS13" s="103">
        <f>+'P&amp;L Cash Flow Monthly'!BZ23</f>
        <v>3435.221661</v>
      </c>
      <c r="BT13" s="103">
        <f>+'P&amp;L Cash Flow Monthly'!CA23</f>
        <v>8693.07822</v>
      </c>
      <c r="BU13" s="103">
        <f>+'P&amp;L Cash Flow Monthly'!CB23</f>
        <v>10040.36176</v>
      </c>
      <c r="BV13" s="103">
        <f>+'P&amp;L Cash Flow Monthly'!CC23</f>
        <v>10333.89641</v>
      </c>
      <c r="BW13" s="103">
        <f>+'P&amp;L Cash Flow Monthly'!CD23</f>
        <v>11627.43106</v>
      </c>
      <c r="BX13" s="103">
        <f>+'P&amp;L Cash Flow Monthly'!CE23</f>
        <v>5272.796309</v>
      </c>
      <c r="BY13" s="103">
        <f>+'P&amp;L Cash Flow Monthly'!CF23</f>
        <v>5851.872024</v>
      </c>
      <c r="BZ13" s="103">
        <f>+'P&amp;L Cash Flow Monthly'!CG23</f>
        <v>5510.555396</v>
      </c>
      <c r="CA13" s="103">
        <f>+'P&amp;L Cash Flow Monthly'!CH23</f>
        <v>3580.652309</v>
      </c>
      <c r="CB13" s="103">
        <f>+'P&amp;L Cash Flow Monthly'!CI23</f>
        <v>6696.77398</v>
      </c>
      <c r="CC13" s="103">
        <f>+'P&amp;L Cash Flow Monthly'!CJ23</f>
        <v>4146.127484</v>
      </c>
      <c r="CD13" s="103">
        <f>+'P&amp;L Cash Flow Monthly'!CK23</f>
        <v>8324.827649</v>
      </c>
      <c r="CE13" s="103">
        <f>+'P&amp;L Cash Flow Monthly'!CL23</f>
        <v>10664.19458</v>
      </c>
      <c r="CF13" s="103">
        <f>+'P&amp;L Cash Flow Monthly'!CM23</f>
        <v>15182.03699</v>
      </c>
      <c r="CG13" s="103">
        <f>+'P&amp;L Cash Flow Monthly'!CN23</f>
        <v>19475.11457</v>
      </c>
      <c r="CH13" s="103">
        <f>+'P&amp;L Cash Flow Monthly'!CO23</f>
        <v>21207.54957</v>
      </c>
      <c r="CI13" s="103">
        <f>+'P&amp;L Cash Flow Monthly'!CP23</f>
        <v>22939.98456</v>
      </c>
    </row>
    <row r="14" ht="12.75" customHeight="1"/>
    <row r="15" ht="12.75" customHeight="1"/>
    <row r="16" ht="12.75" customHeight="1">
      <c r="F16" s="94">
        <f>SUM(D13:F13)</f>
        <v>-90115.74353</v>
      </c>
      <c r="H16" s="94">
        <f>SUM(G13:H13)</f>
        <v>-30370.60298</v>
      </c>
      <c r="K16" s="94">
        <f>SUM(I13:K13)</f>
        <v>-114228.5418</v>
      </c>
      <c r="O16" s="94">
        <f>SUM(L13:O13)</f>
        <v>-125666.4546</v>
      </c>
      <c r="R16" s="94">
        <f>SUM(P13:R13)</f>
        <v>-125716.7145</v>
      </c>
      <c r="T16" s="94">
        <f>SUM(S13:T13)</f>
        <v>-33104.31616</v>
      </c>
      <c r="W16" s="94">
        <f>SUM(U13:W13)</f>
        <v>-40594.54285</v>
      </c>
      <c r="AA16" s="94">
        <f>SUM(X13:AA13)</f>
        <v>-146968.8484</v>
      </c>
      <c r="AD16" s="94">
        <f>SUM(AB13:AD13)</f>
        <v>-1952.370004</v>
      </c>
      <c r="AF16" s="94">
        <f>SUM(AE13:AF13)</f>
        <v>-12389.52058</v>
      </c>
      <c r="AI16" s="94">
        <f>+AG13+AH13+AI13</f>
        <v>-30063.47569</v>
      </c>
      <c r="AM16" s="94">
        <f>SUM(AJ13:AM13)</f>
        <v>-33717.24354</v>
      </c>
      <c r="AP16" s="94">
        <f>SUM(AN13:AP13)</f>
        <v>-63992.59395</v>
      </c>
      <c r="AR16" s="94">
        <f>SUM(AQ13:AR13)</f>
        <v>-42358.43038</v>
      </c>
      <c r="AU16" s="94">
        <f>+AS13+AT13+AU13</f>
        <v>-49082.72574</v>
      </c>
      <c r="AY16" s="94">
        <f>SUM(AV13:AY13)</f>
        <v>-44843.87547</v>
      </c>
      <c r="BB16" s="94">
        <f>SUM(AZ13:BB13)</f>
        <v>-36848.35384</v>
      </c>
      <c r="BD16" s="94">
        <f>+BC13+BD13</f>
        <v>-17610.67924</v>
      </c>
      <c r="BG16" s="94">
        <f>+BE13+BF13+BG13</f>
        <v>-24252.43056</v>
      </c>
      <c r="BK16" s="94">
        <f>SUM(BH13:BK13)</f>
        <v>-23064.03236</v>
      </c>
      <c r="BN16" s="94">
        <f>SUM(BL13:BN13)</f>
        <v>-30453.17426</v>
      </c>
      <c r="BP16" s="94">
        <f>+BO13+BP13</f>
        <v>-12332.96035</v>
      </c>
      <c r="BS16" s="94">
        <f>+BQ13+BR13+BS13</f>
        <v>2717.935041</v>
      </c>
      <c r="BW16" s="94">
        <f>SUM(BT13:BW13)</f>
        <v>40694.76745</v>
      </c>
      <c r="BZ16" s="94">
        <f>SUM(BX13:BZ13)</f>
        <v>16635.22373</v>
      </c>
      <c r="CB16" s="94">
        <f>+CA13+CB13</f>
        <v>10277.42629</v>
      </c>
    </row>
    <row r="17" ht="12.75" customHeight="1"/>
    <row r="18" ht="12.75" customHeight="1">
      <c r="A18" s="97" t="s">
        <v>427</v>
      </c>
      <c r="F18" s="94">
        <f>+F16</f>
        <v>-90115.74353</v>
      </c>
      <c r="H18" s="94">
        <f>+H16+F18</f>
        <v>-120486.3465</v>
      </c>
      <c r="K18" s="94">
        <f>+K16+H18</f>
        <v>-234714.8883</v>
      </c>
      <c r="O18" s="94">
        <f>+O16+K18</f>
        <v>-360381.3429</v>
      </c>
      <c r="R18" s="94">
        <f>+R16+O18</f>
        <v>-486098.0574</v>
      </c>
      <c r="T18" s="94">
        <f>+T16+R18</f>
        <v>-519202.3735</v>
      </c>
      <c r="W18" s="94">
        <f>+W16+T18</f>
        <v>-559796.9164</v>
      </c>
      <c r="AA18" s="94">
        <f>+AA16+W18</f>
        <v>-706765.7648</v>
      </c>
      <c r="AD18" s="94">
        <f>+AD16+AA18</f>
        <v>-708718.1348</v>
      </c>
      <c r="AF18" s="94">
        <f>+AF16+AD18</f>
        <v>-721107.6554</v>
      </c>
      <c r="AI18" s="94">
        <f>+AI16+AF18</f>
        <v>-751171.1311</v>
      </c>
      <c r="AM18" s="94">
        <f>+AM16+AI18</f>
        <v>-784888.3746</v>
      </c>
      <c r="AP18" s="94">
        <f>+AP16+AM18</f>
        <v>-848880.9685</v>
      </c>
      <c r="AR18" s="94">
        <f>+AR16+AP18</f>
        <v>-891239.3989</v>
      </c>
      <c r="AU18" s="94">
        <f>+AU16+AR18</f>
        <v>-940322.1247</v>
      </c>
      <c r="AY18" s="94">
        <f>+AY16+AU18</f>
        <v>-985166.0001</v>
      </c>
      <c r="BB18" s="94">
        <f>+BB16+AY18</f>
        <v>-1022014.354</v>
      </c>
      <c r="BD18" s="94">
        <f>+BD16+BB18</f>
        <v>-1039625.033</v>
      </c>
      <c r="BG18" s="94">
        <f>+BG16+BD18</f>
        <v>-1063877.464</v>
      </c>
      <c r="BK18" s="94">
        <f>+BK16+BG18</f>
        <v>-1086941.496</v>
      </c>
      <c r="BN18" s="94">
        <f>+BN16+BK18</f>
        <v>-1117394.67</v>
      </c>
      <c r="BP18" s="94">
        <f>+BP16+BN18</f>
        <v>-1129727.631</v>
      </c>
      <c r="BS18" s="94">
        <f>+BS16+BP18</f>
        <v>-1127009.696</v>
      </c>
      <c r="BW18" s="94">
        <f>+BW16+BS18</f>
        <v>-1086314.928</v>
      </c>
      <c r="BZ18" s="94">
        <f>+BZ16+BW18</f>
        <v>-1069679.705</v>
      </c>
      <c r="CB18" s="94">
        <f>+CB16+BZ18</f>
        <v>-1059402.278</v>
      </c>
    </row>
    <row r="19" ht="12.75" customHeight="1"/>
    <row r="20" ht="12.75" customHeight="1">
      <c r="A20" s="97" t="s">
        <v>428</v>
      </c>
      <c r="F20" s="202">
        <v>0.4</v>
      </c>
      <c r="G20" s="203">
        <f t="shared" ref="G20:CI20" si="1">+$F20</f>
        <v>0.4</v>
      </c>
      <c r="H20" s="203">
        <f t="shared" si="1"/>
        <v>0.4</v>
      </c>
      <c r="I20" s="203">
        <f t="shared" si="1"/>
        <v>0.4</v>
      </c>
      <c r="J20" s="203">
        <f t="shared" si="1"/>
        <v>0.4</v>
      </c>
      <c r="K20" s="203">
        <f t="shared" si="1"/>
        <v>0.4</v>
      </c>
      <c r="L20" s="203">
        <f t="shared" si="1"/>
        <v>0.4</v>
      </c>
      <c r="M20" s="203">
        <f t="shared" si="1"/>
        <v>0.4</v>
      </c>
      <c r="N20" s="203">
        <f t="shared" si="1"/>
        <v>0.4</v>
      </c>
      <c r="O20" s="203">
        <f t="shared" si="1"/>
        <v>0.4</v>
      </c>
      <c r="P20" s="203">
        <f t="shared" si="1"/>
        <v>0.4</v>
      </c>
      <c r="Q20" s="203">
        <f t="shared" si="1"/>
        <v>0.4</v>
      </c>
      <c r="R20" s="203">
        <f t="shared" si="1"/>
        <v>0.4</v>
      </c>
      <c r="S20" s="203">
        <f t="shared" si="1"/>
        <v>0.4</v>
      </c>
      <c r="T20" s="203">
        <f t="shared" si="1"/>
        <v>0.4</v>
      </c>
      <c r="U20" s="203">
        <f t="shared" si="1"/>
        <v>0.4</v>
      </c>
      <c r="V20" s="203">
        <f t="shared" si="1"/>
        <v>0.4</v>
      </c>
      <c r="W20" s="203">
        <f t="shared" si="1"/>
        <v>0.4</v>
      </c>
      <c r="X20" s="203">
        <f t="shared" si="1"/>
        <v>0.4</v>
      </c>
      <c r="Y20" s="203">
        <f t="shared" si="1"/>
        <v>0.4</v>
      </c>
      <c r="Z20" s="203">
        <f t="shared" si="1"/>
        <v>0.4</v>
      </c>
      <c r="AA20" s="203">
        <f t="shared" si="1"/>
        <v>0.4</v>
      </c>
      <c r="AB20" s="203">
        <f t="shared" si="1"/>
        <v>0.4</v>
      </c>
      <c r="AC20" s="203">
        <f t="shared" si="1"/>
        <v>0.4</v>
      </c>
      <c r="AD20" s="203">
        <f t="shared" si="1"/>
        <v>0.4</v>
      </c>
      <c r="AE20" s="203">
        <f t="shared" si="1"/>
        <v>0.4</v>
      </c>
      <c r="AF20" s="203">
        <f t="shared" si="1"/>
        <v>0.4</v>
      </c>
      <c r="AG20" s="203">
        <f t="shared" si="1"/>
        <v>0.4</v>
      </c>
      <c r="AH20" s="203">
        <f t="shared" si="1"/>
        <v>0.4</v>
      </c>
      <c r="AI20" s="203">
        <f t="shared" si="1"/>
        <v>0.4</v>
      </c>
      <c r="AJ20" s="203">
        <f t="shared" si="1"/>
        <v>0.4</v>
      </c>
      <c r="AK20" s="203">
        <f t="shared" si="1"/>
        <v>0.4</v>
      </c>
      <c r="AL20" s="203">
        <f t="shared" si="1"/>
        <v>0.4</v>
      </c>
      <c r="AM20" s="203">
        <f t="shared" si="1"/>
        <v>0.4</v>
      </c>
      <c r="AN20" s="203">
        <f t="shared" si="1"/>
        <v>0.4</v>
      </c>
      <c r="AO20" s="203">
        <f t="shared" si="1"/>
        <v>0.4</v>
      </c>
      <c r="AP20" s="203">
        <f t="shared" si="1"/>
        <v>0.4</v>
      </c>
      <c r="AQ20" s="203">
        <f t="shared" si="1"/>
        <v>0.4</v>
      </c>
      <c r="AR20" s="203">
        <f t="shared" si="1"/>
        <v>0.4</v>
      </c>
      <c r="AS20" s="203">
        <f t="shared" si="1"/>
        <v>0.4</v>
      </c>
      <c r="AT20" s="203">
        <f t="shared" si="1"/>
        <v>0.4</v>
      </c>
      <c r="AU20" s="203">
        <f t="shared" si="1"/>
        <v>0.4</v>
      </c>
      <c r="AV20" s="203">
        <f t="shared" si="1"/>
        <v>0.4</v>
      </c>
      <c r="AW20" s="203">
        <f t="shared" si="1"/>
        <v>0.4</v>
      </c>
      <c r="AX20" s="203">
        <f t="shared" si="1"/>
        <v>0.4</v>
      </c>
      <c r="AY20" s="203">
        <f t="shared" si="1"/>
        <v>0.4</v>
      </c>
      <c r="AZ20" s="203">
        <f t="shared" si="1"/>
        <v>0.4</v>
      </c>
      <c r="BA20" s="203">
        <f t="shared" si="1"/>
        <v>0.4</v>
      </c>
      <c r="BB20" s="203">
        <f t="shared" si="1"/>
        <v>0.4</v>
      </c>
      <c r="BC20" s="203">
        <f t="shared" si="1"/>
        <v>0.4</v>
      </c>
      <c r="BD20" s="203">
        <f t="shared" si="1"/>
        <v>0.4</v>
      </c>
      <c r="BE20" s="203">
        <f t="shared" si="1"/>
        <v>0.4</v>
      </c>
      <c r="BF20" s="203">
        <f t="shared" si="1"/>
        <v>0.4</v>
      </c>
      <c r="BG20" s="203">
        <f t="shared" si="1"/>
        <v>0.4</v>
      </c>
      <c r="BH20" s="203">
        <f t="shared" si="1"/>
        <v>0.4</v>
      </c>
      <c r="BI20" s="203">
        <f t="shared" si="1"/>
        <v>0.4</v>
      </c>
      <c r="BJ20" s="203">
        <f t="shared" si="1"/>
        <v>0.4</v>
      </c>
      <c r="BK20" s="203">
        <f t="shared" si="1"/>
        <v>0.4</v>
      </c>
      <c r="BL20" s="203">
        <f t="shared" si="1"/>
        <v>0.4</v>
      </c>
      <c r="BM20" s="203">
        <f t="shared" si="1"/>
        <v>0.4</v>
      </c>
      <c r="BN20" s="203">
        <f t="shared" si="1"/>
        <v>0.4</v>
      </c>
      <c r="BO20" s="203">
        <f t="shared" si="1"/>
        <v>0.4</v>
      </c>
      <c r="BP20" s="203">
        <f t="shared" si="1"/>
        <v>0.4</v>
      </c>
      <c r="BQ20" s="203">
        <f t="shared" si="1"/>
        <v>0.4</v>
      </c>
      <c r="BR20" s="203">
        <f t="shared" si="1"/>
        <v>0.4</v>
      </c>
      <c r="BS20" s="203">
        <f t="shared" si="1"/>
        <v>0.4</v>
      </c>
      <c r="BT20" s="203">
        <f t="shared" si="1"/>
        <v>0.4</v>
      </c>
      <c r="BU20" s="203">
        <f t="shared" si="1"/>
        <v>0.4</v>
      </c>
      <c r="BV20" s="203">
        <f t="shared" si="1"/>
        <v>0.4</v>
      </c>
      <c r="BW20" s="203">
        <f t="shared" si="1"/>
        <v>0.4</v>
      </c>
      <c r="BX20" s="203">
        <f t="shared" si="1"/>
        <v>0.4</v>
      </c>
      <c r="BY20" s="203">
        <f t="shared" si="1"/>
        <v>0.4</v>
      </c>
      <c r="BZ20" s="203">
        <f t="shared" si="1"/>
        <v>0.4</v>
      </c>
      <c r="CA20" s="203">
        <f t="shared" si="1"/>
        <v>0.4</v>
      </c>
      <c r="CB20" s="203">
        <f t="shared" si="1"/>
        <v>0.4</v>
      </c>
      <c r="CC20" s="203">
        <f t="shared" si="1"/>
        <v>0.4</v>
      </c>
      <c r="CD20" s="203">
        <f t="shared" si="1"/>
        <v>0.4</v>
      </c>
      <c r="CE20" s="203">
        <f t="shared" si="1"/>
        <v>0.4</v>
      </c>
      <c r="CF20" s="203">
        <f t="shared" si="1"/>
        <v>0.4</v>
      </c>
      <c r="CG20" s="203">
        <f t="shared" si="1"/>
        <v>0.4</v>
      </c>
      <c r="CH20" s="203">
        <f t="shared" si="1"/>
        <v>0.4</v>
      </c>
      <c r="CI20" s="203">
        <f t="shared" si="1"/>
        <v>0.4</v>
      </c>
    </row>
    <row r="21" ht="12.75" customHeight="1"/>
    <row r="22" ht="12.75" customHeight="1"/>
    <row r="23" ht="12.75" customHeight="1">
      <c r="A23" s="97" t="s">
        <v>429</v>
      </c>
      <c r="F23" s="94">
        <f t="shared" ref="F23:CP23" si="2">IF(F18&lt;0,0,F18*F20)</f>
        <v>0</v>
      </c>
      <c r="G23" s="94">
        <f t="shared" si="2"/>
        <v>0</v>
      </c>
      <c r="H23" s="94">
        <f t="shared" si="2"/>
        <v>0</v>
      </c>
      <c r="I23" s="94">
        <f t="shared" si="2"/>
        <v>0</v>
      </c>
      <c r="J23" s="94">
        <f t="shared" si="2"/>
        <v>0</v>
      </c>
      <c r="K23" s="94">
        <f t="shared" si="2"/>
        <v>0</v>
      </c>
      <c r="L23" s="94">
        <f t="shared" si="2"/>
        <v>0</v>
      </c>
      <c r="M23" s="94">
        <f t="shared" si="2"/>
        <v>0</v>
      </c>
      <c r="N23" s="94">
        <f t="shared" si="2"/>
        <v>0</v>
      </c>
      <c r="O23" s="94">
        <f t="shared" si="2"/>
        <v>0</v>
      </c>
      <c r="P23" s="94">
        <f t="shared" si="2"/>
        <v>0</v>
      </c>
      <c r="Q23" s="94">
        <f t="shared" si="2"/>
        <v>0</v>
      </c>
      <c r="R23" s="94">
        <f t="shared" si="2"/>
        <v>0</v>
      </c>
      <c r="S23" s="94">
        <f t="shared" si="2"/>
        <v>0</v>
      </c>
      <c r="T23" s="94">
        <f t="shared" si="2"/>
        <v>0</v>
      </c>
      <c r="U23" s="94">
        <f t="shared" si="2"/>
        <v>0</v>
      </c>
      <c r="V23" s="94">
        <f t="shared" si="2"/>
        <v>0</v>
      </c>
      <c r="W23" s="94">
        <f t="shared" si="2"/>
        <v>0</v>
      </c>
      <c r="X23" s="94">
        <f t="shared" si="2"/>
        <v>0</v>
      </c>
      <c r="Y23" s="94">
        <f t="shared" si="2"/>
        <v>0</v>
      </c>
      <c r="Z23" s="94">
        <f t="shared" si="2"/>
        <v>0</v>
      </c>
      <c r="AA23" s="94">
        <f t="shared" si="2"/>
        <v>0</v>
      </c>
      <c r="AB23" s="94">
        <f t="shared" si="2"/>
        <v>0</v>
      </c>
      <c r="AC23" s="94">
        <f t="shared" si="2"/>
        <v>0</v>
      </c>
      <c r="AD23" s="94">
        <f t="shared" si="2"/>
        <v>0</v>
      </c>
      <c r="AE23" s="94">
        <f t="shared" si="2"/>
        <v>0</v>
      </c>
      <c r="AF23" s="94">
        <f t="shared" si="2"/>
        <v>0</v>
      </c>
      <c r="AG23" s="94">
        <f t="shared" si="2"/>
        <v>0</v>
      </c>
      <c r="AH23" s="94">
        <f t="shared" si="2"/>
        <v>0</v>
      </c>
      <c r="AI23" s="94">
        <f t="shared" si="2"/>
        <v>0</v>
      </c>
      <c r="AJ23" s="94">
        <f t="shared" si="2"/>
        <v>0</v>
      </c>
      <c r="AK23" s="94">
        <f t="shared" si="2"/>
        <v>0</v>
      </c>
      <c r="AL23" s="94">
        <f t="shared" si="2"/>
        <v>0</v>
      </c>
      <c r="AM23" s="94">
        <f t="shared" si="2"/>
        <v>0</v>
      </c>
      <c r="AN23" s="94">
        <f t="shared" si="2"/>
        <v>0</v>
      </c>
      <c r="AO23" s="94">
        <f t="shared" si="2"/>
        <v>0</v>
      </c>
      <c r="AP23" s="94">
        <f t="shared" si="2"/>
        <v>0</v>
      </c>
      <c r="AQ23" s="94">
        <f t="shared" si="2"/>
        <v>0</v>
      </c>
      <c r="AR23" s="94">
        <f t="shared" si="2"/>
        <v>0</v>
      </c>
      <c r="AS23" s="94">
        <f t="shared" si="2"/>
        <v>0</v>
      </c>
      <c r="AT23" s="94">
        <f t="shared" si="2"/>
        <v>0</v>
      </c>
      <c r="AU23" s="94">
        <f t="shared" si="2"/>
        <v>0</v>
      </c>
      <c r="AV23" s="94">
        <f t="shared" si="2"/>
        <v>0</v>
      </c>
      <c r="AW23" s="94">
        <f t="shared" si="2"/>
        <v>0</v>
      </c>
      <c r="AX23" s="94">
        <f t="shared" si="2"/>
        <v>0</v>
      </c>
      <c r="AY23" s="94">
        <f t="shared" si="2"/>
        <v>0</v>
      </c>
      <c r="AZ23" s="94">
        <f t="shared" si="2"/>
        <v>0</v>
      </c>
      <c r="BA23" s="94">
        <f t="shared" si="2"/>
        <v>0</v>
      </c>
      <c r="BB23" s="94">
        <f t="shared" si="2"/>
        <v>0</v>
      </c>
      <c r="BC23" s="94">
        <f t="shared" si="2"/>
        <v>0</v>
      </c>
      <c r="BD23" s="94">
        <f t="shared" si="2"/>
        <v>0</v>
      </c>
      <c r="BE23" s="94">
        <f t="shared" si="2"/>
        <v>0</v>
      </c>
      <c r="BF23" s="94">
        <f t="shared" si="2"/>
        <v>0</v>
      </c>
      <c r="BG23" s="94">
        <f t="shared" si="2"/>
        <v>0</v>
      </c>
      <c r="BH23" s="94">
        <f t="shared" si="2"/>
        <v>0</v>
      </c>
      <c r="BI23" s="94">
        <f t="shared" si="2"/>
        <v>0</v>
      </c>
      <c r="BJ23" s="94">
        <f t="shared" si="2"/>
        <v>0</v>
      </c>
      <c r="BK23" s="94">
        <f t="shared" si="2"/>
        <v>0</v>
      </c>
      <c r="BL23" s="94">
        <f t="shared" si="2"/>
        <v>0</v>
      </c>
      <c r="BM23" s="94">
        <f t="shared" si="2"/>
        <v>0</v>
      </c>
      <c r="BN23" s="94">
        <f t="shared" si="2"/>
        <v>0</v>
      </c>
      <c r="BO23" s="94">
        <f t="shared" si="2"/>
        <v>0</v>
      </c>
      <c r="BP23" s="94">
        <f t="shared" si="2"/>
        <v>0</v>
      </c>
      <c r="BQ23" s="94">
        <f t="shared" si="2"/>
        <v>0</v>
      </c>
      <c r="BR23" s="94">
        <f t="shared" si="2"/>
        <v>0</v>
      </c>
      <c r="BS23" s="94">
        <f t="shared" si="2"/>
        <v>0</v>
      </c>
      <c r="BT23" s="94">
        <f t="shared" si="2"/>
        <v>0</v>
      </c>
      <c r="BU23" s="94">
        <f t="shared" si="2"/>
        <v>0</v>
      </c>
      <c r="BV23" s="94">
        <f t="shared" si="2"/>
        <v>0</v>
      </c>
      <c r="BW23" s="94">
        <f t="shared" si="2"/>
        <v>0</v>
      </c>
      <c r="BX23" s="94">
        <f t="shared" si="2"/>
        <v>0</v>
      </c>
      <c r="BY23" s="94">
        <f t="shared" si="2"/>
        <v>0</v>
      </c>
      <c r="BZ23" s="94">
        <f t="shared" si="2"/>
        <v>0</v>
      </c>
      <c r="CA23" s="94">
        <f t="shared" si="2"/>
        <v>0</v>
      </c>
      <c r="CB23" s="94">
        <f t="shared" si="2"/>
        <v>0</v>
      </c>
      <c r="CC23" s="94">
        <f t="shared" si="2"/>
        <v>0</v>
      </c>
      <c r="CD23" s="94">
        <f t="shared" si="2"/>
        <v>0</v>
      </c>
      <c r="CE23" s="94">
        <f t="shared" si="2"/>
        <v>0</v>
      </c>
      <c r="CF23" s="94">
        <f t="shared" si="2"/>
        <v>0</v>
      </c>
      <c r="CG23" s="94">
        <f t="shared" si="2"/>
        <v>0</v>
      </c>
      <c r="CH23" s="94">
        <f t="shared" si="2"/>
        <v>0</v>
      </c>
      <c r="CI23" s="94">
        <f t="shared" si="2"/>
        <v>0</v>
      </c>
      <c r="CJ23" s="94">
        <f t="shared" si="2"/>
        <v>0</v>
      </c>
      <c r="CK23" s="94">
        <f t="shared" si="2"/>
        <v>0</v>
      </c>
      <c r="CL23" s="94">
        <f t="shared" si="2"/>
        <v>0</v>
      </c>
      <c r="CM23" s="94">
        <f t="shared" si="2"/>
        <v>0</v>
      </c>
      <c r="CN23" s="94">
        <f t="shared" si="2"/>
        <v>0</v>
      </c>
      <c r="CO23" s="94">
        <f t="shared" si="2"/>
        <v>0</v>
      </c>
      <c r="CP23" s="94">
        <f t="shared" si="2"/>
        <v>0</v>
      </c>
    </row>
    <row r="24" ht="12.75" customHeight="1"/>
    <row r="25" ht="12.75" customHeight="1">
      <c r="F25" s="94"/>
      <c r="H25" s="94"/>
      <c r="K25" s="94"/>
      <c r="O25" s="94"/>
      <c r="R25" s="94"/>
      <c r="T25" s="94"/>
      <c r="W25" s="94"/>
      <c r="AA25" s="94"/>
      <c r="AD25" s="94"/>
      <c r="AF25" s="94"/>
      <c r="AI25" s="94"/>
      <c r="AM25" s="94"/>
      <c r="AP25" s="94"/>
      <c r="AR25" s="94"/>
      <c r="AU25" s="94"/>
      <c r="AY25" s="94"/>
      <c r="BB25" s="94"/>
      <c r="BD25" s="94"/>
      <c r="BG25" s="94"/>
      <c r="BK25" s="94"/>
      <c r="BN25" s="94"/>
      <c r="BP25" s="94"/>
      <c r="BS25" s="94"/>
      <c r="BW25" s="94"/>
      <c r="BZ25" s="94"/>
      <c r="CB25" s="94"/>
      <c r="CE25" s="94"/>
      <c r="CI25" s="94"/>
      <c r="CL25" s="94"/>
      <c r="CN25" s="94"/>
    </row>
    <row r="26" ht="12.75" customHeight="1">
      <c r="A26" s="97" t="s">
        <v>430</v>
      </c>
      <c r="F26" s="94">
        <f>SUM(D23:F23)</f>
        <v>0</v>
      </c>
      <c r="H26" s="94">
        <f>+F26+H23</f>
        <v>0</v>
      </c>
      <c r="K26" s="94">
        <f>+K23+H26</f>
        <v>0</v>
      </c>
      <c r="O26" s="94">
        <f>+O23+K26</f>
        <v>0</v>
      </c>
      <c r="R26" s="94">
        <f>SUM(P23:R23)</f>
        <v>0</v>
      </c>
      <c r="T26" s="94">
        <f>SUM(S23:T23)</f>
        <v>0</v>
      </c>
      <c r="W26" s="94">
        <f>SUM(U23:W23)</f>
        <v>0</v>
      </c>
      <c r="AA26" s="94">
        <f>SUM(X23:AA23)</f>
        <v>0</v>
      </c>
      <c r="AD26" s="94">
        <f>SUM(AB23:AD23)</f>
        <v>0</v>
      </c>
      <c r="AF26" s="94">
        <f>SUM(AE23:AF23)</f>
        <v>0</v>
      </c>
      <c r="AI26" s="94">
        <f>+AG23+AH23+AI23</f>
        <v>0</v>
      </c>
      <c r="AM26" s="94">
        <f>SUM(AJ23:AM23)</f>
        <v>0</v>
      </c>
      <c r="AP26" s="94">
        <f>SUM(AN23:AP23)</f>
        <v>0</v>
      </c>
      <c r="AR26" s="94">
        <f>SUM(AQ23:AR23)</f>
        <v>0</v>
      </c>
      <c r="AU26" s="94">
        <f>+AS23+AT23+AU23</f>
        <v>0</v>
      </c>
      <c r="AY26" s="94">
        <f>SUM(AV23:AY23)</f>
        <v>0</v>
      </c>
      <c r="BB26" s="94">
        <f>SUM(AZ23:BB23)</f>
        <v>0</v>
      </c>
      <c r="BD26" s="94">
        <f>+BC23+BD23</f>
        <v>0</v>
      </c>
      <c r="BG26" s="94">
        <f>+BE23+BF23+BG23</f>
        <v>0</v>
      </c>
      <c r="BK26" s="94">
        <f>SUM(BH23:BK23)</f>
        <v>0</v>
      </c>
      <c r="BN26" s="94">
        <f>SUM(BL23:BN23)</f>
        <v>0</v>
      </c>
      <c r="BP26" s="94">
        <f>+BO23+BP23</f>
        <v>0</v>
      </c>
      <c r="BS26" s="94">
        <f>+BQ23+BR23+BS23</f>
        <v>0</v>
      </c>
      <c r="BW26" s="94">
        <f>SUM(BT23:BW23)</f>
        <v>0</v>
      </c>
      <c r="BZ26" s="94">
        <f>SUM(BX23:BZ23)</f>
        <v>0</v>
      </c>
      <c r="CB26" s="94">
        <f>+CA23+CB23</f>
        <v>0</v>
      </c>
      <c r="CE26" s="94">
        <f>+CC23+CD23+CE23</f>
        <v>0</v>
      </c>
      <c r="CI26" s="94">
        <f>SUM(CF23:CI23)</f>
        <v>0</v>
      </c>
      <c r="CL26" s="94">
        <f>SUM(CJ23:CL23)</f>
        <v>0</v>
      </c>
      <c r="CN26" s="94">
        <f>+CM23+CN23</f>
        <v>0</v>
      </c>
    </row>
    <row r="27" ht="12.75" customHeight="1"/>
    <row r="28" ht="12.75" customHeight="1">
      <c r="A28" s="97" t="s">
        <v>431</v>
      </c>
      <c r="F28" s="102">
        <f>IF(F26&lt;0,0,0)</f>
        <v>0</v>
      </c>
      <c r="G28" s="102"/>
      <c r="H28" s="102">
        <f>IF(H26&lt;0,0,F26)</f>
        <v>0</v>
      </c>
      <c r="I28" s="102"/>
      <c r="J28" s="102"/>
      <c r="K28" s="102">
        <f>IF(K26&lt;0,0,H26)</f>
        <v>0</v>
      </c>
      <c r="L28" s="102"/>
      <c r="M28" s="102"/>
      <c r="N28" s="102"/>
      <c r="O28" s="102">
        <f>IF(O26&lt;0,0,K26)</f>
        <v>0</v>
      </c>
      <c r="P28" s="102"/>
      <c r="Q28" s="102"/>
      <c r="R28" s="102">
        <f>IF(R26&lt;0,0,O26)</f>
        <v>0</v>
      </c>
      <c r="S28" s="102"/>
      <c r="T28" s="102">
        <f>IF(T26&lt;0,0,R26)</f>
        <v>0</v>
      </c>
      <c r="U28" s="102"/>
      <c r="V28" s="102"/>
      <c r="W28" s="102">
        <f>IF(W26&lt;0,0,T26)</f>
        <v>0</v>
      </c>
      <c r="X28" s="102"/>
      <c r="Y28" s="102"/>
      <c r="Z28" s="102"/>
      <c r="AA28" s="102">
        <f>IF(AA26&lt;0,0,W26)</f>
        <v>0</v>
      </c>
      <c r="AB28" s="102"/>
      <c r="AC28" s="102"/>
      <c r="AD28" s="102">
        <f>IF(AD26&lt;0,0,AA26)</f>
        <v>0</v>
      </c>
      <c r="AE28" s="102"/>
      <c r="AF28" s="102">
        <f>IF(AF26&lt;0,0,AD26)</f>
        <v>0</v>
      </c>
      <c r="AG28" s="102"/>
      <c r="AH28" s="102"/>
      <c r="AI28" s="102">
        <f>IF(AI26&lt;0,0,AF26)</f>
        <v>0</v>
      </c>
      <c r="AJ28" s="102"/>
      <c r="AK28" s="102"/>
      <c r="AL28" s="102"/>
      <c r="AM28" s="102">
        <f>IF(AM26&lt;0,0,AI26)</f>
        <v>0</v>
      </c>
      <c r="AN28" s="102"/>
      <c r="AO28" s="102"/>
      <c r="AP28" s="102">
        <f>IF(AP26&lt;0,0,AM26)</f>
        <v>0</v>
      </c>
      <c r="AQ28" s="102"/>
      <c r="AR28" s="102">
        <f>IF(AR26&lt;0,0,AP26)</f>
        <v>0</v>
      </c>
      <c r="AS28" s="102"/>
      <c r="AT28" s="102"/>
      <c r="AU28" s="102">
        <f>IF(AU26&lt;0,0,AR26)</f>
        <v>0</v>
      </c>
      <c r="AV28" s="102"/>
      <c r="AW28" s="102"/>
      <c r="AX28" s="102"/>
      <c r="AY28" s="102">
        <f>IF(AY26&lt;0,0,AU26)</f>
        <v>0</v>
      </c>
      <c r="AZ28" s="102"/>
      <c r="BA28" s="102"/>
      <c r="BB28" s="102">
        <f>IF(BB26&lt;0,0,AY26)</f>
        <v>0</v>
      </c>
      <c r="BC28" s="102"/>
      <c r="BD28" s="102">
        <f>IF(BD26&lt;0,0,BB26)</f>
        <v>0</v>
      </c>
      <c r="BE28" s="102"/>
      <c r="BF28" s="102"/>
      <c r="BG28" s="102">
        <f>IF(BG26&lt;0,0,BD26)</f>
        <v>0</v>
      </c>
      <c r="BH28" s="102"/>
      <c r="BI28" s="102"/>
      <c r="BJ28" s="102"/>
      <c r="BK28" s="102">
        <f>IF(BK26&lt;0,0,BG26)</f>
        <v>0</v>
      </c>
      <c r="BL28" s="102"/>
      <c r="BM28" s="102"/>
      <c r="BN28" s="102">
        <f>IF(BN26&lt;0,0,BK26)</f>
        <v>0</v>
      </c>
      <c r="BO28" s="102"/>
      <c r="BP28" s="102">
        <f>IF(BP26&lt;0,0,BN26)</f>
        <v>0</v>
      </c>
      <c r="BQ28" s="102"/>
      <c r="BR28" s="102"/>
      <c r="BS28" s="102">
        <f>IF(BS26&lt;0,0,BP26)</f>
        <v>0</v>
      </c>
      <c r="BT28" s="102"/>
      <c r="BU28" s="102"/>
      <c r="BV28" s="102"/>
      <c r="BW28" s="102">
        <f>IF(BW26&lt;0,0,BS26)</f>
        <v>0</v>
      </c>
      <c r="BX28" s="102"/>
      <c r="BY28" s="102"/>
      <c r="BZ28" s="102">
        <f>IF(BZ26&lt;0,0,BW26)</f>
        <v>0</v>
      </c>
      <c r="CA28" s="102"/>
      <c r="CB28" s="102">
        <f>IF(CB26&lt;0,0,BZ26)</f>
        <v>0</v>
      </c>
      <c r="CC28" s="102"/>
      <c r="CD28" s="102"/>
      <c r="CE28" s="102">
        <f>IF(CE26&lt;0,0,CB26)</f>
        <v>0</v>
      </c>
      <c r="CF28" s="102"/>
      <c r="CG28" s="102"/>
      <c r="CH28" s="102"/>
      <c r="CI28" s="102">
        <f>IF(CI26&lt;0,0,CE26)</f>
        <v>0</v>
      </c>
      <c r="CJ28" s="102"/>
      <c r="CK28" s="102"/>
      <c r="CL28" s="102">
        <f>IF(CL26&lt;0,0,CI26)</f>
        <v>0</v>
      </c>
      <c r="CM28" s="102"/>
      <c r="CN28" s="102">
        <f>IF(CN26&lt;0,0,CL26)</f>
        <v>0</v>
      </c>
      <c r="CO28" s="102"/>
      <c r="CP28" s="102"/>
    </row>
    <row r="29" ht="12.75" customHeight="1"/>
    <row r="30" ht="12.75" customHeight="1">
      <c r="A30" s="97" t="s">
        <v>432</v>
      </c>
      <c r="F30" s="94">
        <f>+F26-F28</f>
        <v>0</v>
      </c>
      <c r="H30" s="94">
        <f>+H26-H28</f>
        <v>0</v>
      </c>
      <c r="K30" s="94">
        <f>+K26-K28</f>
        <v>0</v>
      </c>
      <c r="O30" s="94">
        <f>+O26-O28</f>
        <v>0</v>
      </c>
      <c r="R30" s="94">
        <f>+R26-R28</f>
        <v>0</v>
      </c>
      <c r="T30" s="94">
        <f>+T26-T28</f>
        <v>0</v>
      </c>
      <c r="W30" s="94">
        <f>+W26-W28</f>
        <v>0</v>
      </c>
      <c r="AA30" s="94">
        <f>+AA26-AA28</f>
        <v>0</v>
      </c>
      <c r="AD30" s="94">
        <f>+AD26-AD28</f>
        <v>0</v>
      </c>
      <c r="AF30" s="94">
        <f>+AF26-AF28</f>
        <v>0</v>
      </c>
      <c r="AI30" s="94">
        <f>+AI26-AI28</f>
        <v>0</v>
      </c>
      <c r="AM30" s="94">
        <f>+AM26-AM28</f>
        <v>0</v>
      </c>
      <c r="AP30" s="94">
        <f>+AP26-AP28</f>
        <v>0</v>
      </c>
      <c r="AR30" s="94">
        <f>+AR26-AR28</f>
        <v>0</v>
      </c>
      <c r="AU30" s="94">
        <f>+AU26-AU28</f>
        <v>0</v>
      </c>
      <c r="AY30" s="94">
        <f>+AY26-AY28</f>
        <v>0</v>
      </c>
      <c r="BB30" s="94">
        <f>+BB26-BB28</f>
        <v>0</v>
      </c>
      <c r="BD30" s="94">
        <f>+BD26-BD28</f>
        <v>0</v>
      </c>
      <c r="BG30" s="94">
        <f>+BG26-BG28</f>
        <v>0</v>
      </c>
      <c r="BK30" s="94">
        <f>+BK26-BK28</f>
        <v>0</v>
      </c>
      <c r="BN30" s="94">
        <f>+BN26-BN28</f>
        <v>0</v>
      </c>
      <c r="BP30" s="94">
        <f>+BP26-BP28</f>
        <v>0</v>
      </c>
      <c r="BS30" s="94">
        <f>+BS26-BS28</f>
        <v>0</v>
      </c>
      <c r="BW30" s="94">
        <f>+BW26-BW28</f>
        <v>0</v>
      </c>
      <c r="BZ30" s="94">
        <f>+BZ26-BZ28</f>
        <v>0</v>
      </c>
      <c r="CB30" s="94">
        <f>+CB26-CB28</f>
        <v>0</v>
      </c>
      <c r="CE30" s="94">
        <f>+CE26-CE28</f>
        <v>0</v>
      </c>
      <c r="CI30" s="94">
        <f>+CI26-CI28</f>
        <v>0</v>
      </c>
      <c r="CL30" s="94">
        <f>+CL26-CL28</f>
        <v>0</v>
      </c>
      <c r="CN30" s="94">
        <f>+CN26-CN28</f>
        <v>0</v>
      </c>
    </row>
    <row r="31" ht="12.75" customHeight="1"/>
    <row r="32" ht="12.75" customHeight="1">
      <c r="A32" s="97" t="s">
        <v>433</v>
      </c>
      <c r="G32" s="94">
        <f>IF(F30&lt;0,0,F30)</f>
        <v>0</v>
      </c>
      <c r="H32" s="94"/>
      <c r="I32" s="94">
        <f>IF(H30&lt;0,0,H30)</f>
        <v>0</v>
      </c>
      <c r="J32" s="94"/>
      <c r="K32" s="94"/>
      <c r="L32" s="94">
        <f>IF(K30&lt;0,0,K30)</f>
        <v>0</v>
      </c>
      <c r="M32" s="94"/>
      <c r="N32" s="94"/>
      <c r="O32" s="94"/>
      <c r="P32" s="94">
        <f>IF(O30&lt;0,0,O30)</f>
        <v>0</v>
      </c>
      <c r="Q32" s="94"/>
      <c r="R32" s="94"/>
      <c r="S32" s="94">
        <f>IF(R30&lt;0,0,R30)</f>
        <v>0</v>
      </c>
      <c r="T32" s="94"/>
      <c r="U32" s="94">
        <f>IF(T30&lt;0,0,T30)</f>
        <v>0</v>
      </c>
      <c r="V32" s="94"/>
      <c r="W32" s="94"/>
      <c r="X32" s="94">
        <f>IF(W30&lt;0,0,W30)</f>
        <v>0</v>
      </c>
      <c r="Y32" s="94"/>
      <c r="Z32" s="94"/>
      <c r="AA32" s="94"/>
      <c r="AB32" s="94">
        <f>IF(AA30&lt;0,0,AA30)</f>
        <v>0</v>
      </c>
      <c r="AC32" s="94"/>
      <c r="AD32" s="94"/>
      <c r="AE32" s="94">
        <f>IF(AD30&lt;0,0,AD30)</f>
        <v>0</v>
      </c>
      <c r="AF32" s="94"/>
      <c r="AG32" s="94">
        <f>IF(AF30&lt;0,0,AF30)</f>
        <v>0</v>
      </c>
      <c r="AH32" s="94"/>
      <c r="AI32" s="94"/>
      <c r="AJ32" s="94">
        <f>IF(AI30&lt;0,0,AI30)</f>
        <v>0</v>
      </c>
      <c r="AK32" s="94"/>
      <c r="AL32" s="94"/>
      <c r="AM32" s="94"/>
      <c r="AN32" s="94">
        <f>IF(AM30&lt;0,0,AM30)</f>
        <v>0</v>
      </c>
      <c r="AO32" s="94"/>
      <c r="AP32" s="94"/>
      <c r="AQ32" s="94">
        <f>IF(AP30&lt;0,0,AP30)</f>
        <v>0</v>
      </c>
      <c r="AR32" s="94"/>
      <c r="AS32" s="94">
        <f>IF(AR30&lt;0,0,AR30)</f>
        <v>0</v>
      </c>
      <c r="AT32" s="94"/>
      <c r="AU32" s="94"/>
      <c r="AV32" s="94">
        <f>IF(AU30&lt;0,0,AU30)</f>
        <v>0</v>
      </c>
      <c r="AW32" s="94"/>
      <c r="AX32" s="94"/>
      <c r="AY32" s="94"/>
      <c r="AZ32" s="94">
        <f>IF(AY30&lt;0,0,AY30)</f>
        <v>0</v>
      </c>
      <c r="BA32" s="94"/>
      <c r="BB32" s="94"/>
      <c r="BC32" s="94">
        <f>IF(BB30&lt;0,0,BB30)</f>
        <v>0</v>
      </c>
      <c r="BD32" s="94"/>
      <c r="BE32" s="94">
        <f>IF(BD30&lt;0,0,BD30)</f>
        <v>0</v>
      </c>
      <c r="BF32" s="94"/>
      <c r="BG32" s="94"/>
      <c r="BH32" s="94">
        <f>IF(BG30&lt;0,0,BG30)</f>
        <v>0</v>
      </c>
      <c r="BI32" s="94"/>
      <c r="BJ32" s="94"/>
      <c r="BK32" s="94"/>
      <c r="BL32" s="94">
        <f>IF(BK30&lt;0,0,BK30)</f>
        <v>0</v>
      </c>
      <c r="BM32" s="94"/>
      <c r="BN32" s="94"/>
      <c r="BO32" s="94">
        <f>IF(BN30&lt;0,0,BN30)</f>
        <v>0</v>
      </c>
      <c r="BP32" s="94"/>
      <c r="BQ32" s="94">
        <f>IF(BP30&lt;0,0,BP30)</f>
        <v>0</v>
      </c>
      <c r="BR32" s="94"/>
      <c r="BS32" s="94"/>
      <c r="BT32" s="94">
        <f>IF(BS30&lt;0,0,BS30)</f>
        <v>0</v>
      </c>
      <c r="BU32" s="94"/>
      <c r="BV32" s="94"/>
      <c r="BW32" s="94"/>
      <c r="BX32" s="94">
        <f>IF(BW30&lt;0,0,BW30)</f>
        <v>0</v>
      </c>
      <c r="BY32" s="94"/>
      <c r="BZ32" s="94"/>
      <c r="CA32" s="94">
        <f>IF(BZ30&lt;0,0,BZ30)</f>
        <v>0</v>
      </c>
      <c r="CB32" s="94"/>
      <c r="CC32" s="94">
        <f>IF(CB30&lt;0,0,CB30)</f>
        <v>0</v>
      </c>
      <c r="CD32" s="94"/>
      <c r="CE32" s="94"/>
      <c r="CF32" s="94">
        <f>IF(CE30&lt;0,0,CE30)</f>
        <v>0</v>
      </c>
      <c r="CG32" s="94"/>
      <c r="CH32" s="94"/>
      <c r="CI32" s="94"/>
      <c r="CJ32" s="94">
        <f>IF(CI30&lt;0,0,CI30)</f>
        <v>0</v>
      </c>
      <c r="CK32" s="94"/>
      <c r="CL32" s="94"/>
      <c r="CM32" s="94">
        <f>IF(CL30&lt;0,0,CL30)</f>
        <v>0</v>
      </c>
      <c r="CN32" s="94"/>
      <c r="CO32" s="94">
        <f>IF(CN30&lt;0,0,CN30)</f>
        <v>0</v>
      </c>
      <c r="CP32" s="94"/>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0.57"/>
  </cols>
  <sheetData>
    <row r="1" ht="15.0" customHeight="1">
      <c r="A1" s="204" t="s">
        <v>434</v>
      </c>
      <c r="B1" s="97" t="s">
        <v>435</v>
      </c>
      <c r="C1" s="97" t="s">
        <v>436</v>
      </c>
      <c r="D1" s="97"/>
    </row>
    <row r="2" ht="15.0" customHeight="1">
      <c r="A2" s="97" t="s">
        <v>437</v>
      </c>
      <c r="B2" s="174">
        <v>36000.0</v>
      </c>
      <c r="C2" s="205">
        <v>12600.0</v>
      </c>
    </row>
    <row r="3" ht="15.0" customHeight="1">
      <c r="A3" s="97" t="s">
        <v>438</v>
      </c>
      <c r="B3" s="174">
        <v>95000.0</v>
      </c>
      <c r="C3" s="205">
        <v>21000.0</v>
      </c>
    </row>
    <row r="4" ht="15.0" customHeight="1">
      <c r="A4" s="97" t="s">
        <v>439</v>
      </c>
      <c r="B4" s="174">
        <v>40000.0</v>
      </c>
    </row>
    <row r="5" ht="15.0" customHeight="1">
      <c r="A5" s="97" t="s">
        <v>440</v>
      </c>
      <c r="B5" s="174">
        <v>15000.0</v>
      </c>
    </row>
    <row r="6" ht="15.0" customHeight="1">
      <c r="A6" s="97" t="s">
        <v>441</v>
      </c>
      <c r="B6" s="174">
        <v>85000.0</v>
      </c>
      <c r="C6" s="205">
        <v>15120.0</v>
      </c>
    </row>
    <row r="7">
      <c r="A7" s="97" t="s">
        <v>442</v>
      </c>
      <c r="B7" s="174">
        <v>45000.0</v>
      </c>
    </row>
    <row r="8" ht="15.0" customHeight="1">
      <c r="A8" s="97" t="s">
        <v>443</v>
      </c>
      <c r="B8" s="174">
        <v>10000.0</v>
      </c>
    </row>
    <row r="9" ht="15.0" customHeight="1">
      <c r="A9" s="97" t="s">
        <v>444</v>
      </c>
      <c r="B9" s="174">
        <v>20000.0</v>
      </c>
    </row>
    <row r="10" ht="15.0" customHeight="1">
      <c r="A10" s="97" t="s">
        <v>445</v>
      </c>
      <c r="B10" s="174">
        <v>10000.0</v>
      </c>
    </row>
    <row r="11" ht="15.0" customHeight="1">
      <c r="A11" s="97"/>
      <c r="B11" s="174"/>
    </row>
    <row r="12" ht="15.0" customHeight="1">
      <c r="A12" s="204" t="s">
        <v>446</v>
      </c>
      <c r="B12" s="174">
        <f>SUM(B2:B10)</f>
        <v>356000</v>
      </c>
    </row>
    <row r="15">
      <c r="A15" s="204" t="s">
        <v>447</v>
      </c>
      <c r="B15" s="174"/>
      <c r="C15" s="97" t="s">
        <v>448</v>
      </c>
    </row>
    <row r="16">
      <c r="A16" s="206" t="s">
        <v>449</v>
      </c>
      <c r="B16" s="174">
        <v>5000.0</v>
      </c>
    </row>
    <row r="17">
      <c r="A17" s="206" t="s">
        <v>450</v>
      </c>
      <c r="B17" s="174">
        <v>2000.0</v>
      </c>
    </row>
    <row r="18">
      <c r="A18" s="97" t="s">
        <v>451</v>
      </c>
      <c r="B18" s="174">
        <v>7000.0</v>
      </c>
      <c r="C18" s="97">
        <v>26.0</v>
      </c>
    </row>
    <row r="19">
      <c r="A19" s="97" t="s">
        <v>452</v>
      </c>
      <c r="B19" s="174">
        <v>5000.0</v>
      </c>
    </row>
    <row r="20">
      <c r="A20" s="97" t="s">
        <v>453</v>
      </c>
      <c r="B20" s="174">
        <v>10000.0</v>
      </c>
    </row>
    <row r="22">
      <c r="A22" s="204" t="s">
        <v>446</v>
      </c>
      <c r="B22" s="174">
        <f>SUM(B16:B20)</f>
        <v>29000</v>
      </c>
    </row>
    <row r="23">
      <c r="A23" s="204"/>
    </row>
    <row r="24" ht="15.75" customHeight="1"/>
    <row r="25" ht="15.75" customHeight="1">
      <c r="A25" s="204" t="s">
        <v>454</v>
      </c>
    </row>
    <row r="26" ht="15.75" customHeight="1">
      <c r="A26" s="97" t="s">
        <v>455</v>
      </c>
      <c r="B26" s="174">
        <v>30000.0</v>
      </c>
    </row>
    <row r="27" ht="15.75" customHeight="1">
      <c r="A27" s="97" t="s">
        <v>456</v>
      </c>
      <c r="B27" s="174">
        <v>10000.0</v>
      </c>
    </row>
    <row r="28" ht="15.75" customHeight="1">
      <c r="A28" s="97" t="s">
        <v>457</v>
      </c>
      <c r="B28" s="174">
        <v>10000.0</v>
      </c>
    </row>
    <row r="29" ht="15.75" customHeight="1"/>
    <row r="30" ht="15.75" customHeight="1">
      <c r="A30" s="204" t="s">
        <v>458</v>
      </c>
      <c r="B30" s="174">
        <f>SUM(B26:B28)</f>
        <v>50000</v>
      </c>
    </row>
    <row r="31" ht="15.75" customHeight="1">
      <c r="A31" s="204"/>
    </row>
    <row r="32" ht="15.75" customHeight="1">
      <c r="A32" s="204"/>
    </row>
    <row r="33" ht="15.75" customHeight="1">
      <c r="A33" s="204" t="s">
        <v>459</v>
      </c>
    </row>
    <row r="34" ht="15.75" customHeight="1">
      <c r="A34" s="97" t="s">
        <v>460</v>
      </c>
      <c r="B34" s="174">
        <v>40000.0</v>
      </c>
    </row>
    <row r="35" ht="15.75" customHeight="1">
      <c r="A35" s="97" t="s">
        <v>461</v>
      </c>
      <c r="B35" s="174">
        <v>75000.0</v>
      </c>
    </row>
    <row r="36" ht="15.75" customHeight="1"/>
    <row r="37" ht="15.75" customHeight="1">
      <c r="A37" s="204" t="s">
        <v>142</v>
      </c>
      <c r="B37" s="174">
        <f>SUM(B34:B35)</f>
        <v>115000</v>
      </c>
    </row>
    <row r="38" ht="15.75" customHeight="1"/>
    <row r="39" ht="15.75" customHeight="1"/>
    <row r="40" ht="15.75" customHeight="1">
      <c r="A40" s="204" t="s">
        <v>462</v>
      </c>
      <c r="B40" s="174">
        <f>SUM(B37,B30,B22,B12)</f>
        <v>550000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72.86"/>
  </cols>
  <sheetData>
    <row r="9" ht="15.0" customHeight="1">
      <c r="A9" s="97" t="s">
        <v>463</v>
      </c>
    </row>
    <row r="11" ht="15.0" customHeight="1">
      <c r="A11" s="97">
        <v>1.0</v>
      </c>
      <c r="B11" s="9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6" width="12.71"/>
  </cols>
  <sheetData>
    <row r="1" ht="12.75" customHeight="1"/>
    <row r="2" ht="12.75" customHeight="1"/>
    <row r="3" ht="12.75" customHeight="1"/>
    <row r="4" ht="12.75" customHeight="1"/>
    <row r="5" ht="12.75" customHeight="1"/>
    <row r="6" ht="12.75" customHeight="1"/>
    <row r="7" ht="12.75" customHeight="1"/>
    <row r="8" ht="12.75" customHeight="1"/>
    <row r="9" ht="12.75" customHeight="1">
      <c r="A9" s="115" t="s">
        <v>464</v>
      </c>
      <c r="B9" s="115"/>
      <c r="C9" s="115"/>
      <c r="D9" s="115"/>
      <c r="E9" s="115"/>
    </row>
    <row r="10" ht="12.75" customHeight="1">
      <c r="A10" s="115"/>
      <c r="C10" s="115"/>
      <c r="D10" s="116"/>
    </row>
    <row r="11" ht="12.75" customHeight="1">
      <c r="A11" s="115" t="s">
        <v>465</v>
      </c>
      <c r="B11" s="194"/>
    </row>
    <row r="12" ht="12.75" customHeight="1">
      <c r="A12" s="115" t="s">
        <v>466</v>
      </c>
      <c r="B12" s="105"/>
    </row>
    <row r="13" ht="12.75" customHeight="1">
      <c r="A13" s="115" t="s">
        <v>467</v>
      </c>
      <c r="B13" s="105"/>
    </row>
    <row r="14" ht="12.75" customHeight="1">
      <c r="A14" s="115" t="s">
        <v>468</v>
      </c>
      <c r="B14" s="105"/>
    </row>
    <row r="15" ht="12.75" customHeight="1">
      <c r="A15" s="115" t="s">
        <v>469</v>
      </c>
      <c r="B15" s="105"/>
    </row>
    <row r="16" ht="12.75" customHeight="1">
      <c r="A16" s="115" t="s">
        <v>470</v>
      </c>
      <c r="B16" s="105"/>
    </row>
    <row r="17" ht="12.75" customHeight="1">
      <c r="A17" s="115"/>
      <c r="B17" s="207"/>
    </row>
    <row r="18" ht="12.75" customHeight="1">
      <c r="A18" s="115"/>
      <c r="B18" s="116"/>
    </row>
    <row r="19" ht="12.75" customHeight="1">
      <c r="A19" s="115"/>
      <c r="B19" s="116"/>
    </row>
    <row r="20" ht="12.75" customHeight="1">
      <c r="A20" s="115" t="s">
        <v>471</v>
      </c>
      <c r="B20" s="111">
        <f>SUM(B11:B17)</f>
        <v>0</v>
      </c>
    </row>
    <row r="21" ht="12.75" customHeight="1"/>
    <row r="22" ht="12.75" customHeight="1"/>
    <row r="23" ht="12.75" customHeight="1">
      <c r="A23" s="115" t="s">
        <v>472</v>
      </c>
    </row>
    <row r="24" ht="12.75" customHeight="1">
      <c r="A24" s="115" t="s">
        <v>473</v>
      </c>
      <c r="B24" s="116"/>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3.0"/>
  </cols>
  <sheetData>
    <row r="1" ht="15.75" customHeight="1">
      <c r="A1" s="115" t="s">
        <v>474</v>
      </c>
    </row>
    <row r="2" ht="15.75" customHeight="1"/>
    <row r="3" ht="15.75" customHeight="1">
      <c r="A3" s="115" t="s">
        <v>475</v>
      </c>
      <c r="B3" s="115">
        <v>600.0</v>
      </c>
      <c r="C3" s="132" t="s">
        <v>476</v>
      </c>
    </row>
    <row r="4" ht="15.75" customHeight="1">
      <c r="A4" s="115" t="s">
        <v>477</v>
      </c>
      <c r="C4" s="132">
        <v>2500.0</v>
      </c>
    </row>
    <row r="5" ht="15.75" customHeight="1">
      <c r="C5" s="132" t="str">
        <f>SUM(C3+C4)</f>
        <v>#VALUE!</v>
      </c>
    </row>
    <row r="6" ht="15.75" customHeight="1"/>
    <row r="7" ht="15.75" customHeight="1"/>
    <row r="8" ht="15.75" customHeight="1">
      <c r="C8" s="115" t="s">
        <v>478</v>
      </c>
    </row>
    <row r="9" ht="15.75" customHeight="1">
      <c r="A9" s="115" t="s">
        <v>479</v>
      </c>
      <c r="B9" s="115">
        <v>100.0</v>
      </c>
    </row>
    <row r="10" ht="15.75" customHeight="1">
      <c r="A10" s="115" t="s">
        <v>480</v>
      </c>
      <c r="B10" s="115">
        <v>20.0</v>
      </c>
      <c r="C10" s="132">
        <v>7000.0</v>
      </c>
    </row>
    <row r="11" ht="15.75" customHeight="1">
      <c r="A11" s="115" t="s">
        <v>481</v>
      </c>
      <c r="B11" s="116" t="str">
        <f>C5/B10</f>
        <v>#VALUE!</v>
      </c>
    </row>
    <row r="12" ht="15.75" customHeight="1"/>
    <row r="13" ht="15.75" customHeight="1"/>
    <row r="14" ht="15.75" customHeight="1">
      <c r="B14" s="116"/>
    </row>
    <row r="15" ht="15.75" customHeight="1">
      <c r="B15" s="115"/>
    </row>
    <row r="16" ht="15.75" customHeight="1"/>
    <row r="17" ht="15.75" customHeight="1">
      <c r="C17" s="116" t="str">
        <f>SUM(B15*B11)</f>
        <v>#VALUE!</v>
      </c>
    </row>
    <row r="18" ht="15.75" customHeight="1"/>
    <row r="19" ht="15.75" customHeight="1">
      <c r="C19" s="208"/>
      <c r="D19" s="208"/>
    </row>
    <row r="20" ht="15.75" customHeight="1">
      <c r="C20" s="20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8.29"/>
    <col customWidth="1" min="4" max="4" width="22.29"/>
  </cols>
  <sheetData>
    <row r="1" ht="15.75" customHeight="1">
      <c r="A1" s="115" t="s">
        <v>235</v>
      </c>
      <c r="B1" s="115"/>
      <c r="C1" s="115"/>
      <c r="D1" s="115" t="s">
        <v>482</v>
      </c>
      <c r="E1" s="115"/>
      <c r="F1" s="115"/>
      <c r="G1" s="115"/>
      <c r="H1" s="115"/>
      <c r="I1" s="115"/>
    </row>
    <row r="2" ht="15.75" customHeight="1">
      <c r="A2" s="115" t="s">
        <v>483</v>
      </c>
      <c r="B2" s="116">
        <v>0.0</v>
      </c>
      <c r="D2" s="115"/>
      <c r="F2" s="115" t="s">
        <v>484</v>
      </c>
      <c r="G2" s="116">
        <f>SUM(B2+B3-E12)</f>
        <v>-28000</v>
      </c>
    </row>
    <row r="3" ht="15.75" customHeight="1">
      <c r="A3" s="115" t="s">
        <v>485</v>
      </c>
      <c r="B3" s="116"/>
      <c r="D3" s="115" t="s">
        <v>465</v>
      </c>
      <c r="E3" s="116">
        <v>3500.0</v>
      </c>
    </row>
    <row r="4" ht="15.75" customHeight="1">
      <c r="A4" s="115"/>
      <c r="D4" s="115" t="s">
        <v>466</v>
      </c>
      <c r="E4" s="116">
        <v>5000.0</v>
      </c>
    </row>
    <row r="5" ht="15.75" customHeight="1">
      <c r="A5" s="115" t="s">
        <v>486</v>
      </c>
      <c r="B5" s="116"/>
      <c r="D5" s="115" t="s">
        <v>467</v>
      </c>
      <c r="E5" s="116">
        <v>2000.0</v>
      </c>
    </row>
    <row r="6" ht="15.75" customHeight="1">
      <c r="D6" s="115" t="s">
        <v>468</v>
      </c>
      <c r="E6" s="116">
        <v>2500.0</v>
      </c>
    </row>
    <row r="7" ht="15.75" customHeight="1">
      <c r="A7" s="115"/>
      <c r="B7" s="116"/>
      <c r="D7" s="115" t="s">
        <v>469</v>
      </c>
      <c r="E7" s="116" t="s">
        <v>487</v>
      </c>
    </row>
    <row r="8" ht="15.75" customHeight="1">
      <c r="A8" s="115" t="s">
        <v>488</v>
      </c>
      <c r="B8" s="116"/>
      <c r="D8" s="115" t="s">
        <v>470</v>
      </c>
      <c r="E8" s="116">
        <v>15000.0</v>
      </c>
    </row>
    <row r="9" ht="15.75" customHeight="1">
      <c r="A9" s="115" t="s">
        <v>489</v>
      </c>
      <c r="B9" s="116"/>
      <c r="D9" s="115"/>
      <c r="E9" s="116"/>
    </row>
    <row r="10" ht="15.75" customHeight="1">
      <c r="A10" s="115" t="s">
        <v>484</v>
      </c>
      <c r="B10" s="116"/>
      <c r="D10" s="115"/>
      <c r="E10" s="116"/>
    </row>
    <row r="11" ht="15.75" customHeight="1">
      <c r="D11" s="115"/>
      <c r="E11" s="116"/>
    </row>
    <row r="12" ht="15.75" customHeight="1">
      <c r="D12" s="115" t="s">
        <v>471</v>
      </c>
      <c r="E12" s="116">
        <f>SUM(E3:E10)</f>
        <v>28000</v>
      </c>
    </row>
    <row r="13" ht="15.75" customHeight="1"/>
    <row r="14" ht="15.75" customHeight="1"/>
    <row r="15" ht="15.75" customHeight="1">
      <c r="D15" s="115" t="s">
        <v>472</v>
      </c>
    </row>
    <row r="16" ht="15.75" customHeight="1">
      <c r="D16" s="115" t="s">
        <v>473</v>
      </c>
      <c r="E16" s="116">
        <v>600.0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4.14"/>
  </cols>
  <sheetData>
    <row r="1" ht="15.75" customHeight="1">
      <c r="A1" s="209" t="s">
        <v>490</v>
      </c>
      <c r="B1" s="210">
        <v>43648.0</v>
      </c>
      <c r="C1" s="210">
        <v>43680.0</v>
      </c>
      <c r="D1" s="210">
        <v>43712.0</v>
      </c>
      <c r="E1" s="210">
        <v>43743.0</v>
      </c>
      <c r="F1" s="210">
        <v>43775.0</v>
      </c>
      <c r="G1" s="210">
        <v>43806.0</v>
      </c>
      <c r="H1" s="210">
        <v>43831.0</v>
      </c>
      <c r="I1" s="210">
        <v>43863.0</v>
      </c>
      <c r="J1" s="210">
        <v>43893.0</v>
      </c>
      <c r="K1" s="210">
        <v>43925.0</v>
      </c>
      <c r="L1" s="196"/>
    </row>
    <row r="2" ht="15.75" customHeight="1">
      <c r="A2" s="196"/>
    </row>
    <row r="3" ht="15.75" customHeight="1">
      <c r="A3" s="196"/>
    </row>
    <row r="4" ht="15.75" customHeight="1">
      <c r="A4" s="196" t="s">
        <v>491</v>
      </c>
      <c r="B4" s="116">
        <f>SUM(Capital!G2)</f>
        <v>-28000</v>
      </c>
      <c r="C4" s="116" t="str">
        <f t="shared" ref="C4:J4" si="1">SUM(B10)</f>
        <v>#REF!</v>
      </c>
      <c r="D4" s="116" t="str">
        <f t="shared" si="1"/>
        <v>#REF!</v>
      </c>
      <c r="E4" s="116" t="str">
        <f t="shared" si="1"/>
        <v>#REF!</v>
      </c>
      <c r="F4" s="116" t="str">
        <f t="shared" si="1"/>
        <v>#REF!</v>
      </c>
      <c r="G4" s="116" t="str">
        <f t="shared" si="1"/>
        <v>#REF!</v>
      </c>
      <c r="H4" s="116" t="str">
        <f t="shared" si="1"/>
        <v>#REF!</v>
      </c>
      <c r="I4" s="116" t="str">
        <f t="shared" si="1"/>
        <v>#REF!</v>
      </c>
      <c r="J4" s="116" t="str">
        <f t="shared" si="1"/>
        <v>#REF!</v>
      </c>
      <c r="K4" s="116"/>
    </row>
    <row r="5" ht="15.75" customHeight="1">
      <c r="A5" s="196"/>
    </row>
    <row r="6" ht="15.75" customHeight="1">
      <c r="A6" s="196" t="s">
        <v>492</v>
      </c>
      <c r="B6" s="132" t="e">
        <v>#REF!</v>
      </c>
      <c r="C6" s="132" t="e">
        <v>#REF!</v>
      </c>
      <c r="D6" s="132" t="e">
        <v>#REF!</v>
      </c>
      <c r="E6" s="132" t="e">
        <v>#REF!</v>
      </c>
      <c r="F6" s="132" t="e">
        <v>#REF!</v>
      </c>
      <c r="G6" s="132" t="e">
        <v>#REF!</v>
      </c>
      <c r="H6" s="132" t="e">
        <v>#REF!</v>
      </c>
      <c r="I6" s="132" t="e">
        <v>#REF!</v>
      </c>
      <c r="J6" s="132" t="e">
        <v>#REF!</v>
      </c>
    </row>
    <row r="7" ht="15.75" customHeight="1">
      <c r="A7" s="196" t="s">
        <v>317</v>
      </c>
      <c r="B7" s="116" t="e">
        <v>#REF!</v>
      </c>
      <c r="C7" s="116" t="e">
        <v>#REF!</v>
      </c>
      <c r="D7" s="116" t="e">
        <v>#REF!</v>
      </c>
      <c r="E7" s="116" t="e">
        <v>#REF!</v>
      </c>
      <c r="F7" s="116" t="e">
        <v>#REF!</v>
      </c>
      <c r="G7" s="116" t="e">
        <v>#REF!</v>
      </c>
      <c r="H7" s="116" t="e">
        <v>#REF!</v>
      </c>
      <c r="I7" s="116" t="e">
        <v>#REF!</v>
      </c>
      <c r="J7" s="116" t="e">
        <v>#REF!</v>
      </c>
    </row>
    <row r="8" ht="15.75" customHeight="1">
      <c r="A8" s="196" t="s">
        <v>493</v>
      </c>
      <c r="B8" s="211" t="str">
        <f t="shared" ref="B8:J8" si="2">SUM(B6-B7)</f>
        <v>#REF!</v>
      </c>
      <c r="C8" s="211" t="str">
        <f t="shared" si="2"/>
        <v>#REF!</v>
      </c>
      <c r="D8" s="211" t="str">
        <f t="shared" si="2"/>
        <v>#REF!</v>
      </c>
      <c r="E8" s="211" t="str">
        <f t="shared" si="2"/>
        <v>#REF!</v>
      </c>
      <c r="F8" s="211" t="str">
        <f t="shared" si="2"/>
        <v>#REF!</v>
      </c>
      <c r="G8" s="211" t="str">
        <f t="shared" si="2"/>
        <v>#REF!</v>
      </c>
      <c r="H8" s="212" t="str">
        <f t="shared" si="2"/>
        <v>#REF!</v>
      </c>
      <c r="I8" s="212" t="str">
        <f t="shared" si="2"/>
        <v>#REF!</v>
      </c>
      <c r="J8" s="212" t="str">
        <f t="shared" si="2"/>
        <v>#REF!</v>
      </c>
    </row>
    <row r="9" ht="15.75" customHeight="1">
      <c r="A9" s="196"/>
    </row>
    <row r="10" ht="15.75" customHeight="1">
      <c r="A10" s="196" t="s">
        <v>494</v>
      </c>
      <c r="B10" s="116" t="str">
        <f t="shared" ref="B10:J10" si="3">SUM(B4+B6-B7)</f>
        <v>#REF!</v>
      </c>
      <c r="C10" s="116" t="str">
        <f t="shared" si="3"/>
        <v>#REF!</v>
      </c>
      <c r="D10" s="116" t="str">
        <f t="shared" si="3"/>
        <v>#REF!</v>
      </c>
      <c r="E10" s="116" t="str">
        <f t="shared" si="3"/>
        <v>#REF!</v>
      </c>
      <c r="F10" s="116" t="str">
        <f t="shared" si="3"/>
        <v>#REF!</v>
      </c>
      <c r="G10" s="116" t="str">
        <f t="shared" si="3"/>
        <v>#REF!</v>
      </c>
      <c r="H10" s="116" t="str">
        <f t="shared" si="3"/>
        <v>#REF!</v>
      </c>
      <c r="I10" s="116" t="str">
        <f t="shared" si="3"/>
        <v>#REF!</v>
      </c>
      <c r="J10" s="116" t="str">
        <f t="shared" si="3"/>
        <v>#REF!</v>
      </c>
    </row>
    <row r="11" ht="15.75" customHeight="1">
      <c r="A11" s="196"/>
    </row>
    <row r="12" ht="15.75" customHeight="1">
      <c r="A12" s="196"/>
    </row>
    <row r="13" ht="15.75" customHeight="1">
      <c r="A13" s="196"/>
      <c r="G13" s="124"/>
    </row>
    <row r="14" ht="15.75" customHeight="1">
      <c r="A14" s="196"/>
    </row>
    <row r="15" ht="15.75" customHeight="1">
      <c r="A15" s="196"/>
    </row>
    <row r="16" ht="15.75" customHeight="1">
      <c r="A16" s="196"/>
    </row>
    <row r="17" ht="15.75" customHeight="1">
      <c r="A17" s="196"/>
    </row>
    <row r="18" ht="15.75" customHeight="1">
      <c r="A18" s="196"/>
    </row>
    <row r="19" ht="15.75" customHeight="1">
      <c r="A19" s="196"/>
    </row>
    <row r="20" ht="15.75" customHeight="1">
      <c r="A20" s="196"/>
    </row>
    <row r="21" ht="15.75" customHeight="1">
      <c r="A21" s="196"/>
    </row>
    <row r="22" ht="15.75" customHeight="1">
      <c r="A22" s="196"/>
    </row>
    <row r="23" ht="15.75" customHeight="1">
      <c r="A23" s="196"/>
    </row>
    <row r="24" ht="15.75" customHeight="1">
      <c r="A24" s="196"/>
    </row>
    <row r="25" ht="15.75" customHeight="1">
      <c r="A25" s="196"/>
    </row>
    <row r="26" ht="15.75" customHeight="1">
      <c r="A26" s="196"/>
    </row>
    <row r="27" ht="15.75" customHeight="1">
      <c r="A27" s="196"/>
    </row>
    <row r="28" ht="15.75" customHeight="1">
      <c r="A28" s="196"/>
    </row>
    <row r="29" ht="15.75" customHeight="1">
      <c r="A29" s="196"/>
    </row>
    <row r="30" ht="15.75" customHeight="1">
      <c r="A30" s="196"/>
    </row>
    <row r="31" ht="15.75" customHeight="1">
      <c r="A31" s="196"/>
    </row>
    <row r="32" ht="15.75" customHeight="1">
      <c r="A32" s="196"/>
    </row>
    <row r="33" ht="15.75" customHeight="1">
      <c r="A33" s="196"/>
    </row>
    <row r="34" ht="15.75" customHeight="1">
      <c r="A34" s="196"/>
    </row>
    <row r="35" ht="15.75" customHeight="1">
      <c r="A35" s="196"/>
    </row>
    <row r="36" ht="15.75" customHeight="1">
      <c r="A36" s="196"/>
    </row>
    <row r="37" ht="15.75" customHeight="1">
      <c r="A37" s="196"/>
    </row>
    <row r="38" ht="15.75" customHeight="1">
      <c r="A38" s="196"/>
    </row>
    <row r="39" ht="15.75" customHeight="1">
      <c r="A39" s="196"/>
    </row>
    <row r="40" ht="15.75" customHeight="1">
      <c r="A40" s="196"/>
    </row>
    <row r="41" ht="15.75" customHeight="1">
      <c r="A41" s="196"/>
    </row>
    <row r="42" ht="15.75" customHeight="1">
      <c r="A42" s="196"/>
    </row>
    <row r="43" ht="15.75" customHeight="1">
      <c r="A43" s="196"/>
    </row>
    <row r="44" ht="15.75" customHeight="1">
      <c r="A44" s="196"/>
    </row>
    <row r="45" ht="15.75" customHeight="1">
      <c r="A45" s="196"/>
    </row>
    <row r="46" ht="15.75" customHeight="1">
      <c r="A46" s="196"/>
    </row>
    <row r="47" ht="15.75" customHeight="1">
      <c r="A47" s="196"/>
    </row>
    <row r="48" ht="15.75" customHeight="1">
      <c r="A48" s="196"/>
    </row>
    <row r="49" ht="15.75" customHeight="1">
      <c r="A49" s="196"/>
    </row>
    <row r="50" ht="15.75" customHeight="1">
      <c r="A50" s="196"/>
    </row>
    <row r="51" ht="15.75" customHeight="1">
      <c r="A51" s="196"/>
    </row>
    <row r="52" ht="15.75" customHeight="1">
      <c r="A52" s="196"/>
    </row>
    <row r="53" ht="15.75" customHeight="1">
      <c r="A53" s="196"/>
    </row>
    <row r="54" ht="15.75" customHeight="1">
      <c r="A54" s="196"/>
    </row>
    <row r="55" ht="15.75" customHeight="1">
      <c r="A55" s="196"/>
    </row>
    <row r="56" ht="15.75" customHeight="1">
      <c r="A56" s="196"/>
    </row>
    <row r="57" ht="15.75" customHeight="1">
      <c r="A57" s="196"/>
    </row>
    <row r="58" ht="15.75" customHeight="1">
      <c r="A58" s="196"/>
    </row>
    <row r="59" ht="15.75" customHeight="1">
      <c r="A59" s="196"/>
    </row>
    <row r="60" ht="15.75" customHeight="1">
      <c r="A60" s="196"/>
    </row>
    <row r="61" ht="15.75" customHeight="1">
      <c r="A61" s="196"/>
    </row>
    <row r="62" ht="15.75" customHeight="1">
      <c r="A62" s="196"/>
    </row>
    <row r="63" ht="15.75" customHeight="1">
      <c r="A63" s="196"/>
    </row>
    <row r="64" ht="15.75" customHeight="1">
      <c r="A64" s="196"/>
    </row>
    <row r="65" ht="15.75" customHeight="1">
      <c r="A65" s="196"/>
    </row>
    <row r="66" ht="15.75" customHeight="1">
      <c r="A66" s="196"/>
    </row>
    <row r="67" ht="15.75" customHeight="1">
      <c r="A67" s="196"/>
    </row>
    <row r="68" ht="15.75" customHeight="1">
      <c r="A68" s="196"/>
    </row>
    <row r="69" ht="15.75" customHeight="1">
      <c r="A69" s="196"/>
    </row>
    <row r="70" ht="15.75" customHeight="1">
      <c r="A70" s="196"/>
    </row>
    <row r="71" ht="15.75" customHeight="1">
      <c r="A71" s="196"/>
    </row>
    <row r="72" ht="15.75" customHeight="1">
      <c r="A72" s="196"/>
    </row>
    <row r="73" ht="15.75" customHeight="1">
      <c r="A73" s="196"/>
    </row>
    <row r="74" ht="15.75" customHeight="1">
      <c r="A74" s="196"/>
    </row>
    <row r="75" ht="15.75" customHeight="1">
      <c r="A75" s="196"/>
    </row>
    <row r="76" ht="15.75" customHeight="1">
      <c r="A76" s="196"/>
    </row>
    <row r="77" ht="15.75" customHeight="1">
      <c r="A77" s="196"/>
    </row>
    <row r="78" ht="15.75" customHeight="1">
      <c r="A78" s="196"/>
    </row>
    <row r="79" ht="15.75" customHeight="1">
      <c r="A79" s="196"/>
    </row>
    <row r="80" ht="15.75" customHeight="1">
      <c r="A80" s="196"/>
    </row>
    <row r="81" ht="15.75" customHeight="1">
      <c r="A81" s="196"/>
    </row>
    <row r="82" ht="15.75" customHeight="1">
      <c r="A82" s="196"/>
    </row>
    <row r="83" ht="15.75" customHeight="1">
      <c r="A83" s="196"/>
    </row>
    <row r="84" ht="15.75" customHeight="1">
      <c r="A84" s="196"/>
    </row>
    <row r="85" ht="15.75" customHeight="1">
      <c r="A85" s="196"/>
    </row>
    <row r="86" ht="15.75" customHeight="1">
      <c r="A86" s="196"/>
    </row>
    <row r="87" ht="15.75" customHeight="1">
      <c r="A87" s="196"/>
    </row>
    <row r="88" ht="15.75" customHeight="1">
      <c r="A88" s="196"/>
    </row>
    <row r="89" ht="15.75" customHeight="1">
      <c r="A89" s="196"/>
    </row>
    <row r="90" ht="15.75" customHeight="1">
      <c r="A90" s="196"/>
    </row>
    <row r="91" ht="15.75" customHeight="1">
      <c r="A91" s="196"/>
    </row>
    <row r="92" ht="15.75" customHeight="1">
      <c r="A92" s="196"/>
    </row>
    <row r="93" ht="15.75" customHeight="1">
      <c r="A93" s="196"/>
    </row>
    <row r="94" ht="15.75" customHeight="1">
      <c r="A94" s="196"/>
    </row>
    <row r="95" ht="15.75" customHeight="1">
      <c r="A95" s="196"/>
    </row>
    <row r="96" ht="15.75" customHeight="1">
      <c r="A96" s="196"/>
    </row>
    <row r="97" ht="15.75" customHeight="1">
      <c r="A97" s="196"/>
    </row>
    <row r="98" ht="15.75" customHeight="1">
      <c r="A98" s="196"/>
    </row>
    <row r="99" ht="15.75" customHeight="1">
      <c r="A99" s="196"/>
    </row>
    <row r="100" ht="15.75" customHeight="1">
      <c r="A100" s="196"/>
    </row>
    <row r="101" ht="15.75" customHeight="1">
      <c r="A101" s="196"/>
    </row>
    <row r="102" ht="15.75" customHeight="1">
      <c r="A102" s="196"/>
    </row>
    <row r="103" ht="15.75" customHeight="1">
      <c r="A103" s="196"/>
    </row>
    <row r="104" ht="15.75" customHeight="1">
      <c r="A104" s="196"/>
    </row>
    <row r="105" ht="15.75" customHeight="1">
      <c r="A105" s="196"/>
    </row>
    <row r="106" ht="15.75" customHeight="1">
      <c r="A106" s="196"/>
    </row>
    <row r="107" ht="15.75" customHeight="1">
      <c r="A107" s="196"/>
    </row>
    <row r="108" ht="15.75" customHeight="1">
      <c r="A108" s="196"/>
    </row>
    <row r="109" ht="15.75" customHeight="1">
      <c r="A109" s="196"/>
    </row>
    <row r="110" ht="15.75" customHeight="1">
      <c r="A110" s="196"/>
    </row>
    <row r="111" ht="15.75" customHeight="1">
      <c r="A111" s="196"/>
    </row>
    <row r="112" ht="15.75" customHeight="1">
      <c r="A112" s="196"/>
    </row>
    <row r="113" ht="15.75" customHeight="1">
      <c r="A113" s="196"/>
    </row>
    <row r="114" ht="15.75" customHeight="1">
      <c r="A114" s="196"/>
    </row>
    <row r="115" ht="15.75" customHeight="1">
      <c r="A115" s="196"/>
    </row>
    <row r="116" ht="15.75" customHeight="1">
      <c r="A116" s="196"/>
    </row>
    <row r="117" ht="15.75" customHeight="1">
      <c r="A117" s="196"/>
    </row>
    <row r="118" ht="15.75" customHeight="1">
      <c r="A118" s="196"/>
    </row>
    <row r="119" ht="15.75" customHeight="1">
      <c r="A119" s="196"/>
    </row>
    <row r="120" ht="15.75" customHeight="1">
      <c r="A120" s="196"/>
    </row>
    <row r="121" ht="15.75" customHeight="1">
      <c r="A121" s="196"/>
    </row>
    <row r="122" ht="15.75" customHeight="1">
      <c r="A122" s="196"/>
    </row>
    <row r="123" ht="15.75" customHeight="1">
      <c r="A123" s="196"/>
    </row>
    <row r="124" ht="15.75" customHeight="1">
      <c r="A124" s="196"/>
    </row>
    <row r="125" ht="15.75" customHeight="1">
      <c r="A125" s="196"/>
    </row>
    <row r="126" ht="15.75" customHeight="1">
      <c r="A126" s="196"/>
    </row>
    <row r="127" ht="15.75" customHeight="1">
      <c r="A127" s="196"/>
    </row>
    <row r="128" ht="15.75" customHeight="1">
      <c r="A128" s="196"/>
    </row>
    <row r="129" ht="15.75" customHeight="1">
      <c r="A129" s="196"/>
    </row>
    <row r="130" ht="15.75" customHeight="1">
      <c r="A130" s="196"/>
    </row>
    <row r="131" ht="15.75" customHeight="1">
      <c r="A131" s="196"/>
    </row>
    <row r="132" ht="15.75" customHeight="1">
      <c r="A132" s="196"/>
    </row>
    <row r="133" ht="15.75" customHeight="1">
      <c r="A133" s="196"/>
    </row>
    <row r="134" ht="15.75" customHeight="1">
      <c r="A134" s="196"/>
    </row>
    <row r="135" ht="15.75" customHeight="1">
      <c r="A135" s="196"/>
    </row>
    <row r="136" ht="15.75" customHeight="1">
      <c r="A136" s="196"/>
    </row>
    <row r="137" ht="15.75" customHeight="1">
      <c r="A137" s="196"/>
    </row>
    <row r="138" ht="15.75" customHeight="1">
      <c r="A138" s="196"/>
    </row>
    <row r="139" ht="15.75" customHeight="1">
      <c r="A139" s="196"/>
    </row>
    <row r="140" ht="15.75" customHeight="1">
      <c r="A140" s="196"/>
    </row>
    <row r="141" ht="15.75" customHeight="1">
      <c r="A141" s="196"/>
    </row>
    <row r="142" ht="15.75" customHeight="1">
      <c r="A142" s="196"/>
    </row>
    <row r="143" ht="15.75" customHeight="1">
      <c r="A143" s="196"/>
    </row>
    <row r="144" ht="15.75" customHeight="1">
      <c r="A144" s="196"/>
    </row>
    <row r="145" ht="15.75" customHeight="1">
      <c r="A145" s="196"/>
    </row>
    <row r="146" ht="15.75" customHeight="1">
      <c r="A146" s="196"/>
    </row>
    <row r="147" ht="15.75" customHeight="1">
      <c r="A147" s="196"/>
    </row>
    <row r="148" ht="15.75" customHeight="1">
      <c r="A148" s="196"/>
    </row>
    <row r="149" ht="15.75" customHeight="1">
      <c r="A149" s="196"/>
    </row>
    <row r="150" ht="15.75" customHeight="1">
      <c r="A150" s="196"/>
    </row>
    <row r="151" ht="15.75" customHeight="1">
      <c r="A151" s="196"/>
    </row>
    <row r="152" ht="15.75" customHeight="1">
      <c r="A152" s="196"/>
    </row>
    <row r="153" ht="15.75" customHeight="1">
      <c r="A153" s="196"/>
    </row>
    <row r="154" ht="15.75" customHeight="1">
      <c r="A154" s="196"/>
    </row>
    <row r="155" ht="15.75" customHeight="1">
      <c r="A155" s="196"/>
    </row>
    <row r="156" ht="15.75" customHeight="1">
      <c r="A156" s="196"/>
    </row>
    <row r="157" ht="15.75" customHeight="1">
      <c r="A157" s="196"/>
    </row>
    <row r="158" ht="15.75" customHeight="1">
      <c r="A158" s="196"/>
    </row>
    <row r="159" ht="15.75" customHeight="1">
      <c r="A159" s="196"/>
    </row>
    <row r="160" ht="15.75" customHeight="1">
      <c r="A160" s="196"/>
    </row>
    <row r="161" ht="15.75" customHeight="1">
      <c r="A161" s="196"/>
    </row>
    <row r="162" ht="15.75" customHeight="1">
      <c r="A162" s="196"/>
    </row>
    <row r="163" ht="15.75" customHeight="1">
      <c r="A163" s="196"/>
    </row>
    <row r="164" ht="15.75" customHeight="1">
      <c r="A164" s="196"/>
    </row>
    <row r="165" ht="15.75" customHeight="1">
      <c r="A165" s="196"/>
    </row>
    <row r="166" ht="15.75" customHeight="1">
      <c r="A166" s="196"/>
    </row>
    <row r="167" ht="15.75" customHeight="1">
      <c r="A167" s="196"/>
    </row>
    <row r="168" ht="15.75" customHeight="1">
      <c r="A168" s="196"/>
    </row>
    <row r="169" ht="15.75" customHeight="1">
      <c r="A169" s="196"/>
    </row>
    <row r="170" ht="15.75" customHeight="1">
      <c r="A170" s="196"/>
    </row>
    <row r="171" ht="15.75" customHeight="1">
      <c r="A171" s="196"/>
    </row>
    <row r="172" ht="15.75" customHeight="1">
      <c r="A172" s="196"/>
    </row>
    <row r="173" ht="15.75" customHeight="1">
      <c r="A173" s="196"/>
    </row>
    <row r="174" ht="15.75" customHeight="1">
      <c r="A174" s="196"/>
    </row>
    <row r="175" ht="15.75" customHeight="1">
      <c r="A175" s="196"/>
    </row>
    <row r="176" ht="15.75" customHeight="1">
      <c r="A176" s="196"/>
    </row>
    <row r="177" ht="15.75" customHeight="1">
      <c r="A177" s="196"/>
    </row>
    <row r="178" ht="15.75" customHeight="1">
      <c r="A178" s="196"/>
    </row>
    <row r="179" ht="15.75" customHeight="1">
      <c r="A179" s="196"/>
    </row>
    <row r="180" ht="15.75" customHeight="1">
      <c r="A180" s="196"/>
    </row>
    <row r="181" ht="15.75" customHeight="1">
      <c r="A181" s="196"/>
    </row>
    <row r="182" ht="15.75" customHeight="1">
      <c r="A182" s="196"/>
    </row>
    <row r="183" ht="15.75" customHeight="1">
      <c r="A183" s="196"/>
    </row>
    <row r="184" ht="15.75" customHeight="1">
      <c r="A184" s="196"/>
    </row>
    <row r="185" ht="15.75" customHeight="1">
      <c r="A185" s="196"/>
    </row>
    <row r="186" ht="15.75" customHeight="1">
      <c r="A186" s="196"/>
    </row>
    <row r="187" ht="15.75" customHeight="1">
      <c r="A187" s="196"/>
    </row>
    <row r="188" ht="15.75" customHeight="1">
      <c r="A188" s="196"/>
    </row>
    <row r="189" ht="15.75" customHeight="1">
      <c r="A189" s="196"/>
    </row>
    <row r="190" ht="15.75" customHeight="1">
      <c r="A190" s="196"/>
    </row>
    <row r="191" ht="15.75" customHeight="1">
      <c r="A191" s="196"/>
    </row>
    <row r="192" ht="15.75" customHeight="1">
      <c r="A192" s="196"/>
    </row>
    <row r="193" ht="15.75" customHeight="1">
      <c r="A193" s="196"/>
    </row>
    <row r="194" ht="15.75" customHeight="1">
      <c r="A194" s="196"/>
    </row>
    <row r="195" ht="15.75" customHeight="1">
      <c r="A195" s="196"/>
    </row>
    <row r="196" ht="15.75" customHeight="1">
      <c r="A196" s="196"/>
    </row>
    <row r="197" ht="15.75" customHeight="1">
      <c r="A197" s="196"/>
    </row>
    <row r="198" ht="15.75" customHeight="1">
      <c r="A198" s="196"/>
    </row>
    <row r="199" ht="15.75" customHeight="1">
      <c r="A199" s="196"/>
    </row>
    <row r="200" ht="15.75" customHeight="1">
      <c r="A200" s="196"/>
    </row>
    <row r="201" ht="15.75" customHeight="1">
      <c r="A201" s="196"/>
    </row>
    <row r="202" ht="15.75" customHeight="1">
      <c r="A202" s="196"/>
    </row>
    <row r="203" ht="15.75" customHeight="1">
      <c r="A203" s="196"/>
    </row>
    <row r="204" ht="15.75" customHeight="1">
      <c r="A204" s="196"/>
    </row>
    <row r="205" ht="15.75" customHeight="1">
      <c r="A205" s="196"/>
    </row>
    <row r="206" ht="15.75" customHeight="1">
      <c r="A206" s="196"/>
    </row>
    <row r="207" ht="15.75" customHeight="1">
      <c r="A207" s="196"/>
    </row>
    <row r="208" ht="15.75" customHeight="1">
      <c r="A208" s="196"/>
    </row>
    <row r="209" ht="15.75" customHeight="1">
      <c r="A209" s="196"/>
    </row>
    <row r="210" ht="15.75" customHeight="1">
      <c r="A210" s="196"/>
    </row>
    <row r="211" ht="15.75" customHeight="1">
      <c r="A211" s="196"/>
    </row>
    <row r="212" ht="15.75" customHeight="1">
      <c r="A212" s="196"/>
    </row>
    <row r="213" ht="15.75" customHeight="1">
      <c r="A213" s="196"/>
    </row>
    <row r="214" ht="15.75" customHeight="1">
      <c r="A214" s="196"/>
    </row>
    <row r="215" ht="15.75" customHeight="1">
      <c r="A215" s="196"/>
    </row>
    <row r="216" ht="15.75" customHeight="1">
      <c r="A216" s="196"/>
    </row>
    <row r="217" ht="15.75" customHeight="1">
      <c r="A217" s="196"/>
    </row>
    <row r="218" ht="15.75" customHeight="1">
      <c r="A218" s="196"/>
    </row>
    <row r="219" ht="15.75" customHeight="1">
      <c r="A219" s="196"/>
    </row>
    <row r="220" ht="15.75" customHeight="1">
      <c r="A220" s="19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43"/>
    <col customWidth="1" min="5" max="5" width="22.71"/>
  </cols>
  <sheetData>
    <row r="1" ht="15.75" customHeight="1">
      <c r="B1" s="115" t="s">
        <v>435</v>
      </c>
      <c r="C1" s="115" t="s">
        <v>495</v>
      </c>
      <c r="D1" s="115" t="s">
        <v>496</v>
      </c>
      <c r="E1" s="115" t="s">
        <v>497</v>
      </c>
      <c r="F1" s="115"/>
    </row>
    <row r="2" ht="15.75" customHeight="1">
      <c r="A2" s="115" t="s">
        <v>498</v>
      </c>
      <c r="B2" s="116">
        <v>25.0</v>
      </c>
      <c r="C2" s="115">
        <v>10.0</v>
      </c>
      <c r="D2" s="208">
        <v>111000.0</v>
      </c>
      <c r="E2" s="165">
        <v>0.025</v>
      </c>
    </row>
    <row r="3" ht="15.75" customHeight="1">
      <c r="A3" s="115" t="s">
        <v>499</v>
      </c>
      <c r="B3" s="116">
        <v>25.0</v>
      </c>
      <c r="C3" s="115">
        <v>10.0</v>
      </c>
    </row>
    <row r="4" ht="15.75" customHeight="1">
      <c r="A4" s="115" t="s">
        <v>500</v>
      </c>
      <c r="B4" s="116">
        <v>25.0</v>
      </c>
      <c r="C4" s="115">
        <v>10.0</v>
      </c>
      <c r="D4" s="208">
        <v>33500.0</v>
      </c>
      <c r="E4" s="165">
        <v>0.033</v>
      </c>
    </row>
    <row r="5" ht="15.75" customHeight="1">
      <c r="A5" s="115" t="s">
        <v>501</v>
      </c>
      <c r="B5" s="116">
        <v>25.0</v>
      </c>
      <c r="C5" s="115">
        <v>10.0</v>
      </c>
    </row>
    <row r="6" ht="15.75" customHeight="1">
      <c r="A6" s="115" t="s">
        <v>502</v>
      </c>
      <c r="B6" s="116">
        <v>25.0</v>
      </c>
      <c r="C6" s="115">
        <v>10.0</v>
      </c>
      <c r="D6" s="208">
        <v>78700.0</v>
      </c>
      <c r="E6" s="165">
        <v>0.035</v>
      </c>
    </row>
    <row r="7" ht="15.75" customHeight="1">
      <c r="A7" s="115" t="s">
        <v>503</v>
      </c>
      <c r="B7" s="116">
        <v>25.0</v>
      </c>
      <c r="C7" s="115">
        <v>10.0</v>
      </c>
      <c r="D7" s="208">
        <v>2199.0</v>
      </c>
      <c r="E7" s="213">
        <v>0.1</v>
      </c>
    </row>
    <row r="8" ht="15.75" customHeight="1">
      <c r="A8" s="115" t="s">
        <v>504</v>
      </c>
      <c r="B8" s="116">
        <v>25.0</v>
      </c>
      <c r="C8" s="115">
        <v>10.0</v>
      </c>
      <c r="D8" s="208">
        <v>116000.0</v>
      </c>
      <c r="E8" s="165">
        <v>0.034</v>
      </c>
    </row>
    <row r="9" ht="15.75" customHeight="1">
      <c r="A9" s="115" t="s">
        <v>505</v>
      </c>
      <c r="B9" s="116">
        <v>25.0</v>
      </c>
      <c r="C9" s="115">
        <v>10.0</v>
      </c>
      <c r="D9" s="208">
        <v>52100.0</v>
      </c>
    </row>
    <row r="10" ht="15.75" customHeight="1">
      <c r="A10" s="115" t="s">
        <v>506</v>
      </c>
      <c r="B10" s="116">
        <v>25.0</v>
      </c>
      <c r="C10" s="115">
        <v>10.0</v>
      </c>
      <c r="D10" s="208">
        <v>23500.0</v>
      </c>
    </row>
    <row r="11" ht="15.75" customHeight="1">
      <c r="A11" s="115" t="s">
        <v>507</v>
      </c>
      <c r="D11" s="208">
        <v>36100.0</v>
      </c>
    </row>
    <row r="12" ht="15.75" customHeight="1">
      <c r="A12" s="115" t="s">
        <v>508</v>
      </c>
      <c r="D12" s="208">
        <v>117000.0</v>
      </c>
      <c r="E12" s="165">
        <v>0.021</v>
      </c>
    </row>
    <row r="13" ht="15.75" customHeight="1">
      <c r="A13" s="115" t="s">
        <v>509</v>
      </c>
      <c r="D13" s="208">
        <v>69900.0</v>
      </c>
    </row>
    <row r="14" ht="15.75" customHeight="1">
      <c r="A14" s="115" t="s">
        <v>510</v>
      </c>
      <c r="D14" s="208">
        <v>1000000.0</v>
      </c>
      <c r="E14" s="213">
        <v>0.03</v>
      </c>
    </row>
    <row r="15" ht="15.75" customHeight="1"/>
    <row r="16" ht="15.75" customHeight="1">
      <c r="B16" s="116">
        <f t="shared" ref="B16:C16" si="1">SUM(B2:B10)</f>
        <v>225</v>
      </c>
      <c r="C16" s="97">
        <f t="shared" si="1"/>
        <v>90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6.0"/>
  </cols>
  <sheetData>
    <row r="1" ht="15.75" customHeight="1">
      <c r="A1" s="124" t="s">
        <v>310</v>
      </c>
      <c r="B1" s="115"/>
    </row>
    <row r="2" ht="15.75" customHeight="1">
      <c r="A2" s="115" t="s">
        <v>311</v>
      </c>
      <c r="B2" s="128">
        <v>0.85</v>
      </c>
    </row>
    <row r="3" ht="15.75" customHeight="1">
      <c r="A3" s="115" t="s">
        <v>312</v>
      </c>
      <c r="B3" s="128">
        <v>0.25</v>
      </c>
    </row>
    <row r="4" ht="15.75" customHeight="1">
      <c r="A4" s="115" t="s">
        <v>313</v>
      </c>
      <c r="B4" s="128">
        <v>0.1</v>
      </c>
    </row>
    <row r="5" ht="15.75" customHeight="1">
      <c r="A5" s="115" t="s">
        <v>314</v>
      </c>
      <c r="B5" s="116">
        <v>0.25</v>
      </c>
    </row>
    <row r="6" ht="15.75" customHeight="1">
      <c r="A6" s="115" t="s">
        <v>315</v>
      </c>
      <c r="B6" s="128">
        <f>SUM(B2:B5)</f>
        <v>1.45</v>
      </c>
    </row>
    <row r="7" ht="15.75" customHeight="1">
      <c r="A7" s="115"/>
      <c r="B7" s="115"/>
    </row>
    <row r="8" ht="15.75" customHeight="1">
      <c r="A8" s="115"/>
      <c r="B8" s="115"/>
    </row>
    <row r="9" ht="15.75" customHeight="1">
      <c r="A9" s="124" t="s">
        <v>511</v>
      </c>
      <c r="B9" s="115"/>
    </row>
    <row r="10" ht="15.75" customHeight="1">
      <c r="A10" s="115" t="s">
        <v>512</v>
      </c>
      <c r="B10" s="128">
        <v>300.0</v>
      </c>
      <c r="H10" s="115">
        <v>1394.0</v>
      </c>
    </row>
    <row r="11" ht="15.75" customHeight="1">
      <c r="A11" s="115" t="s">
        <v>513</v>
      </c>
      <c r="B11" s="128">
        <v>20.0</v>
      </c>
      <c r="H11" s="115">
        <v>1560.0</v>
      </c>
    </row>
    <row r="12" ht="15.75" customHeight="1">
      <c r="A12" s="115" t="s">
        <v>514</v>
      </c>
      <c r="B12" s="116">
        <f>SUM(B11*4*8)</f>
        <v>640</v>
      </c>
      <c r="E12" s="116">
        <f>SUM(B12*2)</f>
        <v>1280</v>
      </c>
      <c r="F12" s="115">
        <v>246.5</v>
      </c>
      <c r="G12" s="116">
        <f>SUM(E12:F12)</f>
        <v>1526.5</v>
      </c>
      <c r="H12" s="115">
        <v>1697.0</v>
      </c>
    </row>
    <row r="13" ht="15.75" customHeight="1">
      <c r="H13" s="97">
        <f>SUM(H10:H12)</f>
        <v>4651</v>
      </c>
    </row>
    <row r="14" ht="15.75" customHeight="1">
      <c r="A14" s="115" t="s">
        <v>515</v>
      </c>
      <c r="B14" s="116">
        <f>SUM(B10,B12)</f>
        <v>940</v>
      </c>
      <c r="E14" s="116">
        <v>2963.0</v>
      </c>
    </row>
    <row r="15" ht="15.75" customHeight="1"/>
    <row r="16" ht="15.75" customHeight="1">
      <c r="A16" s="115" t="s">
        <v>516</v>
      </c>
      <c r="E16" s="116">
        <v>5363.0</v>
      </c>
      <c r="I16" s="116">
        <f>SUM(E16/H13)</f>
        <v>1.153085358</v>
      </c>
    </row>
    <row r="17" ht="15.75" customHeight="1"/>
    <row r="18" ht="15.75" customHeight="1">
      <c r="A18" s="115" t="s">
        <v>517</v>
      </c>
      <c r="B18" s="116">
        <f>SUM(B14*2)+B12</f>
        <v>2520</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0.0"/>
  </cols>
  <sheetData>
    <row r="1" ht="15.75" customHeight="1">
      <c r="A1" s="124"/>
    </row>
    <row r="2" ht="15.75" customHeight="1">
      <c r="A2" s="124" t="s">
        <v>518</v>
      </c>
    </row>
    <row r="3" ht="15.75" customHeight="1">
      <c r="A3" s="115" t="s">
        <v>519</v>
      </c>
      <c r="B3" s="115">
        <v>60.0</v>
      </c>
      <c r="C3" s="115">
        <v>75.0</v>
      </c>
      <c r="D3" s="115">
        <v>100.0</v>
      </c>
      <c r="E3" s="115">
        <v>120.0</v>
      </c>
      <c r="F3" s="115">
        <v>150.0</v>
      </c>
      <c r="G3" s="115">
        <v>175.0</v>
      </c>
      <c r="H3" s="115">
        <v>200.0</v>
      </c>
      <c r="I3" s="115">
        <v>250.0</v>
      </c>
    </row>
    <row r="4" ht="15.75" customHeight="1">
      <c r="A4" s="115" t="s">
        <v>520</v>
      </c>
      <c r="B4" s="115">
        <v>2500.0</v>
      </c>
      <c r="C4" s="115">
        <v>3150.0</v>
      </c>
      <c r="D4" s="115">
        <v>4200.0</v>
      </c>
      <c r="E4" s="115">
        <v>5000.0</v>
      </c>
      <c r="F4" s="115">
        <v>6300.0</v>
      </c>
      <c r="G4" s="208">
        <v>7300.0</v>
      </c>
      <c r="H4" s="208">
        <v>8400.0</v>
      </c>
      <c r="I4" s="208">
        <v>25500.0</v>
      </c>
    </row>
    <row r="5" ht="15.75" customHeight="1"/>
    <row r="6" ht="15.75" customHeight="1">
      <c r="A6" s="115" t="s">
        <v>521</v>
      </c>
      <c r="B6" s="116">
        <v>1.25</v>
      </c>
      <c r="C6" s="116">
        <f>SUM('Cost of bar break down'!B18/C4)</f>
        <v>0.8</v>
      </c>
      <c r="D6" s="116">
        <f>SUM('Cost of bar break down'!B18/D4)</f>
        <v>0.6</v>
      </c>
      <c r="E6" s="116">
        <f>SUM('Cost of bar break down'!B18/E4)</f>
        <v>0.504</v>
      </c>
      <c r="F6" s="116">
        <f>SUM('Cost of bar break down'!B18/F4)</f>
        <v>0.4</v>
      </c>
      <c r="G6" s="116">
        <f>SUM('Cost of bar break down'!B18/G4)</f>
        <v>0.3452054795</v>
      </c>
      <c r="H6" s="116">
        <f>SUM('Cost of bar break down'!B18/H4)</f>
        <v>0.3</v>
      </c>
      <c r="I6" s="116">
        <f>SUM('Cost of bar break down'!B18/I4)</f>
        <v>0.09882352941</v>
      </c>
    </row>
    <row r="7" ht="15.75" customHeight="1"/>
    <row r="8" ht="15.75" customHeight="1">
      <c r="A8" s="115" t="s">
        <v>297</v>
      </c>
      <c r="B8" s="116">
        <f>SUM('Cost of bar break down'!B6+B6)</f>
        <v>2.7</v>
      </c>
      <c r="C8" s="116">
        <f>SUM('Cost of bar break down'!B6+C6)</f>
        <v>2.25</v>
      </c>
      <c r="D8" s="116">
        <f>SUM('Cost of bar break down'!B6+D6)</f>
        <v>2.05</v>
      </c>
      <c r="E8" s="116">
        <f>SUM('Cost of bar break down'!B6+E6)</f>
        <v>1.954</v>
      </c>
      <c r="F8" s="116">
        <f>SUM('Cost of bar break down'!B6+F6)</f>
        <v>1.85</v>
      </c>
      <c r="G8" s="116">
        <f>SUM('Cost of bar break down'!B6+G6)</f>
        <v>1.795205479</v>
      </c>
      <c r="H8" s="116">
        <f>SUM('Cost of bar break down'!B6+H6)</f>
        <v>1.75</v>
      </c>
      <c r="I8" s="116">
        <f>SUM('Cost of bar break down'!B6+I6)</f>
        <v>1.548823529</v>
      </c>
    </row>
    <row r="9" ht="15.75" customHeight="1"/>
    <row r="10" ht="15.75" customHeight="1"/>
    <row r="11" ht="15.75" customHeight="1"/>
    <row r="12" ht="15.75" customHeight="1"/>
    <row r="13" ht="15.75" customHeight="1">
      <c r="A13" s="115" t="s">
        <v>522</v>
      </c>
    </row>
    <row r="14" ht="15.75" customHeight="1"/>
    <row r="15" ht="15.75" customHeight="1"/>
    <row r="16" ht="15.75" customHeight="1">
      <c r="B16" s="97">
        <f t="shared" ref="B16:I16" si="1">+B4/B3</f>
        <v>41.66666667</v>
      </c>
      <c r="C16" s="97">
        <f t="shared" si="1"/>
        <v>42</v>
      </c>
      <c r="D16" s="97">
        <f t="shared" si="1"/>
        <v>42</v>
      </c>
      <c r="E16" s="97">
        <f t="shared" si="1"/>
        <v>41.66666667</v>
      </c>
      <c r="F16" s="97">
        <f t="shared" si="1"/>
        <v>42</v>
      </c>
      <c r="G16" s="97">
        <f t="shared" si="1"/>
        <v>41.71428571</v>
      </c>
      <c r="H16" s="97">
        <f t="shared" si="1"/>
        <v>42</v>
      </c>
      <c r="I16" s="97">
        <f t="shared" si="1"/>
        <v>102</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0.14"/>
    <col customWidth="1" min="3" max="3" width="20.57"/>
    <col customWidth="1" min="4" max="4" width="21.86"/>
    <col customWidth="1" min="5" max="5" width="28.43"/>
  </cols>
  <sheetData>
    <row r="1" ht="15.75" customHeight="1">
      <c r="A1" s="124" t="s">
        <v>523</v>
      </c>
    </row>
    <row r="2" ht="15.75" customHeight="1">
      <c r="A2" s="115"/>
      <c r="B2" s="116"/>
    </row>
    <row r="3" ht="15.75" customHeight="1">
      <c r="A3" s="115" t="s">
        <v>524</v>
      </c>
      <c r="B3" s="116">
        <v>1200.0</v>
      </c>
    </row>
    <row r="4" ht="15.75" customHeight="1">
      <c r="A4" s="115" t="s">
        <v>525</v>
      </c>
      <c r="B4" s="116">
        <v>70.0</v>
      </c>
    </row>
    <row r="5" ht="15.75" customHeight="1">
      <c r="A5" s="115"/>
      <c r="B5" s="116"/>
    </row>
    <row r="6" ht="15.75" customHeight="1">
      <c r="A6" s="124" t="s">
        <v>526</v>
      </c>
      <c r="B6" s="116" t="s">
        <v>527</v>
      </c>
      <c r="C6" s="115" t="s">
        <v>528</v>
      </c>
    </row>
    <row r="7" ht="15.75" customHeight="1">
      <c r="A7" s="115" t="s">
        <v>529</v>
      </c>
      <c r="B7" s="116">
        <v>10.0</v>
      </c>
      <c r="C7" s="115">
        <v>300.0</v>
      </c>
      <c r="D7" s="116">
        <f t="shared" ref="D7:D12" si="1">SUM(B7*C7)</f>
        <v>3000</v>
      </c>
    </row>
    <row r="8" ht="15.75" customHeight="1">
      <c r="A8" s="115" t="s">
        <v>530</v>
      </c>
      <c r="B8" s="116">
        <v>15.0</v>
      </c>
      <c r="C8" s="115">
        <v>66.0</v>
      </c>
      <c r="D8" s="116">
        <f t="shared" si="1"/>
        <v>990</v>
      </c>
    </row>
    <row r="9" ht="15.75" customHeight="1">
      <c r="A9" s="115" t="s">
        <v>531</v>
      </c>
      <c r="B9" s="116">
        <v>12.0</v>
      </c>
      <c r="C9" s="115">
        <v>40.0</v>
      </c>
      <c r="D9" s="116">
        <f t="shared" si="1"/>
        <v>480</v>
      </c>
    </row>
    <row r="10" ht="15.75" customHeight="1">
      <c r="A10" s="115" t="s">
        <v>532</v>
      </c>
      <c r="B10" s="116">
        <v>1.0</v>
      </c>
      <c r="C10" s="115">
        <v>1000.0</v>
      </c>
      <c r="D10" s="116">
        <f t="shared" si="1"/>
        <v>1000</v>
      </c>
    </row>
    <row r="11" ht="15.75" customHeight="1">
      <c r="A11" s="115" t="s">
        <v>533</v>
      </c>
      <c r="B11" s="116">
        <v>150.0</v>
      </c>
      <c r="C11" s="115">
        <v>30.0</v>
      </c>
      <c r="D11" s="116">
        <f t="shared" si="1"/>
        <v>4500</v>
      </c>
    </row>
    <row r="12" ht="15.75" customHeight="1">
      <c r="A12" s="115" t="s">
        <v>534</v>
      </c>
      <c r="B12" s="116">
        <v>50.0</v>
      </c>
      <c r="C12" s="115">
        <v>30.0</v>
      </c>
      <c r="D12" s="116">
        <f t="shared" si="1"/>
        <v>1500</v>
      </c>
    </row>
    <row r="13" ht="15.75" customHeight="1">
      <c r="A13" s="115"/>
      <c r="B13" s="116"/>
    </row>
    <row r="14" ht="15.75" customHeight="1">
      <c r="A14" s="124"/>
      <c r="B14" s="116" t="s">
        <v>435</v>
      </c>
      <c r="C14" s="115"/>
      <c r="D14" s="115"/>
      <c r="E14" s="115"/>
    </row>
    <row r="15" ht="15.75" customHeight="1">
      <c r="A15" s="124" t="s">
        <v>535</v>
      </c>
      <c r="B15" s="116">
        <v>2000.0</v>
      </c>
    </row>
    <row r="16" ht="15.75" customHeight="1">
      <c r="A16" s="115"/>
      <c r="B16" s="208" t="s">
        <v>536</v>
      </c>
      <c r="C16" s="115" t="s">
        <v>537</v>
      </c>
      <c r="D16" s="115" t="s">
        <v>538</v>
      </c>
      <c r="E16" s="115"/>
    </row>
    <row r="17" ht="15.75" customHeight="1">
      <c r="A17" s="115" t="s">
        <v>539</v>
      </c>
      <c r="B17" s="208">
        <v>800.0</v>
      </c>
      <c r="C17" s="115">
        <v>800.0</v>
      </c>
      <c r="D17" s="115">
        <v>800.0</v>
      </c>
    </row>
    <row r="18" ht="15.75" customHeight="1">
      <c r="A18" s="115" t="s">
        <v>540</v>
      </c>
      <c r="B18" s="213">
        <v>0.03</v>
      </c>
      <c r="C18" s="213">
        <v>0.03</v>
      </c>
      <c r="D18" s="213">
        <v>0.03</v>
      </c>
      <c r="E18" s="115" t="s">
        <v>541</v>
      </c>
    </row>
    <row r="19" ht="15.75" customHeight="1">
      <c r="A19" s="115" t="s">
        <v>542</v>
      </c>
      <c r="B19" s="115">
        <f t="shared" ref="B19:D19" si="2">SUM(B17*B18)</f>
        <v>24</v>
      </c>
      <c r="C19" s="115">
        <f t="shared" si="2"/>
        <v>24</v>
      </c>
      <c r="D19" s="115">
        <f t="shared" si="2"/>
        <v>24</v>
      </c>
      <c r="E19" s="97">
        <f>SUM(B19:D19)</f>
        <v>72</v>
      </c>
    </row>
    <row r="20" ht="15.75" customHeight="1">
      <c r="A20" s="115" t="s">
        <v>543</v>
      </c>
      <c r="B20" s="132">
        <f t="shared" ref="B20:D20" si="3">SUM(B19*40)</f>
        <v>960</v>
      </c>
      <c r="C20" s="132">
        <f t="shared" si="3"/>
        <v>960</v>
      </c>
      <c r="D20" s="132">
        <f t="shared" si="3"/>
        <v>960</v>
      </c>
    </row>
    <row r="21" ht="15.75" customHeight="1">
      <c r="A21" s="115" t="s">
        <v>544</v>
      </c>
      <c r="B21" s="132">
        <f>SUM(B4)</f>
        <v>70</v>
      </c>
    </row>
    <row r="22" ht="15.75" customHeight="1">
      <c r="A22" s="115"/>
      <c r="E22" s="115" t="s">
        <v>545</v>
      </c>
    </row>
    <row r="23" ht="15.75" customHeight="1">
      <c r="A23" s="115"/>
      <c r="E23" s="132">
        <f>SUM(E19*B21-B15)</f>
        <v>3040</v>
      </c>
    </row>
    <row r="24" ht="15.75" customHeight="1">
      <c r="A24" s="124" t="s">
        <v>546</v>
      </c>
      <c r="B24" s="115" t="s">
        <v>547</v>
      </c>
      <c r="C24" s="115" t="s">
        <v>548</v>
      </c>
    </row>
    <row r="25" ht="15.75" customHeight="1">
      <c r="A25" s="115" t="s">
        <v>549</v>
      </c>
      <c r="B25" s="132">
        <v>350.0</v>
      </c>
      <c r="C25" s="132">
        <f t="shared" ref="C25:C26" si="4">SUM(B25*12)</f>
        <v>4200</v>
      </c>
    </row>
    <row r="26" ht="15.75" customHeight="1">
      <c r="A26" s="115" t="s">
        <v>550</v>
      </c>
      <c r="B26" s="132">
        <v>200.0</v>
      </c>
      <c r="C26" s="132">
        <f t="shared" si="4"/>
        <v>2400</v>
      </c>
    </row>
    <row r="27" ht="15.75" customHeight="1">
      <c r="A27" s="115"/>
    </row>
    <row r="28" ht="15.75" customHeight="1">
      <c r="A28" s="115"/>
    </row>
    <row r="29" ht="15.75" customHeight="1">
      <c r="A29" s="115"/>
    </row>
    <row r="30" ht="15.75" customHeight="1">
      <c r="A30" s="124" t="s">
        <v>551</v>
      </c>
    </row>
    <row r="31" ht="15.75" customHeight="1">
      <c r="A31" s="115" t="s">
        <v>552</v>
      </c>
      <c r="B31" s="116">
        <v>350.0</v>
      </c>
    </row>
    <row r="32" ht="15.75" customHeight="1">
      <c r="A32" s="115" t="s">
        <v>553</v>
      </c>
      <c r="B32" s="132">
        <v>1000.0</v>
      </c>
    </row>
    <row r="33" ht="15.75" customHeight="1">
      <c r="A33" s="115" t="s">
        <v>554</v>
      </c>
      <c r="B33" s="132">
        <v>200.0</v>
      </c>
    </row>
    <row r="34" ht="15.75" customHeight="1">
      <c r="A34" s="115" t="s">
        <v>555</v>
      </c>
      <c r="B34" s="132">
        <v>750.0</v>
      </c>
    </row>
    <row r="35" ht="15.75" customHeight="1">
      <c r="A35" s="115" t="s">
        <v>556</v>
      </c>
      <c r="B35" s="116">
        <v>500.0</v>
      </c>
    </row>
    <row r="36" ht="15.75" customHeight="1">
      <c r="A36" s="115" t="s">
        <v>557</v>
      </c>
      <c r="B36" s="116">
        <f>SUM(B31:B35)</f>
        <v>2800</v>
      </c>
    </row>
    <row r="37" ht="15.75" customHeight="1"/>
    <row r="38" ht="15.75" customHeight="1">
      <c r="A38" s="124" t="s">
        <v>558</v>
      </c>
      <c r="B38" s="115" t="s">
        <v>559</v>
      </c>
      <c r="C38" s="115" t="s">
        <v>560</v>
      </c>
      <c r="D38" s="115" t="s">
        <v>561</v>
      </c>
      <c r="E38" s="115" t="s">
        <v>562</v>
      </c>
      <c r="F38" s="115"/>
    </row>
    <row r="39" ht="15.75" customHeight="1">
      <c r="A39" s="115" t="s">
        <v>563</v>
      </c>
      <c r="B39" s="116">
        <v>5000.0</v>
      </c>
      <c r="C39" s="208">
        <v>30000.0</v>
      </c>
      <c r="D39" s="213">
        <v>0.02</v>
      </c>
      <c r="E39" s="115">
        <f>SUM(C39*D39)</f>
        <v>600</v>
      </c>
      <c r="F39" s="115"/>
    </row>
    <row r="40" ht="15.75" customHeight="1">
      <c r="A40" s="140" t="s">
        <v>564</v>
      </c>
      <c r="B40" s="214">
        <v>1800.0</v>
      </c>
      <c r="D40" s="115" t="s">
        <v>565</v>
      </c>
      <c r="E40" s="116">
        <v>40.0</v>
      </c>
    </row>
    <row r="41" ht="15.75" customHeight="1">
      <c r="A41" s="115"/>
      <c r="B41" s="132" t="s">
        <v>566</v>
      </c>
      <c r="C41" s="115" t="s">
        <v>567</v>
      </c>
      <c r="D41" s="115" t="s">
        <v>568</v>
      </c>
      <c r="E41" s="116">
        <f>SUM(E39*E40)</f>
        <v>24000</v>
      </c>
    </row>
    <row r="42" ht="15.75" customHeight="1">
      <c r="A42" s="115" t="s">
        <v>569</v>
      </c>
      <c r="B42" s="115">
        <v>200.0</v>
      </c>
      <c r="C42" s="115">
        <v>20.0</v>
      </c>
      <c r="D42" s="115" t="s">
        <v>570</v>
      </c>
      <c r="E42" s="132">
        <v>3100.0</v>
      </c>
    </row>
    <row r="43" ht="15.75" customHeight="1">
      <c r="A43" s="115" t="s">
        <v>571</v>
      </c>
      <c r="B43" s="116">
        <v>1000.0</v>
      </c>
    </row>
    <row r="44" ht="15.75" customHeight="1">
      <c r="D44" s="115" t="s">
        <v>572</v>
      </c>
      <c r="E44" s="116">
        <f>SUM(E40:E43)</f>
        <v>27140</v>
      </c>
    </row>
    <row r="45" ht="15.75" customHeight="1">
      <c r="D45" s="115" t="s">
        <v>573</v>
      </c>
      <c r="E45" s="116">
        <v>5890.0</v>
      </c>
    </row>
    <row r="46" ht="15.75" customHeight="1">
      <c r="A46" s="115" t="s">
        <v>574</v>
      </c>
      <c r="B46" s="115" t="s">
        <v>575</v>
      </c>
      <c r="C46" s="132" t="s">
        <v>576</v>
      </c>
    </row>
    <row r="47" ht="15.75" customHeight="1">
      <c r="A47" s="115" t="s">
        <v>577</v>
      </c>
      <c r="B47" s="116">
        <v>1350.0</v>
      </c>
      <c r="E47" s="124" t="s">
        <v>578</v>
      </c>
    </row>
    <row r="48" ht="15.75" customHeight="1">
      <c r="A48" s="115" t="s">
        <v>175</v>
      </c>
      <c r="B48" s="116">
        <v>1000.0</v>
      </c>
      <c r="D48" s="115" t="s">
        <v>579</v>
      </c>
      <c r="E48" s="115">
        <v>300.0</v>
      </c>
    </row>
    <row r="49" ht="15.75" customHeight="1">
      <c r="A49" s="115" t="s">
        <v>580</v>
      </c>
      <c r="B49" s="132">
        <v>300.0</v>
      </c>
      <c r="D49" s="115" t="s">
        <v>581</v>
      </c>
      <c r="E49" s="115">
        <v>10.0</v>
      </c>
    </row>
    <row r="50" ht="15.75" customHeight="1"/>
    <row r="51" ht="15.75" customHeight="1">
      <c r="A51" s="115" t="s">
        <v>582</v>
      </c>
      <c r="B51" s="132">
        <f>SUM(B49,B48,B47,B43,B40,B39)</f>
        <v>10450</v>
      </c>
      <c r="D51" s="115" t="s">
        <v>583</v>
      </c>
      <c r="E51" s="132">
        <f>SUM(E48*B21)</f>
        <v>21000</v>
      </c>
    </row>
    <row r="52" ht="15.75" customHeight="1">
      <c r="D52" s="115" t="s">
        <v>584</v>
      </c>
      <c r="E52" s="116">
        <f>SUM(B3*E49)</f>
        <v>12000</v>
      </c>
    </row>
    <row r="53" ht="15.75" customHeight="1">
      <c r="D53" s="115" t="s">
        <v>446</v>
      </c>
      <c r="E53" s="132">
        <f>SUM(E51:E52)</f>
        <v>33000</v>
      </c>
    </row>
    <row r="54" ht="15.75" customHeight="1">
      <c r="A54" s="124"/>
      <c r="B54" s="115"/>
    </row>
    <row r="55" ht="15.75" customHeight="1">
      <c r="A55" s="124"/>
      <c r="B55" s="115" t="s">
        <v>585</v>
      </c>
      <c r="C55" s="115" t="s">
        <v>560</v>
      </c>
      <c r="D55" s="115" t="s">
        <v>561</v>
      </c>
      <c r="E55" s="115" t="s">
        <v>562</v>
      </c>
    </row>
    <row r="56" ht="15.75" customHeight="1">
      <c r="A56" s="115" t="s">
        <v>586</v>
      </c>
      <c r="B56" s="116">
        <v>10000.0</v>
      </c>
      <c r="C56" s="208">
        <v>200000.0</v>
      </c>
      <c r="D56" s="165">
        <v>0.005</v>
      </c>
      <c r="E56" s="115">
        <f>SUM(C56*D56)</f>
        <v>1000</v>
      </c>
    </row>
    <row r="57" ht="15.75" customHeight="1">
      <c r="A57" s="140" t="s">
        <v>564</v>
      </c>
      <c r="B57" s="214">
        <v>4000.0</v>
      </c>
      <c r="D57" s="115" t="s">
        <v>565</v>
      </c>
      <c r="E57" s="116">
        <v>40.0</v>
      </c>
    </row>
    <row r="58" ht="15.75" customHeight="1">
      <c r="A58" s="115"/>
      <c r="B58" s="132" t="s">
        <v>566</v>
      </c>
      <c r="C58" s="115" t="s">
        <v>567</v>
      </c>
      <c r="D58" s="115" t="s">
        <v>568</v>
      </c>
      <c r="E58" s="116">
        <f>SUM(E56*E57)</f>
        <v>40000</v>
      </c>
    </row>
    <row r="59" ht="15.75" customHeight="1">
      <c r="A59" s="115" t="s">
        <v>569</v>
      </c>
      <c r="B59" s="115">
        <v>500.0</v>
      </c>
      <c r="C59" s="115">
        <v>100.0</v>
      </c>
      <c r="D59" s="115" t="s">
        <v>570</v>
      </c>
      <c r="E59" s="132">
        <v>15000.0</v>
      </c>
    </row>
    <row r="60" ht="15.75" customHeight="1">
      <c r="A60" s="115" t="s">
        <v>571</v>
      </c>
      <c r="B60" s="116">
        <v>2000.0</v>
      </c>
    </row>
    <row r="61" ht="15.75" customHeight="1">
      <c r="D61" s="115" t="s">
        <v>572</v>
      </c>
      <c r="E61" s="116">
        <f>SUM(E57:E60)</f>
        <v>55040</v>
      </c>
    </row>
    <row r="62" ht="15.75" customHeight="1">
      <c r="D62" s="115" t="s">
        <v>587</v>
      </c>
      <c r="E62" s="116">
        <f>SUM(E56*18)</f>
        <v>18000</v>
      </c>
    </row>
    <row r="63" ht="15.75" customHeight="1">
      <c r="D63" s="115" t="s">
        <v>573</v>
      </c>
      <c r="E63" s="116">
        <f>SUM(E61-E62)</f>
        <v>37040</v>
      </c>
    </row>
    <row r="64" ht="15.75" customHeight="1">
      <c r="A64" s="115" t="s">
        <v>588</v>
      </c>
      <c r="B64" s="115" t="s">
        <v>575</v>
      </c>
      <c r="C64" s="132" t="s">
        <v>576</v>
      </c>
    </row>
    <row r="65" ht="15.75" customHeight="1">
      <c r="A65" s="115" t="s">
        <v>577</v>
      </c>
      <c r="B65" s="116">
        <v>1350.0</v>
      </c>
      <c r="E65" s="124" t="s">
        <v>578</v>
      </c>
    </row>
    <row r="66" ht="15.75" customHeight="1">
      <c r="A66" s="115" t="s">
        <v>175</v>
      </c>
      <c r="B66" s="116">
        <v>1000.0</v>
      </c>
      <c r="D66" s="115" t="s">
        <v>579</v>
      </c>
      <c r="E66" s="115">
        <f>SUM(E56/2)</f>
        <v>500</v>
      </c>
    </row>
    <row r="67" ht="15.75" customHeight="1">
      <c r="A67" s="115" t="s">
        <v>580</v>
      </c>
      <c r="B67" s="132">
        <v>600.0</v>
      </c>
      <c r="D67" s="115" t="s">
        <v>581</v>
      </c>
      <c r="E67" s="115">
        <v>30.0</v>
      </c>
    </row>
    <row r="68" ht="15.75" customHeight="1"/>
    <row r="69" ht="15.75" customHeight="1">
      <c r="A69" s="115" t="s">
        <v>582</v>
      </c>
      <c r="B69" s="132">
        <f>SUM(B67,B66,B65,B60,B57,B56)</f>
        <v>18950</v>
      </c>
      <c r="D69" s="115" t="s">
        <v>583</v>
      </c>
      <c r="E69" s="116">
        <f>SUM(E66*B4)</f>
        <v>35000</v>
      </c>
    </row>
    <row r="70" ht="15.75" customHeight="1">
      <c r="D70" s="115" t="s">
        <v>584</v>
      </c>
      <c r="E70" s="116">
        <f>SUM(B3*E67)</f>
        <v>36000</v>
      </c>
    </row>
    <row r="71" ht="15.75" customHeight="1">
      <c r="D71" s="115" t="s">
        <v>446</v>
      </c>
      <c r="E71" s="116">
        <f>SUM(E69:E70)</f>
        <v>71000</v>
      </c>
    </row>
    <row r="72" ht="15.75" customHeight="1">
      <c r="A72" s="124"/>
      <c r="B72" s="115"/>
    </row>
    <row r="73" ht="15.75" customHeight="1">
      <c r="A73" s="124"/>
      <c r="B73" s="115"/>
    </row>
    <row r="74" ht="15.75" customHeight="1">
      <c r="A74" s="124"/>
      <c r="B74" s="115"/>
    </row>
    <row r="75" ht="15.75" customHeight="1">
      <c r="A75" s="124"/>
      <c r="B75" s="115"/>
    </row>
    <row r="76" ht="15.75" customHeight="1">
      <c r="A76" s="124"/>
      <c r="B76" s="115"/>
    </row>
    <row r="77" ht="15.75" customHeight="1">
      <c r="A77" s="124" t="s">
        <v>589</v>
      </c>
      <c r="B77" s="115" t="s">
        <v>590</v>
      </c>
      <c r="C77" s="115" t="s">
        <v>591</v>
      </c>
      <c r="D77" s="115" t="s">
        <v>540</v>
      </c>
      <c r="E77" s="115" t="s">
        <v>592</v>
      </c>
    </row>
    <row r="78" ht="15.75" customHeight="1">
      <c r="A78" s="115" t="s">
        <v>593</v>
      </c>
      <c r="B78" s="115"/>
      <c r="C78" s="115">
        <v>200.0</v>
      </c>
      <c r="D78" s="213">
        <v>0.05</v>
      </c>
      <c r="E78" s="115">
        <f>SUM(C78*D78)</f>
        <v>10</v>
      </c>
    </row>
    <row r="79" ht="15.75" customHeight="1">
      <c r="A79" s="115" t="s">
        <v>594</v>
      </c>
      <c r="B79" s="116">
        <v>5.4</v>
      </c>
    </row>
    <row r="80" ht="15.75" customHeight="1">
      <c r="A80" s="115" t="s">
        <v>595</v>
      </c>
      <c r="B80" s="116">
        <v>0.3</v>
      </c>
      <c r="D80" s="115" t="s">
        <v>596</v>
      </c>
      <c r="E80" s="116">
        <f>SUM(B3*E78)</f>
        <v>12000</v>
      </c>
    </row>
    <row r="81" ht="15.75" customHeight="1">
      <c r="A81" s="115" t="s">
        <v>597</v>
      </c>
      <c r="B81" s="116">
        <v>7.0</v>
      </c>
    </row>
    <row r="82" ht="15.75" customHeight="1">
      <c r="A82" s="115" t="s">
        <v>598</v>
      </c>
      <c r="B82" s="116">
        <f>SUM(B78:B81)</f>
        <v>12.7</v>
      </c>
    </row>
    <row r="83" ht="15.75" customHeight="1">
      <c r="A83" s="115"/>
    </row>
    <row r="84" ht="15.75" customHeight="1">
      <c r="A84" s="115" t="s">
        <v>599</v>
      </c>
      <c r="B84" s="116">
        <f>SUM(B82*C78)</f>
        <v>2540</v>
      </c>
    </row>
    <row r="85" ht="15.75" customHeight="1"/>
    <row r="86" ht="15.75" customHeight="1">
      <c r="E86" s="115"/>
    </row>
    <row r="87" ht="15.75" customHeight="1"/>
    <row r="88" ht="15.75" customHeight="1"/>
    <row r="89" ht="15.75" customHeight="1">
      <c r="A89" s="115" t="s">
        <v>600</v>
      </c>
      <c r="B89" s="116">
        <f>SUM(B84,B51,B15,D12,D11,D8,D7,D9,C25,C26,B69,B36,D10)</f>
        <v>54810</v>
      </c>
    </row>
    <row r="90" ht="15.75" customHeight="1"/>
    <row r="91" ht="15.75" customHeight="1">
      <c r="A91" s="115" t="s">
        <v>601</v>
      </c>
      <c r="B91" s="116">
        <f>SUM(E80,E53,E45,E23,E71,E63)</f>
        <v>161970</v>
      </c>
    </row>
    <row r="92" ht="15.75" customHeight="1">
      <c r="A92" s="115" t="s">
        <v>602</v>
      </c>
      <c r="B92" s="116">
        <f>SUM(B91-B89)</f>
        <v>107160</v>
      </c>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2022-04-28T16:56:42Z</dcterms:created>
  <dc:creator>Michael DeStefano</dc:creator>
</cp:coreProperties>
</file>