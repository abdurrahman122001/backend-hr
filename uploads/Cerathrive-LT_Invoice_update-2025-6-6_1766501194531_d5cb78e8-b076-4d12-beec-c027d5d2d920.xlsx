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420"/>
  </bookViews>
  <sheets>
    <sheet name="Cerath Mass production invoices" sheetId="1" r:id="rId1"/>
    <sheet name="shipping cost or others" sheetId="2" r:id="rId2"/>
  </sheets>
  <definedNames>
    <definedName name="_xlnm._FilterDatabase" localSheetId="0" hidden="1">'Cerath Mass production invoices'!$A$2:$O$2</definedName>
    <definedName name="_xlnm._FilterDatabase" localSheetId="1" hidden="1">'shipping cost or others'!$A$1:$F$4</definedName>
  </definedNames>
  <calcPr calcId="144525"/>
</workbook>
</file>

<file path=xl/sharedStrings.xml><?xml version="1.0" encoding="utf-8"?>
<sst xmlns="http://schemas.openxmlformats.org/spreadsheetml/2006/main" count="100" uniqueCount="69">
  <si>
    <t>Cerathrive batch</t>
  </si>
  <si>
    <t>KY order#</t>
  </si>
  <si>
    <t>PO amount</t>
  </si>
  <si>
    <t>Product name</t>
  </si>
  <si>
    <t>20% deposit at start</t>
  </si>
  <si>
    <t>40% net 60 days</t>
  </si>
  <si>
    <t>40% net 90 days</t>
  </si>
  <si>
    <t>Invoice #</t>
  </si>
  <si>
    <t>Amount</t>
  </si>
  <si>
    <t>Status (paid or due date)</t>
  </si>
  <si>
    <t>remark qtys</t>
  </si>
  <si>
    <t>Real ship date实际出货日期</t>
  </si>
  <si>
    <t>Bank</t>
  </si>
  <si>
    <t>batch 001</t>
  </si>
  <si>
    <t>#6499</t>
  </si>
  <si>
    <t>Cerathrive System</t>
  </si>
  <si>
    <t>2024-0002(30% deposit )</t>
  </si>
  <si>
    <t>paid on 12/Jan.2024</t>
  </si>
  <si>
    <t>2024-0078(70% balance before delivery)</t>
  </si>
  <si>
    <t>$885 paid , balance of $41465 waiting to clear,due date 2024/7/8</t>
  </si>
  <si>
    <t>2024-0085(shipping cost )</t>
  </si>
  <si>
    <t>not paid ,due date 2/Oct.2024</t>
  </si>
  <si>
    <t xml:space="preserve">550 units </t>
  </si>
  <si>
    <t>shipped out all before Oct.2024</t>
  </si>
  <si>
    <t>HK bank</t>
  </si>
  <si>
    <t>batch 002</t>
  </si>
  <si>
    <t>#7526</t>
  </si>
  <si>
    <t>due date 2024/8/2</t>
  </si>
  <si>
    <t>due date 2025/2/23</t>
  </si>
  <si>
    <t>due date 2025/3/25</t>
  </si>
  <si>
    <t>550 units</t>
  </si>
  <si>
    <t>shipped out on</t>
  </si>
  <si>
    <t>LTV balnk</t>
  </si>
  <si>
    <t>batch 003</t>
  </si>
  <si>
    <t>#8603</t>
  </si>
  <si>
    <t>paid on 20/Feb.2025</t>
  </si>
  <si>
    <t>due date 2025/5/30</t>
  </si>
  <si>
    <t>due date 2025/6/30</t>
  </si>
  <si>
    <t>some units already shipped out on Apr., most of them not shipped out yet</t>
  </si>
  <si>
    <t>Total</t>
  </si>
  <si>
    <t>Invoice number</t>
  </si>
  <si>
    <t>Invoice date</t>
  </si>
  <si>
    <t>Desc.</t>
  </si>
  <si>
    <t>Invoice amount</t>
  </si>
  <si>
    <t>Due date</t>
  </si>
  <si>
    <t>Paid date</t>
  </si>
  <si>
    <t>Peter Forhan for CeraThrive at Orlando show</t>
  </si>
  <si>
    <t>not paid</t>
  </si>
  <si>
    <t>IC | CES2024 costs - Cerathrive</t>
  </si>
  <si>
    <t>Biohacker Summit 2024 Sponsorship</t>
  </si>
  <si>
    <t>IC | Participation Amazon movie by lollibrands.com</t>
  </si>
  <si>
    <t>IC | Participation The New Well show Paris 2024</t>
  </si>
  <si>
    <t>Zendesk platform subscription - Customer service  cost(Apr./May/Jun. 2024)</t>
  </si>
  <si>
    <t>Zendesk platform subscription - Customer service - Monthly: $124,66 
Period: 01-07-2024 till 31-07-2024 (1 month)</t>
  </si>
  <si>
    <t>TD-02 ZLD-60BG Cerathrive system consummer testing(CE/FCC/ROHS/UKCA/CA65) costs</t>
  </si>
  <si>
    <t>Zendesk platform subscription - Customer service - Monthly: $124,66 
Period: 01-08-2024 till 31-08-2024 (1 month)</t>
  </si>
  <si>
    <t>IC | Zendesk subscription | August 2024</t>
  </si>
  <si>
    <t>Travel case mold and tooling fee &amp; shipping fee</t>
  </si>
  <si>
    <t>Shipping COST for shelf top stand and free standing unit</t>
  </si>
  <si>
    <t>shipping cost for PO2023002/#7527| 380 units to Miami</t>
  </si>
  <si>
    <t>Shipping fee/2024</t>
  </si>
  <si>
    <t>Monthly App subscription Android/IOS 
Period: 10-01-2025 till 09-02-2025 (1 month)</t>
  </si>
  <si>
    <t>Kayan Wellness festival costs by Kim</t>
  </si>
  <si>
    <t>Monthly App subscription Android/IOS 
Period: 10-02-2025 till 09-03-2025 (1 month)</t>
  </si>
  <si>
    <t>CeraThrive system travel bag tooling cost</t>
  </si>
  <si>
    <t>Monthly App subscription Android/IOS 
Period: 10-03-2025 till 09-04-2025 (1 month)</t>
  </si>
  <si>
    <t>Monthly App subscription Android/IOS 
Period: 10-04-2025 till 09-05-2025 (1 month)</t>
  </si>
  <si>
    <t>Monthly App subscription Android/IOS 
Period: 10-05-2025 till 09-06-2025 (1 month)</t>
  </si>
  <si>
    <t>Shipping cost| Batch 003|LTVG-25-006|#8603 Cerathrive system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</si>
</sst>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US$&quot;#,##0;\-&quot;US$&quot;#,##0"/>
    <numFmt numFmtId="177" formatCode="&quot;US$&quot;#,##0.00;[Red]\-&quot;US$&quot;#,##0.00"/>
    <numFmt numFmtId="178" formatCode="&quot;$&quot;#,##0"/>
    <numFmt numFmtId="179" formatCode="\$#,##0.0_);[Red]\(\$#,##0.0\)"/>
  </numFmts>
  <fonts count="25">
    <font>
      <sz val="11"/>
      <color theme="1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2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1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8" fillId="18" borderId="8" applyNumberFormat="0" applyAlignment="0" applyProtection="0">
      <alignment vertical="center"/>
    </xf>
    <xf numFmtId="0" fontId="19" fillId="18" borderId="4" applyNumberFormat="0" applyAlignment="0" applyProtection="0">
      <alignment vertical="center"/>
    </xf>
    <xf numFmtId="0" fontId="20" fillId="19" borderId="9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</cellStyleXfs>
  <cellXfs count="55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14" fontId="0" fillId="0" borderId="1" xfId="0" applyNumberFormat="1" applyFill="1" applyBorder="1" applyAlignment="1">
      <alignment horizontal="left"/>
    </xf>
    <xf numFmtId="177" fontId="2" fillId="0" borderId="1" xfId="0" applyNumberFormat="1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wrapText="1"/>
    </xf>
    <xf numFmtId="14" fontId="0" fillId="0" borderId="1" xfId="0" applyNumberFormat="1" applyFill="1" applyBorder="1" applyAlignment="1">
      <alignment horizontal="left"/>
    </xf>
    <xf numFmtId="177" fontId="2" fillId="0" borderId="1" xfId="0" applyNumberFormat="1" applyFont="1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177" fontId="2" fillId="0" borderId="1" xfId="0" applyNumberFormat="1" applyFont="1" applyFill="1" applyBorder="1" applyAlignment="1">
      <alignment horizontal="left" wrapText="1"/>
    </xf>
    <xf numFmtId="14" fontId="0" fillId="0" borderId="1" xfId="0" applyNumberFormat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176" fontId="1" fillId="2" borderId="1" xfId="0" applyNumberFormat="1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178" fontId="0" fillId="0" borderId="0" xfId="0" applyNumberFormat="1" applyAlignment="1">
      <alignment horizontal="left"/>
    </xf>
    <xf numFmtId="0" fontId="2" fillId="0" borderId="0" xfId="0" applyFont="1" applyAlignment="1">
      <alignment horizontal="left" wrapText="1"/>
    </xf>
    <xf numFmtId="0" fontId="0" fillId="2" borderId="0" xfId="0" applyFill="1" applyAlignment="1">
      <alignment horizontal="left"/>
    </xf>
    <xf numFmtId="0" fontId="0" fillId="4" borderId="1" xfId="0" applyFill="1" applyBorder="1" applyAlignment="1">
      <alignment horizontal="left" vertical="center" wrapText="1"/>
    </xf>
    <xf numFmtId="178" fontId="0" fillId="4" borderId="2" xfId="0" applyNumberFormat="1" applyFill="1" applyBorder="1" applyAlignment="1">
      <alignment horizontal="center" vertical="center"/>
    </xf>
    <xf numFmtId="178" fontId="0" fillId="4" borderId="2" xfId="0" applyNumberFormat="1" applyFill="1" applyBorder="1" applyAlignment="1">
      <alignment horizontal="left" vertical="center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178" fontId="0" fillId="4" borderId="3" xfId="0" applyNumberFormat="1" applyFill="1" applyBorder="1" applyAlignment="1">
      <alignment horizontal="center" vertical="center"/>
    </xf>
    <xf numFmtId="178" fontId="0" fillId="4" borderId="3" xfId="0" applyNumberFormat="1" applyFill="1" applyBorder="1" applyAlignment="1">
      <alignment horizontal="left" vertical="center"/>
    </xf>
    <xf numFmtId="0" fontId="0" fillId="7" borderId="1" xfId="0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178" fontId="0" fillId="7" borderId="1" xfId="0" applyNumberFormat="1" applyFill="1" applyBorder="1" applyAlignment="1">
      <alignment horizontal="left"/>
    </xf>
    <xf numFmtId="0" fontId="2" fillId="7" borderId="1" xfId="0" applyFont="1" applyFill="1" applyBorder="1" applyAlignment="1">
      <alignment horizontal="left" wrapText="1"/>
    </xf>
    <xf numFmtId="177" fontId="0" fillId="7" borderId="1" xfId="0" applyNumberFormat="1" applyFill="1" applyBorder="1" applyAlignment="1">
      <alignment horizontal="left" wrapText="1"/>
    </xf>
    <xf numFmtId="0" fontId="2" fillId="7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177" fontId="0" fillId="0" borderId="1" xfId="0" applyNumberFormat="1" applyFill="1" applyBorder="1" applyAlignment="1">
      <alignment horizontal="left" wrapText="1"/>
    </xf>
    <xf numFmtId="0" fontId="2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179" fontId="2" fillId="7" borderId="1" xfId="0" applyNumberFormat="1" applyFont="1" applyFill="1" applyBorder="1" applyAlignment="1">
      <alignment horizontal="left"/>
    </xf>
    <xf numFmtId="178" fontId="0" fillId="0" borderId="1" xfId="0" applyNumberFormat="1" applyFill="1" applyBorder="1" applyAlignment="1">
      <alignment horizontal="left"/>
    </xf>
    <xf numFmtId="179" fontId="2" fillId="0" borderId="1" xfId="0" applyNumberFormat="1" applyFont="1" applyFill="1" applyBorder="1" applyAlignment="1">
      <alignment horizontal="left"/>
    </xf>
    <xf numFmtId="178" fontId="0" fillId="0" borderId="1" xfId="0" applyNumberFormat="1" applyBorder="1" applyAlignment="1">
      <alignment horizontal="left"/>
    </xf>
    <xf numFmtId="0" fontId="4" fillId="0" borderId="0" xfId="0" applyFont="1" applyFill="1" applyAlignment="1">
      <alignment horizontal="left"/>
    </xf>
    <xf numFmtId="178" fontId="4" fillId="2" borderId="0" xfId="0" applyNumberFormat="1" applyFont="1" applyFill="1" applyAlignment="1">
      <alignment horizontal="left"/>
    </xf>
    <xf numFmtId="0" fontId="0" fillId="8" borderId="1" xfId="0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left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15"/>
  <sheetViews>
    <sheetView tabSelected="1" workbookViewId="0">
      <selection activeCell="E9" sqref="E9"/>
    </sheetView>
  </sheetViews>
  <sheetFormatPr defaultColWidth="9" defaultRowHeight="13.8"/>
  <cols>
    <col min="1" max="1" width="10.4444444444444" style="2" customWidth="1"/>
    <col min="2" max="2" width="9" style="23" customWidth="1"/>
    <col min="3" max="3" width="11.7777777777778" style="24" customWidth="1"/>
    <col min="4" max="4" width="18" style="24" customWidth="1"/>
    <col min="5" max="6" width="13.6666666666667" style="2" customWidth="1"/>
    <col min="7" max="7" width="21.5555555555556" style="2" customWidth="1"/>
    <col min="8" max="8" width="17" style="2" customWidth="1"/>
    <col min="9" max="9" width="15.3333333333333" style="2" customWidth="1"/>
    <col min="10" max="10" width="22.3333333333333" style="2" customWidth="1"/>
    <col min="11" max="11" width="13.1111111111111" style="2" customWidth="1"/>
    <col min="12" max="12" width="14.1111111111111" style="2" customWidth="1"/>
    <col min="13" max="13" width="25.6666666666667" style="2" customWidth="1"/>
    <col min="14" max="14" width="11.5555555555556" style="25" customWidth="1"/>
    <col min="15" max="15" width="26" style="26" customWidth="1"/>
    <col min="16" max="16384" width="9" style="2"/>
  </cols>
  <sheetData>
    <row r="1" spans="1:13">
      <c r="A1" s="27" t="s">
        <v>0</v>
      </c>
      <c r="B1" s="28" t="s">
        <v>1</v>
      </c>
      <c r="C1" s="29" t="s">
        <v>2</v>
      </c>
      <c r="D1" s="28" t="s">
        <v>3</v>
      </c>
      <c r="E1" s="30" t="s">
        <v>4</v>
      </c>
      <c r="F1" s="30"/>
      <c r="G1" s="30"/>
      <c r="H1" s="31" t="s">
        <v>5</v>
      </c>
      <c r="I1" s="31"/>
      <c r="J1" s="31"/>
      <c r="K1" s="51" t="s">
        <v>6</v>
      </c>
      <c r="L1" s="51"/>
      <c r="M1" s="51"/>
    </row>
    <row r="2" ht="18" customHeight="1" spans="1:16">
      <c r="A2" s="27"/>
      <c r="B2" s="32"/>
      <c r="C2" s="33"/>
      <c r="D2" s="32"/>
      <c r="E2" s="30" t="s">
        <v>7</v>
      </c>
      <c r="F2" s="30" t="s">
        <v>8</v>
      </c>
      <c r="G2" s="30" t="s">
        <v>9</v>
      </c>
      <c r="H2" s="31" t="s">
        <v>7</v>
      </c>
      <c r="I2" s="31" t="s">
        <v>8</v>
      </c>
      <c r="J2" s="31" t="s">
        <v>9</v>
      </c>
      <c r="K2" s="51" t="s">
        <v>7</v>
      </c>
      <c r="L2" s="51" t="s">
        <v>8</v>
      </c>
      <c r="M2" s="51" t="s">
        <v>9</v>
      </c>
      <c r="N2" s="25" t="s">
        <v>10</v>
      </c>
      <c r="O2" s="52" t="s">
        <v>11</v>
      </c>
      <c r="P2" s="2" t="s">
        <v>12</v>
      </c>
    </row>
    <row r="3" ht="50" customHeight="1" spans="1:16">
      <c r="A3" s="34" t="s">
        <v>13</v>
      </c>
      <c r="B3" s="35" t="s">
        <v>14</v>
      </c>
      <c r="C3" s="36">
        <v>60500</v>
      </c>
      <c r="D3" s="36" t="s">
        <v>15</v>
      </c>
      <c r="E3" s="37" t="s">
        <v>16</v>
      </c>
      <c r="F3" s="38">
        <v>18150</v>
      </c>
      <c r="G3" s="39" t="s">
        <v>17</v>
      </c>
      <c r="H3" s="40" t="s">
        <v>18</v>
      </c>
      <c r="I3" s="42">
        <v>42350</v>
      </c>
      <c r="J3" s="14" t="s">
        <v>19</v>
      </c>
      <c r="K3" s="14" t="s">
        <v>20</v>
      </c>
      <c r="L3" s="42">
        <v>13754</v>
      </c>
      <c r="M3" s="14" t="s">
        <v>21</v>
      </c>
      <c r="N3" s="25" t="s">
        <v>22</v>
      </c>
      <c r="O3" s="26" t="s">
        <v>23</v>
      </c>
      <c r="P3" s="53" t="s">
        <v>24</v>
      </c>
    </row>
    <row r="4" ht="25" customHeight="1" spans="1:16">
      <c r="A4" s="34" t="s">
        <v>25</v>
      </c>
      <c r="B4" s="35" t="s">
        <v>26</v>
      </c>
      <c r="C4" s="36">
        <v>60500</v>
      </c>
      <c r="D4" s="36" t="s">
        <v>15</v>
      </c>
      <c r="E4" s="41">
        <v>20240321</v>
      </c>
      <c r="F4" s="42">
        <v>12100</v>
      </c>
      <c r="G4" s="43" t="s">
        <v>27</v>
      </c>
      <c r="H4" s="44">
        <v>20240659</v>
      </c>
      <c r="I4" s="42">
        <v>24200</v>
      </c>
      <c r="J4" s="18" t="s">
        <v>28</v>
      </c>
      <c r="K4" s="18">
        <v>20240660</v>
      </c>
      <c r="L4" s="42">
        <v>24200</v>
      </c>
      <c r="M4" s="18" t="s">
        <v>29</v>
      </c>
      <c r="N4" s="25" t="s">
        <v>30</v>
      </c>
      <c r="O4" s="26" t="s">
        <v>31</v>
      </c>
      <c r="P4" s="2" t="s">
        <v>32</v>
      </c>
    </row>
    <row r="5" ht="25" customHeight="1" spans="1:16">
      <c r="A5" s="34" t="s">
        <v>33</v>
      </c>
      <c r="B5" s="35" t="s">
        <v>34</v>
      </c>
      <c r="C5" s="36">
        <v>64100</v>
      </c>
      <c r="D5" s="36" t="s">
        <v>15</v>
      </c>
      <c r="E5" s="37">
        <v>20250121</v>
      </c>
      <c r="F5" s="45">
        <v>12820</v>
      </c>
      <c r="G5" s="39" t="s">
        <v>35</v>
      </c>
      <c r="H5" s="44">
        <v>20250207</v>
      </c>
      <c r="I5" s="42">
        <v>25640</v>
      </c>
      <c r="J5" s="18" t="s">
        <v>36</v>
      </c>
      <c r="K5" s="18">
        <v>20250208</v>
      </c>
      <c r="L5" s="42">
        <v>25640</v>
      </c>
      <c r="M5" s="18" t="s">
        <v>37</v>
      </c>
      <c r="O5" s="26" t="s">
        <v>38</v>
      </c>
      <c r="P5" s="2" t="s">
        <v>32</v>
      </c>
    </row>
    <row r="6" ht="25" customHeight="1" spans="1:13">
      <c r="A6" s="44"/>
      <c r="B6" s="9"/>
      <c r="C6" s="46"/>
      <c r="D6" s="46"/>
      <c r="E6" s="41"/>
      <c r="F6" s="47"/>
      <c r="G6" s="43"/>
      <c r="H6" s="44"/>
      <c r="I6" s="44"/>
      <c r="J6" s="18"/>
      <c r="K6" s="18"/>
      <c r="L6" s="42"/>
      <c r="M6" s="18"/>
    </row>
    <row r="7" ht="25" customHeight="1" spans="1:13">
      <c r="A7" s="44"/>
      <c r="B7" s="9"/>
      <c r="C7" s="46"/>
      <c r="D7" s="46"/>
      <c r="E7" s="41"/>
      <c r="F7" s="47"/>
      <c r="G7" s="43"/>
      <c r="H7" s="44"/>
      <c r="I7" s="44"/>
      <c r="J7" s="18"/>
      <c r="K7" s="18"/>
      <c r="L7" s="42"/>
      <c r="M7" s="18"/>
    </row>
    <row r="8" ht="25" customHeight="1" spans="1:13">
      <c r="A8" s="44"/>
      <c r="B8" s="9"/>
      <c r="C8" s="46"/>
      <c r="D8" s="46"/>
      <c r="E8" s="41"/>
      <c r="F8" s="47"/>
      <c r="G8" s="43"/>
      <c r="H8" s="44"/>
      <c r="I8" s="44"/>
      <c r="J8" s="18"/>
      <c r="K8" s="18"/>
      <c r="L8" s="42"/>
      <c r="M8" s="18"/>
    </row>
    <row r="9" spans="1:13">
      <c r="A9" s="18"/>
      <c r="B9" s="9"/>
      <c r="C9" s="48"/>
      <c r="D9" s="48"/>
      <c r="E9" s="14"/>
      <c r="F9" s="18"/>
      <c r="G9" s="18"/>
      <c r="H9" s="18"/>
      <c r="I9" s="18"/>
      <c r="J9" s="18"/>
      <c r="K9" s="18"/>
      <c r="L9" s="42"/>
      <c r="M9" s="18"/>
    </row>
    <row r="10" spans="1:13">
      <c r="A10" s="18"/>
      <c r="B10" s="9"/>
      <c r="C10" s="48"/>
      <c r="D10" s="48"/>
      <c r="E10" s="14"/>
      <c r="F10" s="18"/>
      <c r="G10" s="18"/>
      <c r="H10" s="18"/>
      <c r="I10" s="18"/>
      <c r="J10" s="18"/>
      <c r="K10" s="18"/>
      <c r="L10" s="18"/>
      <c r="M10" s="18"/>
    </row>
    <row r="11" spans="1:13">
      <c r="A11" s="18"/>
      <c r="B11" s="9"/>
      <c r="C11" s="48"/>
      <c r="D11" s="48"/>
      <c r="E11" s="14"/>
      <c r="F11" s="18"/>
      <c r="G11" s="18"/>
      <c r="H11" s="18"/>
      <c r="I11" s="18"/>
      <c r="J11" s="18"/>
      <c r="K11" s="18"/>
      <c r="L11" s="18"/>
      <c r="M11" s="18"/>
    </row>
    <row r="12" spans="1:13">
      <c r="A12" s="18"/>
      <c r="B12" s="9"/>
      <c r="C12" s="48"/>
      <c r="D12" s="48"/>
      <c r="E12" s="18"/>
      <c r="F12" s="18"/>
      <c r="G12" s="18"/>
      <c r="H12" s="18"/>
      <c r="I12" s="18"/>
      <c r="J12" s="18"/>
      <c r="K12" s="18"/>
      <c r="L12" s="18"/>
      <c r="M12" s="18"/>
    </row>
    <row r="13" spans="1:13">
      <c r="A13" s="18"/>
      <c r="B13" s="9"/>
      <c r="C13" s="48"/>
      <c r="D13" s="48"/>
      <c r="E13" s="18"/>
      <c r="F13" s="18"/>
      <c r="G13" s="18"/>
      <c r="H13" s="18"/>
      <c r="I13" s="18"/>
      <c r="J13" s="18"/>
      <c r="K13" s="18"/>
      <c r="L13" s="18"/>
      <c r="M13" s="18"/>
    </row>
    <row r="14" spans="1:13">
      <c r="A14" s="18"/>
      <c r="B14" s="9"/>
      <c r="C14" s="48"/>
      <c r="D14" s="48"/>
      <c r="E14" s="18"/>
      <c r="F14" s="18"/>
      <c r="G14" s="18"/>
      <c r="H14" s="18"/>
      <c r="I14" s="18"/>
      <c r="J14" s="18"/>
      <c r="K14" s="18"/>
      <c r="L14" s="18"/>
      <c r="M14" s="18"/>
    </row>
    <row r="15" s="22" customFormat="1" ht="21" customHeight="1" spans="1:14">
      <c r="A15" s="22" t="s">
        <v>39</v>
      </c>
      <c r="B15" s="49"/>
      <c r="C15" s="50"/>
      <c r="D15" s="50"/>
      <c r="N15" s="54"/>
    </row>
  </sheetData>
  <autoFilter ref="A2:O2">
    <extLst/>
  </autoFilter>
  <mergeCells count="7">
    <mergeCell ref="E1:G1"/>
    <mergeCell ref="H1:J1"/>
    <mergeCell ref="K1:M1"/>
    <mergeCell ref="A1:A2"/>
    <mergeCell ref="B1:B2"/>
    <mergeCell ref="C1:C2"/>
    <mergeCell ref="D1: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29"/>
  <sheetViews>
    <sheetView topLeftCell="A14" workbookViewId="0">
      <selection activeCell="D30" sqref="D30"/>
    </sheetView>
  </sheetViews>
  <sheetFormatPr defaultColWidth="8.88888888888889" defaultRowHeight="13.8" outlineLevelCol="5"/>
  <cols>
    <col min="1" max="1" width="13.3333333333333" style="2" customWidth="1"/>
    <col min="2" max="2" width="13" style="2" customWidth="1"/>
    <col min="3" max="3" width="35.8888888888889" style="3" customWidth="1"/>
    <col min="4" max="4" width="14.1111111111111" style="2" customWidth="1"/>
    <col min="5" max="5" width="16.6666666666667" style="2" customWidth="1"/>
    <col min="6" max="6" width="19" style="2" customWidth="1"/>
    <col min="7" max="16384" width="8.88888888888889" style="2"/>
  </cols>
  <sheetData>
    <row r="1" spans="1:6">
      <c r="A1" s="4" t="s">
        <v>40</v>
      </c>
      <c r="B1" s="4" t="s">
        <v>41</v>
      </c>
      <c r="C1" s="5" t="s">
        <v>42</v>
      </c>
      <c r="D1" s="4" t="s">
        <v>43</v>
      </c>
      <c r="E1" s="4" t="s">
        <v>44</v>
      </c>
      <c r="F1" s="4" t="s">
        <v>45</v>
      </c>
    </row>
    <row r="2" ht="27" customHeight="1" spans="1:6">
      <c r="A2" s="6">
        <v>20230138</v>
      </c>
      <c r="B2" s="7">
        <v>45170</v>
      </c>
      <c r="C2" s="6" t="s">
        <v>46</v>
      </c>
      <c r="D2" s="8">
        <v>2768.02</v>
      </c>
      <c r="E2" s="7">
        <v>45177</v>
      </c>
      <c r="F2" s="9" t="s">
        <v>47</v>
      </c>
    </row>
    <row r="3" ht="21" customHeight="1" spans="1:6">
      <c r="A3" s="10">
        <v>20240025</v>
      </c>
      <c r="B3" s="7">
        <v>45312</v>
      </c>
      <c r="C3" s="6" t="s">
        <v>48</v>
      </c>
      <c r="D3" s="8">
        <v>17059.43</v>
      </c>
      <c r="E3" s="7">
        <v>45319</v>
      </c>
      <c r="F3" s="9" t="s">
        <v>47</v>
      </c>
    </row>
    <row r="4" ht="21" customHeight="1" spans="1:6">
      <c r="A4" s="10">
        <v>20240055</v>
      </c>
      <c r="B4" s="7">
        <v>45338</v>
      </c>
      <c r="C4" s="6" t="s">
        <v>49</v>
      </c>
      <c r="D4" s="8">
        <v>7450</v>
      </c>
      <c r="E4" s="7">
        <v>45345</v>
      </c>
      <c r="F4" s="9" t="s">
        <v>47</v>
      </c>
    </row>
    <row r="5" ht="27" customHeight="1" spans="1:6">
      <c r="A5" s="11">
        <v>20240159</v>
      </c>
      <c r="B5" s="12">
        <v>45435</v>
      </c>
      <c r="C5" s="11" t="s">
        <v>50</v>
      </c>
      <c r="D5" s="13">
        <v>11666.66</v>
      </c>
      <c r="E5" s="12">
        <v>45442</v>
      </c>
      <c r="F5" s="9" t="s">
        <v>47</v>
      </c>
    </row>
    <row r="6" ht="27" customHeight="1" spans="1:6">
      <c r="A6" s="14">
        <v>20240162</v>
      </c>
      <c r="B6" s="12">
        <v>45435</v>
      </c>
      <c r="C6" s="14" t="s">
        <v>51</v>
      </c>
      <c r="D6" s="15">
        <v>3256.75</v>
      </c>
      <c r="E6" s="12">
        <v>45442</v>
      </c>
      <c r="F6" s="9" t="s">
        <v>47</v>
      </c>
    </row>
    <row r="7" ht="43" customHeight="1" spans="1:6">
      <c r="A7" s="14">
        <v>20240260</v>
      </c>
      <c r="B7" s="16">
        <v>45471</v>
      </c>
      <c r="C7" s="14" t="s">
        <v>52</v>
      </c>
      <c r="D7" s="15">
        <v>373.98</v>
      </c>
      <c r="E7" s="16">
        <v>45478</v>
      </c>
      <c r="F7" s="9" t="s">
        <v>47</v>
      </c>
    </row>
    <row r="8" ht="27" customHeight="1" spans="1:6">
      <c r="A8" s="14">
        <v>20240286</v>
      </c>
      <c r="B8" s="16">
        <v>45483</v>
      </c>
      <c r="C8" s="14" t="s">
        <v>53</v>
      </c>
      <c r="D8" s="15">
        <v>124.66</v>
      </c>
      <c r="E8" s="16">
        <v>45490</v>
      </c>
      <c r="F8" s="9" t="s">
        <v>47</v>
      </c>
    </row>
    <row r="9" ht="27" customHeight="1" spans="1:6">
      <c r="A9" s="14">
        <v>20240333</v>
      </c>
      <c r="B9" s="16">
        <v>45516</v>
      </c>
      <c r="C9" s="14" t="s">
        <v>54</v>
      </c>
      <c r="D9" s="15">
        <v>12500</v>
      </c>
      <c r="E9" s="16">
        <v>45523</v>
      </c>
      <c r="F9" s="9" t="s">
        <v>47</v>
      </c>
    </row>
    <row r="10" ht="27" customHeight="1" spans="1:6">
      <c r="A10" s="14">
        <v>20240367</v>
      </c>
      <c r="B10" s="16">
        <v>45527</v>
      </c>
      <c r="C10" s="14" t="s">
        <v>55</v>
      </c>
      <c r="D10" s="15">
        <v>124.66</v>
      </c>
      <c r="E10" s="16">
        <v>45534</v>
      </c>
      <c r="F10" s="9" t="s">
        <v>47</v>
      </c>
    </row>
    <row r="11" ht="27" customHeight="1" spans="1:6">
      <c r="A11" s="14">
        <v>20240396</v>
      </c>
      <c r="B11" s="16">
        <v>45543</v>
      </c>
      <c r="C11" s="14" t="s">
        <v>56</v>
      </c>
      <c r="D11" s="15">
        <v>165.28</v>
      </c>
      <c r="E11" s="16">
        <v>45550</v>
      </c>
      <c r="F11" s="9" t="s">
        <v>47</v>
      </c>
    </row>
    <row r="12" ht="27" customHeight="1" spans="1:6">
      <c r="A12" s="14">
        <v>20240451</v>
      </c>
      <c r="B12" s="16">
        <v>45580</v>
      </c>
      <c r="C12" s="14" t="s">
        <v>57</v>
      </c>
      <c r="D12" s="15">
        <v>1345</v>
      </c>
      <c r="E12" s="16">
        <v>45587</v>
      </c>
      <c r="F12" s="9" t="s">
        <v>47</v>
      </c>
    </row>
    <row r="13" ht="27" customHeight="1" spans="1:6">
      <c r="A13" s="14">
        <v>20240465</v>
      </c>
      <c r="B13" s="16">
        <v>45583</v>
      </c>
      <c r="C13" s="14" t="s">
        <v>58</v>
      </c>
      <c r="D13" s="15">
        <v>140</v>
      </c>
      <c r="E13" s="16">
        <v>45590</v>
      </c>
      <c r="F13" s="9" t="s">
        <v>47</v>
      </c>
    </row>
    <row r="14" ht="27" customHeight="1" spans="1:6">
      <c r="A14" s="14">
        <v>20240657</v>
      </c>
      <c r="B14" s="16">
        <v>45650</v>
      </c>
      <c r="C14" s="14" t="s">
        <v>59</v>
      </c>
      <c r="D14" s="15">
        <v>5100</v>
      </c>
      <c r="E14" s="16">
        <v>45657</v>
      </c>
      <c r="F14" s="9" t="s">
        <v>47</v>
      </c>
    </row>
    <row r="15" ht="22" customHeight="1" spans="1:6">
      <c r="A15" s="14">
        <v>20250021</v>
      </c>
      <c r="B15" s="16">
        <v>45660</v>
      </c>
      <c r="C15" s="14" t="s">
        <v>60</v>
      </c>
      <c r="D15" s="15">
        <v>500.5</v>
      </c>
      <c r="E15" s="16">
        <v>45674</v>
      </c>
      <c r="F15" s="9" t="s">
        <v>47</v>
      </c>
    </row>
    <row r="16" ht="27" customHeight="1" spans="1:6">
      <c r="A16" s="14">
        <v>20250072</v>
      </c>
      <c r="B16" s="16">
        <v>45679</v>
      </c>
      <c r="C16" s="14" t="s">
        <v>61</v>
      </c>
      <c r="D16" s="15">
        <v>299.99</v>
      </c>
      <c r="E16" s="16">
        <v>45686</v>
      </c>
      <c r="F16" s="9" t="s">
        <v>47</v>
      </c>
    </row>
    <row r="17" ht="27" customHeight="1" spans="1:6">
      <c r="A17" s="14">
        <v>20250085</v>
      </c>
      <c r="B17" s="16">
        <v>45692</v>
      </c>
      <c r="C17" s="14" t="s">
        <v>62</v>
      </c>
      <c r="D17" s="15">
        <v>1169.59</v>
      </c>
      <c r="E17" s="16">
        <v>45699</v>
      </c>
      <c r="F17" s="9" t="s">
        <v>47</v>
      </c>
    </row>
    <row r="18" ht="27" customHeight="1" spans="1:6">
      <c r="A18" s="14">
        <v>20250101</v>
      </c>
      <c r="B18" s="16">
        <v>45698</v>
      </c>
      <c r="C18" s="14" t="s">
        <v>63</v>
      </c>
      <c r="D18" s="15">
        <v>299.99</v>
      </c>
      <c r="E18" s="16">
        <v>45705</v>
      </c>
      <c r="F18" s="9" t="s">
        <v>47</v>
      </c>
    </row>
    <row r="19" ht="22" customHeight="1" spans="1:6">
      <c r="A19" s="14">
        <v>20250134</v>
      </c>
      <c r="B19" s="16">
        <v>45716</v>
      </c>
      <c r="C19" s="14" t="s">
        <v>64</v>
      </c>
      <c r="D19" s="15">
        <v>800</v>
      </c>
      <c r="E19" s="16">
        <v>45723</v>
      </c>
      <c r="F19" s="9" t="s">
        <v>47</v>
      </c>
    </row>
    <row r="20" ht="27" customHeight="1" spans="1:6">
      <c r="A20" s="14">
        <v>20250174</v>
      </c>
      <c r="B20" s="16">
        <v>45730</v>
      </c>
      <c r="C20" s="14" t="s">
        <v>65</v>
      </c>
      <c r="D20" s="15">
        <v>299.99</v>
      </c>
      <c r="E20" s="16">
        <v>45737</v>
      </c>
      <c r="F20" s="9" t="s">
        <v>47</v>
      </c>
    </row>
    <row r="21" ht="27" customHeight="1" spans="1:6">
      <c r="A21" s="14">
        <v>20250236</v>
      </c>
      <c r="B21" s="16">
        <v>45762</v>
      </c>
      <c r="C21" s="14" t="s">
        <v>66</v>
      </c>
      <c r="D21" s="15">
        <v>299.99</v>
      </c>
      <c r="E21" s="16">
        <v>45769</v>
      </c>
      <c r="F21" s="9" t="s">
        <v>47</v>
      </c>
    </row>
    <row r="22" ht="27" customHeight="1" spans="1:6">
      <c r="A22" s="14">
        <v>20250319</v>
      </c>
      <c r="B22" s="16">
        <v>45792</v>
      </c>
      <c r="C22" s="14" t="s">
        <v>67</v>
      </c>
      <c r="D22" s="15">
        <v>299.99</v>
      </c>
      <c r="E22" s="16">
        <v>45799</v>
      </c>
      <c r="F22" s="9" t="s">
        <v>47</v>
      </c>
    </row>
    <row r="23" ht="27" customHeight="1" spans="1:6">
      <c r="A23" s="14">
        <v>20250361</v>
      </c>
      <c r="B23" s="16">
        <v>45812</v>
      </c>
      <c r="C23" s="14" t="s">
        <v>68</v>
      </c>
      <c r="D23" s="15">
        <v>5988</v>
      </c>
      <c r="E23" s="16">
        <v>45819</v>
      </c>
      <c r="F23" s="9" t="s">
        <v>47</v>
      </c>
    </row>
    <row r="24" ht="27" customHeight="1" spans="1:6">
      <c r="A24" s="14"/>
      <c r="B24" s="16"/>
      <c r="C24" s="14"/>
      <c r="D24" s="15"/>
      <c r="E24" s="16"/>
      <c r="F24" s="17"/>
    </row>
    <row r="25" ht="27" customHeight="1" spans="1:6">
      <c r="A25" s="14"/>
      <c r="B25" s="16"/>
      <c r="C25" s="14"/>
      <c r="D25" s="15"/>
      <c r="E25" s="16"/>
      <c r="F25" s="17"/>
    </row>
    <row r="26" ht="27" customHeight="1" spans="1:6">
      <c r="A26" s="14"/>
      <c r="B26" s="16"/>
      <c r="C26" s="14"/>
      <c r="D26" s="15"/>
      <c r="E26" s="16"/>
      <c r="F26" s="17"/>
    </row>
    <row r="27" ht="27" customHeight="1" spans="1:6">
      <c r="A27" s="14"/>
      <c r="B27" s="16"/>
      <c r="C27" s="14"/>
      <c r="D27" s="15"/>
      <c r="E27" s="16"/>
      <c r="F27" s="17"/>
    </row>
    <row r="28" ht="27" customHeight="1" spans="1:6">
      <c r="A28" s="18"/>
      <c r="B28" s="18"/>
      <c r="C28" s="14"/>
      <c r="D28" s="18"/>
      <c r="E28" s="18"/>
      <c r="F28" s="18"/>
    </row>
    <row r="29" s="1" customFormat="1" ht="25" customHeight="1" spans="1:6">
      <c r="A29" s="19" t="s">
        <v>39</v>
      </c>
      <c r="B29" s="19"/>
      <c r="C29" s="20"/>
      <c r="D29" s="21">
        <f>SUBTOTAL(9,D2:D28)</f>
        <v>72032.48</v>
      </c>
      <c r="E29" s="19"/>
      <c r="F29" s="19"/>
    </row>
  </sheetData>
  <autoFilter ref="A1:F4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Cerath Mass production invoices</vt:lpstr>
      <vt:lpstr>shipping cost or others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Zhu</dc:creator>
  <cp:lastModifiedBy>Admin</cp:lastModifiedBy>
  <dcterms:created xsi:type="dcterms:W3CDTF">2024-07-08T21:12:00Z</dcterms:created>
  <dcterms:modified xsi:type="dcterms:W3CDTF">2025-06-06T08:57:36Z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5F17401A521848609D93476B985515E1</vt:lpwstr>
  </property>
  <property fmtid="{D5CDD505-2E9C-101B-9397-08002B2CF9AE}" pid="3" name="KSOProductBuildVer">
    <vt:lpwstr>2052-11.8.2.12195</vt:lpwstr>
  </property>
</Properties>
</file>